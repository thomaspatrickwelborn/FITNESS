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4.xml" ContentType="application/vnd.openxmlformats-officedocument.drawingml.chart+xml"/>
  <Override PartName="/xl/charts/chart30.xml" ContentType="application/vnd.openxmlformats-officedocument.drawingml.chart+xml"/>
  <Override PartName="/xl/charts/chart25.xml" ContentType="application/vnd.openxmlformats-officedocument.drawingml.chart+xml"/>
  <Override PartName="/xl/charts/chart10.xml" ContentType="application/vnd.openxmlformats-officedocument.drawingml.chart+xml"/>
  <Override PartName="/xl/charts/chart35.xml" ContentType="application/vnd.openxmlformats-officedocument.drawingml.chart+xml"/>
  <Override PartName="/xl/charts/chart7.xml" ContentType="application/vnd.openxmlformats-officedocument.drawingml.chart+xml"/>
  <Override PartName="/xl/charts/chart31.xml" ContentType="application/vnd.openxmlformats-officedocument.drawingml.chart+xml"/>
  <Override PartName="/xl/charts/chart13.xml" ContentType="application/vnd.openxmlformats-officedocument.drawingml.chart+xml"/>
  <Override PartName="/xl/charts/chart16.xml" ContentType="application/vnd.openxmlformats-officedocument.drawingml.chart+xml"/>
  <Override PartName="/xl/charts/chart6.xml" ContentType="application/vnd.openxmlformats-officedocument.drawingml.chart+xml"/>
  <Override PartName="/xl/charts/chart9.xml" ContentType="application/vnd.openxmlformats-officedocument.drawingml.chart+xml"/>
  <Override PartName="/xl/charts/chart32.xml" ContentType="application/vnd.openxmlformats-officedocument.drawingml.chart+xml"/>
  <Override PartName="/xl/charts/chart11.xml" ContentType="application/vnd.openxmlformats-officedocument.drawingml.chart+xml"/>
  <Override PartName="/xl/charts/chart18.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19.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2.xml" ContentType="application/vnd.openxmlformats-officedocument.drawingml.chart+xml"/>
  <Override PartName="/xl/charts/chart5.xml" ContentType="application/vnd.openxmlformats-officedocument.drawingml.chart+xml"/>
  <Override PartName="/xl/charts/chart15.xml" ContentType="application/vnd.openxmlformats-officedocument.drawingml.chart+xml"/>
  <Override PartName="/xl/charts/chart4.xml" ContentType="application/vnd.openxmlformats-officedocument.drawingml.chart+xml"/>
  <Override PartName="/xl/charts/chart23.xml" ContentType="application/vnd.openxmlformats-officedocument.drawingml.chart+xml"/>
  <Override PartName="/xl/charts/chart3.xml" ContentType="application/vnd.openxmlformats-officedocument.drawingml.chart+xml"/>
  <Override PartName="/xl/charts/chart36.xml" ContentType="application/vnd.openxmlformats-officedocument.drawingml.chart+xml"/>
  <Override PartName="/xl/charts/chart1.xml" ContentType="application/vnd.openxmlformats-officedocument.drawingml.chart+xml"/>
  <Override PartName="/xl/charts/chart14.xml" ContentType="application/vnd.openxmlformats-officedocument.drawingml.chart+xml"/>
  <Override PartName="/xl/charts/chart17.xml" ContentType="application/vnd.openxmlformats-officedocument.drawingml.chart+xml"/>
  <Override PartName="/xl/charts/chart21.xml" ContentType="application/vnd.openxmlformats-officedocument.drawingml.chart+xml"/>
  <Override PartName="/xl/charts/chart20.xml" ContentType="application/vnd.openxmlformats-officedocument.drawingml.chart+xml"/>
  <Override PartName="/xl/charts/chart2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LSD.RID.0" sheetId="1" state="visible" r:id="rId3"/>
    <sheet name="LSD.RID.0.AL" sheetId="2" state="visible" r:id="rId4"/>
    <sheet name="LSD.RID.0.AR" sheetId="3" state="visible" r:id="rId5"/>
    <sheet name="LSD.RID.0.FL"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<sst xmlns="http://schemas.openxmlformats.org/spreadsheetml/2006/main" count="628" uniqueCount="187">
  <si>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</si>
  <si>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</si>
  <si>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</si>
  <si>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</si>
  <si>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</si>
  <si>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</si>
  <si>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</si>
  <si>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U.S. Labor Statistics (Alabama)</t>
  </si>
  <si>
    <t xml:space="preserve">AR</t>
  </si>
  <si>
    <t xml:space="preserve">U.S. Labor Statistics (Arkansas)</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</si>
  <si>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</si>
  <si>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</si>
  <si>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</si>
  <si>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</si>
  <si>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</si>
  <si>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</si>
  <si>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</si>
  <si>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</si>
  <si>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</si>
  <si>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</si>
  <si>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GLO</t>
  </si>
  <si>
    <t xml:space="preserve">Glossary</t>
  </si>
  <si>
    <t xml:space="preserve">GID</t>
  </si>
  <si>
    <t xml:space="preserve">Region ID</t>
  </si>
  <si>
    <t xml:space="preserve">SLIID</t>
  </si>
  <si>
    <t xml:space="preserve">State Labor Industry ID</t>
  </si>
  <si>
    <t xml:space="preserve">SLIVID</t>
  </si>
  <si>
    <t xml:space="preserve">State Labor Industry Visualization ID</t>
  </si>
  <si>
    <t xml:space="preserve">INVID</t>
  </si>
  <si>
    <t xml:space="preserve">Invocation ID</t>
  </si>
  <si>
    <t xml:space="preserve">INV</t>
  </si>
  <si>
    <t xml:space="preserve">Invocations</t>
  </si>
  <si>
    <t xml:space="preserve">Script</t>
  </si>
  <si>
    <t xml:space="preserve">References</t>
  </si>
  <si>
    <t xml:space="preserve">Reference Account</t>
  </si>
  <si>
    <t xml:space="preserve">0</t>
  </si>
  <si>
    <t xml:space="preserve">Alabama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</si>
  <si>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</si>
  <si>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 </t>
  </si>
  <si>
    <t xml:space="preserve">thomas.patrick.welborn@outlook.com</t>
  </si>
  <si>
    <t xml:space="preserve">1</t>
  </si>
  <si>
    <t xml:space="preserve">Arkansas Labor Statistics Calculations</t>
  </si>
  <si>
    <t xml:space="preserve">https://grok.com/share/c2hhcmQtMg_05f8d4b3-2d59-4349-93d9-6c5bafa3bacd</t>
  </si>
  <si>
    <t xml:space="preserve">2</t>
  </si>
  <si>
    <t xml:space="preserve">Alabama, Arkansas Labor Statistics Calculations</t>
  </si>
  <si>
    <t xml:space="preserve">This session's purpose is to calculate labor statistics for individual states in a region. Each state's labor stastic calculations will be performed independently and using predefined formulae. Output should be in copy-pasteable `TSV` format. `LSD.REF` spreadsheet details formulae and parameters required for calculations of regionalized state labor statistics. `RID.*` spreadsheets are comprised of individual state tabs with primary tables of performed calculations, then altertables in each state's tab remain references to primary table. 
All tables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</si>
  <si>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https://grok.com/share/c2hhcmQtMg_d3d49fd1-59fe-445a-b9c5-74ad95e6913d</t>
  </si>
  <si>
    <t xml:space="preserve">thomas.tom.welborn@gmail.com</t>
  </si>
  <si>
    <t xml:space="preserve">3</t>
  </si>
  <si>
    <t xml:space="preserve">Alabama, Arkansas, Florida Labor Statistics Formulae, Parameters, Calculations</t>
  </si>
  <si>
    <t xml:space="preserve">N/A</t>
  </si>
  <si>
    <t xml:space="preserve">https://grok.com/share/c2hhcmQtMi1jb3B5_e3140b59-169a-487d-9539-b52e3cb64dad</t>
  </si>
  <si>
    <t xml:space="preserve">thomas.welborn@protonmail.com</t>
  </si>
  <si>
    <t xml:space="preserve">Industry</t>
  </si>
  <si>
    <t xml:space="preserve">Role</t>
  </si>
  <si>
    <t xml:space="preserve">Labor Force Population</t>
  </si>
  <si>
    <t xml:space="preserve">Authorized Labor Force Population</t>
  </si>
  <si>
    <t xml:space="preserve">Unauthorized Labor Force Population</t>
  </si>
  <si>
    <t xml:space="preserve">American Labor Force Population</t>
  </si>
  <si>
    <t xml:space="preserve">Employment-to-Population Ratio</t>
  </si>
  <si>
    <t xml:space="preserve">Authorized Immigrant Employment-to-Population Ratio</t>
  </si>
  <si>
    <t xml:space="preserve">Unauthorized Immigrant Employment-to-Population Ratio</t>
  </si>
  <si>
    <t xml:space="preserve">American Employment-to-Population Ratio</t>
  </si>
  <si>
    <t xml:space="preserve">Labor Force Participation Rate (LFPR)</t>
  </si>
  <si>
    <t xml:space="preserve">Authorized Immigrant Labor Force Participation Rate (LFPR)</t>
  </si>
  <si>
    <t xml:space="preserve">Unauthorized Immigrant Labor Force Participation Rate (LFPR)</t>
  </si>
  <si>
    <t xml:space="preserve">American Labor Force Participation Rate (LFPR)</t>
  </si>
  <si>
    <t xml:space="preserve">Unemployment Rate</t>
  </si>
  <si>
    <t xml:space="preserve">Authorized Immigrant Unemployment Rate</t>
  </si>
  <si>
    <t xml:space="preserve">Unauthorized Immigrant Unemployment Rate</t>
  </si>
  <si>
    <t xml:space="preserve">American Unemployment Rate</t>
  </si>
  <si>
    <t xml:space="preserve">Underemployment Rate</t>
  </si>
  <si>
    <t xml:space="preserve">Authorized Immigrant Underemployment Rate</t>
  </si>
  <si>
    <t xml:space="preserve">Unauthorized Immigrant Underemployment Rate</t>
  </si>
  <si>
    <t xml:space="preserve">American Underemployment Rate</t>
  </si>
  <si>
    <t xml:space="preserve">Wage Average ($/hr)</t>
  </si>
  <si>
    <t xml:space="preserve">Wage Min ($/hr)</t>
  </si>
  <si>
    <t xml:space="preserve">Wage Max ($/hr)</t>
  </si>
  <si>
    <t xml:space="preserve">Annual Income ($)</t>
  </si>
  <si>
    <t xml:space="preserve">Annual Income Min ($)</t>
  </si>
  <si>
    <t xml:space="preserve">Annual Income Max ($)</t>
  </si>
  <si>
    <t xml:space="preserve">Authorized Immigrant Wage Average ($/hr)</t>
  </si>
  <si>
    <t xml:space="preserve">Authorized Immigrant Wage Min ($/hr)</t>
  </si>
  <si>
    <t xml:space="preserve">Authorized Immigrant Wage Max ($/hr)</t>
  </si>
  <si>
    <t xml:space="preserve">Authorized Immigrant Annual Income Average ($)</t>
  </si>
  <si>
    <t xml:space="preserve">Authorized Immigrant Annual Income Min ($)</t>
  </si>
  <si>
    <t xml:space="preserve">Authorized Immigrant Annual Income Max ($)</t>
  </si>
  <si>
    <t xml:space="preserve">Unauthorized Immigrant Wage Average ($/hr)</t>
  </si>
  <si>
    <t xml:space="preserve">Unauthorized Immigrant Wage Min ($/hr)</t>
  </si>
  <si>
    <t xml:space="preserve">Unauthorized Immigrant Wage Max ($/hr)</t>
  </si>
  <si>
    <t xml:space="preserve">Unauthorized Immigrant Annual Income Average ($)</t>
  </si>
  <si>
    <t xml:space="preserve">Unauthorized Immigrant Annual Income Min ($)</t>
  </si>
  <si>
    <t xml:space="preserve">Unauthorized Immigrant Annual Income Max ($)</t>
  </si>
  <si>
    <t xml:space="preserve">American Wage Average ($/hr)</t>
  </si>
  <si>
    <t xml:space="preserve">American Wage Min ($/hr)</t>
  </si>
  <si>
    <t xml:space="preserve">American Wage Max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</si>
  <si>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</si>
  <si>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</si>
  <si>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</si>
  <si>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</si>
  <si>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</si>
  <si>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</si>
  <si>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</si>
  <si>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</si>
  <si>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</si>
  <si>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</si>
  <si>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</si>
  <si>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</si>
  <si>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</si>
  <si>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</si>
  <si>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American Effective Tax EITC Credit Refund</t>
  </si>
  <si>
    <t xml:space="preserve">ACTC Credit Refund</t>
  </si>
  <si>
    <t xml:space="preserve">Authorized Immigrant ACTC Credit Refund</t>
  </si>
  <si>
    <t xml:space="preserve">Unauthorized Immigrant ACTC Credit Refund</t>
  </si>
  <si>
    <t xml:space="preserve">American Effective Tax ACTC Credit Refund</t>
  </si>
  <si>
    <t xml:space="preserve">AOTC Credit Refund</t>
  </si>
  <si>
    <t xml:space="preserve">Authorized Immigrant AOTC Credit Refund</t>
  </si>
  <si>
    <t xml:space="preserve">Unauthorized Immigrant AOTC Credit Refund</t>
  </si>
  <si>
    <t xml:space="preserve">American Effective Tax AOTC Credit Refund</t>
  </si>
  <si>
    <t xml:space="preserve">All Industries</t>
  </si>
  <si>
    <t xml:space="preserve">All Roles</t>
  </si>
  <si>
    <t xml:space="preserve">Agriculture</t>
  </si>
  <si>
    <t xml:space="preserve">Worker</t>
  </si>
  <si>
    <t xml:space="preserve">Support</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</si>
  <si>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</si>
  <si>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</si>
  <si>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</si>
  <si>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</si>
  <si>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</si>
  <si>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</si>
  <si>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</si>
  <si>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</si>
  <si>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Other Services</t>
  </si>
  <si>
    <t xml:space="preserve">Healthcare &amp; Social Assistance</t>
  </si>
  <si>
    <t xml:space="preserve">Professional Services</t>
  </si>
  <si>
    <t xml:space="preserve">Educational Services</t>
  </si>
  <si>
    <t xml:space="preserve">Finance &amp; Insurance</t>
  </si>
  <si>
    <t xml:space="preserve">Media and Information Technology</t>
  </si>
  <si>
    <t xml:space="preserve">AL.0</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</si>
  <si>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t>
    </r>
    <r>
      <rPr>
        <sz val="10"/>
        <rFont val="Arial"/>
        <family val="2"/>
        <charset val="1"/>
      </rPr>
      <t xml:space="preserve"> </t>
    </r>
    <r>
      <rPr>
        <b val="true"/>
        <sz val="10"/>
        <rFont val="Arial"/>
        <family val="2"/>
        <charset val="1"/>
      </rPr>
      <t xml:space="preserve">Labor Force Population</t>
    </r>
    <r>
      <rPr>
        <sz val="10"/>
        <rFont val="Arial"/>
        <family val="2"/>
        <charset val="1"/>
      </rPr>
      <t xml:space="preserve"> By </t>
    </r>
    <r>
      <rPr>
        <u val="single"/>
        <sz val="10"/>
        <rFont val="Arial"/>
        <family val="2"/>
        <charset val="1"/>
      </rPr>
      <t xml:space="preserve">Industrial Labor Role</t>
    </r>
  </si>
  <si>
    <t xml:space="preserve">Industry: Role</t>
  </si>
  <si>
    <t xml:space="preserve">AL.1</t>
  </si>
  <si>
    <r>
      <rPr>
        <i val="true"/>
        <sz val="10"/>
        <rFont val="Arial"/>
        <family val="2"/>
        <charset val="1"/>
      </rPr>
      <t xml:space="preserve">Authorized, Unauthorized, American Laborer </t>
    </r>
    <r>
      <rPr>
        <b val="true"/>
        <sz val="10"/>
        <rFont val="Arial"/>
        <family val="2"/>
        <charset val="1"/>
      </rPr>
      <t xml:space="preserve">Employment-to-Population Ratio</t>
    </r>
    <r>
      <rPr>
        <i val="true"/>
        <sz val="10"/>
        <rFont val="Arial"/>
        <family val="2"/>
        <charset val="1"/>
      </rPr>
      <t xml:space="preserve"> By </t>
    </r>
    <r>
      <rPr>
        <u val="single"/>
        <sz val="10"/>
        <rFont val="Arial"/>
        <family val="2"/>
        <charset val="1"/>
      </rPr>
      <t xml:space="preserve">Industrial Labor Role</t>
    </r>
  </si>
  <si>
    <t xml:space="preserve">AL.2</t>
  </si>
  <si>
    <r>
      <rPr>
        <i val="true"/>
        <sz val="10"/>
        <rFont val="Arial"/>
        <family val="2"/>
        <charset val="1"/>
      </rPr>
      <t xml:space="preserve">Authorized, Unauthorized, American Laborer </t>
    </r>
    <r>
      <rPr>
        <b val="true"/>
        <sz val="10"/>
        <rFont val="Arial"/>
        <family val="2"/>
        <charset val="1"/>
      </rPr>
      <t xml:space="preserve">Labor Force Participation Rate</t>
    </r>
    <r>
      <rPr>
        <i val="true"/>
        <sz val="10"/>
        <rFont val="Arial"/>
        <family val="2"/>
        <charset val="1"/>
      </rPr>
      <t xml:space="preserve"> By </t>
    </r>
    <r>
      <rPr>
        <u val="single"/>
        <sz val="10"/>
        <rFont val="Arial"/>
        <family val="2"/>
        <charset val="1"/>
      </rPr>
      <t xml:space="preserve">Industrial Labor Role</t>
    </r>
  </si>
  <si>
    <t xml:space="preserve">AL.3</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</si>
  <si>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Unemployment Rate </t>
    </r>
    <r>
      <rPr>
        <sz val="10"/>
        <rFont val="Arial"/>
        <family val="2"/>
        <charset val="1"/>
      </rPr>
      <t xml:space="preserve">By </t>
    </r>
    <r>
      <rPr>
        <u val="single"/>
        <sz val="10"/>
        <rFont val="Arial"/>
        <family val="2"/>
        <charset val="1"/>
      </rPr>
      <t xml:space="preserve">Industrial Labor Role</t>
    </r>
  </si>
  <si>
    <t xml:space="preserve">AL.4</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</si>
  <si>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Underemployment Rate </t>
    </r>
    <r>
      <rPr>
        <sz val="10"/>
        <rFont val="Arial"/>
        <family val="2"/>
        <charset val="1"/>
      </rPr>
      <t xml:space="preserve">By </t>
    </r>
    <r>
      <rPr>
        <u val="single"/>
        <sz val="10"/>
        <rFont val="Arial"/>
        <family val="2"/>
        <charset val="1"/>
      </rPr>
      <t xml:space="preserve">Industrial Labor Role</t>
    </r>
  </si>
  <si>
    <t xml:space="preserve">AL.5</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</si>
  <si>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Wage Average </t>
    </r>
    <r>
      <rPr>
        <sz val="10"/>
        <rFont val="Arial"/>
        <family val="2"/>
        <charset val="1"/>
      </rPr>
      <t xml:space="preserve">By </t>
    </r>
    <r>
      <rPr>
        <u val="single"/>
        <sz val="10"/>
        <rFont val="Arial"/>
        <family val="2"/>
        <charset val="1"/>
      </rPr>
      <t xml:space="preserve">Industrial Labor Role</t>
    </r>
  </si>
  <si>
    <t xml:space="preserve">AL.6</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</si>
  <si>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Annual Income Average </t>
    </r>
    <r>
      <rPr>
        <sz val="10"/>
        <rFont val="Arial"/>
        <family val="2"/>
        <charset val="1"/>
      </rPr>
      <t xml:space="preserve">By </t>
    </r>
    <r>
      <rPr>
        <u val="single"/>
        <sz val="10"/>
        <rFont val="Arial"/>
        <family val="2"/>
        <charset val="1"/>
      </rPr>
      <t xml:space="preserve">Industrial Labor Role</t>
    </r>
  </si>
  <si>
    <t xml:space="preserve">AL.7</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</si>
  <si>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Personal Income Tax </t>
    </r>
    <r>
      <rPr>
        <sz val="10"/>
        <rFont val="Arial"/>
        <family val="2"/>
        <charset val="1"/>
      </rPr>
      <t xml:space="preserve">By </t>
    </r>
    <r>
      <rPr>
        <u val="single"/>
        <sz val="10"/>
        <rFont val="Arial"/>
        <family val="2"/>
        <charset val="1"/>
      </rPr>
      <t xml:space="preserve">Industrial Labor Role</t>
    </r>
  </si>
  <si>
    <t xml:space="preserve">AL.8</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</si>
  <si>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Payroll Tax </t>
    </r>
    <r>
      <rPr>
        <sz val="10"/>
        <rFont val="Arial"/>
        <family val="2"/>
        <charset val="1"/>
      </rPr>
      <t xml:space="preserve">By </t>
    </r>
    <r>
      <rPr>
        <u val="single"/>
        <sz val="10"/>
        <rFont val="Arial"/>
        <family val="2"/>
        <charset val="1"/>
      </rPr>
      <t xml:space="preserve">Industrial Labor Role</t>
    </r>
  </si>
  <si>
    <t xml:space="preserve">AL.9</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</si>
  <si>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Earned Income Tax Credit </t>
    </r>
    <r>
      <rPr>
        <sz val="10"/>
        <rFont val="Arial"/>
        <family val="2"/>
        <charset val="1"/>
      </rPr>
      <t xml:space="preserve">By </t>
    </r>
    <r>
      <rPr>
        <u val="single"/>
        <sz val="10"/>
        <rFont val="Arial"/>
        <family val="2"/>
        <charset val="1"/>
      </rPr>
      <t xml:space="preserve">Industrial Labor Role</t>
    </r>
  </si>
  <si>
    <t xml:space="preserve">AL.10</t>
  </si>
  <si>
    <r>
      <rPr>
        <i val="true"/>
        <sz val="10"/>
        <rFont val="Arial"/>
        <family val="2"/>
        <charset val="1"/>
      </rPr>
      <t xml:space="preserve">Authorized, Unauthorized, American Laborer </t>
    </r>
    <r>
      <rPr>
        <b val="true"/>
        <sz val="10"/>
        <rFont val="Arial"/>
        <family val="2"/>
        <charset val="1"/>
      </rPr>
      <t xml:space="preserve">Additional Child Tax Credit</t>
    </r>
    <r>
      <rPr>
        <i val="true"/>
        <sz val="10"/>
        <rFont val="Arial"/>
        <family val="2"/>
        <charset val="1"/>
      </rPr>
      <t xml:space="preserve"> By </t>
    </r>
    <r>
      <rPr>
        <u val="single"/>
        <sz val="10"/>
        <rFont val="Arial"/>
        <family val="2"/>
        <charset val="1"/>
      </rPr>
      <t xml:space="preserve">Industrial Labor Role</t>
    </r>
  </si>
  <si>
    <r>
      <rPr>
        <sz val="10"/>
        <rFont val="Arial"/>
        <family val="2"/>
        <charset val="1"/>
      </rPr>
      <t xml:space="preserve">Authorized, Unauthorized, American Laborer </t>
    </r>
    <r>
      <rPr>
        <b val="true"/>
        <sz val="10"/>
        <rFont val="Arial"/>
        <family val="2"/>
        <charset val="1"/>
      </rPr>
      <t xml:space="preserve">American Opportunity Tax Credit</t>
    </r>
    <r>
      <rPr>
        <sz val="10"/>
        <rFont val="Arial"/>
        <family val="2"/>
        <charset val="1"/>
      </rPr>
      <t xml:space="preserve"> By </t>
    </r>
    <r>
      <rPr>
        <i val="true"/>
        <sz val="10"/>
        <rFont val="Arial"/>
        <family val="2"/>
        <charset val="1"/>
      </rPr>
      <t xml:space="preserve">Industrial Labor Role</t>
    </r>
  </si>
  <si>
    <t xml:space="preserve">Government</t>
  </si>
  <si>
    <t xml:space="preserve">Self-Employed / Non-Employer</t>
  </si>
  <si>
    <t xml:space="preserve">AR.0</t>
  </si>
  <si>
    <t xml:space="preserve">AR.1</t>
  </si>
  <si>
    <t xml:space="preserve">AR.2</t>
  </si>
  <si>
    <t xml:space="preserve">AR.3</t>
  </si>
  <si>
    <t xml:space="preserve">AR.4</t>
  </si>
  <si>
    <t xml:space="preserve">AR.5</t>
  </si>
  <si>
    <t xml:space="preserve">AR.6</t>
  </si>
  <si>
    <t xml:space="preserve">AR.7</t>
  </si>
  <si>
    <t xml:space="preserve">AR.8</t>
  </si>
  <si>
    <t xml:space="preserve">AR.9</t>
  </si>
  <si>
    <t xml:space="preserve">AR.10</t>
  </si>
  <si>
    <t xml:space="preserve">U.S. Labor Statistics (Florida)</t>
  </si>
  <si>
    <t xml:space="preserve">FL.0</t>
  </si>
  <si>
    <t xml:space="preserve">FL.1</t>
  </si>
  <si>
    <t xml:space="preserve">FL.2</t>
  </si>
  <si>
    <t xml:space="preserve">FL.3</t>
  </si>
  <si>
    <t xml:space="preserve">FL.4</t>
  </si>
  <si>
    <t xml:space="preserve">FL.5</t>
  </si>
  <si>
    <t xml:space="preserve">FL.6</t>
  </si>
  <si>
    <t xml:space="preserve">FL.7</t>
  </si>
  <si>
    <t xml:space="preserve">FL.8</t>
  </si>
  <si>
    <t xml:space="preserve">FL.9</t>
  </si>
  <si>
    <t xml:space="preserve">FL.10</t>
  </si>
</sst>
</file>

<file path=xl/styles.xml><?xml version="1.0" encoding="utf-8"?>
<styleSheet xmlns="http://schemas.openxmlformats.org/spreadsheetml/2006/main">
  <numFmts count="9">
    <numFmt numFmtId="164" formatCode="General"/>
    <numFmt numFmtId="165" formatCode="\$#,##0.00_);&quot;($&quot;#,##0.00\)"/>
    <numFmt numFmtId="166" formatCode="\$#,##0_);[RED]&quot;($&quot;#,##0\)"/>
    <numFmt numFmtId="167" formatCode="#,##0"/>
    <numFmt numFmtId="168" formatCode="0.00%"/>
    <numFmt numFmtId="169" formatCode="[$$-409]#,##0;\-[$$-409]#,##0"/>
    <numFmt numFmtId="170" formatCode="[$$-409]#,##0.00;\-[$$-409]#,##0.00"/>
    <numFmt numFmtId="171" formatCode="[$$-409]#,##0.00;[RED]\-[$$-409]#,##0.00"/>
    <numFmt numFmtId="172" formatCode="[$$-409]#,##0;[RED]\-[$$-409]#,##0"/>
  </numFmts>
  <fonts count="19">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
      <i val="true"/>
      <sz val="10"/>
      <name val="Arial"/>
      <family val="2"/>
      <charset val="1"/>
    </font>
    <font>
      <u val="single"/>
      <sz val="10"/>
      <name val="Arial"/>
      <family val="2"/>
      <charset val="1"/>
    </font>
    <font>
      <sz val="12"/>
      <color rgb="FF000000"/>
      <name val="Arial"/>
      <family val="2"/>
    </font>
    <font>
      <sz val="7"/>
      <color rgb="FF000000"/>
      <name val="Arial"/>
      <family val="2"/>
    </font>
    <font>
      <b val="true"/>
      <sz val="7"/>
      <color rgb="FFFFFFFF"/>
      <name val="Arial"/>
      <family val="2"/>
    </font>
    <font>
      <sz val="8"/>
      <color rgb="FF000000"/>
      <name val="Arial"/>
      <family val="2"/>
    </font>
    <font>
      <sz val="9"/>
      <color rgb="FF000000"/>
      <name val="Arial"/>
      <family val="2"/>
    </font>
    <font>
      <sz val="10"/>
      <color rgb="FF000000"/>
      <name val="Arial"/>
      <family val="2"/>
    </font>
    <font>
      <sz val="7"/>
      <color rgb="FFFFFFFF"/>
      <name val="Arial"/>
      <family val="2"/>
    </font>
  </fonts>
  <fills count="4">
    <fill>
      <patternFill patternType="none"/>
    </fill>
    <fill>
      <patternFill patternType="gray125"/>
    </fill>
    <fill>
      <patternFill patternType="solid">
        <fgColor rgb="FF333300"/>
        <bgColor rgb="FF333333"/>
      </patternFill>
    </fill>
    <fill>
      <patternFill patternType="solid">
        <fgColor rgb="FFFFCC00"/>
        <bgColor rgb="FFFFD32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center"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8" fontId="9"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center" vertical="bottom" textRotation="0" wrapText="true" indent="0" shrinkToFit="false"/>
      <protection locked="true" hidden="false"/>
    </xf>
    <xf numFmtId="169" fontId="0" fillId="0" borderId="0" xfId="0" applyFont="true" applyBorder="false" applyAlignment="true" applyProtection="true">
      <alignment horizontal="center" vertical="bottom" textRotation="0" wrapText="true" indent="0" shrinkToFit="false"/>
      <protection locked="true" hidden="false"/>
    </xf>
    <xf numFmtId="170"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true" indent="0" shrinkToFit="false"/>
      <protection locked="true" hidden="false"/>
    </xf>
    <xf numFmtId="170"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8" fontId="7" fillId="0" borderId="0" xfId="0" applyFont="true" applyBorder="false" applyAlignment="true" applyProtection="true">
      <alignment horizontal="center" vertical="bottom" textRotation="0" wrapText="true" indent="0" shrinkToFit="false"/>
      <protection locked="true" hidden="false"/>
    </xf>
    <xf numFmtId="171" fontId="7" fillId="0" borderId="0" xfId="0" applyFont="true" applyBorder="false" applyAlignment="true" applyProtection="true">
      <alignment horizontal="general" vertical="bottom" textRotation="0" wrapText="true" indent="0" shrinkToFit="false"/>
      <protection locked="true" hidden="false"/>
    </xf>
    <xf numFmtId="170" fontId="7" fillId="0" borderId="0" xfId="0" applyFont="true" applyBorder="false" applyAlignment="true" applyProtection="true">
      <alignment horizontal="general" vertical="bottom" textRotation="0" wrapText="true" indent="0" shrinkToFit="false"/>
      <protection locked="true" hidden="false"/>
    </xf>
    <xf numFmtId="172" fontId="7" fillId="0" borderId="0" xfId="0" applyFont="true" applyBorder="false" applyAlignment="true" applyProtection="true">
      <alignment horizontal="center" vertical="bottom" textRotation="0" wrapText="true" indent="0" shrinkToFit="false"/>
      <protection locked="true" hidden="false"/>
    </xf>
    <xf numFmtId="169" fontId="7"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center"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center" vertical="bottom" textRotation="0" wrapText="false" indent="0" shrinkToFit="false"/>
      <protection locked="true" hidden="false"/>
    </xf>
    <xf numFmtId="169" fontId="0" fillId="0" borderId="0" xfId="0" applyFont="true" applyBorder="false" applyAlignment="true" applyProtection="true">
      <alignment horizontal="center" vertical="bottom" textRotation="0" wrapText="false" indent="0" shrinkToFit="false"/>
      <protection locked="true" hidden="false"/>
    </xf>
    <xf numFmtId="170" fontId="0" fillId="0" borderId="0" xfId="0" applyFont="true" applyBorder="fals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D32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CC"/>
      <rgbColor rgb="FF000080"/>
      <rgbColor rgb="FFFF00FF"/>
      <rgbColor rgb="FFFFFF00"/>
      <rgbColor rgb="FF00FFFF"/>
      <rgbColor rgb="FFBF0041"/>
      <rgbColor rgb="FF800000"/>
      <rgbColor rgb="FF008080"/>
      <rgbColor rgb="FF0000FF"/>
      <rgbColor rgb="FF00CCFF"/>
      <rgbColor rgb="FFCCFFFF"/>
      <rgbColor rgb="FFCCFFCC"/>
      <rgbColor rgb="FFFFFF99"/>
      <rgbColor rgb="FFB3B3B3"/>
      <rgbColor rgb="FFFF99CC"/>
      <rgbColor rgb="FFCC99FF"/>
      <rgbColor rgb="FFFFCC99"/>
      <rgbColor rgb="FF3366FF"/>
      <rgbColor rgb="FF33CCCC"/>
      <rgbColor rgb="FF99CC00"/>
      <rgbColor rgb="FFFFCC00"/>
      <rgbColor rgb="FFFF9900"/>
      <rgbColor rgb="FFFF420E"/>
      <rgbColor rgb="FF666699"/>
      <rgbColor rgb="FF999999"/>
      <rgbColor rgb="FF004586"/>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Population</a:t>
            </a:r>
          </a:p>
        </c:rich>
      </c:tx>
      <c:layout>
        <c:manualLayout>
          <c:xMode val="edge"/>
          <c:yMode val="edge"/>
          <c:x val="0.277077589602206"/>
          <c:y val="0.0107802116662565"/>
        </c:manualLayout>
      </c:layout>
      <c:overlay val="0"/>
      <c:spPr>
        <a:noFill/>
        <a:ln w="0">
          <a:noFill/>
        </a:ln>
      </c:spPr>
    </c:title>
    <c:autoTitleDeleted val="0"/>
    <c:plotArea>
      <c:layout>
        <c:manualLayout>
          <c:layoutTarget val="inner"/>
          <c:xMode val="edge"/>
          <c:yMode val="edge"/>
          <c:x val="0.299921228830248"/>
          <c:y val="0.0468619246861925"/>
          <c:w val="0.521937770775896"/>
          <c:h val="0.874920009844942"/>
        </c:manualLayout>
      </c:layout>
      <c:barChart>
        <c:barDir val="bar"/>
        <c:grouping val="clustered"/>
        <c:varyColors val="0"/>
        <c:ser>
          <c:idx val="0"/>
          <c:order val="0"/>
          <c:tx>
            <c:strRef>
              <c:f>'LSD.RID.0.AL'!$C$40</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 sourceLinked="0"/>
              <c:txPr>
                <a:bodyPr wrap="none"/>
                <a:lstStyle/>
                <a:p>
                  <a:pPr>
                    <a:defRPr sz="700" b="1"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'LSD.RID.0.AL'!$C$42:$C$71</c:f>
              <c:numCache>
                <c:formatCode>#,##0</c:formatCode>
                <c:ptCount val="30"/>
                <c:pt idx="0">
                  <c:v>15000</c:v>
                </c:pt>
                <c:pt idx="1">
                  <c:v>7500</c:v>
                </c:pt>
                <c:pt idx="2">
                  <c:v>112100</c:v>
                </c:pt>
                <c:pt idx="3">
                  <c:v>45000</c:v>
                </c:pt>
                <c:pt idx="4">
                  <c:v>217300</c:v>
                </c:pt>
                <c:pt idx="5">
                  <c:v>87000</c:v>
                </c:pt>
                <c:pt idx="6">
                  <c:v>45000</c:v>
                </c:pt>
                <c:pt idx="7">
                  <c:v>22500</c:v>
                </c:pt>
                <c:pt idx="8">
                  <c:v>287100</c:v>
                </c:pt>
                <c:pt idx="9">
                  <c:v>115000</c:v>
                </c:pt>
                <c:pt idx="10">
                  <c:v>75000</c:v>
                </c:pt>
                <c:pt idx="11">
                  <c:v>30000</c:v>
                </c:pt>
                <c:pt idx="12">
                  <c:v>200000</c:v>
                </c:pt>
                <c:pt idx="13">
                  <c:v>100000</c:v>
                </c:pt>
                <c:pt idx="14">
                  <c:v>23000</c:v>
                </c:pt>
                <c:pt idx="15">
                  <c:v>11500</c:v>
                </c:pt>
                <c:pt idx="16">
                  <c:v>15000</c:v>
                </c:pt>
                <c:pt idx="17">
                  <c:v>7500</c:v>
                </c:pt>
                <c:pt idx="18">
                  <c:v>98600</c:v>
                </c:pt>
                <c:pt idx="19">
                  <c:v>49300</c:v>
                </c:pt>
                <c:pt idx="20">
                  <c:v>242600</c:v>
                </c:pt>
                <c:pt idx="21">
                  <c:v>97000</c:v>
                </c:pt>
                <c:pt idx="22">
                  <c:v>133100</c:v>
                </c:pt>
                <c:pt idx="23">
                  <c:v>63600</c:v>
                </c:pt>
                <c:pt idx="24">
                  <c:v>30500</c:v>
                </c:pt>
                <c:pt idx="25">
                  <c:v>12200</c:v>
                </c:pt>
                <c:pt idx="26">
                  <c:v>73300</c:v>
                </c:pt>
                <c:pt idx="27">
                  <c:v>29300</c:v>
                </c:pt>
                <c:pt idx="28">
                  <c:v>23000</c:v>
                </c:pt>
                <c:pt idx="29">
                  <c:v>9200</c:v>
                </c:pt>
              </c:numCache>
            </c:numRef>
          </c:val>
        </c:ser>
        <c:ser>
          <c:idx val="1"/>
          <c:order val="1"/>
          <c:tx>
            <c:strRef>
              <c:f>'LSD.RID.0.AL'!$D$40</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'LSD.RID.0.AL'!$D$42:$D$71</c:f>
              <c:numCache>
                <c:formatCode>#,##0</c:formatCode>
                <c:ptCount val="30"/>
                <c:pt idx="0">
                  <c:v>495</c:v>
                </c:pt>
                <c:pt idx="1">
                  <c:v>248</c:v>
                </c:pt>
                <c:pt idx="2">
                  <c:v>3699</c:v>
                </c:pt>
                <c:pt idx="3">
                  <c:v>1485</c:v>
                </c:pt>
                <c:pt idx="4">
                  <c:v>7171</c:v>
                </c:pt>
                <c:pt idx="5">
                  <c:v>2871</c:v>
                </c:pt>
                <c:pt idx="6">
                  <c:v>1485</c:v>
                </c:pt>
                <c:pt idx="7">
                  <c:v>743</c:v>
                </c:pt>
                <c:pt idx="8">
                  <c:v>9474</c:v>
                </c:pt>
                <c:pt idx="9">
                  <c:v>3795</c:v>
                </c:pt>
                <c:pt idx="10">
                  <c:v>2475</c:v>
                </c:pt>
                <c:pt idx="11">
                  <c:v>990</c:v>
                </c:pt>
                <c:pt idx="12">
                  <c:v>6600</c:v>
                </c:pt>
                <c:pt idx="13">
                  <c:v>3300</c:v>
                </c:pt>
                <c:pt idx="14">
                  <c:v>759</c:v>
                </c:pt>
                <c:pt idx="15">
                  <c:v>380</c:v>
                </c:pt>
                <c:pt idx="16">
                  <c:v>495</c:v>
                </c:pt>
                <c:pt idx="17">
                  <c:v>248</c:v>
                </c:pt>
                <c:pt idx="18">
                  <c:v>3254</c:v>
                </c:pt>
                <c:pt idx="19">
                  <c:v>1627</c:v>
                </c:pt>
                <c:pt idx="20">
                  <c:v>7996</c:v>
                </c:pt>
                <c:pt idx="21">
                  <c:v>3199</c:v>
                </c:pt>
                <c:pt idx="22">
                  <c:v>4392</c:v>
                </c:pt>
                <c:pt idx="23">
                  <c:v>2099</c:v>
                </c:pt>
                <c:pt idx="24">
                  <c:v>1007</c:v>
                </c:pt>
                <c:pt idx="25">
                  <c:v>403</c:v>
                </c:pt>
                <c:pt idx="26">
                  <c:v>2419</c:v>
                </c:pt>
                <c:pt idx="27">
                  <c:v>967</c:v>
                </c:pt>
                <c:pt idx="28">
                  <c:v>759</c:v>
                </c:pt>
                <c:pt idx="29">
                  <c:v>304</c:v>
                </c:pt>
              </c:numCache>
            </c:numRef>
          </c:val>
        </c:ser>
        <c:ser>
          <c:idx val="2"/>
          <c:order val="2"/>
          <c:tx>
            <c:strRef>
              <c:f>'LSD.RID.0.AL'!$E$40</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'LSD.RID.0.AL'!$E$42:$E$71</c:f>
              <c:numCache>
                <c:formatCode>#,##0</c:formatCode>
                <c:ptCount val="30"/>
                <c:pt idx="0">
                  <c:v>315</c:v>
                </c:pt>
                <c:pt idx="1">
                  <c:v>158</c:v>
                </c:pt>
                <c:pt idx="2">
                  <c:v>2354</c:v>
                </c:pt>
                <c:pt idx="3">
                  <c:v>945</c:v>
                </c:pt>
                <c:pt idx="4">
                  <c:v>4563</c:v>
                </c:pt>
                <c:pt idx="5">
                  <c:v>1825</c:v>
                </c:pt>
                <c:pt idx="6">
                  <c:v>945</c:v>
                </c:pt>
                <c:pt idx="7">
                  <c:v>473</c:v>
                </c:pt>
                <c:pt idx="8">
                  <c:v>6029</c:v>
                </c:pt>
                <c:pt idx="9">
                  <c:v>2415</c:v>
                </c:pt>
                <c:pt idx="10">
                  <c:v>1575</c:v>
                </c:pt>
                <c:pt idx="11">
                  <c:v>630</c:v>
                </c:pt>
                <c:pt idx="12">
                  <c:v>4200</c:v>
                </c:pt>
                <c:pt idx="13">
                  <c:v>2100</c:v>
                </c:pt>
                <c:pt idx="14">
                  <c:v>483</c:v>
                </c:pt>
                <c:pt idx="15">
                  <c:v>242</c:v>
                </c:pt>
                <c:pt idx="16">
                  <c:v>315</c:v>
                </c:pt>
                <c:pt idx="17">
                  <c:v>158</c:v>
                </c:pt>
                <c:pt idx="18">
                  <c:v>2071</c:v>
                </c:pt>
                <c:pt idx="19">
                  <c:v>1036</c:v>
                </c:pt>
                <c:pt idx="20">
                  <c:v>5090</c:v>
                </c:pt>
                <c:pt idx="21">
                  <c:v>2037</c:v>
                </c:pt>
                <c:pt idx="22">
                  <c:v>2797</c:v>
                </c:pt>
                <c:pt idx="23">
                  <c:v>1337</c:v>
                </c:pt>
                <c:pt idx="24">
                  <c:v>641</c:v>
                </c:pt>
                <c:pt idx="25">
                  <c:v>256</c:v>
                </c:pt>
                <c:pt idx="26">
                  <c:v>1540</c:v>
                </c:pt>
                <c:pt idx="27">
                  <c:v>615</c:v>
                </c:pt>
                <c:pt idx="28">
                  <c:v>483</c:v>
                </c:pt>
                <c:pt idx="29">
                  <c:v>193</c:v>
                </c:pt>
              </c:numCache>
            </c:numRef>
          </c:val>
        </c:ser>
        <c:ser>
          <c:idx val="3"/>
          <c:order val="3"/>
          <c:tx>
            <c:strRef>
              <c:f>'LSD.RID.0.AL'!$F$40</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1"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'LSD.RID.0.AL'!$F$42:$F$71</c:f>
              <c:numCache>
                <c:formatCode>#,##0</c:formatCode>
                <c:ptCount val="30"/>
                <c:pt idx="0">
                  <c:v>14190</c:v>
                </c:pt>
                <c:pt idx="1">
                  <c:v>7095</c:v>
                </c:pt>
                <c:pt idx="2">
                  <c:v>105047</c:v>
                </c:pt>
                <c:pt idx="3">
                  <c:v>42170</c:v>
                </c:pt>
                <c:pt idx="4">
                  <c:v>205566</c:v>
                </c:pt>
                <c:pt idx="5">
                  <c:v>82204</c:v>
                </c:pt>
                <c:pt idx="6">
                  <c:v>42170</c:v>
                </c:pt>
                <c:pt idx="7">
                  <c:v>21085</c:v>
                </c:pt>
                <c:pt idx="8">
                  <c:v>271597</c:v>
                </c:pt>
                <c:pt idx="9">
                  <c:v>108790</c:v>
                </c:pt>
                <c:pt idx="10">
                  <c:v>70950</c:v>
                </c:pt>
                <c:pt idx="11">
                  <c:v>28380</c:v>
                </c:pt>
                <c:pt idx="12">
                  <c:v>189200</c:v>
                </c:pt>
                <c:pt idx="13">
                  <c:v>94600</c:v>
                </c:pt>
                <c:pt idx="14">
                  <c:v>21758</c:v>
                </c:pt>
                <c:pt idx="15">
                  <c:v>10879</c:v>
                </c:pt>
                <c:pt idx="16">
                  <c:v>14190</c:v>
                </c:pt>
                <c:pt idx="17">
                  <c:v>7095</c:v>
                </c:pt>
                <c:pt idx="18">
                  <c:v>93075</c:v>
                </c:pt>
                <c:pt idx="19">
                  <c:v>46538</c:v>
                </c:pt>
                <c:pt idx="20">
                  <c:v>229514</c:v>
                </c:pt>
                <c:pt idx="21">
                  <c:v>91764</c:v>
                </c:pt>
                <c:pt idx="22">
                  <c:v>126911</c:v>
                </c:pt>
                <c:pt idx="23">
                  <c:v>60164</c:v>
                </c:pt>
                <c:pt idx="24">
                  <c:v>28852</c:v>
                </c:pt>
                <c:pt idx="25">
                  <c:v>11541</c:v>
                </c:pt>
                <c:pt idx="26">
                  <c:v>69341</c:v>
                </c:pt>
                <c:pt idx="27">
                  <c:v>27718</c:v>
                </c:pt>
                <c:pt idx="28">
                  <c:v>21758</c:v>
                </c:pt>
                <c:pt idx="29">
                  <c:v>8703</c:v>
                </c:pt>
              </c:numCache>
            </c:numRef>
          </c:val>
        </c:ser>
        <c:gapWidth val="100"/>
        <c:overlap val="0"/>
        <c:axId val="80723511"/>
        <c:axId val="34914085"/>
      </c:barChart>
      <c:catAx>
        <c:axId val="80723511"/>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35023381737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4914085"/>
        <c:crosses val="autoZero"/>
        <c:auto val="1"/>
        <c:lblAlgn val="ctr"/>
        <c:lblOffset val="100"/>
        <c:noMultiLvlLbl val="0"/>
      </c:catAx>
      <c:valAx>
        <c:axId val="3491408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1232768806617"/>
              <c:y val="0.97004676347526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0723511"/>
        <c:crosses val="autoZero"/>
        <c:crossBetween val="midCat"/>
        <c:majorUnit val="10000"/>
      </c:valAx>
      <c:spPr>
        <a:noFill/>
        <a:ln w="0">
          <a:solidFill>
            <a:srgbClr val="b3b3b3"/>
          </a:solidFill>
        </a:ln>
      </c:spPr>
    </c:plotArea>
    <c:legend>
      <c:legendPos val="r"/>
      <c:layout>
        <c:manualLayout>
          <c:xMode val="edge"/>
          <c:yMode val="edge"/>
          <c:x val="0.85479789798904"/>
          <c:y val="0.0768965771795566"/>
          <c:w val="0.119807866451435"/>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Employment-To-Population Ratio</a:t>
            </a:r>
          </a:p>
        </c:rich>
      </c:tx>
      <c:layout>
        <c:manualLayout>
          <c:xMode val="edge"/>
          <c:yMode val="edge"/>
          <c:x val="0.277077589602206"/>
          <c:y val="0.0107802116662565"/>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'LSD.RID.0.AL'!$C$170</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'LSD.RID.0.AL'!$C$172:$C$201</c:f>
              <c:numCache>
                <c:formatCode>0.00%</c:formatCode>
                <c:ptCount val="30"/>
                <c:pt idx="0">
                  <c:v>0.952</c:v>
                </c:pt>
                <c:pt idx="1">
                  <c:v>0.952</c:v>
                </c:pt>
                <c:pt idx="2">
                  <c:v>0.967</c:v>
                </c:pt>
                <c:pt idx="3">
                  <c:v>0.967</c:v>
                </c:pt>
                <c:pt idx="4">
                  <c:v>0.96</c:v>
                </c:pt>
                <c:pt idx="5">
                  <c:v>0.96</c:v>
                </c:pt>
                <c:pt idx="6">
                  <c:v>0.957</c:v>
                </c:pt>
                <c:pt idx="7">
                  <c:v>0.957</c:v>
                </c:pt>
                <c:pt idx="8">
                  <c:v>0.98</c:v>
                </c:pt>
                <c:pt idx="9">
                  <c:v>0.98</c:v>
                </c:pt>
                <c:pt idx="10">
                  <c:v>0.976</c:v>
                </c:pt>
                <c:pt idx="11">
                  <c:v>0.976</c:v>
                </c:pt>
                <c:pt idx="12">
                  <c:v>0.96</c:v>
                </c:pt>
                <c:pt idx="13">
                  <c:v>0.96</c:v>
                </c:pt>
                <c:pt idx="14">
                  <c:v>0.952</c:v>
                </c:pt>
                <c:pt idx="15">
                  <c:v>0.952</c:v>
                </c:pt>
                <c:pt idx="16">
                  <c:v>0.967</c:v>
                </c:pt>
                <c:pt idx="17">
                  <c:v>0.967</c:v>
                </c:pt>
                <c:pt idx="18">
                  <c:v>0.96</c:v>
                </c:pt>
                <c:pt idx="19">
                  <c:v>0.96</c:v>
                </c:pt>
                <c:pt idx="20">
                  <c:v>0.978</c:v>
                </c:pt>
                <c:pt idx="21">
                  <c:v>0.965</c:v>
                </c:pt>
                <c:pt idx="22">
                  <c:v>0.982</c:v>
                </c:pt>
                <c:pt idx="23">
                  <c:v>0.975</c:v>
                </c:pt>
                <c:pt idx="24">
                  <c:v>0.975</c:v>
                </c:pt>
                <c:pt idx="25">
                  <c:v>0.96</c:v>
                </c:pt>
                <c:pt idx="26">
                  <c:v>0.984</c:v>
                </c:pt>
                <c:pt idx="27">
                  <c:v>0.978</c:v>
                </c:pt>
                <c:pt idx="28">
                  <c:v>0.98</c:v>
                </c:pt>
                <c:pt idx="29">
                  <c:v>0.975</c:v>
                </c:pt>
              </c:numCache>
            </c:numRef>
          </c:val>
        </c:ser>
        <c:ser>
          <c:idx val="1"/>
          <c:order val="1"/>
          <c:tx>
            <c:strRef>
              <c:f>'LSD.RID.0.AL'!$D$170</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'LSD.RID.0.AL'!$D$172:$D$201</c:f>
              <c:numCache>
                <c:formatCode>0.00%</c:formatCode>
                <c:ptCount val="30"/>
                <c:pt idx="0">
                  <c:v>0.93</c:v>
                </c:pt>
                <c:pt idx="1">
                  <c:v>0.93</c:v>
                </c:pt>
                <c:pt idx="2">
                  <c:v>0.94</c:v>
                </c:pt>
                <c:pt idx="3">
                  <c:v>0.94</c:v>
                </c:pt>
                <c:pt idx="4">
                  <c:v>0.93</c:v>
                </c:pt>
                <c:pt idx="5">
                  <c:v>0.93</c:v>
                </c:pt>
                <c:pt idx="6">
                  <c:v>0.92</c:v>
                </c:pt>
                <c:pt idx="7">
                  <c:v>0.92</c:v>
                </c:pt>
                <c:pt idx="8">
                  <c:v>0.96</c:v>
                </c:pt>
                <c:pt idx="9">
                  <c:v>0.96</c:v>
                </c:pt>
                <c:pt idx="10">
                  <c:v>0.95</c:v>
                </c:pt>
                <c:pt idx="11">
                  <c:v>0.95</c:v>
                </c:pt>
                <c:pt idx="12">
                  <c:v>0.93</c:v>
                </c:pt>
                <c:pt idx="13">
                  <c:v>0.93</c:v>
                </c:pt>
                <c:pt idx="14">
                  <c:v>0.93</c:v>
                </c:pt>
                <c:pt idx="15">
                  <c:v>0.93</c:v>
                </c:pt>
                <c:pt idx="16">
                  <c:v>0.94</c:v>
                </c:pt>
                <c:pt idx="17">
                  <c:v>0.94</c:v>
                </c:pt>
                <c:pt idx="18">
                  <c:v>0.93</c:v>
                </c:pt>
                <c:pt idx="19">
                  <c:v>0.93</c:v>
                </c:pt>
                <c:pt idx="20">
                  <c:v>0.97</c:v>
                </c:pt>
                <c:pt idx="21">
                  <c:v>0.95</c:v>
                </c:pt>
                <c:pt idx="22">
                  <c:v>0.975</c:v>
                </c:pt>
                <c:pt idx="23">
                  <c:v>0.965</c:v>
                </c:pt>
                <c:pt idx="24">
                  <c:v>0.96</c:v>
                </c:pt>
                <c:pt idx="25">
                  <c:v>0.94</c:v>
                </c:pt>
                <c:pt idx="26">
                  <c:v>0.98</c:v>
                </c:pt>
                <c:pt idx="27">
                  <c:v>0.97</c:v>
                </c:pt>
                <c:pt idx="28">
                  <c:v>0.975</c:v>
                </c:pt>
                <c:pt idx="29">
                  <c:v>0.965</c:v>
                </c:pt>
              </c:numCache>
            </c:numRef>
          </c:val>
        </c:ser>
        <c:ser>
          <c:idx val="2"/>
          <c:order val="2"/>
          <c:tx>
            <c:strRef>
              <c:f>'LSD.RID.0.AL'!$E$170</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'LSD.RID.0.AL'!$E$172:$E$201</c:f>
              <c:numCache>
                <c:formatCode>0.00%</c:formatCode>
                <c:ptCount val="30"/>
                <c:pt idx="0">
                  <c:v>0.89</c:v>
                </c:pt>
                <c:pt idx="1">
                  <c:v>0.89</c:v>
                </c:pt>
                <c:pt idx="2">
                  <c:v>0.9</c:v>
                </c:pt>
                <c:pt idx="3">
                  <c:v>0.9</c:v>
                </c:pt>
                <c:pt idx="4">
                  <c:v>0.88</c:v>
                </c:pt>
                <c:pt idx="5">
                  <c:v>0.88</c:v>
                </c:pt>
                <c:pt idx="6">
                  <c:v>0.87</c:v>
                </c:pt>
                <c:pt idx="7">
                  <c:v>0.87</c:v>
                </c:pt>
                <c:pt idx="8">
                  <c:v>0.93</c:v>
                </c:pt>
                <c:pt idx="9">
                  <c:v>0.93</c:v>
                </c:pt>
                <c:pt idx="10">
                  <c:v>0.92</c:v>
                </c:pt>
                <c:pt idx="11">
                  <c:v>0.92</c:v>
                </c:pt>
                <c:pt idx="12">
                  <c:v>0.88</c:v>
                </c:pt>
                <c:pt idx="13">
                  <c:v>0.88</c:v>
                </c:pt>
                <c:pt idx="14">
                  <c:v>0.89</c:v>
                </c:pt>
                <c:pt idx="15">
                  <c:v>0.89</c:v>
                </c:pt>
                <c:pt idx="16">
                  <c:v>0.9</c:v>
                </c:pt>
                <c:pt idx="17">
                  <c:v>0.9</c:v>
                </c:pt>
                <c:pt idx="18">
                  <c:v>0.88</c:v>
                </c:pt>
                <c:pt idx="19">
                  <c:v>0.88</c:v>
                </c:pt>
                <c:pt idx="20">
                  <c:v>0.94</c:v>
                </c:pt>
                <c:pt idx="21">
                  <c:v>0.92</c:v>
                </c:pt>
                <c:pt idx="22">
                  <c:v>0.96</c:v>
                </c:pt>
                <c:pt idx="23">
                  <c:v>0.94</c:v>
                </c:pt>
                <c:pt idx="24">
                  <c:v>0.93</c:v>
                </c:pt>
                <c:pt idx="25">
                  <c:v>0.91</c:v>
                </c:pt>
                <c:pt idx="26">
                  <c:v>0.97</c:v>
                </c:pt>
                <c:pt idx="27">
                  <c:v>0.95</c:v>
                </c:pt>
                <c:pt idx="28">
                  <c:v>0.96</c:v>
                </c:pt>
                <c:pt idx="29">
                  <c:v>0.94</c:v>
                </c:pt>
              </c:numCache>
            </c:numRef>
          </c:val>
        </c:ser>
        <c:ser>
          <c:idx val="3"/>
          <c:order val="3"/>
          <c:tx>
            <c:strRef>
              <c:f>'LSD.RID.0.AL'!$F$170</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Pt>
            <c:idx val="24"/>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'LSD.RID.0.AL'!$F$172:$F$201</c:f>
              <c:numCache>
                <c:formatCode>0.00%</c:formatCode>
                <c:ptCount val="30"/>
                <c:pt idx="0">
                  <c:v>0.955</c:v>
                </c:pt>
                <c:pt idx="1">
                  <c:v>0.955</c:v>
                </c:pt>
                <c:pt idx="2">
                  <c:v>0.97</c:v>
                </c:pt>
                <c:pt idx="3">
                  <c:v>0.97</c:v>
                </c:pt>
                <c:pt idx="4">
                  <c:v>0.963</c:v>
                </c:pt>
                <c:pt idx="5">
                  <c:v>0.963</c:v>
                </c:pt>
                <c:pt idx="6">
                  <c:v>0.96</c:v>
                </c:pt>
                <c:pt idx="7">
                  <c:v>0.96</c:v>
                </c:pt>
                <c:pt idx="8">
                  <c:v>0.982</c:v>
                </c:pt>
                <c:pt idx="9">
                  <c:v>0.982</c:v>
                </c:pt>
                <c:pt idx="10">
                  <c:v>0.978</c:v>
                </c:pt>
                <c:pt idx="11">
                  <c:v>0.978</c:v>
                </c:pt>
                <c:pt idx="12">
                  <c:v>0.963</c:v>
                </c:pt>
                <c:pt idx="13">
                  <c:v>0.963</c:v>
                </c:pt>
                <c:pt idx="14">
                  <c:v>0.955</c:v>
                </c:pt>
                <c:pt idx="15">
                  <c:v>0.955</c:v>
                </c:pt>
                <c:pt idx="16">
                  <c:v>0.97</c:v>
                </c:pt>
                <c:pt idx="17">
                  <c:v>0.97</c:v>
                </c:pt>
                <c:pt idx="18">
                  <c:v>0.963</c:v>
                </c:pt>
                <c:pt idx="19">
                  <c:v>0.963</c:v>
                </c:pt>
                <c:pt idx="20">
                  <c:v>0.98</c:v>
                </c:pt>
                <c:pt idx="21">
                  <c:v>0.968</c:v>
                </c:pt>
                <c:pt idx="22">
                  <c:v>0.984</c:v>
                </c:pt>
                <c:pt idx="23">
                  <c:v>0.978</c:v>
                </c:pt>
                <c:pt idx="24">
                  <c:v>0.978</c:v>
                </c:pt>
                <c:pt idx="25">
                  <c:v>0.963</c:v>
                </c:pt>
                <c:pt idx="26">
                  <c:v>0.986</c:v>
                </c:pt>
                <c:pt idx="27">
                  <c:v>0.98</c:v>
                </c:pt>
                <c:pt idx="28">
                  <c:v>0.982</c:v>
                </c:pt>
                <c:pt idx="29">
                  <c:v>0.978</c:v>
                </c:pt>
              </c:numCache>
            </c:numRef>
          </c:val>
        </c:ser>
        <c:gapWidth val="100"/>
        <c:overlap val="0"/>
        <c:axId val="44502152"/>
        <c:axId val="65308472"/>
      </c:barChart>
      <c:catAx>
        <c:axId val="4450215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30100910657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5308472"/>
        <c:crossesAt val="0"/>
        <c:auto val="1"/>
        <c:lblAlgn val="ctr"/>
        <c:lblOffset val="100"/>
        <c:noMultiLvlLbl val="0"/>
      </c:catAx>
      <c:valAx>
        <c:axId val="6530847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666010240252"/>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502152"/>
        <c:crosses val="max"/>
        <c:crossBetween val="midCat"/>
        <c:majorUnit val="0.01"/>
      </c:valAx>
      <c:spPr>
        <a:noFill/>
        <a:ln w="0">
          <a:solidFill>
            <a:srgbClr val="b3b3b3"/>
          </a:solidFill>
        </a:ln>
      </c:spPr>
    </c:plotArea>
    <c:legend>
      <c:legendPos val="r"/>
      <c:layout>
        <c:manualLayout>
          <c:xMode val="edge"/>
          <c:yMode val="edge"/>
          <c:x val="0.802630024804126"/>
          <c:y val="0.0768965771795566"/>
          <c:w val="0.171975274617111"/>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Participation Rate</a:t>
            </a:r>
          </a:p>
        </c:rich>
      </c:tx>
      <c:layout>
        <c:manualLayout>
          <c:xMode val="edge"/>
          <c:yMode val="edge"/>
          <c:x val="0.270500196927924"/>
          <c:y val="0.01070637460004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'LSD.RID.0.AL'!$C$300</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'LSD.RID.0.AL'!$C$302:$C$331</c:f>
              <c:numCache>
                <c:formatCode>0.00%</c:formatCode>
                <c:ptCount val="30"/>
                <c:pt idx="0">
                  <c:v>0.62</c:v>
                </c:pt>
                <c:pt idx="1">
                  <c:v>0.589</c:v>
                </c:pt>
                <c:pt idx="2">
                  <c:v>0.61</c:v>
                </c:pt>
                <c:pt idx="3">
                  <c:v>0.579</c:v>
                </c:pt>
                <c:pt idx="4">
                  <c:v>0.58</c:v>
                </c:pt>
                <c:pt idx="5">
                  <c:v>0.551</c:v>
                </c:pt>
                <c:pt idx="6">
                  <c:v>0.595</c:v>
                </c:pt>
                <c:pt idx="7">
                  <c:v>0.565</c:v>
                </c:pt>
                <c:pt idx="8">
                  <c:v>0.605</c:v>
                </c:pt>
                <c:pt idx="9">
                  <c:v>0.575</c:v>
                </c:pt>
                <c:pt idx="10">
                  <c:v>0.6</c:v>
                </c:pt>
                <c:pt idx="11">
                  <c:v>0.57</c:v>
                </c:pt>
                <c:pt idx="12">
                  <c:v>0.58</c:v>
                </c:pt>
                <c:pt idx="13">
                  <c:v>0.551</c:v>
                </c:pt>
                <c:pt idx="14">
                  <c:v>0.62</c:v>
                </c:pt>
                <c:pt idx="15">
                  <c:v>0.589</c:v>
                </c:pt>
                <c:pt idx="16">
                  <c:v>0.61</c:v>
                </c:pt>
                <c:pt idx="17">
                  <c:v>0.579</c:v>
                </c:pt>
                <c:pt idx="18">
                  <c:v>0.58</c:v>
                </c:pt>
                <c:pt idx="19">
                  <c:v>0.551</c:v>
                </c:pt>
                <c:pt idx="20">
                  <c:v>0.59</c:v>
                </c:pt>
                <c:pt idx="21">
                  <c:v>0.56</c:v>
                </c:pt>
                <c:pt idx="22">
                  <c:v>0.62</c:v>
                </c:pt>
                <c:pt idx="23">
                  <c:v>0.59</c:v>
                </c:pt>
                <c:pt idx="24">
                  <c:v>0.58</c:v>
                </c:pt>
                <c:pt idx="25">
                  <c:v>0.55</c:v>
                </c:pt>
                <c:pt idx="26">
                  <c:v>0.63</c:v>
                </c:pt>
                <c:pt idx="27">
                  <c:v>0.6</c:v>
                </c:pt>
                <c:pt idx="28">
                  <c:v>0.61</c:v>
                </c:pt>
                <c:pt idx="29">
                  <c:v>0.58</c:v>
                </c:pt>
              </c:numCache>
            </c:numRef>
          </c:val>
        </c:ser>
        <c:ser>
          <c:idx val="1"/>
          <c:order val="1"/>
          <c:tx>
            <c:strRef>
              <c:f>'LSD.RID.0.AL'!$D$300</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'LSD.RID.0.AL'!$D$302:$D$331</c:f>
              <c:numCache>
                <c:formatCode>0.00%</c:formatCode>
                <c:ptCount val="30"/>
                <c:pt idx="0">
                  <c:v>0.68</c:v>
                </c:pt>
                <c:pt idx="1">
                  <c:v>0.646</c:v>
                </c:pt>
                <c:pt idx="2">
                  <c:v>0.67</c:v>
                </c:pt>
                <c:pt idx="3">
                  <c:v>0.637</c:v>
                </c:pt>
                <c:pt idx="4">
                  <c:v>0.64</c:v>
                </c:pt>
                <c:pt idx="5">
                  <c:v>0.608</c:v>
                </c:pt>
                <c:pt idx="6">
                  <c:v>0.655</c:v>
                </c:pt>
                <c:pt idx="7">
                  <c:v>0.622</c:v>
                </c:pt>
                <c:pt idx="8">
                  <c:v>0.665</c:v>
                </c:pt>
                <c:pt idx="9">
                  <c:v>0.632</c:v>
                </c:pt>
                <c:pt idx="10">
                  <c:v>0.66</c:v>
                </c:pt>
                <c:pt idx="11">
                  <c:v>0.627</c:v>
                </c:pt>
                <c:pt idx="12">
                  <c:v>0.64</c:v>
                </c:pt>
                <c:pt idx="13">
                  <c:v>0.608</c:v>
                </c:pt>
                <c:pt idx="14">
                  <c:v>0.68</c:v>
                </c:pt>
                <c:pt idx="15">
                  <c:v>0.646</c:v>
                </c:pt>
                <c:pt idx="16">
                  <c:v>0.67</c:v>
                </c:pt>
                <c:pt idx="17">
                  <c:v>0.637</c:v>
                </c:pt>
                <c:pt idx="18">
                  <c:v>0.64</c:v>
                </c:pt>
                <c:pt idx="19">
                  <c:v>0.608</c:v>
                </c:pt>
                <c:pt idx="20">
                  <c:v>0.66</c:v>
                </c:pt>
                <c:pt idx="21">
                  <c:v>0.63</c:v>
                </c:pt>
                <c:pt idx="22">
                  <c:v>0.69</c:v>
                </c:pt>
                <c:pt idx="23">
                  <c:v>0.66</c:v>
                </c:pt>
                <c:pt idx="24">
                  <c:v>0.65</c:v>
                </c:pt>
                <c:pt idx="25">
                  <c:v>0.62</c:v>
                </c:pt>
                <c:pt idx="26">
                  <c:v>0.7</c:v>
                </c:pt>
                <c:pt idx="27">
                  <c:v>0.67</c:v>
                </c:pt>
                <c:pt idx="28">
                  <c:v>0.68</c:v>
                </c:pt>
                <c:pt idx="29">
                  <c:v>0.65</c:v>
                </c:pt>
              </c:numCache>
            </c:numRef>
          </c:val>
        </c:ser>
        <c:ser>
          <c:idx val="2"/>
          <c:order val="2"/>
          <c:tx>
            <c:strRef>
              <c:f>'LSD.RID.0.AL'!$E$300</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7"/>
            <c:invertIfNegative val="0"/>
            <c:spPr>
              <a:solidFill>
                <a:srgbClr val="ffd320"/>
              </a:solidFill>
              <a:ln w="0">
                <a:noFill/>
              </a:ln>
            </c:spPr>
          </c:dPt>
          <c:dPt>
            <c:idx val="28"/>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'LSD.RID.0.AL'!$E$302:$E$331</c:f>
              <c:numCache>
                <c:formatCode>0.00%</c:formatCode>
                <c:ptCount val="30"/>
                <c:pt idx="0">
                  <c:v>0.78</c:v>
                </c:pt>
                <c:pt idx="1">
                  <c:v>0.741</c:v>
                </c:pt>
                <c:pt idx="2">
                  <c:v>0.76</c:v>
                </c:pt>
                <c:pt idx="3">
                  <c:v>0.722</c:v>
                </c:pt>
                <c:pt idx="4">
                  <c:v>0.71</c:v>
                </c:pt>
                <c:pt idx="5">
                  <c:v>0.674</c:v>
                </c:pt>
                <c:pt idx="6">
                  <c:v>0.74</c:v>
                </c:pt>
                <c:pt idx="7">
                  <c:v>0.703</c:v>
                </c:pt>
                <c:pt idx="8">
                  <c:v>0.74</c:v>
                </c:pt>
                <c:pt idx="9">
                  <c:v>0.703</c:v>
                </c:pt>
                <c:pt idx="10">
                  <c:v>0.75</c:v>
                </c:pt>
                <c:pt idx="11">
                  <c:v>0.712</c:v>
                </c:pt>
                <c:pt idx="12">
                  <c:v>0.71</c:v>
                </c:pt>
                <c:pt idx="13">
                  <c:v>0.674</c:v>
                </c:pt>
                <c:pt idx="14">
                  <c:v>0.78</c:v>
                </c:pt>
                <c:pt idx="15">
                  <c:v>0.741</c:v>
                </c:pt>
                <c:pt idx="16">
                  <c:v>0.76</c:v>
                </c:pt>
                <c:pt idx="17">
                  <c:v>0.722</c:v>
                </c:pt>
                <c:pt idx="18">
                  <c:v>0.71</c:v>
                </c:pt>
                <c:pt idx="19">
                  <c:v>0.674</c:v>
                </c:pt>
                <c:pt idx="20">
                  <c:v>0.73</c:v>
                </c:pt>
                <c:pt idx="21">
                  <c:v>0.7</c:v>
                </c:pt>
                <c:pt idx="22">
                  <c:v>0.76</c:v>
                </c:pt>
                <c:pt idx="23">
                  <c:v>0.73</c:v>
                </c:pt>
                <c:pt idx="24">
                  <c:v>0.72</c:v>
                </c:pt>
                <c:pt idx="25">
                  <c:v>0.69</c:v>
                </c:pt>
                <c:pt idx="26">
                  <c:v>0.77</c:v>
                </c:pt>
                <c:pt idx="27">
                  <c:v>0.74</c:v>
                </c:pt>
                <c:pt idx="28">
                  <c:v>0.75</c:v>
                </c:pt>
                <c:pt idx="29">
                  <c:v>0.72</c:v>
                </c:pt>
              </c:numCache>
            </c:numRef>
          </c:val>
        </c:ser>
        <c:ser>
          <c:idx val="3"/>
          <c:order val="3"/>
          <c:tx>
            <c:strRef>
              <c:f>'LSD.RID.0.AL'!$F$300</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'LSD.RID.0.AL'!$F$302:$F$331</c:f>
              <c:numCache>
                <c:formatCode>0.00%</c:formatCode>
                <c:ptCount val="30"/>
                <c:pt idx="0">
                  <c:v>0.6</c:v>
                </c:pt>
                <c:pt idx="1">
                  <c:v>0.57</c:v>
                </c:pt>
                <c:pt idx="2">
                  <c:v>0.59</c:v>
                </c:pt>
                <c:pt idx="3">
                  <c:v>0.56</c:v>
                </c:pt>
                <c:pt idx="4">
                  <c:v>0.57</c:v>
                </c:pt>
                <c:pt idx="5">
                  <c:v>0.542</c:v>
                </c:pt>
                <c:pt idx="6">
                  <c:v>0.58</c:v>
                </c:pt>
                <c:pt idx="7">
                  <c:v>0.551</c:v>
                </c:pt>
                <c:pt idx="8">
                  <c:v>0.59</c:v>
                </c:pt>
                <c:pt idx="9">
                  <c:v>0.56</c:v>
                </c:pt>
                <c:pt idx="10">
                  <c:v>0.58</c:v>
                </c:pt>
                <c:pt idx="11">
                  <c:v>0.55</c:v>
                </c:pt>
                <c:pt idx="12">
                  <c:v>0.57</c:v>
                </c:pt>
                <c:pt idx="13">
                  <c:v>0.542</c:v>
                </c:pt>
                <c:pt idx="14">
                  <c:v>0.6</c:v>
                </c:pt>
                <c:pt idx="15">
                  <c:v>0.57</c:v>
                </c:pt>
                <c:pt idx="16">
                  <c:v>0.59</c:v>
                </c:pt>
                <c:pt idx="17">
                  <c:v>0.56</c:v>
                </c:pt>
                <c:pt idx="18">
                  <c:v>0.57</c:v>
                </c:pt>
                <c:pt idx="19">
                  <c:v>0.542</c:v>
                </c:pt>
                <c:pt idx="20">
                  <c:v>0.585</c:v>
                </c:pt>
                <c:pt idx="21">
                  <c:v>0.555</c:v>
                </c:pt>
                <c:pt idx="22">
                  <c:v>0.615</c:v>
                </c:pt>
                <c:pt idx="23">
                  <c:v>0.585</c:v>
                </c:pt>
                <c:pt idx="24">
                  <c:v>0.575</c:v>
                </c:pt>
                <c:pt idx="25">
                  <c:v>0.545</c:v>
                </c:pt>
                <c:pt idx="26">
                  <c:v>0.625</c:v>
                </c:pt>
                <c:pt idx="27">
                  <c:v>0.595</c:v>
                </c:pt>
                <c:pt idx="28">
                  <c:v>0.605</c:v>
                </c:pt>
                <c:pt idx="29">
                  <c:v>0.575</c:v>
                </c:pt>
              </c:numCache>
            </c:numRef>
          </c:val>
        </c:ser>
        <c:gapWidth val="100"/>
        <c:overlap val="0"/>
        <c:axId val="70307602"/>
        <c:axId val="4036575"/>
      </c:barChart>
      <c:catAx>
        <c:axId val="7030760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25178439576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036575"/>
        <c:crossesAt val="0"/>
        <c:auto val="1"/>
        <c:lblAlgn val="ctr"/>
        <c:lblOffset val="100"/>
        <c:noMultiLvlLbl val="0"/>
      </c:catAx>
      <c:valAx>
        <c:axId val="403657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1744781410004"/>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0307602"/>
        <c:crosses val="max"/>
        <c:crossBetween val="midCat"/>
        <c:majorUnit val="0.01"/>
      </c:valAx>
      <c:spPr>
        <a:noFill/>
        <a:ln w="0">
          <a:solidFill>
            <a:srgbClr val="b3b3b3"/>
          </a:solidFill>
        </a:ln>
      </c:spPr>
    </c:plotArea>
    <c:legend>
      <c:legendPos val="r"/>
      <c:layout>
        <c:manualLayout>
          <c:xMode val="edge"/>
          <c:yMode val="edge"/>
          <c:x val="0.80259842519685"/>
          <c:y val="0.0768946850393701"/>
          <c:w val="0.171975274617111"/>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Unemployment Rate</a:t>
            </a:r>
          </a:p>
        </c:rich>
      </c:tx>
      <c:layout>
        <c:manualLayout>
          <c:xMode val="edge"/>
          <c:yMode val="edge"/>
          <c:x val="0.296849153209925"/>
          <c:y val="0.01070637460004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'LSD.RID.0.AL'!$C$430</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'LSD.RID.0.AL'!$C$432:$C$461</c:f>
              <c:numCache>
                <c:formatCode>0.00%</c:formatCode>
                <c:ptCount val="30"/>
                <c:pt idx="0">
                  <c:v>0.048</c:v>
                </c:pt>
                <c:pt idx="1">
                  <c:v>0.048</c:v>
                </c:pt>
                <c:pt idx="2">
                  <c:v>0.033</c:v>
                </c:pt>
                <c:pt idx="3">
                  <c:v>0.033</c:v>
                </c:pt>
                <c:pt idx="4">
                  <c:v>0.04</c:v>
                </c:pt>
                <c:pt idx="5">
                  <c:v>0.04</c:v>
                </c:pt>
                <c:pt idx="6">
                  <c:v>0.043</c:v>
                </c:pt>
                <c:pt idx="7">
                  <c:v>0.043</c:v>
                </c:pt>
                <c:pt idx="8">
                  <c:v>0.02</c:v>
                </c:pt>
                <c:pt idx="9">
                  <c:v>0.02</c:v>
                </c:pt>
                <c:pt idx="10">
                  <c:v>0.024</c:v>
                </c:pt>
                <c:pt idx="11">
                  <c:v>0.024</c:v>
                </c:pt>
                <c:pt idx="12">
                  <c:v>0.04</c:v>
                </c:pt>
                <c:pt idx="13">
                  <c:v>0.04</c:v>
                </c:pt>
                <c:pt idx="14">
                  <c:v>0.048</c:v>
                </c:pt>
                <c:pt idx="15">
                  <c:v>0.048</c:v>
                </c:pt>
                <c:pt idx="16">
                  <c:v>0.033</c:v>
                </c:pt>
                <c:pt idx="17">
                  <c:v>0.033</c:v>
                </c:pt>
                <c:pt idx="18">
                  <c:v>0.04</c:v>
                </c:pt>
                <c:pt idx="19">
                  <c:v>0.04</c:v>
                </c:pt>
                <c:pt idx="20">
                  <c:v>0.022</c:v>
                </c:pt>
                <c:pt idx="21">
                  <c:v>0.035</c:v>
                </c:pt>
                <c:pt idx="22">
                  <c:v>0.018</c:v>
                </c:pt>
                <c:pt idx="23">
                  <c:v>0.025</c:v>
                </c:pt>
                <c:pt idx="24">
                  <c:v>0.025</c:v>
                </c:pt>
                <c:pt idx="25">
                  <c:v>0.04</c:v>
                </c:pt>
                <c:pt idx="26">
                  <c:v>0.016</c:v>
                </c:pt>
                <c:pt idx="27">
                  <c:v>0.022</c:v>
                </c:pt>
                <c:pt idx="28">
                  <c:v>0.02</c:v>
                </c:pt>
                <c:pt idx="29">
                  <c:v>0.025</c:v>
                </c:pt>
              </c:numCache>
            </c:numRef>
          </c:val>
        </c:ser>
        <c:ser>
          <c:idx val="1"/>
          <c:order val="1"/>
          <c:tx>
            <c:strRef>
              <c:f>'LSD.RID.0.AL'!$D$430</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'LSD.RID.0.AL'!$D$432:$D$461</c:f>
              <c:numCache>
                <c:formatCode>0.00%</c:formatCode>
                <c:ptCount val="30"/>
                <c:pt idx="0">
                  <c:v>0.07</c:v>
                </c:pt>
                <c:pt idx="1">
                  <c:v>0.07</c:v>
                </c:pt>
                <c:pt idx="2">
                  <c:v>0.06</c:v>
                </c:pt>
                <c:pt idx="3">
                  <c:v>0.06</c:v>
                </c:pt>
                <c:pt idx="4">
                  <c:v>0.07</c:v>
                </c:pt>
                <c:pt idx="5">
                  <c:v>0.07</c:v>
                </c:pt>
                <c:pt idx="6">
                  <c:v>0.08</c:v>
                </c:pt>
                <c:pt idx="7">
                  <c:v>0.08</c:v>
                </c:pt>
                <c:pt idx="8">
                  <c:v>0.04</c:v>
                </c:pt>
                <c:pt idx="9">
                  <c:v>0.04</c:v>
                </c:pt>
                <c:pt idx="10">
                  <c:v>0.05</c:v>
                </c:pt>
                <c:pt idx="11">
                  <c:v>0.05</c:v>
                </c:pt>
                <c:pt idx="12">
                  <c:v>0.07</c:v>
                </c:pt>
                <c:pt idx="13">
                  <c:v>0.07</c:v>
                </c:pt>
                <c:pt idx="14">
                  <c:v>0.07</c:v>
                </c:pt>
                <c:pt idx="15">
                  <c:v>0.07</c:v>
                </c:pt>
                <c:pt idx="16">
                  <c:v>0.06</c:v>
                </c:pt>
                <c:pt idx="17">
                  <c:v>0.06</c:v>
                </c:pt>
                <c:pt idx="18">
                  <c:v>0.07</c:v>
                </c:pt>
                <c:pt idx="19">
                  <c:v>0.07</c:v>
                </c:pt>
                <c:pt idx="20">
                  <c:v>0.03</c:v>
                </c:pt>
                <c:pt idx="21">
                  <c:v>0.05</c:v>
                </c:pt>
                <c:pt idx="22">
                  <c:v>0.025</c:v>
                </c:pt>
                <c:pt idx="23">
                  <c:v>0.035</c:v>
                </c:pt>
                <c:pt idx="24">
                  <c:v>0.04</c:v>
                </c:pt>
                <c:pt idx="25">
                  <c:v>0.06</c:v>
                </c:pt>
                <c:pt idx="26">
                  <c:v>0.02</c:v>
                </c:pt>
                <c:pt idx="27">
                  <c:v>0.03</c:v>
                </c:pt>
                <c:pt idx="28">
                  <c:v>0.025</c:v>
                </c:pt>
                <c:pt idx="29">
                  <c:v>0.035</c:v>
                </c:pt>
              </c:numCache>
            </c:numRef>
          </c:val>
        </c:ser>
        <c:ser>
          <c:idx val="2"/>
          <c:order val="2"/>
          <c:tx>
            <c:strRef>
              <c:f>'LSD.RID.0.AL'!$E$430</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'LSD.RID.0.AL'!$E$432:$E$461</c:f>
              <c:numCache>
                <c:formatCode>0.00%</c:formatCode>
                <c:ptCount val="30"/>
                <c:pt idx="0">
                  <c:v>0.11</c:v>
                </c:pt>
                <c:pt idx="1">
                  <c:v>0.11</c:v>
                </c:pt>
                <c:pt idx="2">
                  <c:v>0.1</c:v>
                </c:pt>
                <c:pt idx="3">
                  <c:v>0.1</c:v>
                </c:pt>
                <c:pt idx="4">
                  <c:v>0.12</c:v>
                </c:pt>
                <c:pt idx="5">
                  <c:v>0.12</c:v>
                </c:pt>
                <c:pt idx="6">
                  <c:v>0.13</c:v>
                </c:pt>
                <c:pt idx="7">
                  <c:v>0.13</c:v>
                </c:pt>
                <c:pt idx="8">
                  <c:v>0.07</c:v>
                </c:pt>
                <c:pt idx="9">
                  <c:v>0.07</c:v>
                </c:pt>
                <c:pt idx="10">
                  <c:v>0.08</c:v>
                </c:pt>
                <c:pt idx="11">
                  <c:v>0.08</c:v>
                </c:pt>
                <c:pt idx="12">
                  <c:v>0.12</c:v>
                </c:pt>
                <c:pt idx="13">
                  <c:v>0.12</c:v>
                </c:pt>
                <c:pt idx="14">
                  <c:v>0.11</c:v>
                </c:pt>
                <c:pt idx="15">
                  <c:v>0.11</c:v>
                </c:pt>
                <c:pt idx="16">
                  <c:v>0.1</c:v>
                </c:pt>
                <c:pt idx="17">
                  <c:v>0.1</c:v>
                </c:pt>
                <c:pt idx="18">
                  <c:v>0.12</c:v>
                </c:pt>
                <c:pt idx="19">
                  <c:v>0.12</c:v>
                </c:pt>
                <c:pt idx="20">
                  <c:v>0.06</c:v>
                </c:pt>
                <c:pt idx="21">
                  <c:v>0.08</c:v>
                </c:pt>
                <c:pt idx="22">
                  <c:v>0.04</c:v>
                </c:pt>
                <c:pt idx="23">
                  <c:v>0.06</c:v>
                </c:pt>
                <c:pt idx="24">
                  <c:v>0.07</c:v>
                </c:pt>
                <c:pt idx="25">
                  <c:v>0.09</c:v>
                </c:pt>
                <c:pt idx="26">
                  <c:v>0.03</c:v>
                </c:pt>
                <c:pt idx="27">
                  <c:v>0.05</c:v>
                </c:pt>
                <c:pt idx="28">
                  <c:v>0.04</c:v>
                </c:pt>
                <c:pt idx="29">
                  <c:v>0.06</c:v>
                </c:pt>
              </c:numCache>
            </c:numRef>
          </c:val>
        </c:ser>
        <c:ser>
          <c:idx val="3"/>
          <c:order val="3"/>
          <c:tx>
            <c:strRef>
              <c:f>'LSD.RID.0.AL'!$F$430</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'LSD.RID.0.AL'!$F$432:$F$461</c:f>
              <c:numCache>
                <c:formatCode>0.00%</c:formatCode>
                <c:ptCount val="30"/>
                <c:pt idx="0">
                  <c:v>0.045</c:v>
                </c:pt>
                <c:pt idx="1">
                  <c:v>0.045</c:v>
                </c:pt>
                <c:pt idx="2">
                  <c:v>0.03</c:v>
                </c:pt>
                <c:pt idx="3">
                  <c:v>0.03</c:v>
                </c:pt>
                <c:pt idx="4">
                  <c:v>0.037</c:v>
                </c:pt>
                <c:pt idx="5">
                  <c:v>0.037</c:v>
                </c:pt>
                <c:pt idx="6">
                  <c:v>0.04</c:v>
                </c:pt>
                <c:pt idx="7">
                  <c:v>0.04</c:v>
                </c:pt>
                <c:pt idx="8">
                  <c:v>0.018</c:v>
                </c:pt>
                <c:pt idx="9">
                  <c:v>0.018</c:v>
                </c:pt>
                <c:pt idx="10">
                  <c:v>0.022</c:v>
                </c:pt>
                <c:pt idx="11">
                  <c:v>0.022</c:v>
                </c:pt>
                <c:pt idx="12">
                  <c:v>0.037</c:v>
                </c:pt>
                <c:pt idx="13">
                  <c:v>0.037</c:v>
                </c:pt>
                <c:pt idx="14">
                  <c:v>0.045</c:v>
                </c:pt>
                <c:pt idx="15">
                  <c:v>0.045</c:v>
                </c:pt>
                <c:pt idx="16">
                  <c:v>0.03</c:v>
                </c:pt>
                <c:pt idx="17">
                  <c:v>0.03</c:v>
                </c:pt>
                <c:pt idx="18">
                  <c:v>0.037</c:v>
                </c:pt>
                <c:pt idx="19">
                  <c:v>0.037</c:v>
                </c:pt>
                <c:pt idx="20">
                  <c:v>0.02</c:v>
                </c:pt>
                <c:pt idx="21">
                  <c:v>0.032</c:v>
                </c:pt>
                <c:pt idx="22">
                  <c:v>0.016</c:v>
                </c:pt>
                <c:pt idx="23">
                  <c:v>0.022</c:v>
                </c:pt>
                <c:pt idx="24">
                  <c:v>0.022</c:v>
                </c:pt>
                <c:pt idx="25">
                  <c:v>0.037</c:v>
                </c:pt>
                <c:pt idx="26">
                  <c:v>0.014</c:v>
                </c:pt>
                <c:pt idx="27">
                  <c:v>0.02</c:v>
                </c:pt>
                <c:pt idx="28">
                  <c:v>0.018</c:v>
                </c:pt>
                <c:pt idx="29">
                  <c:v>0.022</c:v>
                </c:pt>
              </c:numCache>
            </c:numRef>
          </c:val>
        </c:ser>
        <c:gapWidth val="100"/>
        <c:overlap val="0"/>
        <c:axId val="67490793"/>
        <c:axId val="88796580"/>
      </c:barChart>
      <c:catAx>
        <c:axId val="6749079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20255968496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8796580"/>
        <c:crossesAt val="0"/>
        <c:auto val="1"/>
        <c:lblAlgn val="ctr"/>
        <c:lblOffset val="100"/>
        <c:noMultiLvlLbl val="0"/>
      </c:catAx>
      <c:valAx>
        <c:axId val="8879658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1823552579756"/>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7490793"/>
        <c:crosses val="max"/>
        <c:crossBetween val="midCat"/>
        <c:majorUnit val="0.01"/>
      </c:valAx>
      <c:spPr>
        <a:noFill/>
        <a:ln w="0">
          <a:solidFill>
            <a:srgbClr val="b3b3b3"/>
          </a:solidFill>
        </a:ln>
      </c:spPr>
    </c:plotArea>
    <c:legend>
      <c:legendPos val="r"/>
      <c:layout>
        <c:manualLayout>
          <c:xMode val="edge"/>
          <c:yMode val="edge"/>
          <c:x val="0.80259842519685"/>
          <c:y val="0.0768946850393701"/>
          <c:w val="0.171975274617111"/>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Underemployment Rate</a:t>
            </a:r>
          </a:p>
        </c:rich>
      </c:tx>
      <c:layout>
        <c:manualLayout>
          <c:xMode val="edge"/>
          <c:yMode val="edge"/>
          <c:x val="0.281094919259551"/>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'LSD.RID.0.AL'!$C$560</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'LSD.RID.0.AL'!$C$562:$C$591</c:f>
              <c:numCache>
                <c:formatCode>0.00%</c:formatCode>
                <c:ptCount val="30"/>
                <c:pt idx="0">
                  <c:v>0.095</c:v>
                </c:pt>
                <c:pt idx="1">
                  <c:v>0.095</c:v>
                </c:pt>
                <c:pt idx="2">
                  <c:v>0.07</c:v>
                </c:pt>
                <c:pt idx="3">
                  <c:v>0.07</c:v>
                </c:pt>
                <c:pt idx="4">
                  <c:v>0.085</c:v>
                </c:pt>
                <c:pt idx="5">
                  <c:v>0.085</c:v>
                </c:pt>
                <c:pt idx="6">
                  <c:v>0.09</c:v>
                </c:pt>
                <c:pt idx="7">
                  <c:v>0.09</c:v>
                </c:pt>
                <c:pt idx="8">
                  <c:v>0.045</c:v>
                </c:pt>
                <c:pt idx="9">
                  <c:v>0.045</c:v>
                </c:pt>
                <c:pt idx="10">
                  <c:v>0.05</c:v>
                </c:pt>
                <c:pt idx="11">
                  <c:v>0.05</c:v>
                </c:pt>
                <c:pt idx="12">
                  <c:v>0.085</c:v>
                </c:pt>
                <c:pt idx="13">
                  <c:v>0.085</c:v>
                </c:pt>
                <c:pt idx="14">
                  <c:v>0.095</c:v>
                </c:pt>
                <c:pt idx="15">
                  <c:v>0.095</c:v>
                </c:pt>
                <c:pt idx="16">
                  <c:v>0.07</c:v>
                </c:pt>
                <c:pt idx="17">
                  <c:v>0.07</c:v>
                </c:pt>
                <c:pt idx="18">
                  <c:v>0.085</c:v>
                </c:pt>
                <c:pt idx="19">
                  <c:v>0.085</c:v>
                </c:pt>
                <c:pt idx="20">
                  <c:v>0.062</c:v>
                </c:pt>
                <c:pt idx="21">
                  <c:v>0.085</c:v>
                </c:pt>
                <c:pt idx="22">
                  <c:v>0.04</c:v>
                </c:pt>
                <c:pt idx="23">
                  <c:v>0.055</c:v>
                </c:pt>
                <c:pt idx="24">
                  <c:v>0.07</c:v>
                </c:pt>
                <c:pt idx="25">
                  <c:v>0.09</c:v>
                </c:pt>
                <c:pt idx="26">
                  <c:v>0.035</c:v>
                </c:pt>
                <c:pt idx="27">
                  <c:v>0.05</c:v>
                </c:pt>
                <c:pt idx="28">
                  <c:v>0.045</c:v>
                </c:pt>
                <c:pt idx="29">
                  <c:v>0.06</c:v>
                </c:pt>
              </c:numCache>
            </c:numRef>
          </c:val>
        </c:ser>
        <c:ser>
          <c:idx val="1"/>
          <c:order val="1"/>
          <c:tx>
            <c:strRef>
              <c:f>'LSD.RID.0.AL'!$D$560</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'LSD.RID.0.AL'!$D$562:$D$591</c:f>
              <c:numCache>
                <c:formatCode>0.00%</c:formatCode>
                <c:ptCount val="30"/>
                <c:pt idx="0">
                  <c:v>0.11</c:v>
                </c:pt>
                <c:pt idx="1">
                  <c:v>0.11</c:v>
                </c:pt>
                <c:pt idx="2">
                  <c:v>0.08</c:v>
                </c:pt>
                <c:pt idx="3">
                  <c:v>0.08</c:v>
                </c:pt>
                <c:pt idx="4">
                  <c:v>0.1</c:v>
                </c:pt>
                <c:pt idx="5">
                  <c:v>0.1</c:v>
                </c:pt>
                <c:pt idx="6">
                  <c:v>0.105</c:v>
                </c:pt>
                <c:pt idx="7">
                  <c:v>0.105</c:v>
                </c:pt>
                <c:pt idx="8">
                  <c:v>0.052</c:v>
                </c:pt>
                <c:pt idx="9">
                  <c:v>0.052</c:v>
                </c:pt>
                <c:pt idx="10">
                  <c:v>0.058</c:v>
                </c:pt>
                <c:pt idx="11">
                  <c:v>0.058</c:v>
                </c:pt>
                <c:pt idx="12">
                  <c:v>0.1</c:v>
                </c:pt>
                <c:pt idx="13">
                  <c:v>0.1</c:v>
                </c:pt>
                <c:pt idx="14">
                  <c:v>0.11</c:v>
                </c:pt>
                <c:pt idx="15">
                  <c:v>0.11</c:v>
                </c:pt>
                <c:pt idx="16">
                  <c:v>0.08</c:v>
                </c:pt>
                <c:pt idx="17">
                  <c:v>0.08</c:v>
                </c:pt>
                <c:pt idx="18">
                  <c:v>0.1</c:v>
                </c:pt>
                <c:pt idx="19">
                  <c:v>0.1</c:v>
                </c:pt>
                <c:pt idx="20">
                  <c:v>0.07</c:v>
                </c:pt>
                <c:pt idx="21">
                  <c:v>0.095</c:v>
                </c:pt>
                <c:pt idx="22">
                  <c:v>0.045</c:v>
                </c:pt>
                <c:pt idx="23">
                  <c:v>0.062</c:v>
                </c:pt>
                <c:pt idx="24">
                  <c:v>0.08</c:v>
                </c:pt>
                <c:pt idx="25">
                  <c:v>0.105</c:v>
                </c:pt>
                <c:pt idx="26">
                  <c:v>0.04</c:v>
                </c:pt>
                <c:pt idx="27">
                  <c:v>0.055</c:v>
                </c:pt>
                <c:pt idx="28">
                  <c:v>0.05</c:v>
                </c:pt>
                <c:pt idx="29">
                  <c:v>0.067</c:v>
                </c:pt>
              </c:numCache>
            </c:numRef>
          </c:val>
        </c:ser>
        <c:ser>
          <c:idx val="2"/>
          <c:order val="2"/>
          <c:tx>
            <c:strRef>
              <c:f>'LSD.RID.0.AL'!$E$560</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'LSD.RID.0.AL'!$E$562:$E$591</c:f>
              <c:numCache>
                <c:formatCode>0.00%</c:formatCode>
                <c:ptCount val="30"/>
                <c:pt idx="0">
                  <c:v>0.17</c:v>
                </c:pt>
                <c:pt idx="1">
                  <c:v>0.17</c:v>
                </c:pt>
                <c:pt idx="2">
                  <c:v>0.14</c:v>
                </c:pt>
                <c:pt idx="3">
                  <c:v>0.14</c:v>
                </c:pt>
                <c:pt idx="4">
                  <c:v>0.18</c:v>
                </c:pt>
                <c:pt idx="5">
                  <c:v>0.18</c:v>
                </c:pt>
                <c:pt idx="6">
                  <c:v>0.19</c:v>
                </c:pt>
                <c:pt idx="7">
                  <c:v>0.19</c:v>
                </c:pt>
                <c:pt idx="8">
                  <c:v>0.094</c:v>
                </c:pt>
                <c:pt idx="9">
                  <c:v>0.094</c:v>
                </c:pt>
                <c:pt idx="10">
                  <c:v>0.105</c:v>
                </c:pt>
                <c:pt idx="11">
                  <c:v>0.105</c:v>
                </c:pt>
                <c:pt idx="12">
                  <c:v>0.18</c:v>
                </c:pt>
                <c:pt idx="13">
                  <c:v>0.18</c:v>
                </c:pt>
                <c:pt idx="14">
                  <c:v>0.17</c:v>
                </c:pt>
                <c:pt idx="15">
                  <c:v>0.17</c:v>
                </c:pt>
                <c:pt idx="16">
                  <c:v>0.14</c:v>
                </c:pt>
                <c:pt idx="17">
                  <c:v>0.14</c:v>
                </c:pt>
                <c:pt idx="18">
                  <c:v>0.18</c:v>
                </c:pt>
                <c:pt idx="19">
                  <c:v>0.18</c:v>
                </c:pt>
                <c:pt idx="20">
                  <c:v>0.105</c:v>
                </c:pt>
                <c:pt idx="21">
                  <c:v>0.14</c:v>
                </c:pt>
                <c:pt idx="22">
                  <c:v>0.07</c:v>
                </c:pt>
                <c:pt idx="23">
                  <c:v>0.095</c:v>
                </c:pt>
                <c:pt idx="24">
                  <c:v>0.12</c:v>
                </c:pt>
                <c:pt idx="25">
                  <c:v>0.15</c:v>
                </c:pt>
                <c:pt idx="26">
                  <c:v>0.06</c:v>
                </c:pt>
                <c:pt idx="27">
                  <c:v>0.085</c:v>
                </c:pt>
                <c:pt idx="28">
                  <c:v>0.075</c:v>
                </c:pt>
                <c:pt idx="29">
                  <c:v>0.1</c:v>
                </c:pt>
              </c:numCache>
            </c:numRef>
          </c:val>
        </c:ser>
        <c:ser>
          <c:idx val="3"/>
          <c:order val="3"/>
          <c:tx>
            <c:strRef>
              <c:f>'LSD.RID.0.AL'!$F$560</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'LSD.RID.0.AL'!$F$562:$F$591</c:f>
              <c:numCache>
                <c:formatCode>0.00%</c:formatCode>
                <c:ptCount val="30"/>
                <c:pt idx="0">
                  <c:v>0.086</c:v>
                </c:pt>
                <c:pt idx="1">
                  <c:v>0.086</c:v>
                </c:pt>
                <c:pt idx="2">
                  <c:v>0.064</c:v>
                </c:pt>
                <c:pt idx="3">
                  <c:v>0.064</c:v>
                </c:pt>
                <c:pt idx="4">
                  <c:v>0.077</c:v>
                </c:pt>
                <c:pt idx="5">
                  <c:v>0.077</c:v>
                </c:pt>
                <c:pt idx="6">
                  <c:v>0.081</c:v>
                </c:pt>
                <c:pt idx="7">
                  <c:v>0.081</c:v>
                </c:pt>
                <c:pt idx="8">
                  <c:v>0.041</c:v>
                </c:pt>
                <c:pt idx="9">
                  <c:v>0.041</c:v>
                </c:pt>
                <c:pt idx="10">
                  <c:v>0.045</c:v>
                </c:pt>
                <c:pt idx="11">
                  <c:v>0.045</c:v>
                </c:pt>
                <c:pt idx="12">
                  <c:v>0.077</c:v>
                </c:pt>
                <c:pt idx="13">
                  <c:v>0.077</c:v>
                </c:pt>
                <c:pt idx="14">
                  <c:v>0.086</c:v>
                </c:pt>
                <c:pt idx="15">
                  <c:v>0.086</c:v>
                </c:pt>
                <c:pt idx="16">
                  <c:v>0.064</c:v>
                </c:pt>
                <c:pt idx="17">
                  <c:v>0.064</c:v>
                </c:pt>
                <c:pt idx="18">
                  <c:v>0.077</c:v>
                </c:pt>
                <c:pt idx="19">
                  <c:v>0.077</c:v>
                </c:pt>
                <c:pt idx="20">
                  <c:v>0.058</c:v>
                </c:pt>
                <c:pt idx="21">
                  <c:v>0.08</c:v>
                </c:pt>
                <c:pt idx="22">
                  <c:v>0.038</c:v>
                </c:pt>
                <c:pt idx="23">
                  <c:v>0.052</c:v>
                </c:pt>
                <c:pt idx="24">
                  <c:v>0.065</c:v>
                </c:pt>
                <c:pt idx="25">
                  <c:v>0.085</c:v>
                </c:pt>
                <c:pt idx="26">
                  <c:v>0.033</c:v>
                </c:pt>
                <c:pt idx="27">
                  <c:v>0.048</c:v>
                </c:pt>
                <c:pt idx="28">
                  <c:v>0.042</c:v>
                </c:pt>
                <c:pt idx="29">
                  <c:v>0.055</c:v>
                </c:pt>
              </c:numCache>
            </c:numRef>
          </c:val>
        </c:ser>
        <c:gapWidth val="100"/>
        <c:overlap val="0"/>
        <c:axId val="95091442"/>
        <c:axId val="86449503"/>
      </c:barChart>
      <c:catAx>
        <c:axId val="9509144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15333497415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6449503"/>
        <c:crosses val="autoZero"/>
        <c:auto val="1"/>
        <c:lblAlgn val="ctr"/>
        <c:lblOffset val="100"/>
        <c:noMultiLvlLbl val="0"/>
      </c:catAx>
      <c:valAx>
        <c:axId val="8644950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1508467900748"/>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5091442"/>
        <c:crosses val="max"/>
        <c:crossBetween val="midCat"/>
        <c:majorUnit val="0.01"/>
      </c:valAx>
      <c:spPr>
        <a:noFill/>
        <a:ln w="0">
          <a:solidFill>
            <a:srgbClr val="b3b3b3"/>
          </a:solidFill>
        </a:ln>
      </c:spPr>
    </c:plotArea>
    <c:legend>
      <c:legendPos val="r"/>
      <c:layout>
        <c:manualLayout>
          <c:xMode val="edge"/>
          <c:yMode val="edge"/>
          <c:x val="0.786549592471552"/>
          <c:y val="0.0768265373920319"/>
          <c:w val="0.187974957672166"/>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Wage Average</a:t>
            </a:r>
          </a:p>
        </c:rich>
      </c:tx>
      <c:layout>
        <c:manualLayout>
          <c:xMode val="edge"/>
          <c:yMode val="edge"/>
          <c:x val="0.316817644742024"/>
          <c:y val="0.01070637460004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'LSD.RID.0.AL'!$C$690</c:f>
              <c:strCache>
                <c:ptCount val="1"/>
                <c:pt idx="0">
                  <c:v>Wage Average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'LSD.RID.0.AL'!$C$692:$C$721</c:f>
              <c:numCache>
                <c:formatCode>[$$-409]#,##0.00;[RED]\-[$$-409]#,##0.00</c:formatCode>
                <c:ptCount val="30"/>
                <c:pt idx="0">
                  <c:v>18</c:v>
                </c:pt>
                <c:pt idx="1">
                  <c:v>15.3</c:v>
                </c:pt>
                <c:pt idx="2">
                  <c:v>28</c:v>
                </c:pt>
                <c:pt idx="3">
                  <c:v>23</c:v>
                </c:pt>
                <c:pt idx="4">
                  <c:v>16.5</c:v>
                </c:pt>
                <c:pt idx="5">
                  <c:v>13.2</c:v>
                </c:pt>
                <c:pt idx="6">
                  <c:v>14.5</c:v>
                </c:pt>
                <c:pt idx="7">
                  <c:v>11.3</c:v>
                </c:pt>
                <c:pt idx="8">
                  <c:v>26.5</c:v>
                </c:pt>
                <c:pt idx="9">
                  <c:v>24.4</c:v>
                </c:pt>
                <c:pt idx="10">
                  <c:v>25</c:v>
                </c:pt>
                <c:pt idx="11">
                  <c:v>22.5</c:v>
                </c:pt>
                <c:pt idx="12">
                  <c:v>18.5</c:v>
                </c:pt>
                <c:pt idx="13">
                  <c:v>14.8</c:v>
                </c:pt>
                <c:pt idx="14">
                  <c:v>18</c:v>
                </c:pt>
                <c:pt idx="15">
                  <c:v>15.3</c:v>
                </c:pt>
                <c:pt idx="16">
                  <c:v>24</c:v>
                </c:pt>
                <c:pt idx="17">
                  <c:v>19.2</c:v>
                </c:pt>
                <c:pt idx="18">
                  <c:v>20</c:v>
                </c:pt>
                <c:pt idx="19">
                  <c:v>16</c:v>
                </c:pt>
                <c:pt idx="20">
                  <c:v>27.5</c:v>
                </c:pt>
                <c:pt idx="21">
                  <c:v>18.2</c:v>
                </c:pt>
                <c:pt idx="22">
                  <c:v>38.5</c:v>
                </c:pt>
                <c:pt idx="23">
                  <c:v>28</c:v>
                </c:pt>
                <c:pt idx="24">
                  <c:v>30</c:v>
                </c:pt>
                <c:pt idx="25">
                  <c:v>22</c:v>
                </c:pt>
                <c:pt idx="26">
                  <c:v>33</c:v>
                </c:pt>
                <c:pt idx="27">
                  <c:v>24</c:v>
                </c:pt>
                <c:pt idx="28">
                  <c:v>28</c:v>
                </c:pt>
                <c:pt idx="29">
                  <c:v>20</c:v>
                </c:pt>
              </c:numCache>
            </c:numRef>
          </c:val>
        </c:ser>
        <c:ser>
          <c:idx val="1"/>
          <c:order val="1"/>
          <c:tx>
            <c:strRef>
              <c:f>'LSD.RID.0.AL'!$D$690</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'LSD.RID.0.AL'!$D$692:$D$721</c:f>
              <c:numCache>
                <c:formatCode>[$$-409]#,##0.00;\-[$$-409]#,##0.00</c:formatCode>
                <c:ptCount val="30"/>
                <c:pt idx="0">
                  <c:v>17.4</c:v>
                </c:pt>
                <c:pt idx="1">
                  <c:v>14.8</c:v>
                </c:pt>
                <c:pt idx="2">
                  <c:v>27.1</c:v>
                </c:pt>
                <c:pt idx="3">
                  <c:v>22.3</c:v>
                </c:pt>
                <c:pt idx="4">
                  <c:v>16</c:v>
                </c:pt>
                <c:pt idx="5">
                  <c:v>12.8</c:v>
                </c:pt>
                <c:pt idx="6">
                  <c:v>14</c:v>
                </c:pt>
                <c:pt idx="7">
                  <c:v>10.9</c:v>
                </c:pt>
                <c:pt idx="8">
                  <c:v>25.7</c:v>
                </c:pt>
                <c:pt idx="9">
                  <c:v>23.7</c:v>
                </c:pt>
                <c:pt idx="10">
                  <c:v>24.2</c:v>
                </c:pt>
                <c:pt idx="11">
                  <c:v>21.8</c:v>
                </c:pt>
                <c:pt idx="12">
                  <c:v>17.9</c:v>
                </c:pt>
                <c:pt idx="13">
                  <c:v>14.3</c:v>
                </c:pt>
                <c:pt idx="14">
                  <c:v>17.4</c:v>
                </c:pt>
                <c:pt idx="15">
                  <c:v>14.8</c:v>
                </c:pt>
                <c:pt idx="16">
                  <c:v>23.2</c:v>
                </c:pt>
                <c:pt idx="17">
                  <c:v>18.6</c:v>
                </c:pt>
                <c:pt idx="18">
                  <c:v>19.4</c:v>
                </c:pt>
                <c:pt idx="19">
                  <c:v>15.5</c:v>
                </c:pt>
                <c:pt idx="20">
                  <c:v>26.8</c:v>
                </c:pt>
                <c:pt idx="21">
                  <c:v>17.6</c:v>
                </c:pt>
                <c:pt idx="22">
                  <c:v>37.5</c:v>
                </c:pt>
                <c:pt idx="23">
                  <c:v>27.2</c:v>
                </c:pt>
                <c:pt idx="24">
                  <c:v>29</c:v>
                </c:pt>
                <c:pt idx="25">
                  <c:v>21</c:v>
                </c:pt>
                <c:pt idx="26">
                  <c:v>32</c:v>
                </c:pt>
                <c:pt idx="27">
                  <c:v>23</c:v>
                </c:pt>
                <c:pt idx="28">
                  <c:v>27</c:v>
                </c:pt>
                <c:pt idx="29">
                  <c:v>19</c:v>
                </c:pt>
              </c:numCache>
            </c:numRef>
          </c:val>
        </c:ser>
        <c:ser>
          <c:idx val="2"/>
          <c:order val="2"/>
          <c:tx>
            <c:strRef>
              <c:f>'LSD.RID.0.AL'!$E$690</c:f>
              <c:strCache>
                <c:ptCount val="1"/>
                <c:pt idx="0">
                  <c:v>Unauthorized Immigrant Wage Average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'LSD.RID.0.AL'!$E$692:$E$721</c:f>
              <c:numCache>
                <c:formatCode>[$$-409]#,##0.00;\-[$$-409]#,##0.00</c:formatCode>
                <c:ptCount val="30"/>
                <c:pt idx="0">
                  <c:v>15.3</c:v>
                </c:pt>
                <c:pt idx="1">
                  <c:v>13</c:v>
                </c:pt>
                <c:pt idx="2">
                  <c:v>24</c:v>
                </c:pt>
                <c:pt idx="3">
                  <c:v>19.7</c:v>
                </c:pt>
                <c:pt idx="4">
                  <c:v>14</c:v>
                </c:pt>
                <c:pt idx="5">
                  <c:v>11.2</c:v>
                </c:pt>
                <c:pt idx="6">
                  <c:v>12.3</c:v>
                </c:pt>
                <c:pt idx="7">
                  <c:v>9.6</c:v>
                </c:pt>
                <c:pt idx="8">
                  <c:v>23</c:v>
                </c:pt>
                <c:pt idx="9">
                  <c:v>21.2</c:v>
                </c:pt>
                <c:pt idx="10">
                  <c:v>21.7</c:v>
                </c:pt>
                <c:pt idx="11">
                  <c:v>19.5</c:v>
                </c:pt>
                <c:pt idx="12">
                  <c:v>15.7</c:v>
                </c:pt>
                <c:pt idx="13">
                  <c:v>12.6</c:v>
                </c:pt>
                <c:pt idx="14">
                  <c:v>15.3</c:v>
                </c:pt>
                <c:pt idx="15">
                  <c:v>13</c:v>
                </c:pt>
                <c:pt idx="16">
                  <c:v>20.5</c:v>
                </c:pt>
                <c:pt idx="17">
                  <c:v>16.4</c:v>
                </c:pt>
                <c:pt idx="18">
                  <c:v>17</c:v>
                </c:pt>
                <c:pt idx="19">
                  <c:v>13.6</c:v>
                </c:pt>
                <c:pt idx="20">
                  <c:v>24.75</c:v>
                </c:pt>
                <c:pt idx="21">
                  <c:v>16</c:v>
                </c:pt>
                <c:pt idx="22">
                  <c:v>34</c:v>
                </c:pt>
                <c:pt idx="23">
                  <c:v>24.5</c:v>
                </c:pt>
                <c:pt idx="24">
                  <c:v>26</c:v>
                </c:pt>
                <c:pt idx="25">
                  <c:v>19</c:v>
                </c:pt>
                <c:pt idx="26">
                  <c:v>29</c:v>
                </c:pt>
                <c:pt idx="27">
                  <c:v>20.5</c:v>
                </c:pt>
                <c:pt idx="28">
                  <c:v>24.5</c:v>
                </c:pt>
                <c:pt idx="29">
                  <c:v>17</c:v>
                </c:pt>
              </c:numCache>
            </c:numRef>
          </c:val>
        </c:ser>
        <c:ser>
          <c:idx val="3"/>
          <c:order val="3"/>
          <c:tx>
            <c:strRef>
              <c:f>'LSD.RID.0.AL'!$F$690</c:f>
              <c:strCache>
                <c:ptCount val="1"/>
                <c:pt idx="0">
                  <c:v>American Wage Average ($/hr)</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9"/>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'LSD.RID.0.AL'!$F$692:$F$721</c:f>
              <c:numCache>
                <c:formatCode>[$$-409]#,##0.00;\-[$$-409]#,##0.00</c:formatCode>
                <c:ptCount val="30"/>
                <c:pt idx="0">
                  <c:v>18.3</c:v>
                </c:pt>
                <c:pt idx="1">
                  <c:v>15.6</c:v>
                </c:pt>
                <c:pt idx="2">
                  <c:v>28.4</c:v>
                </c:pt>
                <c:pt idx="3">
                  <c:v>23.3</c:v>
                </c:pt>
                <c:pt idx="4">
                  <c:v>16.8</c:v>
                </c:pt>
                <c:pt idx="5">
                  <c:v>13.4</c:v>
                </c:pt>
                <c:pt idx="6">
                  <c:v>14.7</c:v>
                </c:pt>
                <c:pt idx="7">
                  <c:v>11.5</c:v>
                </c:pt>
                <c:pt idx="8">
                  <c:v>26.9</c:v>
                </c:pt>
                <c:pt idx="9">
                  <c:v>24.8</c:v>
                </c:pt>
                <c:pt idx="10">
                  <c:v>25.4</c:v>
                </c:pt>
                <c:pt idx="11">
                  <c:v>22.8</c:v>
                </c:pt>
                <c:pt idx="12">
                  <c:v>18.8</c:v>
                </c:pt>
                <c:pt idx="13">
                  <c:v>15.1</c:v>
                </c:pt>
                <c:pt idx="14">
                  <c:v>18.3</c:v>
                </c:pt>
                <c:pt idx="15">
                  <c:v>15.6</c:v>
                </c:pt>
                <c:pt idx="16">
                  <c:v>24.4</c:v>
                </c:pt>
                <c:pt idx="17">
                  <c:v>19.5</c:v>
                </c:pt>
                <c:pt idx="18">
                  <c:v>20.4</c:v>
                </c:pt>
                <c:pt idx="19">
                  <c:v>16.3</c:v>
                </c:pt>
                <c:pt idx="20">
                  <c:v>27.9</c:v>
                </c:pt>
                <c:pt idx="21">
                  <c:v>18.5</c:v>
                </c:pt>
                <c:pt idx="22">
                  <c:v>39.2</c:v>
                </c:pt>
                <c:pt idx="23">
                  <c:v>28.5</c:v>
                </c:pt>
                <c:pt idx="24">
                  <c:v>30.5</c:v>
                </c:pt>
                <c:pt idx="25">
                  <c:v>22.5</c:v>
                </c:pt>
                <c:pt idx="26">
                  <c:v>33.5</c:v>
                </c:pt>
                <c:pt idx="27">
                  <c:v>24.5</c:v>
                </c:pt>
                <c:pt idx="28">
                  <c:v>28.5</c:v>
                </c:pt>
                <c:pt idx="29">
                  <c:v>20.5</c:v>
                </c:pt>
              </c:numCache>
            </c:numRef>
          </c:val>
        </c:ser>
        <c:gapWidth val="100"/>
        <c:overlap val="0"/>
        <c:axId val="91894527"/>
        <c:axId val="15702424"/>
      </c:barChart>
      <c:catAx>
        <c:axId val="9189452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10411026335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5702424"/>
        <c:crosses val="autoZero"/>
        <c:auto val="1"/>
        <c:lblAlgn val="ctr"/>
        <c:lblOffset val="100"/>
        <c:noMultiLvlLbl val="0"/>
      </c:catAx>
      <c:valAx>
        <c:axId val="1570242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1902323749508"/>
              <c:y val="0.970046763475265"/>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1894527"/>
        <c:crosses val="max"/>
        <c:crossBetween val="midCat"/>
        <c:majorUnit val="1"/>
      </c:valAx>
      <c:spPr>
        <a:noFill/>
        <a:ln w="0">
          <a:solidFill>
            <a:srgbClr val="b3b3b3"/>
          </a:solidFill>
        </a:ln>
      </c:spPr>
    </c:plotArea>
    <c:legend>
      <c:legendPos val="r"/>
      <c:layout>
        <c:manualLayout>
          <c:xMode val="edge"/>
          <c:yMode val="edge"/>
          <c:x val="0.802590653175322"/>
          <c:y val="0.0768473633701617"/>
          <c:w val="0.17194267265139"/>
          <c:h val="0.11176731138343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Annual Income Average</a:t>
            </a:r>
          </a:p>
        </c:rich>
      </c:tx>
      <c:layout>
        <c:manualLayout>
          <c:xMode val="edge"/>
          <c:yMode val="edge"/>
          <c:x val="0.281567546278062"/>
          <c:y val="0.0169579128722619"/>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'LSD.RID.0.AL'!$C$820</c:f>
              <c:strCache>
                <c:ptCount val="1"/>
                <c:pt idx="0">
                  <c:v>Annual Income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'LSD.RID.0.AL'!$C$822:$C$851</c:f>
              <c:numCache>
                <c:formatCode>[$$-409]#,##0;[RED]\-[$$-409]#,##0</c:formatCode>
                <c:ptCount val="30"/>
                <c:pt idx="0">
                  <c:v>37440</c:v>
                </c:pt>
                <c:pt idx="1">
                  <c:v>31824</c:v>
                </c:pt>
                <c:pt idx="2">
                  <c:v>58240</c:v>
                </c:pt>
                <c:pt idx="3">
                  <c:v>47840</c:v>
                </c:pt>
                <c:pt idx="4">
                  <c:v>34320</c:v>
                </c:pt>
                <c:pt idx="5">
                  <c:v>27456</c:v>
                </c:pt>
                <c:pt idx="6">
                  <c:v>30160</c:v>
                </c:pt>
                <c:pt idx="7">
                  <c:v>23504</c:v>
                </c:pt>
                <c:pt idx="8">
                  <c:v>55120</c:v>
                </c:pt>
                <c:pt idx="9">
                  <c:v>50752</c:v>
                </c:pt>
                <c:pt idx="10">
                  <c:v>52000</c:v>
                </c:pt>
                <c:pt idx="11">
                  <c:v>46800</c:v>
                </c:pt>
                <c:pt idx="12">
                  <c:v>38480</c:v>
                </c:pt>
                <c:pt idx="13">
                  <c:v>30784</c:v>
                </c:pt>
                <c:pt idx="14">
                  <c:v>37440</c:v>
                </c:pt>
                <c:pt idx="15">
                  <c:v>31824</c:v>
                </c:pt>
                <c:pt idx="16">
                  <c:v>49920</c:v>
                </c:pt>
                <c:pt idx="17">
                  <c:v>39936</c:v>
                </c:pt>
                <c:pt idx="18">
                  <c:v>41600</c:v>
                </c:pt>
                <c:pt idx="19">
                  <c:v>33280</c:v>
                </c:pt>
                <c:pt idx="20">
                  <c:v>57200</c:v>
                </c:pt>
                <c:pt idx="21">
                  <c:v>37856</c:v>
                </c:pt>
                <c:pt idx="22">
                  <c:v>80080</c:v>
                </c:pt>
                <c:pt idx="23">
                  <c:v>58240</c:v>
                </c:pt>
                <c:pt idx="24">
                  <c:v>62400</c:v>
                </c:pt>
                <c:pt idx="25">
                  <c:v>45760</c:v>
                </c:pt>
                <c:pt idx="26">
                  <c:v>68640</c:v>
                </c:pt>
                <c:pt idx="27">
                  <c:v>49920</c:v>
                </c:pt>
                <c:pt idx="28">
                  <c:v>58240</c:v>
                </c:pt>
                <c:pt idx="29">
                  <c:v>41600</c:v>
                </c:pt>
              </c:numCache>
            </c:numRef>
          </c:val>
        </c:ser>
        <c:ser>
          <c:idx val="1"/>
          <c:order val="1"/>
          <c:tx>
            <c:strRef>
              <c:f>'LSD.RID.0.AL'!$D$820</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'LSD.RID.0.AL'!$D$822:$D$851</c:f>
              <c:numCache>
                <c:formatCode>[$$-409]#,##0;[RED]\-[$$-409]#,##0</c:formatCode>
                <c:ptCount val="30"/>
                <c:pt idx="0">
                  <c:v>36192</c:v>
                </c:pt>
                <c:pt idx="1">
                  <c:v>30784</c:v>
                </c:pt>
                <c:pt idx="2">
                  <c:v>56368</c:v>
                </c:pt>
                <c:pt idx="3">
                  <c:v>46384</c:v>
                </c:pt>
                <c:pt idx="4">
                  <c:v>33280</c:v>
                </c:pt>
                <c:pt idx="5">
                  <c:v>26624</c:v>
                </c:pt>
                <c:pt idx="6">
                  <c:v>29120</c:v>
                </c:pt>
                <c:pt idx="7">
                  <c:v>22672</c:v>
                </c:pt>
                <c:pt idx="8">
                  <c:v>53456</c:v>
                </c:pt>
                <c:pt idx="9">
                  <c:v>49296</c:v>
                </c:pt>
                <c:pt idx="10">
                  <c:v>50336</c:v>
                </c:pt>
                <c:pt idx="11">
                  <c:v>45344</c:v>
                </c:pt>
                <c:pt idx="12">
                  <c:v>37232</c:v>
                </c:pt>
                <c:pt idx="13">
                  <c:v>29744</c:v>
                </c:pt>
                <c:pt idx="14">
                  <c:v>36192</c:v>
                </c:pt>
                <c:pt idx="15">
                  <c:v>30784</c:v>
                </c:pt>
                <c:pt idx="16">
                  <c:v>48256</c:v>
                </c:pt>
                <c:pt idx="17">
                  <c:v>38688</c:v>
                </c:pt>
                <c:pt idx="18">
                  <c:v>40352</c:v>
                </c:pt>
                <c:pt idx="19">
                  <c:v>32240</c:v>
                </c:pt>
                <c:pt idx="20">
                  <c:v>55744</c:v>
                </c:pt>
                <c:pt idx="21">
                  <c:v>36608</c:v>
                </c:pt>
                <c:pt idx="22">
                  <c:v>78000</c:v>
                </c:pt>
                <c:pt idx="23">
                  <c:v>56576</c:v>
                </c:pt>
                <c:pt idx="24">
                  <c:v>60320</c:v>
                </c:pt>
                <c:pt idx="25">
                  <c:v>43680</c:v>
                </c:pt>
                <c:pt idx="26">
                  <c:v>66560</c:v>
                </c:pt>
                <c:pt idx="27">
                  <c:v>47840</c:v>
                </c:pt>
                <c:pt idx="28">
                  <c:v>56160</c:v>
                </c:pt>
                <c:pt idx="29">
                  <c:v>39520</c:v>
                </c:pt>
              </c:numCache>
            </c:numRef>
          </c:val>
        </c:ser>
        <c:ser>
          <c:idx val="2"/>
          <c:order val="2"/>
          <c:tx>
            <c:strRef>
              <c:f>'LSD.RID.0.AL'!$E$820</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'LSD.RID.0.AL'!$E$822:$E$851</c:f>
              <c:numCache>
                <c:formatCode>[$$-409]#,##0;[RED]\-[$$-409]#,##0</c:formatCode>
                <c:ptCount val="30"/>
                <c:pt idx="0">
                  <c:v>31824</c:v>
                </c:pt>
                <c:pt idx="1">
                  <c:v>27040</c:v>
                </c:pt>
                <c:pt idx="2">
                  <c:v>49920</c:v>
                </c:pt>
                <c:pt idx="3">
                  <c:v>40976</c:v>
                </c:pt>
                <c:pt idx="4">
                  <c:v>29120</c:v>
                </c:pt>
                <c:pt idx="5">
                  <c:v>23304</c:v>
                </c:pt>
                <c:pt idx="6">
                  <c:v>25584</c:v>
                </c:pt>
                <c:pt idx="7">
                  <c:v>19968</c:v>
                </c:pt>
                <c:pt idx="8">
                  <c:v>47840</c:v>
                </c:pt>
                <c:pt idx="9">
                  <c:v>44100</c:v>
                </c:pt>
                <c:pt idx="10">
                  <c:v>45136</c:v>
                </c:pt>
                <c:pt idx="11">
                  <c:v>40560</c:v>
                </c:pt>
                <c:pt idx="12">
                  <c:v>32656</c:v>
                </c:pt>
                <c:pt idx="13">
                  <c:v>26208</c:v>
                </c:pt>
                <c:pt idx="14">
                  <c:v>31824</c:v>
                </c:pt>
                <c:pt idx="15">
                  <c:v>27040</c:v>
                </c:pt>
                <c:pt idx="16">
                  <c:v>42640</c:v>
                </c:pt>
                <c:pt idx="17">
                  <c:v>34112</c:v>
                </c:pt>
                <c:pt idx="18">
                  <c:v>35360</c:v>
                </c:pt>
                <c:pt idx="19">
                  <c:v>28288</c:v>
                </c:pt>
                <c:pt idx="20">
                  <c:v>51480</c:v>
                </c:pt>
                <c:pt idx="21">
                  <c:v>33280</c:v>
                </c:pt>
                <c:pt idx="22">
                  <c:v>70720</c:v>
                </c:pt>
                <c:pt idx="23">
                  <c:v>50960</c:v>
                </c:pt>
                <c:pt idx="24">
                  <c:v>54080</c:v>
                </c:pt>
                <c:pt idx="25">
                  <c:v>39520</c:v>
                </c:pt>
                <c:pt idx="26">
                  <c:v>60320</c:v>
                </c:pt>
                <c:pt idx="27">
                  <c:v>42640</c:v>
                </c:pt>
                <c:pt idx="28">
                  <c:v>50960</c:v>
                </c:pt>
                <c:pt idx="29">
                  <c:v>35360</c:v>
                </c:pt>
              </c:numCache>
            </c:numRef>
          </c:val>
        </c:ser>
        <c:ser>
          <c:idx val="3"/>
          <c:order val="3"/>
          <c:tx>
            <c:strRef>
              <c:f>'LSD.RID.0.AL'!$F$820</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'LSD.RID.0.AL'!$F$822:$F$851</c:f>
              <c:numCache>
                <c:formatCode>[$$-409]#,##0;[RED]\-[$$-409]#,##0</c:formatCode>
                <c:ptCount val="30"/>
                <c:pt idx="0">
                  <c:v>38064</c:v>
                </c:pt>
                <c:pt idx="1">
                  <c:v>32448</c:v>
                </c:pt>
                <c:pt idx="2">
                  <c:v>59152</c:v>
                </c:pt>
                <c:pt idx="3">
                  <c:v>48464</c:v>
                </c:pt>
                <c:pt idx="4">
                  <c:v>34944</c:v>
                </c:pt>
                <c:pt idx="5">
                  <c:v>27872</c:v>
                </c:pt>
                <c:pt idx="6">
                  <c:v>30576</c:v>
                </c:pt>
                <c:pt idx="7">
                  <c:v>23920</c:v>
                </c:pt>
                <c:pt idx="8">
                  <c:v>55952</c:v>
                </c:pt>
                <c:pt idx="9">
                  <c:v>51584</c:v>
                </c:pt>
                <c:pt idx="10">
                  <c:v>52832</c:v>
                </c:pt>
                <c:pt idx="11">
                  <c:v>47424</c:v>
                </c:pt>
                <c:pt idx="12">
                  <c:v>39104</c:v>
                </c:pt>
                <c:pt idx="13">
                  <c:v>31408</c:v>
                </c:pt>
                <c:pt idx="14">
                  <c:v>38064</c:v>
                </c:pt>
                <c:pt idx="15">
                  <c:v>32448</c:v>
                </c:pt>
                <c:pt idx="16">
                  <c:v>50752</c:v>
                </c:pt>
                <c:pt idx="17">
                  <c:v>40560</c:v>
                </c:pt>
                <c:pt idx="18">
                  <c:v>42432</c:v>
                </c:pt>
                <c:pt idx="19">
                  <c:v>33904</c:v>
                </c:pt>
                <c:pt idx="20">
                  <c:v>58032</c:v>
                </c:pt>
                <c:pt idx="21">
                  <c:v>38480</c:v>
                </c:pt>
                <c:pt idx="22">
                  <c:v>81536</c:v>
                </c:pt>
                <c:pt idx="23">
                  <c:v>59280</c:v>
                </c:pt>
                <c:pt idx="24">
                  <c:v>63440</c:v>
                </c:pt>
                <c:pt idx="25">
                  <c:v>46800</c:v>
                </c:pt>
                <c:pt idx="26">
                  <c:v>69680</c:v>
                </c:pt>
                <c:pt idx="27">
                  <c:v>50960</c:v>
                </c:pt>
                <c:pt idx="28">
                  <c:v>59280</c:v>
                </c:pt>
                <c:pt idx="29">
                  <c:v>42640</c:v>
                </c:pt>
              </c:numCache>
            </c:numRef>
          </c:val>
        </c:ser>
        <c:gapWidth val="100"/>
        <c:overlap val="0"/>
        <c:axId val="61985023"/>
        <c:axId val="44853277"/>
      </c:barChart>
      <c:catAx>
        <c:axId val="6198502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03027319714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853277"/>
        <c:crosses val="autoZero"/>
        <c:auto val="1"/>
        <c:lblAlgn val="ctr"/>
        <c:lblOffset val="100"/>
        <c:noMultiLvlLbl val="0"/>
      </c:catAx>
      <c:valAx>
        <c:axId val="4485327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5872390705"/>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1985023"/>
        <c:crosses val="max"/>
        <c:crossBetween val="midCat"/>
        <c:majorUnit val="1000"/>
      </c:valAx>
      <c:spPr>
        <a:noFill/>
        <a:ln w="0">
          <a:solidFill>
            <a:srgbClr val="b3b3b3"/>
          </a:solidFill>
        </a:ln>
      </c:spPr>
    </c:plotArea>
    <c:legend>
      <c:legendPos val="r"/>
      <c:layout>
        <c:manualLayout>
          <c:xMode val="edge"/>
          <c:yMode val="edge"/>
          <c:x val="0.785919596802772"/>
          <c:y val="0.0768265373920319"/>
          <c:w val="0.188604953340946"/>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Personal Income Tax Revenue</a:t>
            </a:r>
          </a:p>
        </c:rich>
      </c:tx>
      <c:layout>
        <c:manualLayout>
          <c:xMode val="edge"/>
          <c:yMode val="edge"/>
          <c:x val="0.226467113036629"/>
          <c:y val="0.01142013290671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'LSD.RID.0.AL'!$C$950</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'LSD.RID.0.AL'!$C$952:$C$981</c:f>
              <c:numCache>
                <c:formatCode>[$$-409]#,##0;\-[$$-409]#,##0</c:formatCode>
                <c:ptCount val="30"/>
                <c:pt idx="0">
                  <c:v>1250000</c:v>
                </c:pt>
                <c:pt idx="1">
                  <c:v>625000</c:v>
                </c:pt>
                <c:pt idx="2">
                  <c:v>21000000</c:v>
                </c:pt>
                <c:pt idx="3">
                  <c:v>8400000</c:v>
                </c:pt>
                <c:pt idx="4">
                  <c:v>18500000</c:v>
                </c:pt>
                <c:pt idx="5">
                  <c:v>9300000</c:v>
                </c:pt>
                <c:pt idx="6">
                  <c:v>3600000</c:v>
                </c:pt>
                <c:pt idx="7">
                  <c:v>1800000</c:v>
                </c:pt>
                <c:pt idx="8">
                  <c:v>46000000</c:v>
                </c:pt>
                <c:pt idx="9">
                  <c:v>19500000</c:v>
                </c:pt>
                <c:pt idx="10">
                  <c:v>39000000</c:v>
                </c:pt>
                <c:pt idx="11">
                  <c:v>15600000</c:v>
                </c:pt>
                <c:pt idx="12">
                  <c:v>18500000</c:v>
                </c:pt>
                <c:pt idx="13">
                  <c:v>9300000</c:v>
                </c:pt>
                <c:pt idx="14">
                  <c:v>1500000</c:v>
                </c:pt>
                <c:pt idx="15">
                  <c:v>750000</c:v>
                </c:pt>
                <c:pt idx="16">
                  <c:v>1250000</c:v>
                </c:pt>
                <c:pt idx="17">
                  <c:v>625000</c:v>
                </c:pt>
                <c:pt idx="18">
                  <c:v>9800000</c:v>
                </c:pt>
                <c:pt idx="19">
                  <c:v>4900000</c:v>
                </c:pt>
                <c:pt idx="20">
                  <c:v>38000000</c:v>
                </c:pt>
                <c:pt idx="21">
                  <c:v>15500000</c:v>
                </c:pt>
                <c:pt idx="22">
                  <c:v>33000000</c:v>
                </c:pt>
                <c:pt idx="23">
                  <c:v>15800000</c:v>
                </c:pt>
                <c:pt idx="24">
                  <c:v>3900000</c:v>
                </c:pt>
                <c:pt idx="25">
                  <c:v>1560000</c:v>
                </c:pt>
                <c:pt idx="26">
                  <c:v>22300000</c:v>
                </c:pt>
                <c:pt idx="27">
                  <c:v>8900000</c:v>
                </c:pt>
                <c:pt idx="28">
                  <c:v>7000000</c:v>
                </c:pt>
                <c:pt idx="29">
                  <c:v>2800000</c:v>
                </c:pt>
              </c:numCache>
            </c:numRef>
          </c:val>
        </c:ser>
        <c:ser>
          <c:idx val="1"/>
          <c:order val="1"/>
          <c:tx>
            <c:strRef>
              <c:f>'LSD.RID.0.AL'!$D$950</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'LSD.RID.0.AL'!$D$952:$D$981</c:f>
              <c:numCache>
                <c:formatCode>[$$-409]#,##0;\-[$$-409]#,##0</c:formatCode>
                <c:ptCount val="30"/>
                <c:pt idx="0">
                  <c:v>41000</c:v>
                </c:pt>
                <c:pt idx="1">
                  <c:v>20500</c:v>
                </c:pt>
                <c:pt idx="2">
                  <c:v>700000</c:v>
                </c:pt>
                <c:pt idx="3">
                  <c:v>280000</c:v>
                </c:pt>
                <c:pt idx="4">
                  <c:v>610000</c:v>
                </c:pt>
                <c:pt idx="5">
                  <c:v>310000</c:v>
                </c:pt>
                <c:pt idx="6">
                  <c:v>120000</c:v>
                </c:pt>
                <c:pt idx="7">
                  <c:v>60000</c:v>
                </c:pt>
                <c:pt idx="8">
                  <c:v>1520000</c:v>
                </c:pt>
                <c:pt idx="9">
                  <c:v>650000</c:v>
                </c:pt>
                <c:pt idx="10">
                  <c:v>1300000</c:v>
                </c:pt>
                <c:pt idx="11">
                  <c:v>520000</c:v>
                </c:pt>
                <c:pt idx="12">
                  <c:v>610000</c:v>
                </c:pt>
                <c:pt idx="13">
                  <c:v>310000</c:v>
                </c:pt>
                <c:pt idx="14">
                  <c:v>50000</c:v>
                </c:pt>
                <c:pt idx="15">
                  <c:v>25000</c:v>
                </c:pt>
                <c:pt idx="16">
                  <c:v>42000</c:v>
                </c:pt>
                <c:pt idx="17">
                  <c:v>21000</c:v>
                </c:pt>
                <c:pt idx="18">
                  <c:v>325000</c:v>
                </c:pt>
                <c:pt idx="19">
                  <c:v>163000</c:v>
                </c:pt>
                <c:pt idx="20">
                  <c:v>1250000</c:v>
                </c:pt>
                <c:pt idx="21">
                  <c:v>510000</c:v>
                </c:pt>
                <c:pt idx="22">
                  <c:v>1090000</c:v>
                </c:pt>
                <c:pt idx="23">
                  <c:v>520000</c:v>
                </c:pt>
                <c:pt idx="24">
                  <c:v>130000</c:v>
                </c:pt>
                <c:pt idx="25">
                  <c:v>52000</c:v>
                </c:pt>
                <c:pt idx="26">
                  <c:v>735000</c:v>
                </c:pt>
                <c:pt idx="27">
                  <c:v>295000</c:v>
                </c:pt>
                <c:pt idx="28">
                  <c:v>230000</c:v>
                </c:pt>
                <c:pt idx="29">
                  <c:v>92000</c:v>
                </c:pt>
              </c:numCache>
            </c:numRef>
          </c:val>
        </c:ser>
        <c:ser>
          <c:idx val="2"/>
          <c:order val="2"/>
          <c:tx>
            <c:strRef>
              <c:f>'LSD.RID.0.AL'!$E$950</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'LSD.RID.0.AL'!$E$952:$E$981</c:f>
              <c:numCache>
                <c:formatCode>[$$-409]#,##0;\-[$$-409]#,##0</c:formatCode>
                <c:ptCount val="30"/>
                <c:pt idx="0">
                  <c:v>125000</c:v>
                </c:pt>
                <c:pt idx="1">
                  <c:v>62500</c:v>
                </c:pt>
                <c:pt idx="2">
                  <c:v>2100000</c:v>
                </c:pt>
                <c:pt idx="3">
                  <c:v>840000</c:v>
                </c:pt>
                <c:pt idx="4">
                  <c:v>1830000</c:v>
                </c:pt>
                <c:pt idx="5">
                  <c:v>930000</c:v>
                </c:pt>
                <c:pt idx="6">
                  <c:v>360000</c:v>
                </c:pt>
                <c:pt idx="7">
                  <c:v>180000</c:v>
                </c:pt>
                <c:pt idx="8">
                  <c:v>4600000</c:v>
                </c:pt>
                <c:pt idx="9">
                  <c:v>1950000</c:v>
                </c:pt>
                <c:pt idx="10">
                  <c:v>3900000</c:v>
                </c:pt>
                <c:pt idx="11">
                  <c:v>1560000</c:v>
                </c:pt>
                <c:pt idx="12">
                  <c:v>1830000</c:v>
                </c:pt>
                <c:pt idx="13">
                  <c:v>930000</c:v>
                </c:pt>
                <c:pt idx="14">
                  <c:v>150000</c:v>
                </c:pt>
                <c:pt idx="15">
                  <c:v>75000</c:v>
                </c:pt>
                <c:pt idx="16">
                  <c:v>126000</c:v>
                </c:pt>
                <c:pt idx="17">
                  <c:v>63000</c:v>
                </c:pt>
                <c:pt idx="18">
                  <c:v>975000</c:v>
                </c:pt>
                <c:pt idx="19">
                  <c:v>488000</c:v>
                </c:pt>
                <c:pt idx="20">
                  <c:v>1525000</c:v>
                </c:pt>
                <c:pt idx="21">
                  <c:v>622500</c:v>
                </c:pt>
                <c:pt idx="22">
                  <c:v>1330000</c:v>
                </c:pt>
                <c:pt idx="23">
                  <c:v>635000</c:v>
                </c:pt>
                <c:pt idx="24">
                  <c:v>195000</c:v>
                </c:pt>
                <c:pt idx="25">
                  <c:v>78000</c:v>
                </c:pt>
                <c:pt idx="26">
                  <c:v>1470000</c:v>
                </c:pt>
                <c:pt idx="27">
                  <c:v>590000</c:v>
                </c:pt>
                <c:pt idx="28">
                  <c:v>460000</c:v>
                </c:pt>
                <c:pt idx="29">
                  <c:v>184000</c:v>
                </c:pt>
              </c:numCache>
            </c:numRef>
          </c:val>
        </c:ser>
        <c:ser>
          <c:idx val="3"/>
          <c:order val="3"/>
          <c:tx>
            <c:strRef>
              <c:f>'LSD.RID.0.AL'!$F$950</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'LSD.RID.0.AL'!$F$952:$F$981</c:f>
              <c:numCache>
                <c:formatCode>[$$-409]#,##0;\-[$$-409]#,##0</c:formatCode>
                <c:ptCount val="30"/>
                <c:pt idx="0">
                  <c:v>1085000</c:v>
                </c:pt>
                <c:pt idx="1">
                  <c:v>542500</c:v>
                </c:pt>
                <c:pt idx="2">
                  <c:v>18200000</c:v>
                </c:pt>
                <c:pt idx="3">
                  <c:v>7280000</c:v>
                </c:pt>
                <c:pt idx="4">
                  <c:v>16060000</c:v>
                </c:pt>
                <c:pt idx="5">
                  <c:v>8060000</c:v>
                </c:pt>
                <c:pt idx="6">
                  <c:v>3120000</c:v>
                </c:pt>
                <c:pt idx="7">
                  <c:v>1560000</c:v>
                </c:pt>
                <c:pt idx="8">
                  <c:v>39880000</c:v>
                </c:pt>
                <c:pt idx="9">
                  <c:v>16895000</c:v>
                </c:pt>
                <c:pt idx="10">
                  <c:v>33800000</c:v>
                </c:pt>
                <c:pt idx="11">
                  <c:v>13528000</c:v>
                </c:pt>
                <c:pt idx="12">
                  <c:v>16060000</c:v>
                </c:pt>
                <c:pt idx="13">
                  <c:v>8060000</c:v>
                </c:pt>
                <c:pt idx="14">
                  <c:v>1300000</c:v>
                </c:pt>
                <c:pt idx="15">
                  <c:v>650000</c:v>
                </c:pt>
                <c:pt idx="16">
                  <c:v>1082000</c:v>
                </c:pt>
                <c:pt idx="17">
                  <c:v>541000</c:v>
                </c:pt>
                <c:pt idx="18">
                  <c:v>8500000</c:v>
                </c:pt>
                <c:pt idx="19">
                  <c:v>4250000</c:v>
                </c:pt>
                <c:pt idx="20">
                  <c:v>35225000</c:v>
                </c:pt>
                <c:pt idx="21">
                  <c:v>14366250</c:v>
                </c:pt>
                <c:pt idx="22">
                  <c:v>30580000</c:v>
                </c:pt>
                <c:pt idx="23">
                  <c:v>14645000</c:v>
                </c:pt>
                <c:pt idx="24">
                  <c:v>3575000</c:v>
                </c:pt>
                <c:pt idx="25">
                  <c:v>1430000</c:v>
                </c:pt>
                <c:pt idx="26">
                  <c:v>20115000</c:v>
                </c:pt>
                <c:pt idx="27">
                  <c:v>8015000</c:v>
                </c:pt>
                <c:pt idx="28">
                  <c:v>6310000</c:v>
                </c:pt>
                <c:pt idx="29">
                  <c:v>2524000</c:v>
                </c:pt>
              </c:numCache>
            </c:numRef>
          </c:val>
        </c:ser>
        <c:gapWidth val="100"/>
        <c:overlap val="0"/>
        <c:axId val="71983614"/>
        <c:axId val="23447369"/>
      </c:barChart>
      <c:catAx>
        <c:axId val="7198361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9810484863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3447369"/>
        <c:crosses val="autoZero"/>
        <c:auto val="1"/>
        <c:lblAlgn val="ctr"/>
        <c:lblOffset val="100"/>
        <c:noMultiLvlLbl val="0"/>
      </c:catAx>
      <c:valAx>
        <c:axId val="2344736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1941709334384"/>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1983614"/>
        <c:crosses val="max"/>
        <c:crossBetween val="midCat"/>
        <c:majorUnit val="1000000"/>
      </c:valAx>
      <c:spPr>
        <a:noFill/>
        <a:ln w="0">
          <a:solidFill>
            <a:srgbClr val="b3b3b3"/>
          </a:solidFill>
        </a:ln>
      </c:spPr>
    </c:plotArea>
    <c:legend>
      <c:legendPos val="r"/>
      <c:layout>
        <c:manualLayout>
          <c:xMode val="edge"/>
          <c:yMode val="edge"/>
          <c:x val="0.785888652649815"/>
          <c:y val="0.0768246468822285"/>
          <c:w val="0.188604953340946"/>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Payroll Tax Revenue</a:t>
            </a:r>
          </a:p>
        </c:rich>
      </c:tx>
      <c:layout>
        <c:manualLayout>
          <c:xMode val="edge"/>
          <c:yMode val="edge"/>
          <c:x val="0.261559669161087"/>
          <c:y val="0.01142013290671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'LSD.RID.0.AL'!$C$1080</c:f>
              <c:strCache>
                <c:ptCount val="1"/>
                <c:pt idx="0">
                  <c:v>Payroll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'LSD.RID.0.AL'!$C$1082:$C$1111</c:f>
              <c:numCache>
                <c:formatCode>[$$-409]#,##0;\-[$$-409]#,##0</c:formatCode>
                <c:ptCount val="30"/>
                <c:pt idx="0">
                  <c:v>625000</c:v>
                </c:pt>
                <c:pt idx="1">
                  <c:v>312500</c:v>
                </c:pt>
                <c:pt idx="2">
                  <c:v>10500000</c:v>
                </c:pt>
                <c:pt idx="3">
                  <c:v>4200000</c:v>
                </c:pt>
                <c:pt idx="4">
                  <c:v>9250000</c:v>
                </c:pt>
                <c:pt idx="5">
                  <c:v>4650000</c:v>
                </c:pt>
                <c:pt idx="6">
                  <c:v>1800000</c:v>
                </c:pt>
                <c:pt idx="7">
                  <c:v>900000</c:v>
                </c:pt>
                <c:pt idx="8">
                  <c:v>23000000</c:v>
                </c:pt>
                <c:pt idx="9">
                  <c:v>9750000</c:v>
                </c:pt>
                <c:pt idx="10">
                  <c:v>19500000</c:v>
                </c:pt>
                <c:pt idx="11">
                  <c:v>7800000</c:v>
                </c:pt>
                <c:pt idx="12">
                  <c:v>9250000</c:v>
                </c:pt>
                <c:pt idx="13">
                  <c:v>4650000</c:v>
                </c:pt>
                <c:pt idx="14">
                  <c:v>750000</c:v>
                </c:pt>
                <c:pt idx="15">
                  <c:v>375000</c:v>
                </c:pt>
                <c:pt idx="16">
                  <c:v>625000</c:v>
                </c:pt>
                <c:pt idx="17">
                  <c:v>312500</c:v>
                </c:pt>
                <c:pt idx="18">
                  <c:v>4900000</c:v>
                </c:pt>
                <c:pt idx="19">
                  <c:v>2450000</c:v>
                </c:pt>
                <c:pt idx="20">
                  <c:v>19000000</c:v>
                </c:pt>
                <c:pt idx="21">
                  <c:v>7750000</c:v>
                </c:pt>
                <c:pt idx="22">
                  <c:v>16500000</c:v>
                </c:pt>
                <c:pt idx="23">
                  <c:v>7900000</c:v>
                </c:pt>
                <c:pt idx="24">
                  <c:v>1950000</c:v>
                </c:pt>
                <c:pt idx="25">
                  <c:v>780000</c:v>
                </c:pt>
                <c:pt idx="26">
                  <c:v>11150000</c:v>
                </c:pt>
                <c:pt idx="27">
                  <c:v>4450000</c:v>
                </c:pt>
                <c:pt idx="28">
                  <c:v>3500000</c:v>
                </c:pt>
                <c:pt idx="29">
                  <c:v>1400000</c:v>
                </c:pt>
              </c:numCache>
            </c:numRef>
          </c:val>
        </c:ser>
        <c:ser>
          <c:idx val="1"/>
          <c:order val="1"/>
          <c:tx>
            <c:strRef>
              <c:f>'LSD.RID.0.AL'!$D$1080</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'LSD.RID.0.AL'!$D$1082:$D$1111</c:f>
              <c:numCache>
                <c:formatCode>[$$-409]#,##0;\-[$$-409]#,##0</c:formatCode>
                <c:ptCount val="30"/>
                <c:pt idx="0">
                  <c:v>20500</c:v>
                </c:pt>
                <c:pt idx="1">
                  <c:v>10250</c:v>
                </c:pt>
                <c:pt idx="2">
                  <c:v>350000</c:v>
                </c:pt>
                <c:pt idx="3">
                  <c:v>140000</c:v>
                </c:pt>
                <c:pt idx="4">
                  <c:v>305000</c:v>
                </c:pt>
                <c:pt idx="5">
                  <c:v>155000</c:v>
                </c:pt>
                <c:pt idx="6">
                  <c:v>60000</c:v>
                </c:pt>
                <c:pt idx="7">
                  <c:v>30000</c:v>
                </c:pt>
                <c:pt idx="8">
                  <c:v>760000</c:v>
                </c:pt>
                <c:pt idx="9">
                  <c:v>325000</c:v>
                </c:pt>
                <c:pt idx="10">
                  <c:v>650000</c:v>
                </c:pt>
                <c:pt idx="11">
                  <c:v>260000</c:v>
                </c:pt>
                <c:pt idx="12">
                  <c:v>305000</c:v>
                </c:pt>
                <c:pt idx="13">
                  <c:v>155000</c:v>
                </c:pt>
                <c:pt idx="14">
                  <c:v>25000</c:v>
                </c:pt>
                <c:pt idx="15">
                  <c:v>12500</c:v>
                </c:pt>
                <c:pt idx="16">
                  <c:v>21000</c:v>
                </c:pt>
                <c:pt idx="17">
                  <c:v>10500</c:v>
                </c:pt>
                <c:pt idx="18">
                  <c:v>162500</c:v>
                </c:pt>
                <c:pt idx="19">
                  <c:v>81250</c:v>
                </c:pt>
                <c:pt idx="20">
                  <c:v>625000</c:v>
                </c:pt>
                <c:pt idx="21">
                  <c:v>255000</c:v>
                </c:pt>
                <c:pt idx="22">
                  <c:v>545000</c:v>
                </c:pt>
                <c:pt idx="23">
                  <c:v>260000</c:v>
                </c:pt>
                <c:pt idx="24">
                  <c:v>65000</c:v>
                </c:pt>
                <c:pt idx="25">
                  <c:v>26000</c:v>
                </c:pt>
                <c:pt idx="26">
                  <c:v>367500</c:v>
                </c:pt>
                <c:pt idx="27">
                  <c:v>147500</c:v>
                </c:pt>
                <c:pt idx="28">
                  <c:v>115000</c:v>
                </c:pt>
                <c:pt idx="29">
                  <c:v>46000</c:v>
                </c:pt>
              </c:numCache>
            </c:numRef>
          </c:val>
        </c:ser>
        <c:ser>
          <c:idx val="2"/>
          <c:order val="2"/>
          <c:tx>
            <c:strRef>
              <c:f>'LSD.RID.0.AL'!$E$1080</c:f>
              <c:strCache>
                <c:ptCount val="1"/>
                <c:pt idx="0">
                  <c:v>Unauthorized Immigrant Payroll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'LSD.RID.0.AL'!$E$1082:$E$1111</c:f>
              <c:numCache>
                <c:formatCode>[$$-409]#,##0;\-[$$-409]#,##0</c:formatCode>
                <c:ptCount val="30"/>
                <c:pt idx="0">
                  <c:v>62500</c:v>
                </c:pt>
                <c:pt idx="1">
                  <c:v>31250</c:v>
                </c:pt>
                <c:pt idx="2">
                  <c:v>1050000</c:v>
                </c:pt>
                <c:pt idx="3">
                  <c:v>420000</c:v>
                </c:pt>
                <c:pt idx="4">
                  <c:v>915000</c:v>
                </c:pt>
                <c:pt idx="5">
                  <c:v>465000</c:v>
                </c:pt>
                <c:pt idx="6">
                  <c:v>180000</c:v>
                </c:pt>
                <c:pt idx="7">
                  <c:v>90000</c:v>
                </c:pt>
                <c:pt idx="8">
                  <c:v>2300000</c:v>
                </c:pt>
                <c:pt idx="9">
                  <c:v>975000</c:v>
                </c:pt>
                <c:pt idx="10">
                  <c:v>1950000</c:v>
                </c:pt>
                <c:pt idx="11">
                  <c:v>780000</c:v>
                </c:pt>
                <c:pt idx="12">
                  <c:v>915000</c:v>
                </c:pt>
                <c:pt idx="13">
                  <c:v>465000</c:v>
                </c:pt>
                <c:pt idx="14">
                  <c:v>75000</c:v>
                </c:pt>
                <c:pt idx="15">
                  <c:v>37500</c:v>
                </c:pt>
                <c:pt idx="16">
                  <c:v>63000</c:v>
                </c:pt>
                <c:pt idx="17">
                  <c:v>31500</c:v>
                </c:pt>
                <c:pt idx="18">
                  <c:v>487500</c:v>
                </c:pt>
                <c:pt idx="19">
                  <c:v>244000</c:v>
                </c:pt>
                <c:pt idx="20">
                  <c:v>762500</c:v>
                </c:pt>
                <c:pt idx="21">
                  <c:v>311250</c:v>
                </c:pt>
                <c:pt idx="22">
                  <c:v>665000</c:v>
                </c:pt>
                <c:pt idx="23">
                  <c:v>317500</c:v>
                </c:pt>
                <c:pt idx="24">
                  <c:v>97500</c:v>
                </c:pt>
                <c:pt idx="25">
                  <c:v>39000</c:v>
                </c:pt>
                <c:pt idx="26">
                  <c:v>735000</c:v>
                </c:pt>
                <c:pt idx="27">
                  <c:v>295000</c:v>
                </c:pt>
                <c:pt idx="28">
                  <c:v>230000</c:v>
                </c:pt>
                <c:pt idx="29">
                  <c:v>92000</c:v>
                </c:pt>
              </c:numCache>
            </c:numRef>
          </c:val>
        </c:ser>
        <c:ser>
          <c:idx val="3"/>
          <c:order val="3"/>
          <c:tx>
            <c:strRef>
              <c:f>'LSD.RID.0.AL'!$F$1080</c:f>
              <c:strCache>
                <c:ptCount val="1"/>
                <c:pt idx="0">
                  <c:v>American Payroll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'LSD.RID.0.AL'!$F$1082:$F$1111</c:f>
              <c:numCache>
                <c:formatCode>[$$-409]#,##0;\-[$$-409]#,##0</c:formatCode>
                <c:ptCount val="30"/>
                <c:pt idx="0">
                  <c:v>542000</c:v>
                </c:pt>
                <c:pt idx="1">
                  <c:v>271000</c:v>
                </c:pt>
                <c:pt idx="2">
                  <c:v>9100000</c:v>
                </c:pt>
                <c:pt idx="3">
                  <c:v>3640000</c:v>
                </c:pt>
                <c:pt idx="4">
                  <c:v>8030000</c:v>
                </c:pt>
                <c:pt idx="5">
                  <c:v>4030000</c:v>
                </c:pt>
                <c:pt idx="6">
                  <c:v>1560000</c:v>
                </c:pt>
                <c:pt idx="7">
                  <c:v>780000</c:v>
                </c:pt>
                <c:pt idx="8">
                  <c:v>19940000</c:v>
                </c:pt>
                <c:pt idx="9">
                  <c:v>8452500</c:v>
                </c:pt>
                <c:pt idx="10">
                  <c:v>16900000</c:v>
                </c:pt>
                <c:pt idx="11">
                  <c:v>6760000</c:v>
                </c:pt>
                <c:pt idx="12">
                  <c:v>8030000</c:v>
                </c:pt>
                <c:pt idx="13">
                  <c:v>4030000</c:v>
                </c:pt>
                <c:pt idx="14">
                  <c:v>650000</c:v>
                </c:pt>
                <c:pt idx="15">
                  <c:v>325000</c:v>
                </c:pt>
                <c:pt idx="16">
                  <c:v>541000</c:v>
                </c:pt>
                <c:pt idx="17">
                  <c:v>270500</c:v>
                </c:pt>
                <c:pt idx="18">
                  <c:v>4252500</c:v>
                </c:pt>
                <c:pt idx="19">
                  <c:v>2125000</c:v>
                </c:pt>
                <c:pt idx="20">
                  <c:v>17656250</c:v>
                </c:pt>
                <c:pt idx="21">
                  <c:v>7190625</c:v>
                </c:pt>
                <c:pt idx="22">
                  <c:v>15295500</c:v>
                </c:pt>
                <c:pt idx="23">
                  <c:v>7322500</c:v>
                </c:pt>
                <c:pt idx="24">
                  <c:v>1787500</c:v>
                </c:pt>
                <c:pt idx="25">
                  <c:v>715000</c:v>
                </c:pt>
                <c:pt idx="26">
                  <c:v>10039500</c:v>
                </c:pt>
                <c:pt idx="27">
                  <c:v>4007500</c:v>
                </c:pt>
                <c:pt idx="28">
                  <c:v>3155000</c:v>
                </c:pt>
                <c:pt idx="29">
                  <c:v>1262000</c:v>
                </c:pt>
              </c:numCache>
            </c:numRef>
          </c:val>
        </c:ser>
        <c:gapWidth val="100"/>
        <c:overlap val="0"/>
        <c:axId val="86865682"/>
        <c:axId val="13020519"/>
      </c:barChart>
      <c:catAx>
        <c:axId val="8686568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93182377553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3020519"/>
        <c:crosses val="autoZero"/>
        <c:auto val="1"/>
        <c:lblAlgn val="ctr"/>
        <c:lblOffset val="100"/>
        <c:noMultiLvlLbl val="0"/>
      </c:catAx>
      <c:valAx>
        <c:axId val="1302051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202048050413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6865682"/>
        <c:crosses val="max"/>
        <c:crossBetween val="midCat"/>
        <c:majorUnit val="1000000"/>
      </c:valAx>
      <c:spPr>
        <a:noFill/>
        <a:ln w="0">
          <a:solidFill>
            <a:srgbClr val="b3b3b3"/>
          </a:solidFill>
        </a:ln>
      </c:spPr>
    </c:plotArea>
    <c:legend>
      <c:legendPos val="r"/>
      <c:layout>
        <c:manualLayout>
          <c:xMode val="edge"/>
          <c:yMode val="edge"/>
          <c:x val="0.804346970114581"/>
          <c:y val="0.0768265373920319"/>
          <c:w val="0.170177580029137"/>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Earned Income Tax Credit Refund</a:t>
            </a:r>
          </a:p>
        </c:rich>
      </c:tx>
      <c:layout>
        <c:manualLayout>
          <c:xMode val="edge"/>
          <c:yMode val="edge"/>
          <c:x val="0.243442300118157"/>
          <c:y val="0.01142013290671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'LSD.RID.0.AL'!$C$1210</c:f>
              <c:strCache>
                <c:ptCount val="1"/>
                <c:pt idx="0">
                  <c:v>EITC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'LSD.RID.0.AL'!$C$1212:$C$1241</c:f>
              <c:numCache>
                <c:formatCode>[$$-409]#,##0;\-[$$-409]#,##0</c:formatCode>
                <c:ptCount val="30"/>
                <c:pt idx="0">
                  <c:v>78000</c:v>
                </c:pt>
                <c:pt idx="1">
                  <c:v>39000</c:v>
                </c:pt>
                <c:pt idx="2">
                  <c:v>2800000</c:v>
                </c:pt>
                <c:pt idx="3">
                  <c:v>1120000</c:v>
                </c:pt>
                <c:pt idx="4">
                  <c:v>3600000</c:v>
                </c:pt>
                <c:pt idx="5">
                  <c:v>1800000</c:v>
                </c:pt>
                <c:pt idx="6">
                  <c:v>750000</c:v>
                </c:pt>
                <c:pt idx="7">
                  <c:v>375000</c:v>
                </c:pt>
                <c:pt idx="8">
                  <c:v>5200000</c:v>
                </c:pt>
                <c:pt idx="9">
                  <c:v>2100000</c:v>
                </c:pt>
                <c:pt idx="10">
                  <c:v>4600000</c:v>
                </c:pt>
                <c:pt idx="11">
                  <c:v>1840000</c:v>
                </c:pt>
                <c:pt idx="12">
                  <c:v>3600000</c:v>
                </c:pt>
                <c:pt idx="13">
                  <c:v>1800000</c:v>
                </c:pt>
                <c:pt idx="14">
                  <c:v>195000</c:v>
                </c:pt>
                <c:pt idx="15">
                  <c:v>97500</c:v>
                </c:pt>
                <c:pt idx="16">
                  <c:v>165000</c:v>
                </c:pt>
                <c:pt idx="17">
                  <c:v>82500</c:v>
                </c:pt>
                <c:pt idx="18">
                  <c:v>1900000</c:v>
                </c:pt>
                <c:pt idx="19">
                  <c:v>950000</c:v>
                </c:pt>
                <c:pt idx="20">
                  <c:v>6000000</c:v>
                </c:pt>
                <c:pt idx="21">
                  <c:v>2500000</c:v>
                </c:pt>
                <c:pt idx="22">
                  <c:v>2700000</c:v>
                </c:pt>
                <c:pt idx="23">
                  <c:v>1300000</c:v>
                </c:pt>
                <c:pt idx="24">
                  <c:v>630000</c:v>
                </c:pt>
                <c:pt idx="25">
                  <c:v>250000</c:v>
                </c:pt>
                <c:pt idx="26">
                  <c:v>1800000</c:v>
                </c:pt>
                <c:pt idx="27">
                  <c:v>720000</c:v>
                </c:pt>
                <c:pt idx="28">
                  <c:v>560000</c:v>
                </c:pt>
                <c:pt idx="29">
                  <c:v>225000</c:v>
                </c:pt>
              </c:numCache>
            </c:numRef>
          </c:val>
        </c:ser>
        <c:ser>
          <c:idx val="1"/>
          <c:order val="1"/>
          <c:tx>
            <c:strRef>
              <c:f>'LSD.RID.0.AL'!$D$1210</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'LSD.RID.0.AL'!$D$1212:$D$1241</c:f>
              <c:numCache>
                <c:formatCode>[$$-409]#,##0;\-[$$-409]#,##0</c:formatCode>
                <c:ptCount val="30"/>
                <c:pt idx="0">
                  <c:v>15600</c:v>
                </c:pt>
                <c:pt idx="1">
                  <c:v>7800</c:v>
                </c:pt>
                <c:pt idx="2">
                  <c:v>560000</c:v>
                </c:pt>
                <c:pt idx="3">
                  <c:v>224000</c:v>
                </c:pt>
                <c:pt idx="4">
                  <c:v>720000</c:v>
                </c:pt>
                <c:pt idx="5">
                  <c:v>360000</c:v>
                </c:pt>
                <c:pt idx="6">
                  <c:v>150000</c:v>
                </c:pt>
                <c:pt idx="7">
                  <c:v>75000</c:v>
                </c:pt>
                <c:pt idx="8">
                  <c:v>1040000</c:v>
                </c:pt>
                <c:pt idx="9">
                  <c:v>420000</c:v>
                </c:pt>
                <c:pt idx="10">
                  <c:v>920000</c:v>
                </c:pt>
                <c:pt idx="11">
                  <c:v>368000</c:v>
                </c:pt>
                <c:pt idx="12">
                  <c:v>720000</c:v>
                </c:pt>
                <c:pt idx="13">
                  <c:v>360000</c:v>
                </c:pt>
                <c:pt idx="14">
                  <c:v>39000</c:v>
                </c:pt>
                <c:pt idx="15">
                  <c:v>19500</c:v>
                </c:pt>
                <c:pt idx="16">
                  <c:v>33000</c:v>
                </c:pt>
                <c:pt idx="17">
                  <c:v>16500</c:v>
                </c:pt>
                <c:pt idx="18">
                  <c:v>380000</c:v>
                </c:pt>
                <c:pt idx="19">
                  <c:v>190000</c:v>
                </c:pt>
                <c:pt idx="20">
                  <c:v>1500000</c:v>
                </c:pt>
                <c:pt idx="21">
                  <c:v>625000</c:v>
                </c:pt>
                <c:pt idx="22">
                  <c:v>675000</c:v>
                </c:pt>
                <c:pt idx="23">
                  <c:v>325000</c:v>
                </c:pt>
                <c:pt idx="24">
                  <c:v>157500</c:v>
                </c:pt>
                <c:pt idx="25">
                  <c:v>62500</c:v>
                </c:pt>
                <c:pt idx="26">
                  <c:v>450000</c:v>
                </c:pt>
                <c:pt idx="27">
                  <c:v>180000</c:v>
                </c:pt>
                <c:pt idx="28">
                  <c:v>140000</c:v>
                </c:pt>
                <c:pt idx="29">
                  <c:v>56250</c:v>
                </c:pt>
              </c:numCache>
            </c:numRef>
          </c:val>
        </c:ser>
        <c:ser>
          <c:idx val="2"/>
          <c:order val="2"/>
          <c:tx>
            <c:strRef>
              <c:f>'LSD.RID.0.AL'!$E$1210</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'LSD.RID.0.AL'!$E$1212:$E$1241</c:f>
              <c:numCache>
                <c:formatCode>[$$-409]#,##0;\-[$$-409]#,##0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3"/>
          <c:order val="3"/>
          <c:tx>
            <c:strRef>
              <c:f>'LSD.RID.0.AL'!$F$1210</c:f>
              <c:strCache>
                <c:ptCount val="1"/>
                <c:pt idx="0">
                  <c:v>American Effective Tax EITC Credit Refund</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'LSD.RID.0.AL'!$F$1212:$F$1241</c:f>
              <c:numCache>
                <c:formatCode>[$$-409]#,##0;\-[$$-409]#,##0</c:formatCode>
                <c:ptCount val="30"/>
                <c:pt idx="0">
                  <c:v>62400</c:v>
                </c:pt>
                <c:pt idx="1">
                  <c:v>31200</c:v>
                </c:pt>
                <c:pt idx="2">
                  <c:v>2240000</c:v>
                </c:pt>
                <c:pt idx="3">
                  <c:v>896000</c:v>
                </c:pt>
                <c:pt idx="4">
                  <c:v>2880000</c:v>
                </c:pt>
                <c:pt idx="5">
                  <c:v>1440000</c:v>
                </c:pt>
                <c:pt idx="6">
                  <c:v>600000</c:v>
                </c:pt>
                <c:pt idx="7">
                  <c:v>300000</c:v>
                </c:pt>
                <c:pt idx="8">
                  <c:v>4160000</c:v>
                </c:pt>
                <c:pt idx="9">
                  <c:v>1680000</c:v>
                </c:pt>
                <c:pt idx="10">
                  <c:v>3680000</c:v>
                </c:pt>
                <c:pt idx="11">
                  <c:v>1472000</c:v>
                </c:pt>
                <c:pt idx="12">
                  <c:v>2880000</c:v>
                </c:pt>
                <c:pt idx="13">
                  <c:v>1440000</c:v>
                </c:pt>
                <c:pt idx="14">
                  <c:v>156000</c:v>
                </c:pt>
                <c:pt idx="15">
                  <c:v>78000</c:v>
                </c:pt>
                <c:pt idx="16">
                  <c:v>132000</c:v>
                </c:pt>
                <c:pt idx="17">
                  <c:v>66000</c:v>
                </c:pt>
                <c:pt idx="18">
                  <c:v>1520000</c:v>
                </c:pt>
                <c:pt idx="19">
                  <c:v>760000</c:v>
                </c:pt>
                <c:pt idx="20">
                  <c:v>4500000</c:v>
                </c:pt>
                <c:pt idx="21">
                  <c:v>1875000</c:v>
                </c:pt>
                <c:pt idx="22">
                  <c:v>2025000</c:v>
                </c:pt>
                <c:pt idx="23">
                  <c:v>975000</c:v>
                </c:pt>
                <c:pt idx="24">
                  <c:v>472500</c:v>
                </c:pt>
                <c:pt idx="25">
                  <c:v>187500</c:v>
                </c:pt>
                <c:pt idx="26">
                  <c:v>1350000</c:v>
                </c:pt>
                <c:pt idx="27">
                  <c:v>540000</c:v>
                </c:pt>
                <c:pt idx="28">
                  <c:v>420000</c:v>
                </c:pt>
                <c:pt idx="29">
                  <c:v>168750</c:v>
                </c:pt>
              </c:numCache>
            </c:numRef>
          </c:val>
        </c:ser>
        <c:gapWidth val="100"/>
        <c:overlap val="0"/>
        <c:axId val="7949145"/>
        <c:axId val="65508004"/>
      </c:barChart>
      <c:catAx>
        <c:axId val="794914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88259906473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5508004"/>
        <c:crosses val="autoZero"/>
        <c:auto val="1"/>
        <c:lblAlgn val="ctr"/>
        <c:lblOffset val="100"/>
        <c:noMultiLvlLbl val="0"/>
      </c:catAx>
      <c:valAx>
        <c:axId val="6550800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099251673887"/>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949145"/>
        <c:crosses val="max"/>
        <c:crossBetween val="midCat"/>
        <c:majorUnit val="100000"/>
      </c:valAx>
      <c:spPr>
        <a:noFill/>
        <a:ln w="0">
          <a:solidFill>
            <a:srgbClr val="b3b3b3"/>
          </a:solidFill>
        </a:ln>
      </c:spPr>
    </c:plotArea>
    <c:legend>
      <c:legendPos val="r"/>
      <c:layout>
        <c:manualLayout>
          <c:xMode val="edge"/>
          <c:yMode val="edge"/>
          <c:x val="0.804315300417356"/>
          <c:y val="0.0768246468822285"/>
          <c:w val="0.170177580029137"/>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166601024025"/>
          <c:y val="0.01142013290671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'LSD.RID.0.AL'!$C$1340</c:f>
              <c:strCache>
                <c:ptCount val="1"/>
                <c:pt idx="0">
                  <c:v>ACTC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'LSD.RID.0.AL'!$C$1342:$C$1371</c:f>
              <c:numCache>
                <c:formatCode>[$$-409]#,##0;\-[$$-409]#,##0</c:formatCode>
                <c:ptCount val="30"/>
                <c:pt idx="0">
                  <c:v>31200</c:v>
                </c:pt>
                <c:pt idx="1">
                  <c:v>15600</c:v>
                </c:pt>
                <c:pt idx="2">
                  <c:v>1120000</c:v>
                </c:pt>
                <c:pt idx="3">
                  <c:v>448000</c:v>
                </c:pt>
                <c:pt idx="4">
                  <c:v>1440000</c:v>
                </c:pt>
                <c:pt idx="5">
                  <c:v>720000</c:v>
                </c:pt>
                <c:pt idx="6">
                  <c:v>300000</c:v>
                </c:pt>
                <c:pt idx="7">
                  <c:v>150000</c:v>
                </c:pt>
                <c:pt idx="8">
                  <c:v>2080000</c:v>
                </c:pt>
                <c:pt idx="9">
                  <c:v>840000</c:v>
                </c:pt>
                <c:pt idx="10">
                  <c:v>1840000</c:v>
                </c:pt>
                <c:pt idx="11">
                  <c:v>736000</c:v>
                </c:pt>
                <c:pt idx="12">
                  <c:v>1440000</c:v>
                </c:pt>
                <c:pt idx="13">
                  <c:v>720000</c:v>
                </c:pt>
                <c:pt idx="14">
                  <c:v>78000</c:v>
                </c:pt>
                <c:pt idx="15">
                  <c:v>39000</c:v>
                </c:pt>
                <c:pt idx="16">
                  <c:v>66000</c:v>
                </c:pt>
                <c:pt idx="17">
                  <c:v>33000</c:v>
                </c:pt>
                <c:pt idx="18">
                  <c:v>760000</c:v>
                </c:pt>
                <c:pt idx="19">
                  <c:v>380000</c:v>
                </c:pt>
                <c:pt idx="20">
                  <c:v>3000000</c:v>
                </c:pt>
                <c:pt idx="21">
                  <c:v>1250000</c:v>
                </c:pt>
                <c:pt idx="22">
                  <c:v>1350000</c:v>
                </c:pt>
                <c:pt idx="23">
                  <c:v>650000</c:v>
                </c:pt>
                <c:pt idx="24">
                  <c:v>315000</c:v>
                </c:pt>
                <c:pt idx="25">
                  <c:v>125000</c:v>
                </c:pt>
                <c:pt idx="26">
                  <c:v>900000</c:v>
                </c:pt>
                <c:pt idx="27">
                  <c:v>360000</c:v>
                </c:pt>
                <c:pt idx="28">
                  <c:v>280000</c:v>
                </c:pt>
                <c:pt idx="29">
                  <c:v>112500</c:v>
                </c:pt>
              </c:numCache>
            </c:numRef>
          </c:val>
        </c:ser>
        <c:ser>
          <c:idx val="1"/>
          <c:order val="1"/>
          <c:tx>
            <c:strRef>
              <c:f>'LSD.RID.0.AL'!$D$1340</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'LSD.RID.0.AL'!$D$1342:$D$1371</c:f>
              <c:numCache>
                <c:formatCode>[$$-409]#,##0;\-[$$-409]#,##0</c:formatCode>
                <c:ptCount val="30"/>
                <c:pt idx="0">
                  <c:v>7800</c:v>
                </c:pt>
                <c:pt idx="1">
                  <c:v>3900</c:v>
                </c:pt>
                <c:pt idx="2">
                  <c:v>280000</c:v>
                </c:pt>
                <c:pt idx="3">
                  <c:v>112000</c:v>
                </c:pt>
                <c:pt idx="4">
                  <c:v>360000</c:v>
                </c:pt>
                <c:pt idx="5">
                  <c:v>180000</c:v>
                </c:pt>
                <c:pt idx="6">
                  <c:v>75000</c:v>
                </c:pt>
                <c:pt idx="7">
                  <c:v>37500</c:v>
                </c:pt>
                <c:pt idx="8">
                  <c:v>520000</c:v>
                </c:pt>
                <c:pt idx="9">
                  <c:v>210000</c:v>
                </c:pt>
                <c:pt idx="10">
                  <c:v>460000</c:v>
                </c:pt>
                <c:pt idx="11">
                  <c:v>184000</c:v>
                </c:pt>
                <c:pt idx="12">
                  <c:v>360000</c:v>
                </c:pt>
                <c:pt idx="13">
                  <c:v>180000</c:v>
                </c:pt>
                <c:pt idx="14">
                  <c:v>19500</c:v>
                </c:pt>
                <c:pt idx="15">
                  <c:v>9750</c:v>
                </c:pt>
                <c:pt idx="16">
                  <c:v>16500</c:v>
                </c:pt>
                <c:pt idx="17">
                  <c:v>8250</c:v>
                </c:pt>
                <c:pt idx="18">
                  <c:v>190000</c:v>
                </c:pt>
                <c:pt idx="19">
                  <c:v>95000</c:v>
                </c:pt>
                <c:pt idx="20">
                  <c:v>750000</c:v>
                </c:pt>
                <c:pt idx="21">
                  <c:v>312500</c:v>
                </c:pt>
                <c:pt idx="22">
                  <c:v>337500</c:v>
                </c:pt>
                <c:pt idx="23">
                  <c:v>162500</c:v>
                </c:pt>
                <c:pt idx="24">
                  <c:v>78750</c:v>
                </c:pt>
                <c:pt idx="25">
                  <c:v>31250</c:v>
                </c:pt>
                <c:pt idx="26">
                  <c:v>225000</c:v>
                </c:pt>
                <c:pt idx="27">
                  <c:v>90000</c:v>
                </c:pt>
                <c:pt idx="28">
                  <c:v>70000</c:v>
                </c:pt>
                <c:pt idx="29">
                  <c:v>28125</c:v>
                </c:pt>
              </c:numCache>
            </c:numRef>
          </c:val>
        </c:ser>
        <c:ser>
          <c:idx val="2"/>
          <c:order val="2"/>
          <c:tx>
            <c:strRef>
              <c:f>'LSD.RID.0.AL'!$E$1340</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'LSD.RID.0.AL'!$E$1342:$E$1371</c:f>
              <c:numCache>
                <c:formatCode>[$$-409]#,##0;\-[$$-409]#,##0</c:formatCode>
                <c:ptCount val="30"/>
                <c:pt idx="0">
                  <c:v>3120</c:v>
                </c:pt>
                <c:pt idx="1">
                  <c:v>1560</c:v>
                </c:pt>
                <c:pt idx="2">
                  <c:v>112000</c:v>
                </c:pt>
                <c:pt idx="3">
                  <c:v>44800</c:v>
                </c:pt>
                <c:pt idx="4">
                  <c:v>144000</c:v>
                </c:pt>
                <c:pt idx="5">
                  <c:v>72000</c:v>
                </c:pt>
                <c:pt idx="6">
                  <c:v>30000</c:v>
                </c:pt>
                <c:pt idx="7">
                  <c:v>15000</c:v>
                </c:pt>
                <c:pt idx="8">
                  <c:v>208000</c:v>
                </c:pt>
                <c:pt idx="9">
                  <c:v>84000</c:v>
                </c:pt>
                <c:pt idx="10">
                  <c:v>184000</c:v>
                </c:pt>
                <c:pt idx="11">
                  <c:v>73600</c:v>
                </c:pt>
                <c:pt idx="12">
                  <c:v>144000</c:v>
                </c:pt>
                <c:pt idx="13">
                  <c:v>72000</c:v>
                </c:pt>
                <c:pt idx="14">
                  <c:v>19500</c:v>
                </c:pt>
                <c:pt idx="15">
                  <c:v>9750</c:v>
                </c:pt>
                <c:pt idx="16">
                  <c:v>16500</c:v>
                </c:pt>
                <c:pt idx="17">
                  <c:v>8250</c:v>
                </c:pt>
                <c:pt idx="18">
                  <c:v>76000</c:v>
                </c:pt>
                <c:pt idx="19">
                  <c:v>38000</c:v>
                </c:pt>
                <c:pt idx="20">
                  <c:v>600000</c:v>
                </c:pt>
                <c:pt idx="21">
                  <c:v>250000</c:v>
                </c:pt>
                <c:pt idx="22">
                  <c:v>270000</c:v>
                </c:pt>
                <c:pt idx="23">
                  <c:v>130000</c:v>
                </c:pt>
                <c:pt idx="24">
                  <c:v>63000</c:v>
                </c:pt>
                <c:pt idx="25">
                  <c:v>25000</c:v>
                </c:pt>
                <c:pt idx="26">
                  <c:v>180000</c:v>
                </c:pt>
                <c:pt idx="27">
                  <c:v>72000</c:v>
                </c:pt>
                <c:pt idx="28">
                  <c:v>70000</c:v>
                </c:pt>
                <c:pt idx="29">
                  <c:v>28000</c:v>
                </c:pt>
              </c:numCache>
            </c:numRef>
          </c:val>
        </c:ser>
        <c:ser>
          <c:idx val="3"/>
          <c:order val="3"/>
          <c:tx>
            <c:strRef>
              <c:f>'LSD.RID.0.AL'!$F$1340</c:f>
              <c:strCache>
                <c:ptCount val="1"/>
                <c:pt idx="0">
                  <c:v>American Effective Tax ACTC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'LSD.RID.0.AL'!$F$1342:$F$1371</c:f>
              <c:numCache>
                <c:formatCode>[$$-409]#,##0;\-[$$-409]#,##0</c:formatCode>
                <c:ptCount val="30"/>
                <c:pt idx="0">
                  <c:v>23400</c:v>
                </c:pt>
                <c:pt idx="1">
                  <c:v>11700</c:v>
                </c:pt>
                <c:pt idx="2">
                  <c:v>840000</c:v>
                </c:pt>
                <c:pt idx="3">
                  <c:v>336000</c:v>
                </c:pt>
                <c:pt idx="4">
                  <c:v>1080000</c:v>
                </c:pt>
                <c:pt idx="5">
                  <c:v>540000</c:v>
                </c:pt>
                <c:pt idx="6">
                  <c:v>225000</c:v>
                </c:pt>
                <c:pt idx="7">
                  <c:v>112500</c:v>
                </c:pt>
                <c:pt idx="8">
                  <c:v>1560000</c:v>
                </c:pt>
                <c:pt idx="9">
                  <c:v>630000</c:v>
                </c:pt>
                <c:pt idx="10">
                  <c:v>1380000</c:v>
                </c:pt>
                <c:pt idx="11">
                  <c:v>552000</c:v>
                </c:pt>
                <c:pt idx="12">
                  <c:v>1080000</c:v>
                </c:pt>
                <c:pt idx="13">
                  <c:v>540000</c:v>
                </c:pt>
                <c:pt idx="14">
                  <c:v>146250</c:v>
                </c:pt>
                <c:pt idx="15">
                  <c:v>73125</c:v>
                </c:pt>
                <c:pt idx="16">
                  <c:v>123750</c:v>
                </c:pt>
                <c:pt idx="17">
                  <c:v>61875</c:v>
                </c:pt>
                <c:pt idx="18">
                  <c:v>570000</c:v>
                </c:pt>
                <c:pt idx="19">
                  <c:v>285000</c:v>
                </c:pt>
                <c:pt idx="20">
                  <c:v>4500000</c:v>
                </c:pt>
                <c:pt idx="21">
                  <c:v>1875000</c:v>
                </c:pt>
                <c:pt idx="22">
                  <c:v>2025000</c:v>
                </c:pt>
                <c:pt idx="23">
                  <c:v>975000</c:v>
                </c:pt>
                <c:pt idx="24">
                  <c:v>472500</c:v>
                </c:pt>
                <c:pt idx="25">
                  <c:v>187500</c:v>
                </c:pt>
                <c:pt idx="26">
                  <c:v>1350000</c:v>
                </c:pt>
                <c:pt idx="27">
                  <c:v>540000</c:v>
                </c:pt>
                <c:pt idx="28">
                  <c:v>525000</c:v>
                </c:pt>
                <c:pt idx="29">
                  <c:v>210000</c:v>
                </c:pt>
              </c:numCache>
            </c:numRef>
          </c:val>
        </c:ser>
        <c:gapWidth val="100"/>
        <c:overlap val="0"/>
        <c:axId val="95898993"/>
        <c:axId val="50580502"/>
      </c:barChart>
      <c:catAx>
        <c:axId val="9589899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83337435392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0580502"/>
        <c:crosses val="autoZero"/>
        <c:auto val="1"/>
        <c:lblAlgn val="ctr"/>
        <c:lblOffset val="100"/>
        <c:noMultiLvlLbl val="0"/>
      </c:catAx>
      <c:valAx>
        <c:axId val="5058050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82355257975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5898993"/>
        <c:crosses val="max"/>
        <c:crossBetween val="midCat"/>
        <c:majorUnit val="100000"/>
      </c:valAx>
      <c:spPr>
        <a:noFill/>
        <a:ln w="0">
          <a:solidFill>
            <a:srgbClr val="b3b3b3"/>
          </a:solidFill>
        </a:ln>
      </c:spPr>
    </c:plotArea>
    <c:legend>
      <c:legendPos val="r"/>
      <c:layout>
        <c:manualLayout>
          <c:xMode val="edge"/>
          <c:yMode val="edge"/>
          <c:x val="0.804315300417356"/>
          <c:y val="0.0768246468822285"/>
          <c:w val="0.170177580029137"/>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245372193777"/>
          <c:y val="0.0114201329067192"/>
        </c:manualLayout>
      </c:layout>
      <c:overlay val="0"/>
      <c:spPr>
        <a:noFill/>
        <a:ln w="0">
          <a:noFill/>
        </a:ln>
      </c:spPr>
    </c:title>
    <c:autoTitleDeleted val="0"/>
    <c:plotArea>
      <c:layout>
        <c:manualLayout>
          <c:layoutTarget val="inner"/>
          <c:xMode val="edge"/>
          <c:yMode val="edge"/>
          <c:x val="0.299921228830248"/>
          <c:y val="0.0468619246861925"/>
          <c:w val="0.47093343836156"/>
          <c:h val="0.874920009844942"/>
        </c:manualLayout>
      </c:layout>
      <c:barChart>
        <c:barDir val="bar"/>
        <c:grouping val="clustered"/>
        <c:varyColors val="0"/>
        <c:ser>
          <c:idx val="0"/>
          <c:order val="0"/>
          <c:tx>
            <c:strRef>
              <c:f>'LSD.RID.0.AL'!$C$1469</c:f>
              <c:strCache>
                <c:ptCount val="1"/>
                <c:pt idx="0">
                  <c:v>AOTC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'LSD.RID.0.AL'!$C$1471:$C$1500</c:f>
              <c:numCache>
                <c:formatCode>[$$-409]#,##0;\-[$$-409]#,##0</c:formatCode>
                <c:ptCount val="30"/>
                <c:pt idx="0">
                  <c:v>15600</c:v>
                </c:pt>
                <c:pt idx="1">
                  <c:v>7800</c:v>
                </c:pt>
                <c:pt idx="2">
                  <c:v>420000</c:v>
                </c:pt>
                <c:pt idx="3">
                  <c:v>168000</c:v>
                </c:pt>
                <c:pt idx="4">
                  <c:v>720000</c:v>
                </c:pt>
                <c:pt idx="5">
                  <c:v>360000</c:v>
                </c:pt>
                <c:pt idx="6">
                  <c:v>150000</c:v>
                </c:pt>
                <c:pt idx="7">
                  <c:v>75000</c:v>
                </c:pt>
                <c:pt idx="8">
                  <c:v>1040000</c:v>
                </c:pt>
                <c:pt idx="9">
                  <c:v>420000</c:v>
                </c:pt>
                <c:pt idx="10">
                  <c:v>920000</c:v>
                </c:pt>
                <c:pt idx="11">
                  <c:v>368000</c:v>
                </c:pt>
                <c:pt idx="12">
                  <c:v>720000</c:v>
                </c:pt>
                <c:pt idx="13">
                  <c:v>360000</c:v>
                </c:pt>
                <c:pt idx="14">
                  <c:v>97500</c:v>
                </c:pt>
                <c:pt idx="15">
                  <c:v>48750</c:v>
                </c:pt>
                <c:pt idx="16">
                  <c:v>82500</c:v>
                </c:pt>
                <c:pt idx="17">
                  <c:v>41250</c:v>
                </c:pt>
                <c:pt idx="18">
                  <c:v>380000</c:v>
                </c:pt>
                <c:pt idx="19">
                  <c:v>190000</c:v>
                </c:pt>
                <c:pt idx="20">
                  <c:v>6500000</c:v>
                </c:pt>
                <c:pt idx="21">
                  <c:v>2600000</c:v>
                </c:pt>
                <c:pt idx="22">
                  <c:v>3500000</c:v>
                </c:pt>
                <c:pt idx="23">
                  <c:v>1650000</c:v>
                </c:pt>
                <c:pt idx="24">
                  <c:v>810000</c:v>
                </c:pt>
                <c:pt idx="25">
                  <c:v>325000</c:v>
                </c:pt>
                <c:pt idx="26">
                  <c:v>2300000</c:v>
                </c:pt>
                <c:pt idx="27">
                  <c:v>900000</c:v>
                </c:pt>
                <c:pt idx="28">
                  <c:v>560000</c:v>
                </c:pt>
                <c:pt idx="29">
                  <c:v>225000</c:v>
                </c:pt>
              </c:numCache>
            </c:numRef>
          </c:val>
        </c:ser>
        <c:ser>
          <c:idx val="1"/>
          <c:order val="1"/>
          <c:tx>
            <c:strRef>
              <c:f>'LSD.RID.0.AL'!$D$1469</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'LSD.RID.0.AL'!$D$1471:$D$1500</c:f>
              <c:numCache>
                <c:formatCode>[$$-409]#,##0;\-[$$-409]#,##0</c:formatCode>
                <c:ptCount val="30"/>
                <c:pt idx="0">
                  <c:v>3120</c:v>
                </c:pt>
                <c:pt idx="1">
                  <c:v>1560</c:v>
                </c:pt>
                <c:pt idx="2">
                  <c:v>84000</c:v>
                </c:pt>
                <c:pt idx="3">
                  <c:v>33600</c:v>
                </c:pt>
                <c:pt idx="4">
                  <c:v>144000</c:v>
                </c:pt>
                <c:pt idx="5">
                  <c:v>72000</c:v>
                </c:pt>
                <c:pt idx="6">
                  <c:v>30000</c:v>
                </c:pt>
                <c:pt idx="7">
                  <c:v>15000</c:v>
                </c:pt>
                <c:pt idx="8">
                  <c:v>208000</c:v>
                </c:pt>
                <c:pt idx="9">
                  <c:v>84000</c:v>
                </c:pt>
                <c:pt idx="10">
                  <c:v>184000</c:v>
                </c:pt>
                <c:pt idx="11">
                  <c:v>73600</c:v>
                </c:pt>
                <c:pt idx="12">
                  <c:v>144000</c:v>
                </c:pt>
                <c:pt idx="13">
                  <c:v>72000</c:v>
                </c:pt>
                <c:pt idx="14">
                  <c:v>19500</c:v>
                </c:pt>
                <c:pt idx="15">
                  <c:v>9750</c:v>
                </c:pt>
                <c:pt idx="16">
                  <c:v>16500</c:v>
                </c:pt>
                <c:pt idx="17">
                  <c:v>8250</c:v>
                </c:pt>
                <c:pt idx="18">
                  <c:v>76000</c:v>
                </c:pt>
                <c:pt idx="19">
                  <c:v>38000</c:v>
                </c:pt>
                <c:pt idx="20">
                  <c:v>1625000</c:v>
                </c:pt>
                <c:pt idx="21">
                  <c:v>650000</c:v>
                </c:pt>
                <c:pt idx="22">
                  <c:v>875000</c:v>
                </c:pt>
                <c:pt idx="23">
                  <c:v>412500</c:v>
                </c:pt>
                <c:pt idx="24">
                  <c:v>202500</c:v>
                </c:pt>
                <c:pt idx="25">
                  <c:v>81250</c:v>
                </c:pt>
                <c:pt idx="26">
                  <c:v>575000</c:v>
                </c:pt>
                <c:pt idx="27">
                  <c:v>225000</c:v>
                </c:pt>
                <c:pt idx="28">
                  <c:v>140000</c:v>
                </c:pt>
                <c:pt idx="29">
                  <c:v>56250</c:v>
                </c:pt>
              </c:numCache>
            </c:numRef>
          </c:val>
        </c:ser>
        <c:ser>
          <c:idx val="2"/>
          <c:order val="2"/>
          <c:tx>
            <c:strRef>
              <c:f>'LSD.RID.0.AL'!$E$1469</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'LSD.RID.0.AL'!$E$1471:$E$1500</c:f>
              <c:numCache>
                <c:formatCode>[$$-409]#,##0;\-[$$-409]#,##0</c:formatCode>
                <c:ptCount val="30"/>
                <c:pt idx="0">
                  <c:v>1560</c:v>
                </c:pt>
                <c:pt idx="1">
                  <c:v>780</c:v>
                </c:pt>
                <c:pt idx="2">
                  <c:v>42000</c:v>
                </c:pt>
                <c:pt idx="3">
                  <c:v>16800</c:v>
                </c:pt>
                <c:pt idx="4">
                  <c:v>72000</c:v>
                </c:pt>
                <c:pt idx="5">
                  <c:v>36000</c:v>
                </c:pt>
                <c:pt idx="6">
                  <c:v>15000</c:v>
                </c:pt>
                <c:pt idx="7">
                  <c:v>7500</c:v>
                </c:pt>
                <c:pt idx="8">
                  <c:v>104000</c:v>
                </c:pt>
                <c:pt idx="9">
                  <c:v>42000</c:v>
                </c:pt>
                <c:pt idx="10">
                  <c:v>92000</c:v>
                </c:pt>
                <c:pt idx="11">
                  <c:v>36800</c:v>
                </c:pt>
                <c:pt idx="12">
                  <c:v>72000</c:v>
                </c:pt>
                <c:pt idx="13">
                  <c:v>36000</c:v>
                </c:pt>
                <c:pt idx="14">
                  <c:v>9750</c:v>
                </c:pt>
                <c:pt idx="15">
                  <c:v>4875</c:v>
                </c:pt>
                <c:pt idx="16">
                  <c:v>8250</c:v>
                </c:pt>
                <c:pt idx="17">
                  <c:v>4125</c:v>
                </c:pt>
                <c:pt idx="18">
                  <c:v>38000</c:v>
                </c:pt>
                <c:pt idx="19">
                  <c:v>19000</c:v>
                </c:pt>
                <c:pt idx="20">
                  <c:v>812500</c:v>
                </c:pt>
                <c:pt idx="21">
                  <c:v>325000</c:v>
                </c:pt>
                <c:pt idx="22">
                  <c:v>437500</c:v>
                </c:pt>
                <c:pt idx="23">
                  <c:v>206250</c:v>
                </c:pt>
                <c:pt idx="24">
                  <c:v>101250</c:v>
                </c:pt>
                <c:pt idx="25">
                  <c:v>40625</c:v>
                </c:pt>
                <c:pt idx="26">
                  <c:v>287500</c:v>
                </c:pt>
                <c:pt idx="27">
                  <c:v>112500</c:v>
                </c:pt>
                <c:pt idx="28">
                  <c:v>70000</c:v>
                </c:pt>
                <c:pt idx="29">
                  <c:v>28125</c:v>
                </c:pt>
              </c:numCache>
            </c:numRef>
          </c:val>
        </c:ser>
        <c:ser>
          <c:idx val="3"/>
          <c:order val="3"/>
          <c:tx>
            <c:strRef>
              <c:f>'LSD.RID.0.AL'!$F$1469</c:f>
              <c:strCache>
                <c:ptCount val="1"/>
                <c:pt idx="0">
                  <c:v>American Effective Tax AOTC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'LSD.RID.0.AL'!$F$1471:$F$1500</c:f>
              <c:numCache>
                <c:formatCode>[$$-409]#,##0;\-[$$-409]#,##0</c:formatCode>
                <c:ptCount val="30"/>
                <c:pt idx="0">
                  <c:v>11700</c:v>
                </c:pt>
                <c:pt idx="1">
                  <c:v>5850</c:v>
                </c:pt>
                <c:pt idx="2">
                  <c:v>315000</c:v>
                </c:pt>
                <c:pt idx="3">
                  <c:v>126000</c:v>
                </c:pt>
                <c:pt idx="4">
                  <c:v>540000</c:v>
                </c:pt>
                <c:pt idx="5">
                  <c:v>270000</c:v>
                </c:pt>
                <c:pt idx="6">
                  <c:v>112500</c:v>
                </c:pt>
                <c:pt idx="7">
                  <c:v>56250</c:v>
                </c:pt>
                <c:pt idx="8">
                  <c:v>780000</c:v>
                </c:pt>
                <c:pt idx="9">
                  <c:v>315000</c:v>
                </c:pt>
                <c:pt idx="10">
                  <c:v>690000</c:v>
                </c:pt>
                <c:pt idx="11">
                  <c:v>276000</c:v>
                </c:pt>
                <c:pt idx="12">
                  <c:v>540000</c:v>
                </c:pt>
                <c:pt idx="13">
                  <c:v>270000</c:v>
                </c:pt>
                <c:pt idx="14">
                  <c:v>73125</c:v>
                </c:pt>
                <c:pt idx="15">
                  <c:v>36562.5</c:v>
                </c:pt>
                <c:pt idx="16">
                  <c:v>61875</c:v>
                </c:pt>
                <c:pt idx="17">
                  <c:v>30937.5</c:v>
                </c:pt>
                <c:pt idx="18">
                  <c:v>285000</c:v>
                </c:pt>
                <c:pt idx="19">
                  <c:v>142500</c:v>
                </c:pt>
                <c:pt idx="20">
                  <c:v>4875000</c:v>
                </c:pt>
                <c:pt idx="21">
                  <c:v>1950000</c:v>
                </c:pt>
                <c:pt idx="22">
                  <c:v>2625000</c:v>
                </c:pt>
                <c:pt idx="23">
                  <c:v>1237500</c:v>
                </c:pt>
                <c:pt idx="24">
                  <c:v>607500</c:v>
                </c:pt>
                <c:pt idx="25">
                  <c:v>243750</c:v>
                </c:pt>
                <c:pt idx="26">
                  <c:v>1725000</c:v>
                </c:pt>
                <c:pt idx="27">
                  <c:v>675000</c:v>
                </c:pt>
                <c:pt idx="28">
                  <c:v>420000</c:v>
                </c:pt>
                <c:pt idx="29">
                  <c:v>168750</c:v>
                </c:pt>
              </c:numCache>
            </c:numRef>
          </c:val>
        </c:ser>
        <c:gapWidth val="100"/>
        <c:overlap val="0"/>
        <c:axId val="32592252"/>
        <c:axId val="18054623"/>
      </c:barChart>
      <c:catAx>
        <c:axId val="3259225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78414964312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8054623"/>
        <c:crosses val="autoZero"/>
        <c:auto val="1"/>
        <c:lblAlgn val="ctr"/>
        <c:lblOffset val="100"/>
        <c:noMultiLvlLbl val="0"/>
      </c:catAx>
      <c:valAx>
        <c:axId val="1805462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82355257975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2592252"/>
        <c:crosses val="max"/>
        <c:crossBetween val="midCat"/>
        <c:majorUnit val="100000"/>
      </c:valAx>
      <c:spPr>
        <a:noFill/>
        <a:ln w="0">
          <a:solidFill>
            <a:srgbClr val="b3b3b3"/>
          </a:solidFill>
        </a:ln>
      </c:spPr>
    </c:plotArea>
    <c:legend>
      <c:legendPos val="r"/>
      <c:layout>
        <c:manualLayout>
          <c:xMode val="edge"/>
          <c:yMode val="edge"/>
          <c:x val="0.804307595385282"/>
          <c:y val="0.0768019292762753"/>
          <c:w val="0.170144904709403"/>
          <c:h val="0.1117235948420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Population</a:t>
            </a:r>
          </a:p>
        </c:rich>
      </c:tx>
      <c:layout>
        <c:manualLayout>
          <c:xMode val="edge"/>
          <c:yMode val="edge"/>
          <c:x val="0.277077589602206"/>
          <c:y val="0.0107802116662565"/>
        </c:manualLayout>
      </c:layout>
      <c:overlay val="0"/>
      <c:spPr>
        <a:noFill/>
        <a:ln w="0">
          <a:noFill/>
        </a:ln>
      </c:spPr>
    </c:title>
    <c:autoTitleDeleted val="0"/>
    <c:plotArea>
      <c:layout>
        <c:manualLayout>
          <c:layoutTarget val="inner"/>
          <c:xMode val="edge"/>
          <c:yMode val="edge"/>
          <c:x val="0.299881843245372"/>
          <c:y val="0.0468619246861925"/>
          <c:w val="0.521937770775896"/>
          <c:h val="0.87489539748954"/>
        </c:manualLayout>
      </c:layout>
      <c:barChart>
        <c:barDir val="bar"/>
        <c:grouping val="clustered"/>
        <c:varyColors val="0"/>
        <c:ser>
          <c:idx val="0"/>
          <c:order val="0"/>
          <c:tx>
            <c:strRef>
              <c:f>'LSD.RID.0.AR'!$C$41</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'LSD.RID.0.AR'!$C$43:$C$76</c:f>
              <c:numCache>
                <c:formatCode>#,##0</c:formatCode>
                <c:ptCount val="34"/>
                <c:pt idx="0">
                  <c:v>27000</c:v>
                </c:pt>
                <c:pt idx="1">
                  <c:v>13000</c:v>
                </c:pt>
                <c:pt idx="2">
                  <c:v>43000</c:v>
                </c:pt>
                <c:pt idx="3">
                  <c:v>22000</c:v>
                </c:pt>
                <c:pt idx="4">
                  <c:v>91000</c:v>
                </c:pt>
                <c:pt idx="5">
                  <c:v>45000</c:v>
                </c:pt>
                <c:pt idx="6">
                  <c:v>53000</c:v>
                </c:pt>
                <c:pt idx="7">
                  <c:v>26000</c:v>
                </c:pt>
                <c:pt idx="8">
                  <c:v>110000</c:v>
                </c:pt>
                <c:pt idx="9">
                  <c:v>55000</c:v>
                </c:pt>
                <c:pt idx="10">
                  <c:v>47000</c:v>
                </c:pt>
                <c:pt idx="11">
                  <c:v>23000</c:v>
                </c:pt>
                <c:pt idx="12">
                  <c:v>141000</c:v>
                </c:pt>
                <c:pt idx="13">
                  <c:v>70000</c:v>
                </c:pt>
                <c:pt idx="14">
                  <c:v>23000</c:v>
                </c:pt>
                <c:pt idx="15">
                  <c:v>12000</c:v>
                </c:pt>
                <c:pt idx="16">
                  <c:v>20000</c:v>
                </c:pt>
                <c:pt idx="17">
                  <c:v>10000</c:v>
                </c:pt>
                <c:pt idx="18">
                  <c:v>93000</c:v>
                </c:pt>
                <c:pt idx="19">
                  <c:v>47000</c:v>
                </c:pt>
                <c:pt idx="20">
                  <c:v>109000</c:v>
                </c:pt>
                <c:pt idx="21">
                  <c:v>55000</c:v>
                </c:pt>
                <c:pt idx="22">
                  <c:v>56000</c:v>
                </c:pt>
                <c:pt idx="23">
                  <c:v>28000</c:v>
                </c:pt>
                <c:pt idx="24">
                  <c:v>47000</c:v>
                </c:pt>
                <c:pt idx="25">
                  <c:v>23000</c:v>
                </c:pt>
                <c:pt idx="26">
                  <c:v>7700</c:v>
                </c:pt>
                <c:pt idx="27">
                  <c:v>3900</c:v>
                </c:pt>
                <c:pt idx="28">
                  <c:v>141000</c:v>
                </c:pt>
                <c:pt idx="29">
                  <c:v>70000</c:v>
                </c:pt>
                <c:pt idx="30">
                  <c:v>67500</c:v>
                </c:pt>
                <c:pt idx="31">
                  <c:v>7500</c:v>
                </c:pt>
                <c:pt idx="32">
                  <c:v>43000</c:v>
                </c:pt>
                <c:pt idx="33">
                  <c:v>22000</c:v>
                </c:pt>
              </c:numCache>
            </c:numRef>
          </c:val>
        </c:ser>
        <c:ser>
          <c:idx val="1"/>
          <c:order val="1"/>
          <c:tx>
            <c:strRef>
              <c:f>'LSD.RID.0.AR'!$D$41</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'LSD.RID.0.AR'!$D$43:$D$76</c:f>
              <c:numCache>
                <c:formatCode>#,##0</c:formatCode>
                <c:ptCount val="34"/>
                <c:pt idx="0">
                  <c:v>1080</c:v>
                </c:pt>
                <c:pt idx="1">
                  <c:v>520</c:v>
                </c:pt>
                <c:pt idx="2">
                  <c:v>1720</c:v>
                </c:pt>
                <c:pt idx="3">
                  <c:v>880</c:v>
                </c:pt>
                <c:pt idx="4">
                  <c:v>3640</c:v>
                </c:pt>
                <c:pt idx="5">
                  <c:v>1800</c:v>
                </c:pt>
                <c:pt idx="6">
                  <c:v>2120</c:v>
                </c:pt>
                <c:pt idx="7">
                  <c:v>1040</c:v>
                </c:pt>
                <c:pt idx="8">
                  <c:v>4400</c:v>
                </c:pt>
                <c:pt idx="9">
                  <c:v>2200</c:v>
                </c:pt>
                <c:pt idx="10">
                  <c:v>1880</c:v>
                </c:pt>
                <c:pt idx="11">
                  <c:v>920</c:v>
                </c:pt>
                <c:pt idx="12">
                  <c:v>5640</c:v>
                </c:pt>
                <c:pt idx="13">
                  <c:v>2800</c:v>
                </c:pt>
                <c:pt idx="14">
                  <c:v>920</c:v>
                </c:pt>
                <c:pt idx="15">
                  <c:v>480</c:v>
                </c:pt>
                <c:pt idx="16">
                  <c:v>800</c:v>
                </c:pt>
                <c:pt idx="17">
                  <c:v>400</c:v>
                </c:pt>
                <c:pt idx="18">
                  <c:v>3720</c:v>
                </c:pt>
                <c:pt idx="19">
                  <c:v>1880</c:v>
                </c:pt>
                <c:pt idx="20">
                  <c:v>4360</c:v>
                </c:pt>
                <c:pt idx="21">
                  <c:v>2200</c:v>
                </c:pt>
                <c:pt idx="22">
                  <c:v>2240</c:v>
                </c:pt>
                <c:pt idx="23">
                  <c:v>1120</c:v>
                </c:pt>
                <c:pt idx="24">
                  <c:v>1880</c:v>
                </c:pt>
                <c:pt idx="25">
                  <c:v>920</c:v>
                </c:pt>
                <c:pt idx="26">
                  <c:v>310</c:v>
                </c:pt>
                <c:pt idx="27">
                  <c:v>160</c:v>
                </c:pt>
                <c:pt idx="28">
                  <c:v>5640</c:v>
                </c:pt>
                <c:pt idx="29">
                  <c:v>2800</c:v>
                </c:pt>
                <c:pt idx="30">
                  <c:v>2700</c:v>
                </c:pt>
                <c:pt idx="31">
                  <c:v>300</c:v>
                </c:pt>
                <c:pt idx="32">
                  <c:v>1720</c:v>
                </c:pt>
                <c:pt idx="33">
                  <c:v>880</c:v>
                </c:pt>
              </c:numCache>
            </c:numRef>
          </c:val>
        </c:ser>
        <c:ser>
          <c:idx val="2"/>
          <c:order val="2"/>
          <c:tx>
            <c:strRef>
              <c:f>'LSD.RID.0.AR'!$E$41</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'LSD.RID.0.AR'!$E$43:$E$76</c:f>
              <c:numCache>
                <c:formatCode>#,##0</c:formatCode>
                <c:ptCount val="34"/>
                <c:pt idx="0">
                  <c:v>900</c:v>
                </c:pt>
                <c:pt idx="1">
                  <c:v>400</c:v>
                </c:pt>
                <c:pt idx="2">
                  <c:v>1430</c:v>
                </c:pt>
                <c:pt idx="3">
                  <c:v>730</c:v>
                </c:pt>
                <c:pt idx="4">
                  <c:v>3030</c:v>
                </c:pt>
                <c:pt idx="5">
                  <c:v>1500</c:v>
                </c:pt>
                <c:pt idx="6">
                  <c:v>1760</c:v>
                </c:pt>
                <c:pt idx="7">
                  <c:v>860</c:v>
                </c:pt>
                <c:pt idx="8">
                  <c:v>3660</c:v>
                </c:pt>
                <c:pt idx="9">
                  <c:v>1830</c:v>
                </c:pt>
                <c:pt idx="10">
                  <c:v>1560</c:v>
                </c:pt>
                <c:pt idx="11">
                  <c:v>760</c:v>
                </c:pt>
                <c:pt idx="12">
                  <c:v>4690</c:v>
                </c:pt>
                <c:pt idx="13">
                  <c:v>2330</c:v>
                </c:pt>
                <c:pt idx="14">
                  <c:v>760</c:v>
                </c:pt>
                <c:pt idx="15">
                  <c:v>400</c:v>
                </c:pt>
                <c:pt idx="16">
                  <c:v>670</c:v>
                </c:pt>
                <c:pt idx="17">
                  <c:v>330</c:v>
                </c:pt>
                <c:pt idx="18">
                  <c:v>3090</c:v>
                </c:pt>
                <c:pt idx="19">
                  <c:v>1560</c:v>
                </c:pt>
                <c:pt idx="20">
                  <c:v>3620</c:v>
                </c:pt>
                <c:pt idx="21">
                  <c:v>1830</c:v>
                </c:pt>
                <c:pt idx="22">
                  <c:v>1860</c:v>
                </c:pt>
                <c:pt idx="23">
                  <c:v>930</c:v>
                </c:pt>
                <c:pt idx="24">
                  <c:v>1560</c:v>
                </c:pt>
                <c:pt idx="25">
                  <c:v>760</c:v>
                </c:pt>
                <c:pt idx="26">
                  <c:v>260</c:v>
                </c:pt>
                <c:pt idx="27">
                  <c:v>130</c:v>
                </c:pt>
                <c:pt idx="28">
                  <c:v>4690</c:v>
                </c:pt>
                <c:pt idx="29">
                  <c:v>2330</c:v>
                </c:pt>
                <c:pt idx="30">
                  <c:v>1350</c:v>
                </c:pt>
                <c:pt idx="31">
                  <c:v>150</c:v>
                </c:pt>
                <c:pt idx="32">
                  <c:v>1430</c:v>
                </c:pt>
                <c:pt idx="33">
                  <c:v>730</c:v>
                </c:pt>
              </c:numCache>
            </c:numRef>
          </c:val>
        </c:ser>
        <c:ser>
          <c:idx val="3"/>
          <c:order val="3"/>
          <c:tx>
            <c:strRef>
              <c:f>'LSD.RID.0.AR'!$F$41</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'LSD.RID.0.AR'!$F$43:$F$76</c:f>
              <c:numCache>
                <c:formatCode>#,##0</c:formatCode>
                <c:ptCount val="34"/>
                <c:pt idx="0">
                  <c:v>25020</c:v>
                </c:pt>
                <c:pt idx="1">
                  <c:v>12080</c:v>
                </c:pt>
                <c:pt idx="2">
                  <c:v>39850</c:v>
                </c:pt>
                <c:pt idx="3">
                  <c:v>20390</c:v>
                </c:pt>
                <c:pt idx="4">
                  <c:v>84330</c:v>
                </c:pt>
                <c:pt idx="5">
                  <c:v>41700</c:v>
                </c:pt>
                <c:pt idx="6">
                  <c:v>49120</c:v>
                </c:pt>
                <c:pt idx="7">
                  <c:v>24100</c:v>
                </c:pt>
                <c:pt idx="8">
                  <c:v>102000</c:v>
                </c:pt>
                <c:pt idx="9">
                  <c:v>51000</c:v>
                </c:pt>
                <c:pt idx="10">
                  <c:v>43560</c:v>
                </c:pt>
                <c:pt idx="11">
                  <c:v>21320</c:v>
                </c:pt>
                <c:pt idx="12">
                  <c:v>130670</c:v>
                </c:pt>
                <c:pt idx="13">
                  <c:v>64870</c:v>
                </c:pt>
                <c:pt idx="14">
                  <c:v>21320</c:v>
                </c:pt>
                <c:pt idx="15">
                  <c:v>11120</c:v>
                </c:pt>
                <c:pt idx="16">
                  <c:v>18530</c:v>
                </c:pt>
                <c:pt idx="17">
                  <c:v>9270</c:v>
                </c:pt>
                <c:pt idx="18">
                  <c:v>86190</c:v>
                </c:pt>
                <c:pt idx="19">
                  <c:v>43560</c:v>
                </c:pt>
                <c:pt idx="20">
                  <c:v>101020</c:v>
                </c:pt>
                <c:pt idx="21">
                  <c:v>51000</c:v>
                </c:pt>
                <c:pt idx="22">
                  <c:v>51900</c:v>
                </c:pt>
                <c:pt idx="23">
                  <c:v>25950</c:v>
                </c:pt>
                <c:pt idx="24">
                  <c:v>43560</c:v>
                </c:pt>
                <c:pt idx="25">
                  <c:v>21320</c:v>
                </c:pt>
                <c:pt idx="26">
                  <c:v>7130</c:v>
                </c:pt>
                <c:pt idx="27">
                  <c:v>3610</c:v>
                </c:pt>
                <c:pt idx="28">
                  <c:v>130670</c:v>
                </c:pt>
                <c:pt idx="29">
                  <c:v>64870</c:v>
                </c:pt>
                <c:pt idx="30">
                  <c:v>63450</c:v>
                </c:pt>
                <c:pt idx="31">
                  <c:v>7050</c:v>
                </c:pt>
                <c:pt idx="32">
                  <c:v>39850</c:v>
                </c:pt>
                <c:pt idx="33">
                  <c:v>20390</c:v>
                </c:pt>
              </c:numCache>
            </c:numRef>
          </c:val>
        </c:ser>
        <c:gapWidth val="100"/>
        <c:overlap val="0"/>
        <c:axId val="25978336"/>
        <c:axId val="15364150"/>
      </c:barChart>
      <c:catAx>
        <c:axId val="2597833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32562146197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5364150"/>
        <c:crosses val="autoZero"/>
        <c:auto val="1"/>
        <c:lblAlgn val="ctr"/>
        <c:lblOffset val="100"/>
        <c:noMultiLvlLbl val="0"/>
      </c:catAx>
      <c:valAx>
        <c:axId val="1536415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1232768806617"/>
              <c:y val="0.97004676347526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5978336"/>
        <c:crosses val="autoZero"/>
        <c:crossBetween val="midCat"/>
        <c:majorUnit val="10000"/>
      </c:valAx>
      <c:spPr>
        <a:noFill/>
        <a:ln w="0">
          <a:solidFill>
            <a:srgbClr val="b3b3b3"/>
          </a:solidFill>
        </a:ln>
      </c:spPr>
    </c:plotArea>
    <c:legend>
      <c:legendPos val="r"/>
      <c:layout>
        <c:manualLayout>
          <c:xMode val="edge"/>
          <c:yMode val="edge"/>
          <c:x val="0.854780280359112"/>
          <c:y val="0.0768776454375431"/>
          <c:w val="0.11978735971648"/>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Employment-To-Population Ratio</a:t>
            </a:r>
          </a:p>
        </c:rich>
      </c:tx>
      <c:layout>
        <c:manualLayout>
          <c:xMode val="edge"/>
          <c:yMode val="edge"/>
          <c:x val="0.277077589602206"/>
          <c:y val="0.0107802116662565"/>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'LSD.RID.0.AR'!$C$175</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'LSD.RID.0.AR'!$C$177:$C$210</c:f>
              <c:numCache>
                <c:formatCode>0.00%</c:formatCode>
                <c:ptCount val="34"/>
                <c:pt idx="0">
                  <c:v>0.95</c:v>
                </c:pt>
                <c:pt idx="1">
                  <c:v>0.95</c:v>
                </c:pt>
                <c:pt idx="2">
                  <c:v>0.965</c:v>
                </c:pt>
                <c:pt idx="3">
                  <c:v>0.965</c:v>
                </c:pt>
                <c:pt idx="4">
                  <c:v>0.96</c:v>
                </c:pt>
                <c:pt idx="5">
                  <c:v>0.96</c:v>
                </c:pt>
                <c:pt idx="6">
                  <c:v>0.955</c:v>
                </c:pt>
                <c:pt idx="7">
                  <c:v>0.955</c:v>
                </c:pt>
                <c:pt idx="8">
                  <c:v>0.975</c:v>
                </c:pt>
                <c:pt idx="9">
                  <c:v>0.975</c:v>
                </c:pt>
                <c:pt idx="10">
                  <c:v>0.97</c:v>
                </c:pt>
                <c:pt idx="11">
                  <c:v>0.97</c:v>
                </c:pt>
                <c:pt idx="12">
                  <c:v>0.96</c:v>
                </c:pt>
                <c:pt idx="13">
                  <c:v>0.96</c:v>
                </c:pt>
                <c:pt idx="14">
                  <c:v>0.95</c:v>
                </c:pt>
                <c:pt idx="15">
                  <c:v>0.95</c:v>
                </c:pt>
                <c:pt idx="16">
                  <c:v>0.97</c:v>
                </c:pt>
                <c:pt idx="17">
                  <c:v>0.97</c:v>
                </c:pt>
                <c:pt idx="18">
                  <c:v>0.975</c:v>
                </c:pt>
                <c:pt idx="19">
                  <c:v>0.975</c:v>
                </c:pt>
                <c:pt idx="20">
                  <c:v>0.97</c:v>
                </c:pt>
                <c:pt idx="21">
                  <c:v>0.97</c:v>
                </c:pt>
                <c:pt idx="22">
                  <c:v>0.975</c:v>
                </c:pt>
                <c:pt idx="23">
                  <c:v>0.975</c:v>
                </c:pt>
                <c:pt idx="24">
                  <c:v>0.97</c:v>
                </c:pt>
                <c:pt idx="25">
                  <c:v>0.97</c:v>
                </c:pt>
                <c:pt idx="26">
                  <c:v>0.965</c:v>
                </c:pt>
                <c:pt idx="27">
                  <c:v>0.965</c:v>
                </c:pt>
                <c:pt idx="28">
                  <c:v>0.975</c:v>
                </c:pt>
                <c:pt idx="29">
                  <c:v>0.975</c:v>
                </c:pt>
                <c:pt idx="30">
                  <c:v>0.965</c:v>
                </c:pt>
                <c:pt idx="31">
                  <c:v>0.965</c:v>
                </c:pt>
                <c:pt idx="32">
                  <c:v>0.96</c:v>
                </c:pt>
                <c:pt idx="33">
                  <c:v>0.96</c:v>
                </c:pt>
              </c:numCache>
            </c:numRef>
          </c:val>
        </c:ser>
        <c:ser>
          <c:idx val="1"/>
          <c:order val="1"/>
          <c:tx>
            <c:strRef>
              <c:f>'LSD.RID.0.AR'!$D$175</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'LSD.RID.0.AR'!$D$177:$D$210</c:f>
              <c:numCache>
                <c:formatCode>0.00%</c:formatCode>
                <c:ptCount val="34"/>
                <c:pt idx="0">
                  <c:v>0.93</c:v>
                </c:pt>
                <c:pt idx="1">
                  <c:v>0.93</c:v>
                </c:pt>
                <c:pt idx="2">
                  <c:v>0.94</c:v>
                </c:pt>
                <c:pt idx="3">
                  <c:v>0.94</c:v>
                </c:pt>
                <c:pt idx="4">
                  <c:v>0.93</c:v>
                </c:pt>
                <c:pt idx="5">
                  <c:v>0.93</c:v>
                </c:pt>
                <c:pt idx="6">
                  <c:v>0.92</c:v>
                </c:pt>
                <c:pt idx="7">
                  <c:v>0.92</c:v>
                </c:pt>
                <c:pt idx="8">
                  <c:v>0.96</c:v>
                </c:pt>
                <c:pt idx="9">
                  <c:v>0.96</c:v>
                </c:pt>
                <c:pt idx="10">
                  <c:v>0.95</c:v>
                </c:pt>
                <c:pt idx="11">
                  <c:v>0.95</c:v>
                </c:pt>
                <c:pt idx="12">
                  <c:v>0.93</c:v>
                </c:pt>
                <c:pt idx="13">
                  <c:v>0.93</c:v>
                </c:pt>
                <c:pt idx="14">
                  <c:v>0.93</c:v>
                </c:pt>
                <c:pt idx="15">
                  <c:v>0.93</c:v>
                </c:pt>
                <c:pt idx="16">
                  <c:v>0.95</c:v>
                </c:pt>
                <c:pt idx="17">
                  <c:v>0.95</c:v>
                </c:pt>
                <c:pt idx="18">
                  <c:v>0.96</c:v>
                </c:pt>
                <c:pt idx="19">
                  <c:v>0.96</c:v>
                </c:pt>
                <c:pt idx="20">
                  <c:v>0.95</c:v>
                </c:pt>
                <c:pt idx="21">
                  <c:v>0.95</c:v>
                </c:pt>
                <c:pt idx="22">
                  <c:v>0.96</c:v>
                </c:pt>
                <c:pt idx="23">
                  <c:v>0.96</c:v>
                </c:pt>
                <c:pt idx="24">
                  <c:v>0.95</c:v>
                </c:pt>
                <c:pt idx="25">
                  <c:v>0.95</c:v>
                </c:pt>
                <c:pt idx="26">
                  <c:v>0.95</c:v>
                </c:pt>
                <c:pt idx="27">
                  <c:v>0.95</c:v>
                </c:pt>
                <c:pt idx="28">
                  <c:v>0.96</c:v>
                </c:pt>
                <c:pt idx="29">
                  <c:v>0.96</c:v>
                </c:pt>
                <c:pt idx="30">
                  <c:v>0.95</c:v>
                </c:pt>
                <c:pt idx="31">
                  <c:v>0.95</c:v>
                </c:pt>
                <c:pt idx="32">
                  <c:v>0.93</c:v>
                </c:pt>
                <c:pt idx="33">
                  <c:v>0.93</c:v>
                </c:pt>
              </c:numCache>
            </c:numRef>
          </c:val>
        </c:ser>
        <c:ser>
          <c:idx val="2"/>
          <c:order val="2"/>
          <c:tx>
            <c:strRef>
              <c:f>'LSD.RID.0.AR'!$E$175</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'LSD.RID.0.AR'!$E$177:$E$210</c:f>
              <c:numCache>
                <c:formatCode>0.00%</c:formatCode>
                <c:ptCount val="34"/>
                <c:pt idx="0">
                  <c:v>0.88</c:v>
                </c:pt>
                <c:pt idx="1">
                  <c:v>0.88</c:v>
                </c:pt>
                <c:pt idx="2">
                  <c:v>0.89</c:v>
                </c:pt>
                <c:pt idx="3">
                  <c:v>0.89</c:v>
                </c:pt>
                <c:pt idx="4">
                  <c:v>0.87</c:v>
                </c:pt>
                <c:pt idx="5">
                  <c:v>0.87</c:v>
                </c:pt>
                <c:pt idx="6">
                  <c:v>0.86</c:v>
                </c:pt>
                <c:pt idx="7">
                  <c:v>0.86</c:v>
                </c:pt>
                <c:pt idx="8">
                  <c:v>0.92</c:v>
                </c:pt>
                <c:pt idx="9">
                  <c:v>0.92</c:v>
                </c:pt>
                <c:pt idx="10">
                  <c:v>0.91</c:v>
                </c:pt>
                <c:pt idx="11">
                  <c:v>0.91</c:v>
                </c:pt>
                <c:pt idx="12">
                  <c:v>0.88</c:v>
                </c:pt>
                <c:pt idx="13">
                  <c:v>0.88</c:v>
                </c:pt>
                <c:pt idx="14">
                  <c:v>0.88</c:v>
                </c:pt>
                <c:pt idx="15">
                  <c:v>0.88</c:v>
                </c:pt>
                <c:pt idx="16">
                  <c:v>0.91</c:v>
                </c:pt>
                <c:pt idx="17">
                  <c:v>0.91</c:v>
                </c:pt>
                <c:pt idx="18">
                  <c:v>0.92</c:v>
                </c:pt>
                <c:pt idx="19">
                  <c:v>0.92</c:v>
                </c:pt>
                <c:pt idx="20">
                  <c:v>0.91</c:v>
                </c:pt>
                <c:pt idx="21">
                  <c:v>0.91</c:v>
                </c:pt>
                <c:pt idx="22">
                  <c:v>0.92</c:v>
                </c:pt>
                <c:pt idx="23">
                  <c:v>0.92</c:v>
                </c:pt>
                <c:pt idx="24">
                  <c:v>0.91</c:v>
                </c:pt>
                <c:pt idx="25">
                  <c:v>0.91</c:v>
                </c:pt>
                <c:pt idx="26">
                  <c:v>0.9</c:v>
                </c:pt>
                <c:pt idx="27">
                  <c:v>0.9</c:v>
                </c:pt>
                <c:pt idx="28">
                  <c:v>0.94</c:v>
                </c:pt>
                <c:pt idx="29">
                  <c:v>0.94</c:v>
                </c:pt>
                <c:pt idx="30">
                  <c:v>0.9</c:v>
                </c:pt>
                <c:pt idx="31">
                  <c:v>0.9</c:v>
                </c:pt>
                <c:pt idx="32">
                  <c:v>0.88</c:v>
                </c:pt>
                <c:pt idx="33">
                  <c:v>0.88</c:v>
                </c:pt>
              </c:numCache>
            </c:numRef>
          </c:val>
        </c:ser>
        <c:ser>
          <c:idx val="3"/>
          <c:order val="3"/>
          <c:tx>
            <c:strRef>
              <c:f>'LSD.RID.0.AR'!$F$175</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Pt>
            <c:idx val="24"/>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'LSD.RID.0.AR'!$F$177:$F$210</c:f>
              <c:numCache>
                <c:formatCode>0.00%</c:formatCode>
                <c:ptCount val="34"/>
                <c:pt idx="0">
                  <c:v>0.95</c:v>
                </c:pt>
                <c:pt idx="1">
                  <c:v>0.95</c:v>
                </c:pt>
                <c:pt idx="2">
                  <c:v>0.965</c:v>
                </c:pt>
                <c:pt idx="3">
                  <c:v>0.965</c:v>
                </c:pt>
                <c:pt idx="4">
                  <c:v>0.96</c:v>
                </c:pt>
                <c:pt idx="5">
                  <c:v>0.96</c:v>
                </c:pt>
                <c:pt idx="6">
                  <c:v>0.955</c:v>
                </c:pt>
                <c:pt idx="7">
                  <c:v>0.955</c:v>
                </c:pt>
                <c:pt idx="8">
                  <c:v>0.975</c:v>
                </c:pt>
                <c:pt idx="9">
                  <c:v>0.975</c:v>
                </c:pt>
                <c:pt idx="10">
                  <c:v>0.97</c:v>
                </c:pt>
                <c:pt idx="11">
                  <c:v>0.97</c:v>
                </c:pt>
                <c:pt idx="12">
                  <c:v>0.96</c:v>
                </c:pt>
                <c:pt idx="13">
                  <c:v>0.96</c:v>
                </c:pt>
                <c:pt idx="14">
                  <c:v>0.95</c:v>
                </c:pt>
                <c:pt idx="15">
                  <c:v>0.95</c:v>
                </c:pt>
                <c:pt idx="16">
                  <c:v>0.97</c:v>
                </c:pt>
                <c:pt idx="17">
                  <c:v>0.97</c:v>
                </c:pt>
                <c:pt idx="18">
                  <c:v>0.975</c:v>
                </c:pt>
                <c:pt idx="19">
                  <c:v>0.975</c:v>
                </c:pt>
                <c:pt idx="20">
                  <c:v>0.97</c:v>
                </c:pt>
                <c:pt idx="21">
                  <c:v>0.97</c:v>
                </c:pt>
                <c:pt idx="22">
                  <c:v>0.975</c:v>
                </c:pt>
                <c:pt idx="23">
                  <c:v>0.975</c:v>
                </c:pt>
                <c:pt idx="24">
                  <c:v>0.97</c:v>
                </c:pt>
                <c:pt idx="25">
                  <c:v>0.97</c:v>
                </c:pt>
                <c:pt idx="26">
                  <c:v>0.965</c:v>
                </c:pt>
                <c:pt idx="27">
                  <c:v>0.965</c:v>
                </c:pt>
                <c:pt idx="28">
                  <c:v>0.975</c:v>
                </c:pt>
                <c:pt idx="29">
                  <c:v>0.975</c:v>
                </c:pt>
                <c:pt idx="30">
                  <c:v>0.965</c:v>
                </c:pt>
                <c:pt idx="31">
                  <c:v>0.965</c:v>
                </c:pt>
                <c:pt idx="32">
                  <c:v>0.96</c:v>
                </c:pt>
                <c:pt idx="33">
                  <c:v>0.96</c:v>
                </c:pt>
              </c:numCache>
            </c:numRef>
          </c:val>
        </c:ser>
        <c:gapWidth val="100"/>
        <c:overlap val="0"/>
        <c:axId val="21164756"/>
        <c:axId val="36267701"/>
      </c:barChart>
      <c:catAx>
        <c:axId val="2116475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276396751169"/>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6267701"/>
        <c:crosses val="autoZero"/>
        <c:auto val="1"/>
        <c:lblAlgn val="ctr"/>
        <c:lblOffset val="100"/>
        <c:noMultiLvlLbl val="0"/>
      </c:catAx>
      <c:valAx>
        <c:axId val="3626770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705395825128"/>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1164756"/>
        <c:crosses val="max"/>
        <c:crossBetween val="midCat"/>
        <c:majorUnit val="0.01"/>
      </c:valAx>
      <c:spPr>
        <a:noFill/>
        <a:ln w="0">
          <a:solidFill>
            <a:srgbClr val="b3b3b3"/>
          </a:solidFill>
        </a:ln>
      </c:spPr>
    </c:plotArea>
    <c:legend>
      <c:legendPos val="r"/>
      <c:layout>
        <c:manualLayout>
          <c:xMode val="edge"/>
          <c:yMode val="edge"/>
          <c:x val="0.802606709718066"/>
          <c:y val="0.0768776454375431"/>
          <c:w val="0.171962984839535"/>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Participation Rate</a:t>
            </a:r>
          </a:p>
        </c:rich>
      </c:tx>
      <c:layout>
        <c:manualLayout>
          <c:xMode val="edge"/>
          <c:yMode val="edge"/>
          <c:x val="0.270382040173297"/>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'LSD.RID.0.AR'!$C$309</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'LSD.RID.0.AR'!$C$311:$C$344</c:f>
              <c:numCache>
                <c:formatCode>0.00%</c:formatCode>
                <c:ptCount val="34"/>
                <c:pt idx="0">
                  <c:v>0.62</c:v>
                </c:pt>
                <c:pt idx="1">
                  <c:v>0.589</c:v>
                </c:pt>
                <c:pt idx="2">
                  <c:v>0.59</c:v>
                </c:pt>
                <c:pt idx="3">
                  <c:v>0.561</c:v>
                </c:pt>
                <c:pt idx="4">
                  <c:v>0.561</c:v>
                </c:pt>
                <c:pt idx="5">
                  <c:v>0.533</c:v>
                </c:pt>
                <c:pt idx="6">
                  <c:v>0.62</c:v>
                </c:pt>
                <c:pt idx="7">
                  <c:v>0.589</c:v>
                </c:pt>
                <c:pt idx="8">
                  <c:v>0.561</c:v>
                </c:pt>
                <c:pt idx="9">
                  <c:v>0.533</c:v>
                </c:pt>
                <c:pt idx="10">
                  <c:v>0.59</c:v>
                </c:pt>
                <c:pt idx="11">
                  <c:v>0.561</c:v>
                </c:pt>
                <c:pt idx="12">
                  <c:v>0.561</c:v>
                </c:pt>
                <c:pt idx="13">
                  <c:v>0.533</c:v>
                </c:pt>
                <c:pt idx="14">
                  <c:v>0.62</c:v>
                </c:pt>
                <c:pt idx="15">
                  <c:v>0.589</c:v>
                </c:pt>
                <c:pt idx="16">
                  <c:v>0.59</c:v>
                </c:pt>
                <c:pt idx="17">
                  <c:v>0.561</c:v>
                </c:pt>
                <c:pt idx="18">
                  <c:v>0.531</c:v>
                </c:pt>
                <c:pt idx="19">
                  <c:v>0.504</c:v>
                </c:pt>
                <c:pt idx="20">
                  <c:v>0.501</c:v>
                </c:pt>
                <c:pt idx="21">
                  <c:v>0.476</c:v>
                </c:pt>
                <c:pt idx="22">
                  <c:v>0.501</c:v>
                </c:pt>
                <c:pt idx="23">
                  <c:v>0.476</c:v>
                </c:pt>
                <c:pt idx="24">
                  <c:v>0.501</c:v>
                </c:pt>
                <c:pt idx="25">
                  <c:v>0.476</c:v>
                </c:pt>
                <c:pt idx="26">
                  <c:v>0.531</c:v>
                </c:pt>
                <c:pt idx="27">
                  <c:v>0.504</c:v>
                </c:pt>
                <c:pt idx="28">
                  <c:v>0.501</c:v>
                </c:pt>
                <c:pt idx="29">
                  <c:v>0.476</c:v>
                </c:pt>
                <c:pt idx="30">
                  <c:v>0.68</c:v>
                </c:pt>
                <c:pt idx="31">
                  <c:v>0.646</c:v>
                </c:pt>
                <c:pt idx="32">
                  <c:v>0.561</c:v>
                </c:pt>
                <c:pt idx="33">
                  <c:v>0.533</c:v>
                </c:pt>
              </c:numCache>
            </c:numRef>
          </c:val>
        </c:ser>
        <c:ser>
          <c:idx val="1"/>
          <c:order val="1"/>
          <c:tx>
            <c:strRef>
              <c:f>'LSD.RID.0.AR'!$D$309</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'LSD.RID.0.AR'!$D$311:$D$344</c:f>
              <c:numCache>
                <c:formatCode>0.00%</c:formatCode>
                <c:ptCount val="34"/>
                <c:pt idx="0">
                  <c:v>0.68</c:v>
                </c:pt>
                <c:pt idx="1">
                  <c:v>0.646</c:v>
                </c:pt>
                <c:pt idx="2">
                  <c:v>0.65</c:v>
                </c:pt>
                <c:pt idx="3">
                  <c:v>0.617</c:v>
                </c:pt>
                <c:pt idx="4">
                  <c:v>0.617</c:v>
                </c:pt>
                <c:pt idx="5">
                  <c:v>0.586</c:v>
                </c:pt>
                <c:pt idx="6">
                  <c:v>0.68</c:v>
                </c:pt>
                <c:pt idx="7">
                  <c:v>0.646</c:v>
                </c:pt>
                <c:pt idx="8">
                  <c:v>0.617</c:v>
                </c:pt>
                <c:pt idx="9">
                  <c:v>0.586</c:v>
                </c:pt>
                <c:pt idx="10">
                  <c:v>0.65</c:v>
                </c:pt>
                <c:pt idx="11">
                  <c:v>0.617</c:v>
                </c:pt>
                <c:pt idx="12">
                  <c:v>0.617</c:v>
                </c:pt>
                <c:pt idx="13">
                  <c:v>0.586</c:v>
                </c:pt>
                <c:pt idx="14">
                  <c:v>0.68</c:v>
                </c:pt>
                <c:pt idx="15">
                  <c:v>0.646</c:v>
                </c:pt>
                <c:pt idx="16">
                  <c:v>0.65</c:v>
                </c:pt>
                <c:pt idx="17">
                  <c:v>0.617</c:v>
                </c:pt>
                <c:pt idx="18">
                  <c:v>0.585</c:v>
                </c:pt>
                <c:pt idx="19">
                  <c:v>0.556</c:v>
                </c:pt>
                <c:pt idx="20">
                  <c:v>0.552</c:v>
                </c:pt>
                <c:pt idx="21">
                  <c:v>0.524</c:v>
                </c:pt>
                <c:pt idx="22">
                  <c:v>0.552</c:v>
                </c:pt>
                <c:pt idx="23">
                  <c:v>0.524</c:v>
                </c:pt>
                <c:pt idx="24">
                  <c:v>0.552</c:v>
                </c:pt>
                <c:pt idx="25">
                  <c:v>0.524</c:v>
                </c:pt>
                <c:pt idx="26">
                  <c:v>0.585</c:v>
                </c:pt>
                <c:pt idx="27">
                  <c:v>0.556</c:v>
                </c:pt>
                <c:pt idx="28">
                  <c:v>0.552</c:v>
                </c:pt>
                <c:pt idx="29">
                  <c:v>0.524</c:v>
                </c:pt>
                <c:pt idx="30">
                  <c:v>0.72</c:v>
                </c:pt>
                <c:pt idx="31">
                  <c:v>0.684</c:v>
                </c:pt>
                <c:pt idx="32">
                  <c:v>0.617</c:v>
                </c:pt>
                <c:pt idx="33">
                  <c:v>0.586</c:v>
                </c:pt>
              </c:numCache>
            </c:numRef>
          </c:val>
        </c:ser>
        <c:ser>
          <c:idx val="2"/>
          <c:order val="2"/>
          <c:tx>
            <c:strRef>
              <c:f>'LSD.RID.0.AR'!$E$309</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7"/>
            <c:invertIfNegative val="0"/>
            <c:spPr>
              <a:solidFill>
                <a:srgbClr val="ffd320"/>
              </a:solidFill>
              <a:ln w="0">
                <a:noFill/>
              </a:ln>
            </c:spPr>
          </c:dPt>
          <c:dPt>
            <c:idx val="28"/>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'LSD.RID.0.AR'!$E$311:$E$344</c:f>
              <c:numCache>
                <c:formatCode>0.00%</c:formatCode>
                <c:ptCount val="34"/>
                <c:pt idx="0">
                  <c:v>0.74</c:v>
                </c:pt>
                <c:pt idx="1">
                  <c:v>0.703</c:v>
                </c:pt>
                <c:pt idx="2">
                  <c:v>0.7</c:v>
                </c:pt>
                <c:pt idx="3">
                  <c:v>0.665</c:v>
                </c:pt>
                <c:pt idx="4">
                  <c:v>0.665</c:v>
                </c:pt>
                <c:pt idx="5">
                  <c:v>0.632</c:v>
                </c:pt>
                <c:pt idx="6">
                  <c:v>0.74</c:v>
                </c:pt>
                <c:pt idx="7">
                  <c:v>0.703</c:v>
                </c:pt>
                <c:pt idx="8">
                  <c:v>0.665</c:v>
                </c:pt>
                <c:pt idx="9">
                  <c:v>0.632</c:v>
                </c:pt>
                <c:pt idx="10">
                  <c:v>0.7</c:v>
                </c:pt>
                <c:pt idx="11">
                  <c:v>0.665</c:v>
                </c:pt>
                <c:pt idx="12">
                  <c:v>0.665</c:v>
                </c:pt>
                <c:pt idx="13">
                  <c:v>0.632</c:v>
                </c:pt>
                <c:pt idx="14">
                  <c:v>0.74</c:v>
                </c:pt>
                <c:pt idx="15">
                  <c:v>0.703</c:v>
                </c:pt>
                <c:pt idx="16">
                  <c:v>0.7</c:v>
                </c:pt>
                <c:pt idx="17">
                  <c:v>0.665</c:v>
                </c:pt>
                <c:pt idx="18">
                  <c:v>0.63</c:v>
                </c:pt>
                <c:pt idx="19">
                  <c:v>0.599</c:v>
                </c:pt>
                <c:pt idx="20">
                  <c:v>0.595</c:v>
                </c:pt>
                <c:pt idx="21">
                  <c:v>0.565</c:v>
                </c:pt>
                <c:pt idx="22">
                  <c:v>0.595</c:v>
                </c:pt>
                <c:pt idx="23">
                  <c:v>0.565</c:v>
                </c:pt>
                <c:pt idx="24">
                  <c:v>0.595</c:v>
                </c:pt>
                <c:pt idx="25">
                  <c:v>0.565</c:v>
                </c:pt>
                <c:pt idx="26">
                  <c:v>0.63</c:v>
                </c:pt>
                <c:pt idx="27">
                  <c:v>0.599</c:v>
                </c:pt>
                <c:pt idx="28">
                  <c:v>0.595</c:v>
                </c:pt>
                <c:pt idx="29">
                  <c:v>0.565</c:v>
                </c:pt>
                <c:pt idx="30">
                  <c:v>0.75</c:v>
                </c:pt>
                <c:pt idx="31">
                  <c:v>0.713</c:v>
                </c:pt>
                <c:pt idx="32">
                  <c:v>0.665</c:v>
                </c:pt>
                <c:pt idx="33">
                  <c:v>0.632</c:v>
                </c:pt>
              </c:numCache>
            </c:numRef>
          </c:val>
        </c:ser>
        <c:ser>
          <c:idx val="3"/>
          <c:order val="3"/>
          <c:tx>
            <c:strRef>
              <c:f>'LSD.RID.0.AR'!$F$309</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'LSD.RID.0.AR'!$F$311:$F$344</c:f>
              <c:numCache>
                <c:formatCode>0.00%</c:formatCode>
                <c:ptCount val="34"/>
                <c:pt idx="0">
                  <c:v>0.615</c:v>
                </c:pt>
                <c:pt idx="1">
                  <c:v>0.585</c:v>
                </c:pt>
                <c:pt idx="2">
                  <c:v>0.585</c:v>
                </c:pt>
                <c:pt idx="3">
                  <c:v>0.556</c:v>
                </c:pt>
                <c:pt idx="4">
                  <c:v>0.556</c:v>
                </c:pt>
                <c:pt idx="5">
                  <c:v>0.528</c:v>
                </c:pt>
                <c:pt idx="6">
                  <c:v>0.615</c:v>
                </c:pt>
                <c:pt idx="7">
                  <c:v>0.585</c:v>
                </c:pt>
                <c:pt idx="8">
                  <c:v>0.528</c:v>
                </c:pt>
                <c:pt idx="9">
                  <c:v>0.528</c:v>
                </c:pt>
                <c:pt idx="10">
                  <c:v>0.585</c:v>
                </c:pt>
                <c:pt idx="11">
                  <c:v>0.556</c:v>
                </c:pt>
                <c:pt idx="12">
                  <c:v>0.556</c:v>
                </c:pt>
                <c:pt idx="13">
                  <c:v>0.528</c:v>
                </c:pt>
                <c:pt idx="14">
                  <c:v>0.615</c:v>
                </c:pt>
                <c:pt idx="15">
                  <c:v>0.585</c:v>
                </c:pt>
                <c:pt idx="16">
                  <c:v>0.585</c:v>
                </c:pt>
                <c:pt idx="17">
                  <c:v>0.556</c:v>
                </c:pt>
                <c:pt idx="18">
                  <c:v>0.526</c:v>
                </c:pt>
                <c:pt idx="19">
                  <c:v>0.5</c:v>
                </c:pt>
                <c:pt idx="20">
                  <c:v>0.497</c:v>
                </c:pt>
                <c:pt idx="21">
                  <c:v>0.472</c:v>
                </c:pt>
                <c:pt idx="22">
                  <c:v>0.497</c:v>
                </c:pt>
                <c:pt idx="23">
                  <c:v>0.472</c:v>
                </c:pt>
                <c:pt idx="24">
                  <c:v>0.497</c:v>
                </c:pt>
                <c:pt idx="25">
                  <c:v>0.472</c:v>
                </c:pt>
                <c:pt idx="26">
                  <c:v>0.526</c:v>
                </c:pt>
                <c:pt idx="27">
                  <c:v>0.5</c:v>
                </c:pt>
                <c:pt idx="28">
                  <c:v>0.497</c:v>
                </c:pt>
                <c:pt idx="29">
                  <c:v>0.472</c:v>
                </c:pt>
                <c:pt idx="30">
                  <c:v>0.68</c:v>
                </c:pt>
                <c:pt idx="31">
                  <c:v>0.646</c:v>
                </c:pt>
                <c:pt idx="32">
                  <c:v>0.556</c:v>
                </c:pt>
                <c:pt idx="33">
                  <c:v>0.528</c:v>
                </c:pt>
              </c:numCache>
            </c:numRef>
          </c:val>
        </c:ser>
        <c:gapWidth val="100"/>
        <c:overlap val="0"/>
        <c:axId val="7648905"/>
        <c:axId val="62562010"/>
      </c:barChart>
      <c:catAx>
        <c:axId val="764890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22717204036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2562010"/>
        <c:crosses val="autoZero"/>
        <c:auto val="1"/>
        <c:lblAlgn val="ctr"/>
        <c:lblOffset val="100"/>
        <c:noMultiLvlLbl val="0"/>
      </c:catAx>
      <c:valAx>
        <c:axId val="6256201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178416699488"/>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648905"/>
        <c:crosses val="max"/>
        <c:crossBetween val="midCat"/>
        <c:majorUnit val="0.01"/>
      </c:valAx>
      <c:spPr>
        <a:noFill/>
        <a:ln w="0">
          <a:solidFill>
            <a:srgbClr val="b3b3b3"/>
          </a:solidFill>
        </a:ln>
      </c:spPr>
    </c:plotArea>
    <c:legend>
      <c:legendPos val="r"/>
      <c:layout>
        <c:manualLayout>
          <c:xMode val="edge"/>
          <c:yMode val="edge"/>
          <c:x val="0.802567333438337"/>
          <c:y val="0.0768776454375431"/>
          <c:w val="0.171962984839535"/>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Unemployment Rate</a:t>
            </a:r>
          </a:p>
        </c:rich>
      </c:tx>
      <c:layout>
        <c:manualLayout>
          <c:xMode val="edge"/>
          <c:yMode val="edge"/>
          <c:x val="0.296849153209925"/>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'LSD.RID.0.AR'!$C$443</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'LSD.RID.0.AR'!$C$445:$C$478</c:f>
              <c:numCache>
                <c:formatCode>0.00%</c:formatCode>
                <c:ptCount val="34"/>
                <c:pt idx="0">
                  <c:v>0.05</c:v>
                </c:pt>
                <c:pt idx="1">
                  <c:v>0.05</c:v>
                </c:pt>
                <c:pt idx="2">
                  <c:v>0.035</c:v>
                </c:pt>
                <c:pt idx="3">
                  <c:v>0.035</c:v>
                </c:pt>
                <c:pt idx="4">
                  <c:v>0.04</c:v>
                </c:pt>
                <c:pt idx="5">
                  <c:v>0.04</c:v>
                </c:pt>
                <c:pt idx="6">
                  <c:v>0.045</c:v>
                </c:pt>
                <c:pt idx="7">
                  <c:v>0.045</c:v>
                </c:pt>
                <c:pt idx="8">
                  <c:v>0.025</c:v>
                </c:pt>
                <c:pt idx="9">
                  <c:v>0.025</c:v>
                </c:pt>
                <c:pt idx="10">
                  <c:v>0.03</c:v>
                </c:pt>
                <c:pt idx="11">
                  <c:v>0.03</c:v>
                </c:pt>
                <c:pt idx="12">
                  <c:v>0.04</c:v>
                </c:pt>
                <c:pt idx="13">
                  <c:v>0.04</c:v>
                </c:pt>
                <c:pt idx="14">
                  <c:v>0.05</c:v>
                </c:pt>
                <c:pt idx="15">
                  <c:v>0.05</c:v>
                </c:pt>
                <c:pt idx="16">
                  <c:v>0.03</c:v>
                </c:pt>
                <c:pt idx="17">
                  <c:v>0.03</c:v>
                </c:pt>
                <c:pt idx="18">
                  <c:v>0.025</c:v>
                </c:pt>
                <c:pt idx="19">
                  <c:v>0.025</c:v>
                </c:pt>
                <c:pt idx="20">
                  <c:v>0.03</c:v>
                </c:pt>
                <c:pt idx="21">
                  <c:v>0.03</c:v>
                </c:pt>
                <c:pt idx="22">
                  <c:v>0.025</c:v>
                </c:pt>
                <c:pt idx="23">
                  <c:v>0.025</c:v>
                </c:pt>
                <c:pt idx="24">
                  <c:v>0.03</c:v>
                </c:pt>
                <c:pt idx="25">
                  <c:v>0.03</c:v>
                </c:pt>
                <c:pt idx="26">
                  <c:v>0.035</c:v>
                </c:pt>
                <c:pt idx="27">
                  <c:v>0.035</c:v>
                </c:pt>
                <c:pt idx="28">
                  <c:v>0.025</c:v>
                </c:pt>
                <c:pt idx="29">
                  <c:v>0.025</c:v>
                </c:pt>
                <c:pt idx="30">
                  <c:v>0.035</c:v>
                </c:pt>
                <c:pt idx="31">
                  <c:v>0.035</c:v>
                </c:pt>
                <c:pt idx="32">
                  <c:v>0.04</c:v>
                </c:pt>
                <c:pt idx="33">
                  <c:v>0.04</c:v>
                </c:pt>
              </c:numCache>
            </c:numRef>
          </c:val>
        </c:ser>
        <c:ser>
          <c:idx val="1"/>
          <c:order val="1"/>
          <c:tx>
            <c:strRef>
              <c:f>'LSD.RID.0.AR'!$D$443</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'LSD.RID.0.AR'!$D$445:$D$478</c:f>
              <c:numCache>
                <c:formatCode>0.00%</c:formatCode>
                <c:ptCount val="34"/>
                <c:pt idx="0">
                  <c:v>0.07</c:v>
                </c:pt>
                <c:pt idx="1">
                  <c:v>0.07</c:v>
                </c:pt>
                <c:pt idx="2">
                  <c:v>0.06</c:v>
                </c:pt>
                <c:pt idx="3">
                  <c:v>0.06</c:v>
                </c:pt>
                <c:pt idx="4">
                  <c:v>0.07</c:v>
                </c:pt>
                <c:pt idx="5">
                  <c:v>0.07</c:v>
                </c:pt>
                <c:pt idx="6">
                  <c:v>0.08</c:v>
                </c:pt>
                <c:pt idx="7">
                  <c:v>0.08</c:v>
                </c:pt>
                <c:pt idx="8">
                  <c:v>0.045</c:v>
                </c:pt>
                <c:pt idx="9">
                  <c:v>0.045</c:v>
                </c:pt>
                <c:pt idx="10">
                  <c:v>0.055</c:v>
                </c:pt>
                <c:pt idx="11">
                  <c:v>0.055</c:v>
                </c:pt>
                <c:pt idx="12">
                  <c:v>0.07</c:v>
                </c:pt>
                <c:pt idx="13">
                  <c:v>0.07</c:v>
                </c:pt>
                <c:pt idx="14">
                  <c:v>0.07</c:v>
                </c:pt>
                <c:pt idx="15">
                  <c:v>0.07</c:v>
                </c:pt>
                <c:pt idx="16">
                  <c:v>0.055</c:v>
                </c:pt>
                <c:pt idx="17">
                  <c:v>0.055</c:v>
                </c:pt>
                <c:pt idx="18">
                  <c:v>0.045</c:v>
                </c:pt>
                <c:pt idx="19">
                  <c:v>0.045</c:v>
                </c:pt>
                <c:pt idx="20">
                  <c:v>0.05</c:v>
                </c:pt>
                <c:pt idx="21">
                  <c:v>0.05</c:v>
                </c:pt>
                <c:pt idx="22">
                  <c:v>0.045</c:v>
                </c:pt>
                <c:pt idx="23">
                  <c:v>0.045</c:v>
                </c:pt>
                <c:pt idx="24">
                  <c:v>0.05</c:v>
                </c:pt>
                <c:pt idx="25">
                  <c:v>0.05</c:v>
                </c:pt>
                <c:pt idx="26">
                  <c:v>0.055</c:v>
                </c:pt>
                <c:pt idx="27">
                  <c:v>0.055</c:v>
                </c:pt>
                <c:pt idx="28">
                  <c:v>0.04</c:v>
                </c:pt>
                <c:pt idx="29">
                  <c:v>0.04</c:v>
                </c:pt>
                <c:pt idx="30">
                  <c:v>0.045</c:v>
                </c:pt>
                <c:pt idx="31">
                  <c:v>0.045</c:v>
                </c:pt>
                <c:pt idx="32">
                  <c:v>0.07</c:v>
                </c:pt>
                <c:pt idx="33">
                  <c:v>0.07</c:v>
                </c:pt>
              </c:numCache>
            </c:numRef>
          </c:val>
        </c:ser>
        <c:ser>
          <c:idx val="2"/>
          <c:order val="2"/>
          <c:tx>
            <c:strRef>
              <c:f>'LSD.RID.0.AR'!$E$443</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'LSD.RID.0.AR'!$E$445:$E$478</c:f>
              <c:numCache>
                <c:formatCode>0.00%</c:formatCode>
                <c:ptCount val="34"/>
                <c:pt idx="0">
                  <c:v>0.12</c:v>
                </c:pt>
                <c:pt idx="1">
                  <c:v>0.12</c:v>
                </c:pt>
                <c:pt idx="2">
                  <c:v>0.11</c:v>
                </c:pt>
                <c:pt idx="3">
                  <c:v>0.11</c:v>
                </c:pt>
                <c:pt idx="4">
                  <c:v>0.13</c:v>
                </c:pt>
                <c:pt idx="5">
                  <c:v>0.13</c:v>
                </c:pt>
                <c:pt idx="6">
                  <c:v>0.14</c:v>
                </c:pt>
                <c:pt idx="7">
                  <c:v>0.14</c:v>
                </c:pt>
                <c:pt idx="8">
                  <c:v>0.08</c:v>
                </c:pt>
                <c:pt idx="9">
                  <c:v>0.08</c:v>
                </c:pt>
                <c:pt idx="10">
                  <c:v>0.09</c:v>
                </c:pt>
                <c:pt idx="11">
                  <c:v>0.09</c:v>
                </c:pt>
                <c:pt idx="12">
                  <c:v>0.12</c:v>
                </c:pt>
                <c:pt idx="13">
                  <c:v>0.12</c:v>
                </c:pt>
                <c:pt idx="14">
                  <c:v>0.12</c:v>
                </c:pt>
                <c:pt idx="15">
                  <c:v>0.12</c:v>
                </c:pt>
                <c:pt idx="16">
                  <c:v>0.09</c:v>
                </c:pt>
                <c:pt idx="17">
                  <c:v>0.09</c:v>
                </c:pt>
                <c:pt idx="18">
                  <c:v>0.08</c:v>
                </c:pt>
                <c:pt idx="19">
                  <c:v>0.08</c:v>
                </c:pt>
                <c:pt idx="20">
                  <c:v>0.09</c:v>
                </c:pt>
                <c:pt idx="21">
                  <c:v>0.09</c:v>
                </c:pt>
                <c:pt idx="22">
                  <c:v>0.08</c:v>
                </c:pt>
                <c:pt idx="23">
                  <c:v>0.08</c:v>
                </c:pt>
                <c:pt idx="24">
                  <c:v>0.09</c:v>
                </c:pt>
                <c:pt idx="25">
                  <c:v>0.09</c:v>
                </c:pt>
                <c:pt idx="26">
                  <c:v>0.1</c:v>
                </c:pt>
                <c:pt idx="27">
                  <c:v>0.1</c:v>
                </c:pt>
                <c:pt idx="28">
                  <c:v>0.06</c:v>
                </c:pt>
                <c:pt idx="29">
                  <c:v>0.06</c:v>
                </c:pt>
                <c:pt idx="30">
                  <c:v>0.06</c:v>
                </c:pt>
                <c:pt idx="31">
                  <c:v>0.06</c:v>
                </c:pt>
                <c:pt idx="32">
                  <c:v>0.12</c:v>
                </c:pt>
                <c:pt idx="33">
                  <c:v>0.12</c:v>
                </c:pt>
              </c:numCache>
            </c:numRef>
          </c:val>
        </c:ser>
        <c:ser>
          <c:idx val="3"/>
          <c:order val="3"/>
          <c:tx>
            <c:strRef>
              <c:f>'LSD.RID.0.AR'!$F$443</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'LSD.RID.0.AR'!$F$445:$F$478</c:f>
              <c:numCache>
                <c:formatCode>0.00%</c:formatCode>
                <c:ptCount val="34"/>
                <c:pt idx="0">
                  <c:v>0.05</c:v>
                </c:pt>
                <c:pt idx="1">
                  <c:v>0.05</c:v>
                </c:pt>
                <c:pt idx="2">
                  <c:v>0.035</c:v>
                </c:pt>
                <c:pt idx="3">
                  <c:v>0.035</c:v>
                </c:pt>
                <c:pt idx="4">
                  <c:v>0.04</c:v>
                </c:pt>
                <c:pt idx="5">
                  <c:v>0.04</c:v>
                </c:pt>
                <c:pt idx="6">
                  <c:v>0.045</c:v>
                </c:pt>
                <c:pt idx="7">
                  <c:v>0.045</c:v>
                </c:pt>
                <c:pt idx="8">
                  <c:v>0.025</c:v>
                </c:pt>
                <c:pt idx="9">
                  <c:v>0.025</c:v>
                </c:pt>
                <c:pt idx="10">
                  <c:v>0.03</c:v>
                </c:pt>
                <c:pt idx="11">
                  <c:v>0.03</c:v>
                </c:pt>
                <c:pt idx="12">
                  <c:v>0.04</c:v>
                </c:pt>
                <c:pt idx="13">
                  <c:v>0.04</c:v>
                </c:pt>
                <c:pt idx="14">
                  <c:v>0.05</c:v>
                </c:pt>
                <c:pt idx="15">
                  <c:v>0.05</c:v>
                </c:pt>
                <c:pt idx="16">
                  <c:v>0.03</c:v>
                </c:pt>
                <c:pt idx="17">
                  <c:v>0.03</c:v>
                </c:pt>
                <c:pt idx="18">
                  <c:v>0.025</c:v>
                </c:pt>
                <c:pt idx="19">
                  <c:v>0.025</c:v>
                </c:pt>
                <c:pt idx="20">
                  <c:v>0.03</c:v>
                </c:pt>
                <c:pt idx="21">
                  <c:v>0.03</c:v>
                </c:pt>
                <c:pt idx="22">
                  <c:v>0.025</c:v>
                </c:pt>
                <c:pt idx="23">
                  <c:v>0.025</c:v>
                </c:pt>
                <c:pt idx="24">
                  <c:v>0.03</c:v>
                </c:pt>
                <c:pt idx="25">
                  <c:v>0.03</c:v>
                </c:pt>
                <c:pt idx="26">
                  <c:v>0.035</c:v>
                </c:pt>
                <c:pt idx="27">
                  <c:v>0.035</c:v>
                </c:pt>
                <c:pt idx="28">
                  <c:v>0.025</c:v>
                </c:pt>
                <c:pt idx="29">
                  <c:v>0.025</c:v>
                </c:pt>
                <c:pt idx="30">
                  <c:v>0.035</c:v>
                </c:pt>
                <c:pt idx="31">
                  <c:v>0.035</c:v>
                </c:pt>
                <c:pt idx="32">
                  <c:v>0.04</c:v>
                </c:pt>
                <c:pt idx="33">
                  <c:v>0.04</c:v>
                </c:pt>
              </c:numCache>
            </c:numRef>
          </c:val>
        </c:ser>
        <c:gapWidth val="100"/>
        <c:overlap val="0"/>
        <c:axId val="77891002"/>
        <c:axId val="12545575"/>
      </c:barChart>
      <c:catAx>
        <c:axId val="7789100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15333497415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2545575"/>
        <c:crosses val="autoZero"/>
        <c:auto val="1"/>
        <c:lblAlgn val="ctr"/>
        <c:lblOffset val="100"/>
        <c:noMultiLvlLbl val="0"/>
      </c:catAx>
      <c:valAx>
        <c:axId val="1254557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1862938164632"/>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7891002"/>
        <c:crosses val="max"/>
        <c:crossBetween val="midCat"/>
        <c:majorUnit val="0.01"/>
      </c:valAx>
      <c:spPr>
        <a:noFill/>
        <a:ln w="0">
          <a:solidFill>
            <a:srgbClr val="b3b3b3"/>
          </a:solidFill>
        </a:ln>
      </c:spPr>
    </c:plotArea>
    <c:legend>
      <c:legendPos val="r"/>
      <c:layout>
        <c:manualLayout>
          <c:xMode val="edge"/>
          <c:yMode val="edge"/>
          <c:x val="0.802567333438337"/>
          <c:y val="0.0768776454375431"/>
          <c:w val="0.171962984839535"/>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Underemployment Rate</a:t>
            </a:r>
          </a:p>
        </c:rich>
      </c:tx>
      <c:layout>
        <c:manualLayout>
          <c:xMode val="edge"/>
          <c:yMode val="edge"/>
          <c:x val="0.281094919259551"/>
          <c:y val="0.0107063746000492"/>
        </c:manualLayout>
      </c:layout>
      <c:overlay val="0"/>
      <c:spPr>
        <a:noFill/>
        <a:ln w="0">
          <a:noFill/>
        </a:ln>
      </c:spPr>
    </c:title>
    <c:autoTitleDeleted val="0"/>
    <c:plotArea>
      <c:layout>
        <c:manualLayout>
          <c:layoutTarget val="inner"/>
          <c:xMode val="edge"/>
          <c:yMode val="edge"/>
          <c:x val="0.299842457660496"/>
          <c:y val="0.0468619246861925"/>
          <c:w val="0.470854667191808"/>
          <c:h val="0.874870785134137"/>
        </c:manualLayout>
      </c:layout>
      <c:barChart>
        <c:barDir val="bar"/>
        <c:grouping val="clustered"/>
        <c:varyColors val="0"/>
        <c:ser>
          <c:idx val="0"/>
          <c:order val="0"/>
          <c:tx>
            <c:strRef>
              <c:f>'LSD.RID.0.AR'!$C$577</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'LSD.RID.0.AR'!$C$579:$C$612</c:f>
              <c:numCache>
                <c:formatCode>0.00%</c:formatCode>
                <c:ptCount val="34"/>
                <c:pt idx="0">
                  <c:v>0.099</c:v>
                </c:pt>
                <c:pt idx="1">
                  <c:v>0.109</c:v>
                </c:pt>
                <c:pt idx="2">
                  <c:v>0.091</c:v>
                </c:pt>
                <c:pt idx="3">
                  <c:v>0.1</c:v>
                </c:pt>
                <c:pt idx="4">
                  <c:v>0.103</c:v>
                </c:pt>
                <c:pt idx="5">
                  <c:v>0.113</c:v>
                </c:pt>
                <c:pt idx="6">
                  <c:v>0.107</c:v>
                </c:pt>
                <c:pt idx="7">
                  <c:v>0.118</c:v>
                </c:pt>
                <c:pt idx="8">
                  <c:v>0.071</c:v>
                </c:pt>
                <c:pt idx="9">
                  <c:v>0.078</c:v>
                </c:pt>
                <c:pt idx="10">
                  <c:v>0.079</c:v>
                </c:pt>
                <c:pt idx="11">
                  <c:v>0.087</c:v>
                </c:pt>
                <c:pt idx="12">
                  <c:v>0.095</c:v>
                </c:pt>
                <c:pt idx="13">
                  <c:v>0.105</c:v>
                </c:pt>
                <c:pt idx="14">
                  <c:v>0.099</c:v>
                </c:pt>
                <c:pt idx="15">
                  <c:v>0.109</c:v>
                </c:pt>
                <c:pt idx="16">
                  <c:v>0.079</c:v>
                </c:pt>
                <c:pt idx="17">
                  <c:v>0.087</c:v>
                </c:pt>
                <c:pt idx="18">
                  <c:v>0.063</c:v>
                </c:pt>
                <c:pt idx="19">
                  <c:v>0.069</c:v>
                </c:pt>
                <c:pt idx="20">
                  <c:v>0.055</c:v>
                </c:pt>
                <c:pt idx="21">
                  <c:v>0.061</c:v>
                </c:pt>
                <c:pt idx="22">
                  <c:v>0.055</c:v>
                </c:pt>
                <c:pt idx="23">
                  <c:v>0.061</c:v>
                </c:pt>
                <c:pt idx="24">
                  <c:v>0.055</c:v>
                </c:pt>
                <c:pt idx="25">
                  <c:v>0.061</c:v>
                </c:pt>
                <c:pt idx="26">
                  <c:v>0.063</c:v>
                </c:pt>
                <c:pt idx="27">
                  <c:v>0.069</c:v>
                </c:pt>
                <c:pt idx="28">
                  <c:v>0.055</c:v>
                </c:pt>
                <c:pt idx="29">
                  <c:v>0.061</c:v>
                </c:pt>
                <c:pt idx="30">
                  <c:v>0.11</c:v>
                </c:pt>
                <c:pt idx="31">
                  <c:v>0.121</c:v>
                </c:pt>
                <c:pt idx="32">
                  <c:v>0.087</c:v>
                </c:pt>
                <c:pt idx="33">
                  <c:v>0.096</c:v>
                </c:pt>
              </c:numCache>
            </c:numRef>
          </c:val>
        </c:ser>
        <c:ser>
          <c:idx val="1"/>
          <c:order val="1"/>
          <c:tx>
            <c:strRef>
              <c:f>'LSD.RID.0.AR'!$D$577</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'LSD.RID.0.AR'!$D$579:$D$612</c:f>
              <c:numCache>
                <c:formatCode>0.00%</c:formatCode>
                <c:ptCount val="34"/>
                <c:pt idx="0">
                  <c:v>0.115</c:v>
                </c:pt>
                <c:pt idx="1">
                  <c:v>0.126</c:v>
                </c:pt>
                <c:pt idx="2">
                  <c:v>0.105</c:v>
                </c:pt>
                <c:pt idx="3">
                  <c:v>0.115</c:v>
                </c:pt>
                <c:pt idx="4">
                  <c:v>0.119</c:v>
                </c:pt>
                <c:pt idx="5">
                  <c:v>0.131</c:v>
                </c:pt>
                <c:pt idx="6">
                  <c:v>0.124</c:v>
                </c:pt>
                <c:pt idx="7">
                  <c:v>0.137</c:v>
                </c:pt>
                <c:pt idx="8">
                  <c:v>0.082</c:v>
                </c:pt>
                <c:pt idx="9">
                  <c:v>0.09</c:v>
                </c:pt>
                <c:pt idx="10">
                  <c:v>0.092</c:v>
                </c:pt>
                <c:pt idx="11">
                  <c:v>0.101</c:v>
                </c:pt>
                <c:pt idx="12">
                  <c:v>0.11</c:v>
                </c:pt>
                <c:pt idx="13">
                  <c:v>0.121</c:v>
                </c:pt>
                <c:pt idx="14">
                  <c:v>0.115</c:v>
                </c:pt>
                <c:pt idx="15">
                  <c:v>0.126</c:v>
                </c:pt>
                <c:pt idx="16">
                  <c:v>0.092</c:v>
                </c:pt>
                <c:pt idx="17">
                  <c:v>0.101</c:v>
                </c:pt>
                <c:pt idx="18">
                  <c:v>0.073</c:v>
                </c:pt>
                <c:pt idx="19">
                  <c:v>0.08</c:v>
                </c:pt>
                <c:pt idx="20">
                  <c:v>0.064</c:v>
                </c:pt>
                <c:pt idx="21">
                  <c:v>0.07</c:v>
                </c:pt>
                <c:pt idx="22">
                  <c:v>0.064</c:v>
                </c:pt>
                <c:pt idx="23">
                  <c:v>0.07</c:v>
                </c:pt>
                <c:pt idx="24">
                  <c:v>0.064</c:v>
                </c:pt>
                <c:pt idx="25">
                  <c:v>0.07</c:v>
                </c:pt>
                <c:pt idx="26">
                  <c:v>0.073</c:v>
                </c:pt>
                <c:pt idx="27">
                  <c:v>0.08</c:v>
                </c:pt>
                <c:pt idx="28">
                  <c:v>0.064</c:v>
                </c:pt>
                <c:pt idx="29">
                  <c:v>0.07</c:v>
                </c:pt>
                <c:pt idx="30">
                  <c:v>0.127</c:v>
                </c:pt>
                <c:pt idx="31">
                  <c:v>0.14</c:v>
                </c:pt>
                <c:pt idx="32">
                  <c:v>0.101</c:v>
                </c:pt>
                <c:pt idx="33">
                  <c:v>0.111</c:v>
                </c:pt>
              </c:numCache>
            </c:numRef>
          </c:val>
        </c:ser>
        <c:ser>
          <c:idx val="2"/>
          <c:order val="2"/>
          <c:tx>
            <c:strRef>
              <c:f>'LSD.RID.0.AR'!$E$577</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2"/>
            <c:invertIfNegative val="0"/>
            <c:spPr>
              <a:solidFill>
                <a:srgbClr val="ffd320"/>
              </a:solidFill>
              <a:ln w="0">
                <a:noFill/>
              </a:ln>
            </c:spPr>
          </c:dPt>
          <c:dPt>
            <c:idx val="13"/>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8"/>
            <c:invertIfNegative val="0"/>
            <c:spPr>
              <a:solidFill>
                <a:srgbClr val="ffd320"/>
              </a:solidFill>
              <a:ln w="0">
                <a:noFill/>
              </a:ln>
            </c:spPr>
          </c:dPt>
          <c:dPt>
            <c:idx val="29"/>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3"/>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9"/>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'LSD.RID.0.AR'!$E$579:$E$612</c:f>
              <c:numCache>
                <c:formatCode>0.00%</c:formatCode>
                <c:ptCount val="34"/>
                <c:pt idx="0">
                  <c:v>0.131</c:v>
                </c:pt>
                <c:pt idx="1">
                  <c:v>0.144</c:v>
                </c:pt>
                <c:pt idx="2">
                  <c:v>0.12</c:v>
                </c:pt>
                <c:pt idx="3">
                  <c:v>0.132</c:v>
                </c:pt>
                <c:pt idx="4">
                  <c:v>0.136</c:v>
                </c:pt>
                <c:pt idx="5">
                  <c:v>0.15</c:v>
                </c:pt>
                <c:pt idx="6">
                  <c:v>0.142</c:v>
                </c:pt>
                <c:pt idx="7">
                  <c:v>0.156</c:v>
                </c:pt>
                <c:pt idx="8">
                  <c:v>0.094</c:v>
                </c:pt>
                <c:pt idx="9">
                  <c:v>0.103</c:v>
                </c:pt>
                <c:pt idx="10">
                  <c:v>0.105</c:v>
                </c:pt>
                <c:pt idx="11">
                  <c:v>0.115</c:v>
                </c:pt>
                <c:pt idx="12">
                  <c:v>0.126</c:v>
                </c:pt>
                <c:pt idx="13">
                  <c:v>0.138</c:v>
                </c:pt>
                <c:pt idx="14">
                  <c:v>0.131</c:v>
                </c:pt>
                <c:pt idx="15">
                  <c:v>0.144</c:v>
                </c:pt>
                <c:pt idx="16">
                  <c:v>0.105</c:v>
                </c:pt>
                <c:pt idx="17">
                  <c:v>0.115</c:v>
                </c:pt>
                <c:pt idx="18">
                  <c:v>0.083</c:v>
                </c:pt>
                <c:pt idx="19">
                  <c:v>0.092</c:v>
                </c:pt>
                <c:pt idx="20">
                  <c:v>0.073</c:v>
                </c:pt>
                <c:pt idx="21">
                  <c:v>0.08</c:v>
                </c:pt>
                <c:pt idx="22">
                  <c:v>0.073</c:v>
                </c:pt>
                <c:pt idx="23">
                  <c:v>0.08</c:v>
                </c:pt>
                <c:pt idx="24">
                  <c:v>0.073</c:v>
                </c:pt>
                <c:pt idx="25">
                  <c:v>0.08</c:v>
                </c:pt>
                <c:pt idx="26">
                  <c:v>0.083</c:v>
                </c:pt>
                <c:pt idx="27">
                  <c:v>0.092</c:v>
                </c:pt>
                <c:pt idx="28">
                  <c:v>0.073</c:v>
                </c:pt>
                <c:pt idx="29">
                  <c:v>0.08</c:v>
                </c:pt>
                <c:pt idx="30">
                  <c:v>0.145</c:v>
                </c:pt>
                <c:pt idx="31">
                  <c:v>0.16</c:v>
                </c:pt>
                <c:pt idx="32">
                  <c:v>0.115</c:v>
                </c:pt>
                <c:pt idx="33">
                  <c:v>0.127</c:v>
                </c:pt>
              </c:numCache>
            </c:numRef>
          </c:val>
        </c:ser>
        <c:ser>
          <c:idx val="3"/>
          <c:order val="3"/>
          <c:tx>
            <c:strRef>
              <c:f>'LSD.RID.0.AR'!$F$577</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'LSD.RID.0.AR'!$F$579:$F$612</c:f>
              <c:numCache>
                <c:formatCode>0.00%</c:formatCode>
                <c:ptCount val="34"/>
                <c:pt idx="0">
                  <c:v>0.097</c:v>
                </c:pt>
                <c:pt idx="1">
                  <c:v>0.107</c:v>
                </c:pt>
                <c:pt idx="2">
                  <c:v>0.089</c:v>
                </c:pt>
                <c:pt idx="3">
                  <c:v>0.098</c:v>
                </c:pt>
                <c:pt idx="4">
                  <c:v>0.1</c:v>
                </c:pt>
                <c:pt idx="5">
                  <c:v>0.11</c:v>
                </c:pt>
                <c:pt idx="6">
                  <c:v>0.105</c:v>
                </c:pt>
                <c:pt idx="7">
                  <c:v>0.115</c:v>
                </c:pt>
                <c:pt idx="8">
                  <c:v>0.069</c:v>
                </c:pt>
                <c:pt idx="9">
                  <c:v>0.076</c:v>
                </c:pt>
                <c:pt idx="10">
                  <c:v>0.077</c:v>
                </c:pt>
                <c:pt idx="11">
                  <c:v>0.085</c:v>
                </c:pt>
                <c:pt idx="12">
                  <c:v>0.093</c:v>
                </c:pt>
                <c:pt idx="13">
                  <c:v>0.102</c:v>
                </c:pt>
                <c:pt idx="14">
                  <c:v>0.097</c:v>
                </c:pt>
                <c:pt idx="15">
                  <c:v>0.107</c:v>
                </c:pt>
                <c:pt idx="16">
                  <c:v>0.077</c:v>
                </c:pt>
                <c:pt idx="17">
                  <c:v>0.085</c:v>
                </c:pt>
                <c:pt idx="18">
                  <c:v>0.061</c:v>
                </c:pt>
                <c:pt idx="19">
                  <c:v>0.067</c:v>
                </c:pt>
                <c:pt idx="20">
                  <c:v>0.054</c:v>
                </c:pt>
                <c:pt idx="21">
                  <c:v>0.059</c:v>
                </c:pt>
                <c:pt idx="22">
                  <c:v>0.054</c:v>
                </c:pt>
                <c:pt idx="23">
                  <c:v>0.059</c:v>
                </c:pt>
                <c:pt idx="24">
                  <c:v>0.054</c:v>
                </c:pt>
                <c:pt idx="25">
                  <c:v>0.059</c:v>
                </c:pt>
                <c:pt idx="26">
                  <c:v>0.061</c:v>
                </c:pt>
                <c:pt idx="27">
                  <c:v>0.067</c:v>
                </c:pt>
                <c:pt idx="28">
                  <c:v>0.054</c:v>
                </c:pt>
                <c:pt idx="29">
                  <c:v>0.059</c:v>
                </c:pt>
                <c:pt idx="30">
                  <c:v>0.108</c:v>
                </c:pt>
                <c:pt idx="31">
                  <c:v>0.119</c:v>
                </c:pt>
                <c:pt idx="32">
                  <c:v>0.085</c:v>
                </c:pt>
                <c:pt idx="33">
                  <c:v>0.094</c:v>
                </c:pt>
              </c:numCache>
            </c:numRef>
          </c:val>
        </c:ser>
        <c:gapWidth val="100"/>
        <c:overlap val="0"/>
        <c:axId val="81843755"/>
        <c:axId val="6802457"/>
      </c:barChart>
      <c:catAx>
        <c:axId val="8184375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12872261875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802457"/>
        <c:crosses val="autoZero"/>
        <c:auto val="1"/>
        <c:lblAlgn val="ctr"/>
        <c:lblOffset val="100"/>
        <c:noMultiLvlLbl val="0"/>
      </c:catAx>
      <c:valAx>
        <c:axId val="680245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1508467900748"/>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1843755"/>
        <c:crosses val="max"/>
        <c:crossBetween val="midCat"/>
        <c:majorUnit val="0.01"/>
      </c:valAx>
      <c:spPr>
        <a:noFill/>
        <a:ln w="0">
          <a:solidFill>
            <a:srgbClr val="b3b3b3"/>
          </a:solidFill>
        </a:ln>
      </c:spPr>
    </c:plotArea>
    <c:legend>
      <c:legendPos val="r"/>
      <c:layout>
        <c:manualLayout>
          <c:xMode val="edge"/>
          <c:yMode val="edge"/>
          <c:x val="0.786541187588597"/>
          <c:y val="0.0768038192735506"/>
          <c:w val="0.187950383933845"/>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Wage Average</a:t>
            </a:r>
          </a:p>
        </c:rich>
      </c:tx>
      <c:layout>
        <c:manualLayout>
          <c:xMode val="edge"/>
          <c:yMode val="edge"/>
          <c:x val="0.316817644742024"/>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'LSD.RID.0.AR'!$C$711</c:f>
              <c:strCache>
                <c:ptCount val="1"/>
                <c:pt idx="0">
                  <c:v>Wage Average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'LSD.RID.0.AR'!$C$713:$C$746</c:f>
              <c:numCache>
                <c:formatCode>[$$-409]#,##0.00;[RED]\-[$$-409]#,##0.00</c:formatCode>
                <c:ptCount val="34"/>
                <c:pt idx="0">
                  <c:v>17</c:v>
                </c:pt>
                <c:pt idx="1">
                  <c:v>14.5</c:v>
                </c:pt>
                <c:pt idx="2">
                  <c:v>23.2</c:v>
                </c:pt>
                <c:pt idx="3">
                  <c:v>19.7</c:v>
                </c:pt>
                <c:pt idx="4">
                  <c:v>16.3</c:v>
                </c:pt>
                <c:pt idx="5">
                  <c:v>13.9</c:v>
                </c:pt>
                <c:pt idx="6">
                  <c:v>16</c:v>
                </c:pt>
                <c:pt idx="7">
                  <c:v>13.6</c:v>
                </c:pt>
                <c:pt idx="8">
                  <c:v>22.2</c:v>
                </c:pt>
                <c:pt idx="9">
                  <c:v>18.9</c:v>
                </c:pt>
                <c:pt idx="10">
                  <c:v>21.6</c:v>
                </c:pt>
                <c:pt idx="11">
                  <c:v>18.4</c:v>
                </c:pt>
                <c:pt idx="12">
                  <c:v>21.1</c:v>
                </c:pt>
                <c:pt idx="13">
                  <c:v>18</c:v>
                </c:pt>
                <c:pt idx="14">
                  <c:v>16.5</c:v>
                </c:pt>
                <c:pt idx="15">
                  <c:v>14</c:v>
                </c:pt>
                <c:pt idx="16">
                  <c:v>24.7</c:v>
                </c:pt>
                <c:pt idx="17">
                  <c:v>21</c:v>
                </c:pt>
                <c:pt idx="18">
                  <c:v>30.9</c:v>
                </c:pt>
                <c:pt idx="19">
                  <c:v>26.3</c:v>
                </c:pt>
                <c:pt idx="20">
                  <c:v>36.1</c:v>
                </c:pt>
                <c:pt idx="21">
                  <c:v>30.7</c:v>
                </c:pt>
                <c:pt idx="22">
                  <c:v>28.8</c:v>
                </c:pt>
                <c:pt idx="23">
                  <c:v>24.5</c:v>
                </c:pt>
                <c:pt idx="24">
                  <c:v>36.6</c:v>
                </c:pt>
                <c:pt idx="25">
                  <c:v>31.1</c:v>
                </c:pt>
                <c:pt idx="26">
                  <c:v>35</c:v>
                </c:pt>
                <c:pt idx="27">
                  <c:v>29.8</c:v>
                </c:pt>
                <c:pt idx="28">
                  <c:v>28.8</c:v>
                </c:pt>
                <c:pt idx="29">
                  <c:v>24.5</c:v>
                </c:pt>
                <c:pt idx="30">
                  <c:v>22.3</c:v>
                </c:pt>
                <c:pt idx="31">
                  <c:v>19</c:v>
                </c:pt>
                <c:pt idx="32">
                  <c:v>19.6</c:v>
                </c:pt>
                <c:pt idx="33">
                  <c:v>16.7</c:v>
                </c:pt>
              </c:numCache>
            </c:numRef>
          </c:val>
        </c:ser>
        <c:ser>
          <c:idx val="1"/>
          <c:order val="1"/>
          <c:tx>
            <c:strRef>
              <c:f>'LSD.RID.0.AR'!$D$711</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'LSD.RID.0.AR'!$D$713:$D$746</c:f>
              <c:numCache>
                <c:formatCode>[$$-409]#,##0.00;\-[$$-409]#,##0.00</c:formatCode>
                <c:ptCount val="34"/>
                <c:pt idx="0">
                  <c:v>16.5</c:v>
                </c:pt>
                <c:pt idx="1">
                  <c:v>14</c:v>
                </c:pt>
                <c:pt idx="2">
                  <c:v>22.5</c:v>
                </c:pt>
                <c:pt idx="3">
                  <c:v>19.1</c:v>
                </c:pt>
                <c:pt idx="4">
                  <c:v>15.8</c:v>
                </c:pt>
                <c:pt idx="5">
                  <c:v>13.5</c:v>
                </c:pt>
                <c:pt idx="6">
                  <c:v>15.5</c:v>
                </c:pt>
                <c:pt idx="7">
                  <c:v>13.2</c:v>
                </c:pt>
                <c:pt idx="8">
                  <c:v>21.5</c:v>
                </c:pt>
                <c:pt idx="9">
                  <c:v>18.3</c:v>
                </c:pt>
                <c:pt idx="10">
                  <c:v>21</c:v>
                </c:pt>
                <c:pt idx="11">
                  <c:v>17.9</c:v>
                </c:pt>
                <c:pt idx="12">
                  <c:v>20.5</c:v>
                </c:pt>
                <c:pt idx="13">
                  <c:v>17.4</c:v>
                </c:pt>
                <c:pt idx="14">
                  <c:v>16</c:v>
                </c:pt>
                <c:pt idx="15">
                  <c:v>13.6</c:v>
                </c:pt>
                <c:pt idx="16">
                  <c:v>24</c:v>
                </c:pt>
                <c:pt idx="17">
                  <c:v>20.4</c:v>
                </c:pt>
                <c:pt idx="18">
                  <c:v>30</c:v>
                </c:pt>
                <c:pt idx="19">
                  <c:v>25.5</c:v>
                </c:pt>
                <c:pt idx="20">
                  <c:v>35</c:v>
                </c:pt>
                <c:pt idx="21">
                  <c:v>29.8</c:v>
                </c:pt>
                <c:pt idx="22">
                  <c:v>28</c:v>
                </c:pt>
                <c:pt idx="23">
                  <c:v>23.8</c:v>
                </c:pt>
                <c:pt idx="24">
                  <c:v>35.5</c:v>
                </c:pt>
                <c:pt idx="25">
                  <c:v>30.2</c:v>
                </c:pt>
                <c:pt idx="26">
                  <c:v>34</c:v>
                </c:pt>
                <c:pt idx="27">
                  <c:v>28.9</c:v>
                </c:pt>
                <c:pt idx="28">
                  <c:v>28</c:v>
                </c:pt>
                <c:pt idx="29">
                  <c:v>23.8</c:v>
                </c:pt>
                <c:pt idx="30">
                  <c:v>21.6</c:v>
                </c:pt>
                <c:pt idx="31">
                  <c:v>18.4</c:v>
                </c:pt>
                <c:pt idx="32">
                  <c:v>19</c:v>
                </c:pt>
                <c:pt idx="33">
                  <c:v>16.2</c:v>
                </c:pt>
              </c:numCache>
            </c:numRef>
          </c:val>
        </c:ser>
        <c:ser>
          <c:idx val="2"/>
          <c:order val="2"/>
          <c:tx>
            <c:strRef>
              <c:f>'LSD.RID.0.AR'!$E$711</c:f>
              <c:strCache>
                <c:ptCount val="1"/>
                <c:pt idx="0">
                  <c:v>Unauthorized Immigrant Wage Average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'LSD.RID.0.AR'!$E$713:$E$746</c:f>
              <c:numCache>
                <c:formatCode>[$$-409]#,##0.00;\-[$$-409]#,##0.00</c:formatCode>
                <c:ptCount val="34"/>
                <c:pt idx="0">
                  <c:v>13.2</c:v>
                </c:pt>
                <c:pt idx="1">
                  <c:v>11.6</c:v>
                </c:pt>
                <c:pt idx="2">
                  <c:v>19.7</c:v>
                </c:pt>
                <c:pt idx="3">
                  <c:v>16.7</c:v>
                </c:pt>
                <c:pt idx="4">
                  <c:v>13.4</c:v>
                </c:pt>
                <c:pt idx="5">
                  <c:v>11.4</c:v>
                </c:pt>
                <c:pt idx="6">
                  <c:v>12.4</c:v>
                </c:pt>
                <c:pt idx="7">
                  <c:v>10.5</c:v>
                </c:pt>
                <c:pt idx="8">
                  <c:v>19.4</c:v>
                </c:pt>
                <c:pt idx="9">
                  <c:v>16.5</c:v>
                </c:pt>
                <c:pt idx="10">
                  <c:v>18.9</c:v>
                </c:pt>
                <c:pt idx="11">
                  <c:v>16.1</c:v>
                </c:pt>
                <c:pt idx="12">
                  <c:v>17.4</c:v>
                </c:pt>
                <c:pt idx="13">
                  <c:v>14.8</c:v>
                </c:pt>
                <c:pt idx="14">
                  <c:v>12.8</c:v>
                </c:pt>
                <c:pt idx="15">
                  <c:v>11.2</c:v>
                </c:pt>
                <c:pt idx="16">
                  <c:v>21.6</c:v>
                </c:pt>
                <c:pt idx="17">
                  <c:v>18.4</c:v>
                </c:pt>
                <c:pt idx="18">
                  <c:v>28.5</c:v>
                </c:pt>
                <c:pt idx="19">
                  <c:v>24.3</c:v>
                </c:pt>
                <c:pt idx="20">
                  <c:v>33.3</c:v>
                </c:pt>
                <c:pt idx="21">
                  <c:v>28.3</c:v>
                </c:pt>
                <c:pt idx="22">
                  <c:v>26.6</c:v>
                </c:pt>
                <c:pt idx="23">
                  <c:v>22.6</c:v>
                </c:pt>
                <c:pt idx="24">
                  <c:v>33.8</c:v>
                </c:pt>
                <c:pt idx="25">
                  <c:v>28.8</c:v>
                </c:pt>
                <c:pt idx="26">
                  <c:v>32.3</c:v>
                </c:pt>
                <c:pt idx="27">
                  <c:v>27.6</c:v>
                </c:pt>
                <c:pt idx="28">
                  <c:v>26.6</c:v>
                </c:pt>
                <c:pt idx="29">
                  <c:v>22.6</c:v>
                </c:pt>
                <c:pt idx="30">
                  <c:v>20.1</c:v>
                </c:pt>
                <c:pt idx="31">
                  <c:v>17.1</c:v>
                </c:pt>
                <c:pt idx="32">
                  <c:v>16.2</c:v>
                </c:pt>
                <c:pt idx="33">
                  <c:v>13.8</c:v>
                </c:pt>
              </c:numCache>
            </c:numRef>
          </c:val>
        </c:ser>
        <c:ser>
          <c:idx val="3"/>
          <c:order val="3"/>
          <c:tx>
            <c:strRef>
              <c:f>'LSD.RID.0.AR'!$F$711</c:f>
              <c:strCache>
                <c:ptCount val="1"/>
                <c:pt idx="0">
                  <c:v>American Wage Average ($/hr)</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9"/>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'LSD.RID.0.AR'!$F$713:$F$746</c:f>
              <c:numCache>
                <c:formatCode>[$$-409]#,##0.00;\-[$$-409]#,##0.00</c:formatCode>
                <c:ptCount val="34"/>
                <c:pt idx="0">
                  <c:v>17.3</c:v>
                </c:pt>
                <c:pt idx="1">
                  <c:v>14.7</c:v>
                </c:pt>
                <c:pt idx="2">
                  <c:v>23.5</c:v>
                </c:pt>
                <c:pt idx="3">
                  <c:v>20</c:v>
                </c:pt>
                <c:pt idx="4">
                  <c:v>16.5</c:v>
                </c:pt>
                <c:pt idx="5">
                  <c:v>14.1</c:v>
                </c:pt>
                <c:pt idx="6">
                  <c:v>16.2</c:v>
                </c:pt>
                <c:pt idx="7">
                  <c:v>13.8</c:v>
                </c:pt>
                <c:pt idx="8">
                  <c:v>22.5</c:v>
                </c:pt>
                <c:pt idx="9">
                  <c:v>19.1</c:v>
                </c:pt>
                <c:pt idx="10">
                  <c:v>21.9</c:v>
                </c:pt>
                <c:pt idx="11">
                  <c:v>18.6</c:v>
                </c:pt>
                <c:pt idx="12">
                  <c:v>21.4</c:v>
                </c:pt>
                <c:pt idx="13">
                  <c:v>18.2</c:v>
                </c:pt>
                <c:pt idx="14">
                  <c:v>16.7</c:v>
                </c:pt>
                <c:pt idx="15">
                  <c:v>14.2</c:v>
                </c:pt>
                <c:pt idx="16">
                  <c:v>25</c:v>
                </c:pt>
                <c:pt idx="17">
                  <c:v>21.3</c:v>
                </c:pt>
                <c:pt idx="18">
                  <c:v>31.3</c:v>
                </c:pt>
                <c:pt idx="19">
                  <c:v>26.6</c:v>
                </c:pt>
                <c:pt idx="20">
                  <c:v>36.5</c:v>
                </c:pt>
                <c:pt idx="21">
                  <c:v>31.1</c:v>
                </c:pt>
                <c:pt idx="22">
                  <c:v>29.2</c:v>
                </c:pt>
                <c:pt idx="23">
                  <c:v>24.9</c:v>
                </c:pt>
                <c:pt idx="24">
                  <c:v>37</c:v>
                </c:pt>
                <c:pt idx="25">
                  <c:v>31.5</c:v>
                </c:pt>
                <c:pt idx="26">
                  <c:v>35.5</c:v>
                </c:pt>
                <c:pt idx="27">
                  <c:v>30.2</c:v>
                </c:pt>
                <c:pt idx="28">
                  <c:v>29.2</c:v>
                </c:pt>
                <c:pt idx="29">
                  <c:v>24.9</c:v>
                </c:pt>
                <c:pt idx="30">
                  <c:v>22.6</c:v>
                </c:pt>
                <c:pt idx="31">
                  <c:v>19.3</c:v>
                </c:pt>
                <c:pt idx="32">
                  <c:v>19.9</c:v>
                </c:pt>
                <c:pt idx="33">
                  <c:v>16.9</c:v>
                </c:pt>
              </c:numCache>
            </c:numRef>
          </c:val>
        </c:ser>
        <c:gapWidth val="100"/>
        <c:overlap val="0"/>
        <c:axId val="69271416"/>
        <c:axId val="57944879"/>
      </c:barChart>
      <c:catAx>
        <c:axId val="6927141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05488555254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7944879"/>
        <c:crosses val="autoZero"/>
        <c:auto val="1"/>
        <c:lblAlgn val="ctr"/>
        <c:lblOffset val="100"/>
        <c:noMultiLvlLbl val="0"/>
      </c:catAx>
      <c:valAx>
        <c:axId val="5794487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1941709334384"/>
              <c:y val="0.970046763475265"/>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9271416"/>
        <c:crosses val="max"/>
        <c:crossBetween val="midCat"/>
        <c:majorUnit val="1"/>
      </c:valAx>
      <c:spPr>
        <a:noFill/>
        <a:ln w="0">
          <a:solidFill>
            <a:srgbClr val="b3b3b3"/>
          </a:solidFill>
        </a:ln>
      </c:spPr>
    </c:plotArea>
    <c:legend>
      <c:legendPos val="r"/>
      <c:layout>
        <c:manualLayout>
          <c:xMode val="edge"/>
          <c:yMode val="edge"/>
          <c:x val="0.802567333438337"/>
          <c:y val="0.0768284279948814"/>
          <c:w val="0.171923607009254"/>
          <c:h val="0.11175095361141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Annual Income Average</a:t>
            </a:r>
          </a:p>
        </c:rich>
      </c:tx>
      <c:layout>
        <c:manualLayout>
          <c:xMode val="edge"/>
          <c:yMode val="edge"/>
          <c:x val="0.281567546278062"/>
          <c:y val="0.0169579128722619"/>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'LSD.RID.0.AR'!$C$845</c:f>
              <c:strCache>
                <c:ptCount val="1"/>
                <c:pt idx="0">
                  <c:v>Annual Income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'LSD.RID.0.AR'!$C$847:$C$880</c:f>
              <c:numCache>
                <c:formatCode>[$$-409]#,##0;[RED]\-[$$-409]#,##0</c:formatCode>
                <c:ptCount val="34"/>
                <c:pt idx="0">
                  <c:v>35360</c:v>
                </c:pt>
                <c:pt idx="1">
                  <c:v>30160</c:v>
                </c:pt>
                <c:pt idx="2">
                  <c:v>48256</c:v>
                </c:pt>
                <c:pt idx="3">
                  <c:v>40976</c:v>
                </c:pt>
                <c:pt idx="4">
                  <c:v>33904</c:v>
                </c:pt>
                <c:pt idx="5">
                  <c:v>28912</c:v>
                </c:pt>
                <c:pt idx="6">
                  <c:v>33280</c:v>
                </c:pt>
                <c:pt idx="7">
                  <c:v>28304</c:v>
                </c:pt>
                <c:pt idx="8">
                  <c:v>46176</c:v>
                </c:pt>
                <c:pt idx="9">
                  <c:v>39296</c:v>
                </c:pt>
                <c:pt idx="10">
                  <c:v>44928</c:v>
                </c:pt>
                <c:pt idx="11">
                  <c:v>38272</c:v>
                </c:pt>
                <c:pt idx="12">
                  <c:v>43888</c:v>
                </c:pt>
                <c:pt idx="13">
                  <c:v>37440</c:v>
                </c:pt>
                <c:pt idx="14">
                  <c:v>34320</c:v>
                </c:pt>
                <c:pt idx="15">
                  <c:v>29120</c:v>
                </c:pt>
                <c:pt idx="16">
                  <c:v>51344</c:v>
                </c:pt>
                <c:pt idx="17">
                  <c:v>43680</c:v>
                </c:pt>
                <c:pt idx="18">
                  <c:v>64288</c:v>
                </c:pt>
                <c:pt idx="19">
                  <c:v>54768</c:v>
                </c:pt>
                <c:pt idx="20">
                  <c:v>75088</c:v>
                </c:pt>
                <c:pt idx="21">
                  <c:v>63856</c:v>
                </c:pt>
                <c:pt idx="22">
                  <c:v>59904</c:v>
                </c:pt>
                <c:pt idx="23">
                  <c:v>50944</c:v>
                </c:pt>
                <c:pt idx="24">
                  <c:v>76032</c:v>
                </c:pt>
                <c:pt idx="25">
                  <c:v>64736</c:v>
                </c:pt>
                <c:pt idx="26">
                  <c:v>72800</c:v>
                </c:pt>
                <c:pt idx="27">
                  <c:v>61984</c:v>
                </c:pt>
                <c:pt idx="28">
                  <c:v>59904</c:v>
                </c:pt>
                <c:pt idx="29">
                  <c:v>50944</c:v>
                </c:pt>
                <c:pt idx="30">
                  <c:v>46384</c:v>
                </c:pt>
                <c:pt idx="31">
                  <c:v>39520</c:v>
                </c:pt>
                <c:pt idx="32">
                  <c:v>40768</c:v>
                </c:pt>
                <c:pt idx="33">
                  <c:v>34736</c:v>
                </c:pt>
              </c:numCache>
            </c:numRef>
          </c:val>
        </c:ser>
        <c:ser>
          <c:idx val="1"/>
          <c:order val="1"/>
          <c:tx>
            <c:strRef>
              <c:f>'LSD.RID.0.AR'!$D$845</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'LSD.RID.0.AR'!$D$847:$D$880</c:f>
              <c:numCache>
                <c:formatCode>[$$-409]#,##0;[RED]\-[$$-409]#,##0</c:formatCode>
                <c:ptCount val="34"/>
                <c:pt idx="0">
                  <c:v>34320</c:v>
                </c:pt>
                <c:pt idx="1">
                  <c:v>29120</c:v>
                </c:pt>
                <c:pt idx="2">
                  <c:v>46800</c:v>
                </c:pt>
                <c:pt idx="3">
                  <c:v>39728</c:v>
                </c:pt>
                <c:pt idx="4">
                  <c:v>32864</c:v>
                </c:pt>
                <c:pt idx="5">
                  <c:v>28080</c:v>
                </c:pt>
                <c:pt idx="6">
                  <c:v>32240</c:v>
                </c:pt>
                <c:pt idx="7">
                  <c:v>27456</c:v>
                </c:pt>
                <c:pt idx="8">
                  <c:v>44720</c:v>
                </c:pt>
                <c:pt idx="9">
                  <c:v>38064</c:v>
                </c:pt>
                <c:pt idx="10">
                  <c:v>43680</c:v>
                </c:pt>
                <c:pt idx="11">
                  <c:v>37232</c:v>
                </c:pt>
                <c:pt idx="12">
                  <c:v>42640</c:v>
                </c:pt>
                <c:pt idx="13">
                  <c:v>36192</c:v>
                </c:pt>
                <c:pt idx="14">
                  <c:v>33280</c:v>
                </c:pt>
                <c:pt idx="15">
                  <c:v>28288</c:v>
                </c:pt>
                <c:pt idx="16">
                  <c:v>49920</c:v>
                </c:pt>
                <c:pt idx="17">
                  <c:v>42432</c:v>
                </c:pt>
                <c:pt idx="18">
                  <c:v>62400</c:v>
                </c:pt>
                <c:pt idx="19">
                  <c:v>53040</c:v>
                </c:pt>
                <c:pt idx="20">
                  <c:v>72800</c:v>
                </c:pt>
                <c:pt idx="21">
                  <c:v>61984</c:v>
                </c:pt>
                <c:pt idx="22">
                  <c:v>58240</c:v>
                </c:pt>
                <c:pt idx="23">
                  <c:v>49504</c:v>
                </c:pt>
                <c:pt idx="24">
                  <c:v>73840</c:v>
                </c:pt>
                <c:pt idx="25">
                  <c:v>62832</c:v>
                </c:pt>
                <c:pt idx="26">
                  <c:v>70720</c:v>
                </c:pt>
                <c:pt idx="27">
                  <c:v>60128</c:v>
                </c:pt>
                <c:pt idx="28">
                  <c:v>58240</c:v>
                </c:pt>
                <c:pt idx="29">
                  <c:v>49504</c:v>
                </c:pt>
                <c:pt idx="30">
                  <c:v>44928</c:v>
                </c:pt>
                <c:pt idx="31">
                  <c:v>38272</c:v>
                </c:pt>
                <c:pt idx="32">
                  <c:v>39520</c:v>
                </c:pt>
                <c:pt idx="33">
                  <c:v>33696</c:v>
                </c:pt>
              </c:numCache>
            </c:numRef>
          </c:val>
        </c:ser>
        <c:ser>
          <c:idx val="2"/>
          <c:order val="2"/>
          <c:tx>
            <c:strRef>
              <c:f>'LSD.RID.0.AR'!$E$845</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'LSD.RID.0.AR'!$E$847:$E$880</c:f>
              <c:numCache>
                <c:formatCode>[$$-409]#,##0;[RED]\-[$$-409]#,##0</c:formatCode>
                <c:ptCount val="34"/>
                <c:pt idx="0">
                  <c:v>27456</c:v>
                </c:pt>
                <c:pt idx="1">
                  <c:v>24128</c:v>
                </c:pt>
                <c:pt idx="2">
                  <c:v>40976</c:v>
                </c:pt>
                <c:pt idx="3">
                  <c:v>34736</c:v>
                </c:pt>
                <c:pt idx="4">
                  <c:v>27872</c:v>
                </c:pt>
                <c:pt idx="5">
                  <c:v>23712</c:v>
                </c:pt>
                <c:pt idx="6">
                  <c:v>25760</c:v>
                </c:pt>
                <c:pt idx="7">
                  <c:v>21840</c:v>
                </c:pt>
                <c:pt idx="8">
                  <c:v>40352</c:v>
                </c:pt>
                <c:pt idx="9">
                  <c:v>34320</c:v>
                </c:pt>
                <c:pt idx="10">
                  <c:v>39312</c:v>
                </c:pt>
                <c:pt idx="11">
                  <c:v>33536</c:v>
                </c:pt>
                <c:pt idx="12">
                  <c:v>36208</c:v>
                </c:pt>
                <c:pt idx="13">
                  <c:v>30784</c:v>
                </c:pt>
                <c:pt idx="14">
                  <c:v>26624</c:v>
                </c:pt>
                <c:pt idx="15">
                  <c:v>23296</c:v>
                </c:pt>
                <c:pt idx="16">
                  <c:v>44928</c:v>
                </c:pt>
                <c:pt idx="17">
                  <c:v>38272</c:v>
                </c:pt>
                <c:pt idx="18">
                  <c:v>59280</c:v>
                </c:pt>
                <c:pt idx="19">
                  <c:v>50544</c:v>
                </c:pt>
                <c:pt idx="20">
                  <c:v>69264</c:v>
                </c:pt>
                <c:pt idx="21">
                  <c:v>58880</c:v>
                </c:pt>
                <c:pt idx="22">
                  <c:v>55360</c:v>
                </c:pt>
                <c:pt idx="23">
                  <c:v>47008</c:v>
                </c:pt>
                <c:pt idx="24">
                  <c:v>70304</c:v>
                </c:pt>
                <c:pt idx="25">
                  <c:v>59904</c:v>
                </c:pt>
                <c:pt idx="26">
                  <c:v>67264</c:v>
                </c:pt>
                <c:pt idx="27">
                  <c:v>57408</c:v>
                </c:pt>
                <c:pt idx="28">
                  <c:v>55360</c:v>
                </c:pt>
                <c:pt idx="29">
                  <c:v>47008</c:v>
                </c:pt>
                <c:pt idx="30">
                  <c:v>41808</c:v>
                </c:pt>
                <c:pt idx="31">
                  <c:v>35568</c:v>
                </c:pt>
                <c:pt idx="32">
                  <c:v>33696</c:v>
                </c:pt>
                <c:pt idx="33">
                  <c:v>28720</c:v>
                </c:pt>
              </c:numCache>
            </c:numRef>
          </c:val>
        </c:ser>
        <c:ser>
          <c:idx val="3"/>
          <c:order val="3"/>
          <c:tx>
            <c:strRef>
              <c:f>'LSD.RID.0.AR'!$F$845</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'LSD.RID.0.AR'!$F$847:$F$880</c:f>
              <c:numCache>
                <c:formatCode>[$$-409]#,##0;[RED]\-[$$-409]#,##0</c:formatCode>
                <c:ptCount val="34"/>
                <c:pt idx="0">
                  <c:v>35984</c:v>
                </c:pt>
                <c:pt idx="1">
                  <c:v>30576</c:v>
                </c:pt>
                <c:pt idx="2">
                  <c:v>48928</c:v>
                </c:pt>
                <c:pt idx="3">
                  <c:v>41600</c:v>
                </c:pt>
                <c:pt idx="4">
                  <c:v>34320</c:v>
                </c:pt>
                <c:pt idx="5">
                  <c:v>29328</c:v>
                </c:pt>
                <c:pt idx="6">
                  <c:v>33696</c:v>
                </c:pt>
                <c:pt idx="7">
                  <c:v>28720</c:v>
                </c:pt>
                <c:pt idx="8">
                  <c:v>46800</c:v>
                </c:pt>
                <c:pt idx="9">
                  <c:v>39728</c:v>
                </c:pt>
                <c:pt idx="10">
                  <c:v>45552</c:v>
                </c:pt>
                <c:pt idx="11">
                  <c:v>38704</c:v>
                </c:pt>
                <c:pt idx="12">
                  <c:v>44512</c:v>
                </c:pt>
                <c:pt idx="13">
                  <c:v>37856</c:v>
                </c:pt>
                <c:pt idx="14">
                  <c:v>34736</c:v>
                </c:pt>
                <c:pt idx="15">
                  <c:v>29536</c:v>
                </c:pt>
                <c:pt idx="16">
                  <c:v>52000</c:v>
                </c:pt>
                <c:pt idx="17">
                  <c:v>44304</c:v>
                </c:pt>
                <c:pt idx="18">
                  <c:v>65024</c:v>
                </c:pt>
                <c:pt idx="19">
                  <c:v>55360</c:v>
                </c:pt>
                <c:pt idx="20">
                  <c:v>75920</c:v>
                </c:pt>
                <c:pt idx="21">
                  <c:v>64688</c:v>
                </c:pt>
                <c:pt idx="22">
                  <c:v>60736</c:v>
                </c:pt>
                <c:pt idx="23">
                  <c:v>51776</c:v>
                </c:pt>
                <c:pt idx="24">
                  <c:v>76960</c:v>
                </c:pt>
                <c:pt idx="25">
                  <c:v>65568</c:v>
                </c:pt>
                <c:pt idx="26">
                  <c:v>73840</c:v>
                </c:pt>
                <c:pt idx="27">
                  <c:v>62832</c:v>
                </c:pt>
                <c:pt idx="28">
                  <c:v>60736</c:v>
                </c:pt>
                <c:pt idx="29">
                  <c:v>51776</c:v>
                </c:pt>
                <c:pt idx="30">
                  <c:v>47008</c:v>
                </c:pt>
                <c:pt idx="31">
                  <c:v>40144</c:v>
                </c:pt>
                <c:pt idx="32">
                  <c:v>41408</c:v>
                </c:pt>
                <c:pt idx="33">
                  <c:v>35152</c:v>
                </c:pt>
              </c:numCache>
            </c:numRef>
          </c:val>
        </c:ser>
        <c:gapWidth val="100"/>
        <c:overlap val="0"/>
        <c:axId val="86728027"/>
        <c:axId val="24248076"/>
      </c:barChart>
      <c:catAx>
        <c:axId val="8672802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00566084174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4248076"/>
        <c:crosses val="autoZero"/>
        <c:auto val="1"/>
        <c:lblAlgn val="ctr"/>
        <c:lblOffset val="100"/>
        <c:noMultiLvlLbl val="0"/>
      </c:catAx>
      <c:valAx>
        <c:axId val="2424807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5872390705"/>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6728027"/>
        <c:crosses val="max"/>
        <c:crossBetween val="midCat"/>
        <c:majorUnit val="1000"/>
      </c:valAx>
      <c:spPr>
        <a:noFill/>
        <a:ln w="0">
          <a:solidFill>
            <a:srgbClr val="b3b3b3"/>
          </a:solidFill>
        </a:ln>
      </c:spPr>
    </c:plotArea>
    <c:legend>
      <c:legendPos val="r"/>
      <c:layout>
        <c:manualLayout>
          <c:xMode val="edge"/>
          <c:yMode val="edge"/>
          <c:x val="0.785911167112931"/>
          <c:y val="0.0768038192735506"/>
          <c:w val="0.18858042921835"/>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Personal Income Tax Revenue</a:t>
            </a:r>
          </a:p>
        </c:rich>
      </c:tx>
      <c:layout>
        <c:manualLayout>
          <c:xMode val="edge"/>
          <c:yMode val="edge"/>
          <c:x val="0.226467113036629"/>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'LSD.RID.0.AR'!$C$979</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'LSD.RID.0.AR'!$C$981:$C$1014</c:f>
              <c:numCache>
                <c:formatCode>[$$-409]#,##0;\-[$$-409]#,##0</c:formatCode>
                <c:ptCount val="34"/>
                <c:pt idx="0">
                  <c:v>2900000</c:v>
                </c:pt>
                <c:pt idx="1">
                  <c:v>1400000</c:v>
                </c:pt>
                <c:pt idx="2">
                  <c:v>6300000</c:v>
                </c:pt>
                <c:pt idx="3">
                  <c:v>3200000</c:v>
                </c:pt>
                <c:pt idx="4">
                  <c:v>8700000</c:v>
                </c:pt>
                <c:pt idx="5">
                  <c:v>4300000</c:v>
                </c:pt>
                <c:pt idx="6">
                  <c:v>4300000</c:v>
                </c:pt>
                <c:pt idx="7">
                  <c:v>2100000</c:v>
                </c:pt>
                <c:pt idx="8">
                  <c:v>1480000000</c:v>
                </c:pt>
                <c:pt idx="9">
                  <c:v>630000000</c:v>
                </c:pt>
                <c:pt idx="10">
                  <c:v>1360000000</c:v>
                </c:pt>
                <c:pt idx="11">
                  <c:v>578000000</c:v>
                </c:pt>
                <c:pt idx="12">
                  <c:v>4840000000</c:v>
                </c:pt>
                <c:pt idx="13">
                  <c:v>2050000000</c:v>
                </c:pt>
                <c:pt idx="14">
                  <c:v>280000000</c:v>
                </c:pt>
                <c:pt idx="15">
                  <c:v>119000000</c:v>
                </c:pt>
                <c:pt idx="16">
                  <c:v>315000000</c:v>
                </c:pt>
                <c:pt idx="17">
                  <c:v>133000000</c:v>
                </c:pt>
                <c:pt idx="18">
                  <c:v>5700000000</c:v>
                </c:pt>
                <c:pt idx="19">
                  <c:v>2420000000</c:v>
                </c:pt>
                <c:pt idx="20">
                  <c:v>10400000000</c:v>
                </c:pt>
                <c:pt idx="21">
                  <c:v>4420000000</c:v>
                </c:pt>
                <c:pt idx="22">
                  <c:v>1870000000</c:v>
                </c:pt>
                <c:pt idx="23">
                  <c:v>794000000</c:v>
                </c:pt>
                <c:pt idx="24">
                  <c:v>4560000000</c:v>
                </c:pt>
                <c:pt idx="25">
                  <c:v>1930000000</c:v>
                </c:pt>
                <c:pt idx="26">
                  <c:v>950000000</c:v>
                </c:pt>
                <c:pt idx="27">
                  <c:v>403000000</c:v>
                </c:pt>
                <c:pt idx="28">
                  <c:v>4200000000</c:v>
                </c:pt>
                <c:pt idx="29">
                  <c:v>1780000000</c:v>
                </c:pt>
                <c:pt idx="30">
                  <c:v>750000000</c:v>
                </c:pt>
                <c:pt idx="31">
                  <c:v>83000000</c:v>
                </c:pt>
                <c:pt idx="32">
                  <c:v>1005000000</c:v>
                </c:pt>
                <c:pt idx="33">
                  <c:v>427000000</c:v>
                </c:pt>
              </c:numCache>
            </c:numRef>
          </c:val>
        </c:ser>
        <c:ser>
          <c:idx val="1"/>
          <c:order val="1"/>
          <c:tx>
            <c:strRef>
              <c:f>'LSD.RID.0.AR'!$D$979</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'LSD.RID.0.AR'!$D$981:$D$1014</c:f>
              <c:numCache>
                <c:formatCode>[$$-409]#,##0;\-[$$-409]#,##0</c:formatCode>
                <c:ptCount val="34"/>
                <c:pt idx="0">
                  <c:v>90000</c:v>
                </c:pt>
                <c:pt idx="1">
                  <c:v>40000</c:v>
                </c:pt>
                <c:pt idx="2">
                  <c:v>190000</c:v>
                </c:pt>
                <c:pt idx="3">
                  <c:v>90000</c:v>
                </c:pt>
                <c:pt idx="4">
                  <c:v>260000</c:v>
                </c:pt>
                <c:pt idx="5">
                  <c:v>130000</c:v>
                </c:pt>
                <c:pt idx="6">
                  <c:v>130000</c:v>
                </c:pt>
                <c:pt idx="7">
                  <c:v>60000</c:v>
                </c:pt>
                <c:pt idx="8">
                  <c:v>312000000</c:v>
                </c:pt>
                <c:pt idx="9">
                  <c:v>133000000</c:v>
                </c:pt>
                <c:pt idx="10">
                  <c:v>287000000</c:v>
                </c:pt>
                <c:pt idx="11">
                  <c:v>122000000</c:v>
                </c:pt>
                <c:pt idx="12">
                  <c:v>1022000000</c:v>
                </c:pt>
                <c:pt idx="13">
                  <c:v>433000000</c:v>
                </c:pt>
                <c:pt idx="14">
                  <c:v>59000000</c:v>
                </c:pt>
                <c:pt idx="15">
                  <c:v>25000000</c:v>
                </c:pt>
                <c:pt idx="16">
                  <c:v>66000000</c:v>
                </c:pt>
                <c:pt idx="17">
                  <c:v>28000000</c:v>
                </c:pt>
                <c:pt idx="18">
                  <c:v>1200000000</c:v>
                </c:pt>
                <c:pt idx="19">
                  <c:v>510000000</c:v>
                </c:pt>
                <c:pt idx="20">
                  <c:v>2190000000</c:v>
                </c:pt>
                <c:pt idx="21">
                  <c:v>930000000</c:v>
                </c:pt>
                <c:pt idx="22">
                  <c:v>394000000</c:v>
                </c:pt>
                <c:pt idx="23">
                  <c:v>167000000</c:v>
                </c:pt>
                <c:pt idx="24">
                  <c:v>960000000</c:v>
                </c:pt>
                <c:pt idx="25">
                  <c:v>406000000</c:v>
                </c:pt>
                <c:pt idx="26">
                  <c:v>200000000</c:v>
                </c:pt>
                <c:pt idx="27">
                  <c:v>85000000</c:v>
                </c:pt>
                <c:pt idx="28">
                  <c:v>884000000</c:v>
                </c:pt>
                <c:pt idx="29">
                  <c:v>375000000</c:v>
                </c:pt>
                <c:pt idx="30">
                  <c:v>30000000</c:v>
                </c:pt>
                <c:pt idx="31">
                  <c:v>3300000</c:v>
                </c:pt>
                <c:pt idx="32">
                  <c:v>212000000</c:v>
                </c:pt>
                <c:pt idx="33">
                  <c:v>90000000</c:v>
                </c:pt>
              </c:numCache>
            </c:numRef>
          </c:val>
        </c:ser>
        <c:ser>
          <c:idx val="2"/>
          <c:order val="2"/>
          <c:tx>
            <c:strRef>
              <c:f>'LSD.RID.0.AR'!$E$979</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'LSD.RID.0.AR'!$E$981:$E$1014</c:f>
              <c:numCache>
                <c:formatCode>[$$-409]#,##0;\-[$$-409]#,##0</c:formatCode>
                <c:ptCount val="34"/>
                <c:pt idx="0">
                  <c:v>40000</c:v>
                </c:pt>
                <c:pt idx="1">
                  <c:v>20000</c:v>
                </c:pt>
                <c:pt idx="2">
                  <c:v>90000</c:v>
                </c:pt>
                <c:pt idx="3">
                  <c:v>50000</c:v>
                </c:pt>
                <c:pt idx="4">
                  <c:v>130000</c:v>
                </c:pt>
                <c:pt idx="5">
                  <c:v>60000</c:v>
                </c:pt>
                <c:pt idx="6">
                  <c:v>60000</c:v>
                </c:pt>
                <c:pt idx="7">
                  <c:v>30000</c:v>
                </c:pt>
                <c:pt idx="8">
                  <c:v>30000000</c:v>
                </c:pt>
                <c:pt idx="9">
                  <c:v>13000000</c:v>
                </c:pt>
                <c:pt idx="10">
                  <c:v>28000000</c:v>
                </c:pt>
                <c:pt idx="11">
                  <c:v>12000000</c:v>
                </c:pt>
                <c:pt idx="12">
                  <c:v>95000000</c:v>
                </c:pt>
                <c:pt idx="13">
                  <c:v>40000000</c:v>
                </c:pt>
                <c:pt idx="14">
                  <c:v>5500000</c:v>
                </c:pt>
                <c:pt idx="15">
                  <c:v>2500000</c:v>
                </c:pt>
                <c:pt idx="16">
                  <c:v>6500000</c:v>
                </c:pt>
                <c:pt idx="17">
                  <c:v>3000000</c:v>
                </c:pt>
                <c:pt idx="18">
                  <c:v>125000000</c:v>
                </c:pt>
                <c:pt idx="19">
                  <c:v>53000000</c:v>
                </c:pt>
                <c:pt idx="20">
                  <c:v>230000000</c:v>
                </c:pt>
                <c:pt idx="21">
                  <c:v>98000000</c:v>
                </c:pt>
                <c:pt idx="22">
                  <c:v>40000000</c:v>
                </c:pt>
                <c:pt idx="23">
                  <c:v>17000000</c:v>
                </c:pt>
                <c:pt idx="24">
                  <c:v>100000000</c:v>
                </c:pt>
                <c:pt idx="25">
                  <c:v>43000000</c:v>
                </c:pt>
                <c:pt idx="26">
                  <c:v>21000000</c:v>
                </c:pt>
                <c:pt idx="27">
                  <c:v>9000000</c:v>
                </c:pt>
                <c:pt idx="28">
                  <c:v>90000000</c:v>
                </c:pt>
                <c:pt idx="29">
                  <c:v>38000000</c:v>
                </c:pt>
                <c:pt idx="30">
                  <c:v>15000000</c:v>
                </c:pt>
                <c:pt idx="31">
                  <c:v>1700000</c:v>
                </c:pt>
                <c:pt idx="32">
                  <c:v>20000000</c:v>
                </c:pt>
                <c:pt idx="33">
                  <c:v>8500000</c:v>
                </c:pt>
              </c:numCache>
            </c:numRef>
          </c:val>
        </c:ser>
        <c:ser>
          <c:idx val="3"/>
          <c:order val="3"/>
          <c:tx>
            <c:strRef>
              <c:f>'LSD.RID.0.AR'!$F$979</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'LSD.RID.0.AR'!$F$981:$F$1014</c:f>
              <c:numCache>
                <c:formatCode>[$$-409]#,##0;\-[$$-409]#,##0</c:formatCode>
                <c:ptCount val="34"/>
                <c:pt idx="0">
                  <c:v>2770000</c:v>
                </c:pt>
                <c:pt idx="1">
                  <c:v>1340000</c:v>
                </c:pt>
                <c:pt idx="2">
                  <c:v>6040000</c:v>
                </c:pt>
                <c:pt idx="3">
                  <c:v>3060000</c:v>
                </c:pt>
                <c:pt idx="4">
                  <c:v>8310000</c:v>
                </c:pt>
                <c:pt idx="5">
                  <c:v>4105000</c:v>
                </c:pt>
                <c:pt idx="6">
                  <c:v>4110000</c:v>
                </c:pt>
                <c:pt idx="7">
                  <c:v>2010000</c:v>
                </c:pt>
                <c:pt idx="8">
                  <c:v>1138000000</c:v>
                </c:pt>
                <c:pt idx="9">
                  <c:v>484000000</c:v>
                </c:pt>
                <c:pt idx="10">
                  <c:v>1045000000</c:v>
                </c:pt>
                <c:pt idx="11">
                  <c:v>444000000</c:v>
                </c:pt>
                <c:pt idx="12">
                  <c:v>3723000000</c:v>
                </c:pt>
                <c:pt idx="13">
                  <c:v>1577000000</c:v>
                </c:pt>
                <c:pt idx="14">
                  <c:v>215500000</c:v>
                </c:pt>
                <c:pt idx="15">
                  <c:v>91500000</c:v>
                </c:pt>
                <c:pt idx="16">
                  <c:v>242500000</c:v>
                </c:pt>
                <c:pt idx="17">
                  <c:v>102000000</c:v>
                </c:pt>
                <c:pt idx="18">
                  <c:v>4375000000</c:v>
                </c:pt>
                <c:pt idx="19">
                  <c:v>1859000000</c:v>
                </c:pt>
                <c:pt idx="20">
                  <c:v>8000000000</c:v>
                </c:pt>
                <c:pt idx="21">
                  <c:v>3390000000</c:v>
                </c:pt>
                <c:pt idx="22">
                  <c:v>1436000000</c:v>
                </c:pt>
                <c:pt idx="23">
                  <c:v>610000000</c:v>
                </c:pt>
                <c:pt idx="24">
                  <c:v>3500000000</c:v>
                </c:pt>
                <c:pt idx="25">
                  <c:v>1481000000</c:v>
                </c:pt>
                <c:pt idx="26">
                  <c:v>729000000</c:v>
                </c:pt>
                <c:pt idx="27">
                  <c:v>309000000</c:v>
                </c:pt>
                <c:pt idx="28">
                  <c:v>3226000000</c:v>
                </c:pt>
                <c:pt idx="29">
                  <c:v>1367000000</c:v>
                </c:pt>
                <c:pt idx="30">
                  <c:v>705000000</c:v>
                </c:pt>
                <c:pt idx="31">
                  <c:v>77900000</c:v>
                </c:pt>
                <c:pt idx="32">
                  <c:v>772000000</c:v>
                </c:pt>
                <c:pt idx="33">
                  <c:v>328000000</c:v>
                </c:pt>
              </c:numCache>
            </c:numRef>
          </c:val>
        </c:ser>
        <c:gapWidth val="100"/>
        <c:overlap val="0"/>
        <c:axId val="42340086"/>
        <c:axId val="95315651"/>
      </c:barChart>
      <c:catAx>
        <c:axId val="4234008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95643613093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5315651"/>
        <c:crosses val="autoZero"/>
        <c:auto val="1"/>
        <c:lblAlgn val="ctr"/>
        <c:lblOffset val="100"/>
        <c:noMultiLvlLbl val="0"/>
      </c:catAx>
      <c:valAx>
        <c:axId val="9531565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19810949192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2340086"/>
        <c:crosses val="max"/>
        <c:crossBetween val="midCat"/>
        <c:majorUnit val="1000000"/>
      </c:valAx>
      <c:spPr>
        <a:noFill/>
        <a:ln w="0">
          <a:solidFill>
            <a:srgbClr val="b3b3b3"/>
          </a:solidFill>
        </a:ln>
      </c:spPr>
    </c:plotArea>
    <c:legend>
      <c:legendPos val="r"/>
      <c:layout>
        <c:manualLayout>
          <c:xMode val="edge"/>
          <c:yMode val="edge"/>
          <c:x val="0.785871790833202"/>
          <c:y val="0.0768038192735506"/>
          <c:w val="0.18858042921835"/>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Payroll Tax Revenue</a:t>
            </a:r>
          </a:p>
        </c:rich>
      </c:tx>
      <c:layout>
        <c:manualLayout>
          <c:xMode val="edge"/>
          <c:yMode val="edge"/>
          <c:x val="0.261756597085467"/>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'LSD.RID.0.AR'!$C$1113</c:f>
              <c:strCache>
                <c:ptCount val="1"/>
                <c:pt idx="0">
                  <c:v>Payroll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'LSD.RID.0.AR'!$C$1115:$C$1148</c:f>
              <c:numCache>
                <c:formatCode>[$$-409]#,##0;\-[$$-409]#,##0</c:formatCode>
                <c:ptCount val="34"/>
                <c:pt idx="0">
                  <c:v>1500000</c:v>
                </c:pt>
                <c:pt idx="1">
                  <c:v>700000</c:v>
                </c:pt>
                <c:pt idx="2">
                  <c:v>3200000</c:v>
                </c:pt>
                <c:pt idx="3">
                  <c:v>1600000</c:v>
                </c:pt>
                <c:pt idx="4">
                  <c:v>4400000</c:v>
                </c:pt>
                <c:pt idx="5">
                  <c:v>2200000</c:v>
                </c:pt>
                <c:pt idx="6">
                  <c:v>2200000</c:v>
                </c:pt>
                <c:pt idx="7">
                  <c:v>1100000</c:v>
                </c:pt>
                <c:pt idx="8">
                  <c:v>978000000</c:v>
                </c:pt>
                <c:pt idx="9">
                  <c:v>416000000</c:v>
                </c:pt>
                <c:pt idx="10">
                  <c:v>984000000</c:v>
                </c:pt>
                <c:pt idx="11">
                  <c:v>418000000</c:v>
                </c:pt>
                <c:pt idx="12">
                  <c:v>3870000000</c:v>
                </c:pt>
                <c:pt idx="13">
                  <c:v>1640000000</c:v>
                </c:pt>
                <c:pt idx="14">
                  <c:v>284000000</c:v>
                </c:pt>
                <c:pt idx="15">
                  <c:v>120000000</c:v>
                </c:pt>
                <c:pt idx="16">
                  <c:v>228000000</c:v>
                </c:pt>
                <c:pt idx="17">
                  <c:v>96000000</c:v>
                </c:pt>
                <c:pt idx="18">
                  <c:v>4120000000</c:v>
                </c:pt>
                <c:pt idx="19">
                  <c:v>1750000000</c:v>
                </c:pt>
                <c:pt idx="20">
                  <c:v>6320000000</c:v>
                </c:pt>
                <c:pt idx="21">
                  <c:v>2680000000</c:v>
                </c:pt>
                <c:pt idx="22">
                  <c:v>1350000000</c:v>
                </c:pt>
                <c:pt idx="23">
                  <c:v>573000000</c:v>
                </c:pt>
                <c:pt idx="24">
                  <c:v>2770000000</c:v>
                </c:pt>
                <c:pt idx="25">
                  <c:v>1170000000</c:v>
                </c:pt>
                <c:pt idx="26">
                  <c:v>627000000</c:v>
                </c:pt>
                <c:pt idx="27">
                  <c:v>266000000</c:v>
                </c:pt>
                <c:pt idx="28">
                  <c:v>2550000000</c:v>
                </c:pt>
                <c:pt idx="29">
                  <c:v>1080000000</c:v>
                </c:pt>
                <c:pt idx="30">
                  <c:v>390000000</c:v>
                </c:pt>
                <c:pt idx="31">
                  <c:v>43000000</c:v>
                </c:pt>
                <c:pt idx="32">
                  <c:v>805000000</c:v>
                </c:pt>
                <c:pt idx="33">
                  <c:v>342000000</c:v>
                </c:pt>
              </c:numCache>
            </c:numRef>
          </c:val>
        </c:ser>
        <c:ser>
          <c:idx val="1"/>
          <c:order val="1"/>
          <c:tx>
            <c:strRef>
              <c:f>'LSD.RID.0.AR'!$D$1113</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'LSD.RID.0.AR'!$D$1115:$D$1148</c:f>
              <c:numCache>
                <c:formatCode>[$$-409]#,##0;\-[$$-409]#,##0</c:formatCode>
                <c:ptCount val="34"/>
                <c:pt idx="0">
                  <c:v>50000</c:v>
                </c:pt>
                <c:pt idx="1">
                  <c:v>20000</c:v>
                </c:pt>
                <c:pt idx="2">
                  <c:v>90000</c:v>
                </c:pt>
                <c:pt idx="3">
                  <c:v>50000</c:v>
                </c:pt>
                <c:pt idx="4">
                  <c:v>130000</c:v>
                </c:pt>
                <c:pt idx="5">
                  <c:v>60000</c:v>
                </c:pt>
                <c:pt idx="6">
                  <c:v>60000</c:v>
                </c:pt>
                <c:pt idx="7">
                  <c:v>30000</c:v>
                </c:pt>
                <c:pt idx="8">
                  <c:v>207000000</c:v>
                </c:pt>
                <c:pt idx="9">
                  <c:v>88000000</c:v>
                </c:pt>
                <c:pt idx="10">
                  <c:v>209000000</c:v>
                </c:pt>
                <c:pt idx="11">
                  <c:v>89000000</c:v>
                </c:pt>
                <c:pt idx="12">
                  <c:v>823000000</c:v>
                </c:pt>
                <c:pt idx="13">
                  <c:v>349000000</c:v>
                </c:pt>
                <c:pt idx="14">
                  <c:v>60000000</c:v>
                </c:pt>
                <c:pt idx="15">
                  <c:v>25500000</c:v>
                </c:pt>
                <c:pt idx="16">
                  <c:v>48500000</c:v>
                </c:pt>
                <c:pt idx="17">
                  <c:v>20500000</c:v>
                </c:pt>
                <c:pt idx="18">
                  <c:v>875000000</c:v>
                </c:pt>
                <c:pt idx="19">
                  <c:v>372000000</c:v>
                </c:pt>
                <c:pt idx="20">
                  <c:v>1340000000</c:v>
                </c:pt>
                <c:pt idx="21">
                  <c:v>569000000</c:v>
                </c:pt>
                <c:pt idx="22">
                  <c:v>287000000</c:v>
                </c:pt>
                <c:pt idx="23">
                  <c:v>122000000</c:v>
                </c:pt>
                <c:pt idx="24">
                  <c:v>588000000</c:v>
                </c:pt>
                <c:pt idx="25">
                  <c:v>249000000</c:v>
                </c:pt>
                <c:pt idx="26">
                  <c:v>133000000</c:v>
                </c:pt>
                <c:pt idx="27">
                  <c:v>56500000</c:v>
                </c:pt>
                <c:pt idx="28">
                  <c:v>541000000</c:v>
                </c:pt>
                <c:pt idx="29">
                  <c:v>229000000</c:v>
                </c:pt>
                <c:pt idx="30">
                  <c:v>15000000</c:v>
                </c:pt>
                <c:pt idx="31">
                  <c:v>1700000</c:v>
                </c:pt>
                <c:pt idx="32">
                  <c:v>171000000</c:v>
                </c:pt>
                <c:pt idx="33">
                  <c:v>72600000</c:v>
                </c:pt>
              </c:numCache>
            </c:numRef>
          </c:val>
        </c:ser>
        <c:ser>
          <c:idx val="2"/>
          <c:order val="2"/>
          <c:tx>
            <c:strRef>
              <c:f>'LSD.RID.0.AR'!$E$1113</c:f>
              <c:strCache>
                <c:ptCount val="1"/>
                <c:pt idx="0">
                  <c:v>Unauthorized Immigrant Payroll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'LSD.RID.0.AR'!$E$1115:$E$1148</c:f>
              <c:numCache>
                <c:formatCode>[$$-409]#,##0;\-[$$-409]#,##0</c:formatCode>
                <c:ptCount val="34"/>
                <c:pt idx="0">
                  <c:v>20000</c:v>
                </c:pt>
                <c:pt idx="1">
                  <c:v>10000</c:v>
                </c:pt>
                <c:pt idx="2">
                  <c:v>40000</c:v>
                </c:pt>
                <c:pt idx="3">
                  <c:v>20000</c:v>
                </c:pt>
                <c:pt idx="4">
                  <c:v>60000</c:v>
                </c:pt>
                <c:pt idx="5">
                  <c:v>30000</c:v>
                </c:pt>
                <c:pt idx="6">
                  <c:v>30000</c:v>
                </c:pt>
                <c:pt idx="7">
                  <c:v>15000</c:v>
                </c:pt>
                <c:pt idx="8">
                  <c:v>13000000</c:v>
                </c:pt>
                <c:pt idx="9">
                  <c:v>5000000</c:v>
                </c:pt>
                <c:pt idx="10">
                  <c:v>13000000</c:v>
                </c:pt>
                <c:pt idx="11">
                  <c:v>6000000</c:v>
                </c:pt>
                <c:pt idx="12">
                  <c:v>50000000</c:v>
                </c:pt>
                <c:pt idx="13">
                  <c:v>20000000</c:v>
                </c:pt>
                <c:pt idx="14">
                  <c:v>3500000</c:v>
                </c:pt>
                <c:pt idx="15">
                  <c:v>1500000</c:v>
                </c:pt>
                <c:pt idx="16">
                  <c:v>3000000</c:v>
                </c:pt>
                <c:pt idx="17">
                  <c:v>1500000</c:v>
                </c:pt>
                <c:pt idx="18">
                  <c:v>60000000</c:v>
                </c:pt>
                <c:pt idx="19">
                  <c:v>25000000</c:v>
                </c:pt>
                <c:pt idx="20">
                  <c:v>90000000</c:v>
                </c:pt>
                <c:pt idx="21">
                  <c:v>38000000</c:v>
                </c:pt>
                <c:pt idx="22">
                  <c:v>19000000</c:v>
                </c:pt>
                <c:pt idx="23">
                  <c:v>8000000</c:v>
                </c:pt>
                <c:pt idx="24">
                  <c:v>40000000</c:v>
                </c:pt>
                <c:pt idx="25">
                  <c:v>17000000</c:v>
                </c:pt>
                <c:pt idx="26">
                  <c:v>9000000</c:v>
                </c:pt>
                <c:pt idx="27">
                  <c:v>4000000</c:v>
                </c:pt>
                <c:pt idx="28">
                  <c:v>37000000</c:v>
                </c:pt>
                <c:pt idx="29">
                  <c:v>16000000</c:v>
                </c:pt>
                <c:pt idx="30">
                  <c:v>7500000</c:v>
                </c:pt>
                <c:pt idx="31">
                  <c:v>800000</c:v>
                </c:pt>
                <c:pt idx="32">
                  <c:v>10000000</c:v>
                </c:pt>
                <c:pt idx="33">
                  <c:v>4000000</c:v>
                </c:pt>
              </c:numCache>
            </c:numRef>
          </c:val>
        </c:ser>
        <c:ser>
          <c:idx val="3"/>
          <c:order val="3"/>
          <c:tx>
            <c:strRef>
              <c:f>'LSD.RID.0.AR'!$F$1113</c:f>
              <c:strCache>
                <c:ptCount val="1"/>
                <c:pt idx="0">
                  <c:v>American Payroll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'LSD.RID.0.AR'!$F$1115:$F$1148</c:f>
              <c:numCache>
                <c:formatCode>[$$-409]#,##0;\-[$$-409]#,##0</c:formatCode>
                <c:ptCount val="34"/>
                <c:pt idx="0">
                  <c:v>1150000</c:v>
                </c:pt>
                <c:pt idx="1">
                  <c:v>550000</c:v>
                </c:pt>
                <c:pt idx="2">
                  <c:v>3080000</c:v>
                </c:pt>
                <c:pt idx="3">
                  <c:v>1540000</c:v>
                </c:pt>
                <c:pt idx="4">
                  <c:v>4210000</c:v>
                </c:pt>
                <c:pt idx="5">
                  <c:v>2105000</c:v>
                </c:pt>
                <c:pt idx="6">
                  <c:v>2110000</c:v>
                </c:pt>
                <c:pt idx="7">
                  <c:v>1055000</c:v>
                </c:pt>
                <c:pt idx="8">
                  <c:v>758000000</c:v>
                </c:pt>
                <c:pt idx="9">
                  <c:v>322000000</c:v>
                </c:pt>
                <c:pt idx="10">
                  <c:v>762000000</c:v>
                </c:pt>
                <c:pt idx="11">
                  <c:v>323000000</c:v>
                </c:pt>
                <c:pt idx="12">
                  <c:v>2995000000</c:v>
                </c:pt>
                <c:pt idx="13">
                  <c:v>1270000000</c:v>
                </c:pt>
                <c:pt idx="14">
                  <c:v>220500000</c:v>
                </c:pt>
                <c:pt idx="15">
                  <c:v>93500000</c:v>
                </c:pt>
                <c:pt idx="16">
                  <c:v>176500000</c:v>
                </c:pt>
                <c:pt idx="17">
                  <c:v>74500000</c:v>
                </c:pt>
                <c:pt idx="18">
                  <c:v>3187000000</c:v>
                </c:pt>
                <c:pt idx="19">
                  <c:v>1353000000</c:v>
                </c:pt>
                <c:pt idx="20">
                  <c:v>4890000000</c:v>
                </c:pt>
                <c:pt idx="21">
                  <c:v>2072000000</c:v>
                </c:pt>
                <c:pt idx="22">
                  <c:v>1046000000</c:v>
                </c:pt>
                <c:pt idx="23">
                  <c:v>443000000</c:v>
                </c:pt>
                <c:pt idx="24">
                  <c:v>2142000000</c:v>
                </c:pt>
                <c:pt idx="25">
                  <c:v>903000000</c:v>
                </c:pt>
                <c:pt idx="26">
                  <c:v>484000000</c:v>
                </c:pt>
                <c:pt idx="27">
                  <c:v>205500000</c:v>
                </c:pt>
                <c:pt idx="28">
                  <c:v>1972000000</c:v>
                </c:pt>
                <c:pt idx="29">
                  <c:v>833000000</c:v>
                </c:pt>
                <c:pt idx="30">
                  <c:v>360000000</c:v>
                </c:pt>
                <c:pt idx="31">
                  <c:v>39800000</c:v>
                </c:pt>
                <c:pt idx="32">
                  <c:v>624000000</c:v>
                </c:pt>
                <c:pt idx="33">
                  <c:v>265000000</c:v>
                </c:pt>
              </c:numCache>
            </c:numRef>
          </c:val>
        </c:ser>
        <c:gapWidth val="100"/>
        <c:overlap val="0"/>
        <c:axId val="72635505"/>
        <c:axId val="93729409"/>
      </c:barChart>
      <c:catAx>
        <c:axId val="7263550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90721142013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3729409"/>
        <c:crosses val="autoZero"/>
        <c:auto val="1"/>
        <c:lblAlgn val="ctr"/>
        <c:lblOffset val="100"/>
        <c:noMultiLvlLbl val="0"/>
      </c:catAx>
      <c:valAx>
        <c:axId val="9372940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2059866089011"/>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2635505"/>
        <c:crosses val="max"/>
        <c:crossBetween val="midCat"/>
        <c:majorUnit val="1000000"/>
      </c:valAx>
      <c:spPr>
        <a:noFill/>
        <a:ln w="0">
          <a:solidFill>
            <a:srgbClr val="b3b3b3"/>
          </a:solidFill>
        </a:ln>
      </c:spPr>
    </c:plotArea>
    <c:legend>
      <c:legendPos val="r"/>
      <c:layout>
        <c:manualLayout>
          <c:xMode val="edge"/>
          <c:yMode val="edge"/>
          <c:x val="0.804339266026146"/>
          <c:y val="0.0768038192735506"/>
          <c:w val="0.170151604646584"/>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Earned Income Tax Credit Refund</a:t>
            </a:r>
          </a:p>
        </c:rich>
      </c:tx>
      <c:layout>
        <c:manualLayout>
          <c:xMode val="edge"/>
          <c:yMode val="edge"/>
          <c:x val="0.243481685703033"/>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'LSD.RID.0.AR'!$C$1247</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'LSD.RID.0.AR'!$C$1249:$C$1282</c:f>
              <c:numCache>
                <c:formatCode>[$$-409]#,##0;\-[$$-409]#,##0</c:formatCode>
                <c:ptCount val="34"/>
                <c:pt idx="0">
                  <c:v>3300000</c:v>
                </c:pt>
                <c:pt idx="1">
                  <c:v>1600000</c:v>
                </c:pt>
                <c:pt idx="2">
                  <c:v>7200000</c:v>
                </c:pt>
                <c:pt idx="3">
                  <c:v>3600000</c:v>
                </c:pt>
                <c:pt idx="4">
                  <c:v>10000000</c:v>
                </c:pt>
                <c:pt idx="5">
                  <c:v>5000000</c:v>
                </c:pt>
                <c:pt idx="6">
                  <c:v>5000000</c:v>
                </c:pt>
                <c:pt idx="7">
                  <c:v>2500000</c:v>
                </c:pt>
                <c:pt idx="8">
                  <c:v>1695000000</c:v>
                </c:pt>
                <c:pt idx="9">
                  <c:v>840000000</c:v>
                </c:pt>
                <c:pt idx="10">
                  <c:v>1660000000</c:v>
                </c:pt>
                <c:pt idx="11">
                  <c:v>830000000</c:v>
                </c:pt>
                <c:pt idx="12">
                  <c:v>6340000000</c:v>
                </c:pt>
                <c:pt idx="13">
                  <c:v>3180000000</c:v>
                </c:pt>
                <c:pt idx="14">
                  <c:v>630000000</c:v>
                </c:pt>
                <c:pt idx="15">
                  <c:v>315000000</c:v>
                </c:pt>
                <c:pt idx="16">
                  <c:v>337000000</c:v>
                </c:pt>
                <c:pt idx="17">
                  <c:v>168000000</c:v>
                </c:pt>
                <c:pt idx="18">
                  <c:v>4670000000</c:v>
                </c:pt>
                <c:pt idx="19">
                  <c:v>2330000000</c:v>
                </c:pt>
                <c:pt idx="20">
                  <c:v>6270000000</c:v>
                </c:pt>
                <c:pt idx="21">
                  <c:v>3130000000</c:v>
                </c:pt>
                <c:pt idx="22">
                  <c:v>1670000000</c:v>
                </c:pt>
                <c:pt idx="23">
                  <c:v>836000000</c:v>
                </c:pt>
                <c:pt idx="24">
                  <c:v>2750000000</c:v>
                </c:pt>
                <c:pt idx="25">
                  <c:v>1370000000</c:v>
                </c:pt>
                <c:pt idx="26">
                  <c:v>620000000</c:v>
                </c:pt>
                <c:pt idx="27">
                  <c:v>310000000</c:v>
                </c:pt>
                <c:pt idx="28">
                  <c:v>2980000000</c:v>
                </c:pt>
                <c:pt idx="29">
                  <c:v>1490000000</c:v>
                </c:pt>
                <c:pt idx="30">
                  <c:v>850000000</c:v>
                </c:pt>
                <c:pt idx="31">
                  <c:v>94000000</c:v>
                </c:pt>
                <c:pt idx="32">
                  <c:v>1525000000</c:v>
                </c:pt>
                <c:pt idx="33">
                  <c:v>765000000</c:v>
                </c:pt>
              </c:numCache>
            </c:numRef>
          </c:val>
        </c:ser>
        <c:ser>
          <c:idx val="1"/>
          <c:order val="1"/>
          <c:tx>
            <c:strRef>
              <c:f>'LSD.RID.0.AR'!$D$1247</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'LSD.RID.0.AR'!$D$1249:$D$1282</c:f>
              <c:numCache>
                <c:formatCode>[$$-409]#,##0;\-[$$-409]#,##0</c:formatCode>
                <c:ptCount val="34"/>
                <c:pt idx="0">
                  <c:v>1000000</c:v>
                </c:pt>
                <c:pt idx="1">
                  <c:v>500000</c:v>
                </c:pt>
                <c:pt idx="2">
                  <c:v>2000000</c:v>
                </c:pt>
                <c:pt idx="3">
                  <c:v>1000000</c:v>
                </c:pt>
                <c:pt idx="4">
                  <c:v>3000000</c:v>
                </c:pt>
                <c:pt idx="5">
                  <c:v>1500000</c:v>
                </c:pt>
                <c:pt idx="6">
                  <c:v>1500000</c:v>
                </c:pt>
                <c:pt idx="7">
                  <c:v>750000</c:v>
                </c:pt>
                <c:pt idx="8">
                  <c:v>376000000</c:v>
                </c:pt>
                <c:pt idx="9">
                  <c:v>186000000</c:v>
                </c:pt>
                <c:pt idx="10">
                  <c:v>368000000</c:v>
                </c:pt>
                <c:pt idx="11">
                  <c:v>184000000</c:v>
                </c:pt>
                <c:pt idx="12">
                  <c:v>1403000000</c:v>
                </c:pt>
                <c:pt idx="13">
                  <c:v>704000000</c:v>
                </c:pt>
                <c:pt idx="14">
                  <c:v>139000000</c:v>
                </c:pt>
                <c:pt idx="15">
                  <c:v>69500000</c:v>
                </c:pt>
                <c:pt idx="16">
                  <c:v>74500000</c:v>
                </c:pt>
                <c:pt idx="17">
                  <c:v>37000000</c:v>
                </c:pt>
                <c:pt idx="18">
                  <c:v>1030000000</c:v>
                </c:pt>
                <c:pt idx="19">
                  <c:v>515000000</c:v>
                </c:pt>
                <c:pt idx="20">
                  <c:v>1380000000</c:v>
                </c:pt>
                <c:pt idx="21">
                  <c:v>692000000</c:v>
                </c:pt>
                <c:pt idx="22">
                  <c:v>370000000</c:v>
                </c:pt>
                <c:pt idx="23">
                  <c:v>185000000</c:v>
                </c:pt>
                <c:pt idx="24">
                  <c:v>608000000</c:v>
                </c:pt>
                <c:pt idx="25">
                  <c:v>303000000</c:v>
                </c:pt>
                <c:pt idx="26">
                  <c:v>137000000</c:v>
                </c:pt>
                <c:pt idx="27">
                  <c:v>68600000</c:v>
                </c:pt>
                <c:pt idx="28">
                  <c:v>659000000</c:v>
                </c:pt>
                <c:pt idx="29">
                  <c:v>330000000</c:v>
                </c:pt>
                <c:pt idx="30">
                  <c:v>340000000</c:v>
                </c:pt>
                <c:pt idx="31">
                  <c:v>38000000</c:v>
                </c:pt>
                <c:pt idx="32">
                  <c:v>337000000</c:v>
                </c:pt>
                <c:pt idx="33">
                  <c:v>169000000</c:v>
                </c:pt>
              </c:numCache>
            </c:numRef>
          </c:val>
        </c:ser>
        <c:ser>
          <c:idx val="2"/>
          <c:order val="2"/>
          <c:tx>
            <c:strRef>
              <c:f>'LSD.RID.0.AR'!$E$1247</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'LSD.RID.0.AR'!$E$1249:$E$1282</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'LSD.RID.0.AR'!$F$1247</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'LSD.RID.0.AR'!$F$1249:$F$1282</c:f>
              <c:numCache>
                <c:formatCode>[$$-409]#,##0;\-[$$-409]#,##0</c:formatCode>
                <c:ptCount val="34"/>
                <c:pt idx="0">
                  <c:v>2300000</c:v>
                </c:pt>
                <c:pt idx="1">
                  <c:v>1100000</c:v>
                </c:pt>
                <c:pt idx="2">
                  <c:v>5200000</c:v>
                </c:pt>
                <c:pt idx="3">
                  <c:v>2600000</c:v>
                </c:pt>
                <c:pt idx="4">
                  <c:v>7000000</c:v>
                </c:pt>
                <c:pt idx="5">
                  <c:v>3500000</c:v>
                </c:pt>
                <c:pt idx="6">
                  <c:v>3500000</c:v>
                </c:pt>
                <c:pt idx="7">
                  <c:v>1750000</c:v>
                </c:pt>
                <c:pt idx="8">
                  <c:v>1319000000</c:v>
                </c:pt>
                <c:pt idx="9">
                  <c:v>654000000</c:v>
                </c:pt>
                <c:pt idx="10">
                  <c:v>1292000000</c:v>
                </c:pt>
                <c:pt idx="11">
                  <c:v>646000000</c:v>
                </c:pt>
                <c:pt idx="12">
                  <c:v>4937000000</c:v>
                </c:pt>
                <c:pt idx="13">
                  <c:v>2474000000</c:v>
                </c:pt>
                <c:pt idx="14">
                  <c:v>491000000</c:v>
                </c:pt>
                <c:pt idx="15">
                  <c:v>245500000</c:v>
                </c:pt>
                <c:pt idx="16">
                  <c:v>262500000</c:v>
                </c:pt>
                <c:pt idx="17">
                  <c:v>131000000</c:v>
                </c:pt>
                <c:pt idx="18">
                  <c:v>3637000000</c:v>
                </c:pt>
                <c:pt idx="19">
                  <c:v>1815000000</c:v>
                </c:pt>
                <c:pt idx="20">
                  <c:v>4850000000</c:v>
                </c:pt>
                <c:pt idx="21">
                  <c:v>2438000000</c:v>
                </c:pt>
                <c:pt idx="22">
                  <c:v>1300000000</c:v>
                </c:pt>
                <c:pt idx="23">
                  <c:v>651000000</c:v>
                </c:pt>
                <c:pt idx="24">
                  <c:v>2142000000</c:v>
                </c:pt>
                <c:pt idx="25">
                  <c:v>1067000000</c:v>
                </c:pt>
                <c:pt idx="26">
                  <c:v>483000000</c:v>
                </c:pt>
                <c:pt idx="27">
                  <c:v>241400000</c:v>
                </c:pt>
                <c:pt idx="28">
                  <c:v>2319000000</c:v>
                </c:pt>
                <c:pt idx="29">
                  <c:v>1160000000</c:v>
                </c:pt>
                <c:pt idx="30">
                  <c:v>816000000</c:v>
                </c:pt>
                <c:pt idx="31">
                  <c:v>90200000</c:v>
                </c:pt>
                <c:pt idx="32">
                  <c:v>1188000000</c:v>
                </c:pt>
                <c:pt idx="33">
                  <c:v>596000000</c:v>
                </c:pt>
              </c:numCache>
            </c:numRef>
          </c:val>
        </c:ser>
        <c:gapWidth val="100"/>
        <c:overlap val="0"/>
        <c:axId val="81158908"/>
        <c:axId val="71014523"/>
      </c:barChart>
      <c:catAx>
        <c:axId val="8115890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85798670932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1014523"/>
        <c:crosses val="autoZero"/>
        <c:auto val="1"/>
        <c:lblAlgn val="ctr"/>
        <c:lblOffset val="100"/>
        <c:noMultiLvlLbl val="0"/>
      </c:catAx>
      <c:valAx>
        <c:axId val="7101452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138637258763"/>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1158908"/>
        <c:crosses val="max"/>
        <c:crossBetween val="midCat"/>
        <c:majorUnit val="1000000"/>
      </c:valAx>
      <c:spPr>
        <a:noFill/>
        <a:ln w="0">
          <a:solidFill>
            <a:srgbClr val="b3b3b3"/>
          </a:solidFill>
        </a:ln>
      </c:spPr>
    </c:plotArea>
    <c:legend>
      <c:legendPos val="r"/>
      <c:layout>
        <c:manualLayout>
          <c:xMode val="edge"/>
          <c:yMode val="edge"/>
          <c:x val="0.804299889746417"/>
          <c:y val="0.0768038192735506"/>
          <c:w val="0.170151604646584"/>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324143363529"/>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'LSD.RID.0.AR'!$C$1381</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'LSD.RID.0.AR'!$C$1383:$C$1416</c:f>
              <c:numCache>
                <c:formatCode>[$$-409]#,##0;\-[$$-409]#,##0</c:formatCode>
                <c:ptCount val="34"/>
                <c:pt idx="0">
                  <c:v>2400000</c:v>
                </c:pt>
                <c:pt idx="1">
                  <c:v>1200000</c:v>
                </c:pt>
                <c:pt idx="2">
                  <c:v>5700000</c:v>
                </c:pt>
                <c:pt idx="3">
                  <c:v>2850000</c:v>
                </c:pt>
                <c:pt idx="4">
                  <c:v>7900000</c:v>
                </c:pt>
                <c:pt idx="5">
                  <c:v>3950000</c:v>
                </c:pt>
                <c:pt idx="6">
                  <c:v>3950000</c:v>
                </c:pt>
                <c:pt idx="7">
                  <c:v>1975000</c:v>
                </c:pt>
                <c:pt idx="8">
                  <c:v>778000000</c:v>
                </c:pt>
                <c:pt idx="9">
                  <c:v>389000000</c:v>
                </c:pt>
                <c:pt idx="10">
                  <c:v>760000000</c:v>
                </c:pt>
                <c:pt idx="11">
                  <c:v>380000000</c:v>
                </c:pt>
                <c:pt idx="12">
                  <c:v>2900000000</c:v>
                </c:pt>
                <c:pt idx="13">
                  <c:v>1450000000</c:v>
                </c:pt>
                <c:pt idx="14">
                  <c:v>290000000</c:v>
                </c:pt>
                <c:pt idx="15">
                  <c:v>145000000</c:v>
                </c:pt>
                <c:pt idx="16">
                  <c:v>154000000</c:v>
                </c:pt>
                <c:pt idx="17">
                  <c:v>77000000</c:v>
                </c:pt>
                <c:pt idx="18">
                  <c:v>2140000000</c:v>
                </c:pt>
                <c:pt idx="19">
                  <c:v>1070000000</c:v>
                </c:pt>
                <c:pt idx="20">
                  <c:v>2880000000</c:v>
                </c:pt>
                <c:pt idx="21">
                  <c:v>1440000000</c:v>
                </c:pt>
                <c:pt idx="22">
                  <c:v>767000000</c:v>
                </c:pt>
                <c:pt idx="23">
                  <c:v>383000000</c:v>
                </c:pt>
                <c:pt idx="24">
                  <c:v>1230000000</c:v>
                </c:pt>
                <c:pt idx="25">
                  <c:v>615000000</c:v>
                </c:pt>
                <c:pt idx="26">
                  <c:v>284000000</c:v>
                </c:pt>
                <c:pt idx="27">
                  <c:v>142000000</c:v>
                </c:pt>
                <c:pt idx="28">
                  <c:v>1060000000</c:v>
                </c:pt>
                <c:pt idx="29">
                  <c:v>530000000</c:v>
                </c:pt>
                <c:pt idx="30">
                  <c:v>680000000</c:v>
                </c:pt>
                <c:pt idx="31">
                  <c:v>75000000</c:v>
                </c:pt>
                <c:pt idx="32">
                  <c:v>700000000</c:v>
                </c:pt>
                <c:pt idx="33">
                  <c:v>350000000</c:v>
                </c:pt>
              </c:numCache>
            </c:numRef>
          </c:val>
        </c:ser>
        <c:ser>
          <c:idx val="1"/>
          <c:order val="1"/>
          <c:tx>
            <c:strRef>
              <c:f>'LSD.RID.0.AR'!$D$1381</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'LSD.RID.0.AR'!$D$1383:$D$1416</c:f>
              <c:numCache>
                <c:formatCode>[$$-409]#,##0;\-[$$-409]#,##0</c:formatCode>
                <c:ptCount val="34"/>
                <c:pt idx="0">
                  <c:v>700000</c:v>
                </c:pt>
                <c:pt idx="1">
                  <c:v>300000</c:v>
                </c:pt>
                <c:pt idx="2">
                  <c:v>1500000</c:v>
                </c:pt>
                <c:pt idx="3">
                  <c:v>750000</c:v>
                </c:pt>
                <c:pt idx="4">
                  <c:v>2000000</c:v>
                </c:pt>
                <c:pt idx="5">
                  <c:v>1000000</c:v>
                </c:pt>
                <c:pt idx="6">
                  <c:v>1000000</c:v>
                </c:pt>
                <c:pt idx="7">
                  <c:v>500000</c:v>
                </c:pt>
                <c:pt idx="8">
                  <c:v>198000000</c:v>
                </c:pt>
                <c:pt idx="9">
                  <c:v>99000000</c:v>
                </c:pt>
                <c:pt idx="10">
                  <c:v>194000000</c:v>
                </c:pt>
                <c:pt idx="11">
                  <c:v>97000000</c:v>
                </c:pt>
                <c:pt idx="12">
                  <c:v>739000000</c:v>
                </c:pt>
                <c:pt idx="13">
                  <c:v>369000000</c:v>
                </c:pt>
                <c:pt idx="14">
                  <c:v>74000000</c:v>
                </c:pt>
                <c:pt idx="15">
                  <c:v>37000000</c:v>
                </c:pt>
                <c:pt idx="16">
                  <c:v>39000000</c:v>
                </c:pt>
                <c:pt idx="17">
                  <c:v>19500000</c:v>
                </c:pt>
                <c:pt idx="18">
                  <c:v>546000000</c:v>
                </c:pt>
                <c:pt idx="19">
                  <c:v>273000000</c:v>
                </c:pt>
                <c:pt idx="20">
                  <c:v>734000000</c:v>
                </c:pt>
                <c:pt idx="21">
                  <c:v>367000000</c:v>
                </c:pt>
                <c:pt idx="22">
                  <c:v>195000000</c:v>
                </c:pt>
                <c:pt idx="23">
                  <c:v>97500000</c:v>
                </c:pt>
                <c:pt idx="24">
                  <c:v>313000000</c:v>
                </c:pt>
                <c:pt idx="25">
                  <c:v>157000000</c:v>
                </c:pt>
                <c:pt idx="26">
                  <c:v>72500000</c:v>
                </c:pt>
                <c:pt idx="27">
                  <c:v>36200000</c:v>
                </c:pt>
                <c:pt idx="28">
                  <c:v>270000000</c:v>
                </c:pt>
                <c:pt idx="29">
                  <c:v>135000000</c:v>
                </c:pt>
                <c:pt idx="30">
                  <c:v>170000000</c:v>
                </c:pt>
                <c:pt idx="31">
                  <c:v>19000000</c:v>
                </c:pt>
                <c:pt idx="32">
                  <c:v>178000000</c:v>
                </c:pt>
                <c:pt idx="33">
                  <c:v>89000000</c:v>
                </c:pt>
              </c:numCache>
            </c:numRef>
          </c:val>
        </c:ser>
        <c:ser>
          <c:idx val="2"/>
          <c:order val="2"/>
          <c:tx>
            <c:strRef>
              <c:f>'LSD.RID.0.AR'!$E$1381</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'LSD.RID.0.AR'!$E$1383:$E$1416</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'LSD.RID.0.AR'!$F$1381</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'LSD.RID.0.AR'!$F$1383:$F$1416</c:f>
              <c:numCache>
                <c:formatCode>[$$-409]#,##0;\-[$$-409]#,##0</c:formatCode>
                <c:ptCount val="34"/>
                <c:pt idx="0">
                  <c:v>1700000</c:v>
                </c:pt>
                <c:pt idx="1">
                  <c:v>900000</c:v>
                </c:pt>
                <c:pt idx="2">
                  <c:v>4200000</c:v>
                </c:pt>
                <c:pt idx="3">
                  <c:v>2100000</c:v>
                </c:pt>
                <c:pt idx="4">
                  <c:v>5900000</c:v>
                </c:pt>
                <c:pt idx="5">
                  <c:v>2950000</c:v>
                </c:pt>
                <c:pt idx="6">
                  <c:v>2950000</c:v>
                </c:pt>
                <c:pt idx="7">
                  <c:v>1475000</c:v>
                </c:pt>
                <c:pt idx="8">
                  <c:v>580000000</c:v>
                </c:pt>
                <c:pt idx="9">
                  <c:v>290000000</c:v>
                </c:pt>
                <c:pt idx="10">
                  <c:v>566000000</c:v>
                </c:pt>
                <c:pt idx="11">
                  <c:v>283000000</c:v>
                </c:pt>
                <c:pt idx="12">
                  <c:v>2161000000</c:v>
                </c:pt>
                <c:pt idx="13">
                  <c:v>1081000000</c:v>
                </c:pt>
                <c:pt idx="14">
                  <c:v>216000000</c:v>
                </c:pt>
                <c:pt idx="15">
                  <c:v>108000000</c:v>
                </c:pt>
                <c:pt idx="16">
                  <c:v>115000000</c:v>
                </c:pt>
                <c:pt idx="17">
                  <c:v>57500000</c:v>
                </c:pt>
                <c:pt idx="18">
                  <c:v>1594000000</c:v>
                </c:pt>
                <c:pt idx="19">
                  <c:v>797000000</c:v>
                </c:pt>
                <c:pt idx="20">
                  <c:v>2146000000</c:v>
                </c:pt>
                <c:pt idx="21">
                  <c:v>1073000000</c:v>
                </c:pt>
                <c:pt idx="22">
                  <c:v>572000000</c:v>
                </c:pt>
                <c:pt idx="23">
                  <c:v>285500000</c:v>
                </c:pt>
                <c:pt idx="24">
                  <c:v>916000000</c:v>
                </c:pt>
                <c:pt idx="25">
                  <c:v>458000000</c:v>
                </c:pt>
                <c:pt idx="26">
                  <c:v>211500000</c:v>
                </c:pt>
                <c:pt idx="27">
                  <c:v>105800000</c:v>
                </c:pt>
                <c:pt idx="28">
                  <c:v>790000000</c:v>
                </c:pt>
                <c:pt idx="29">
                  <c:v>395000000</c:v>
                </c:pt>
                <c:pt idx="30">
                  <c:v>510000000</c:v>
                </c:pt>
                <c:pt idx="31">
                  <c:v>56000000</c:v>
                </c:pt>
                <c:pt idx="32">
                  <c:v>522000000</c:v>
                </c:pt>
                <c:pt idx="33">
                  <c:v>261000000</c:v>
                </c:pt>
              </c:numCache>
            </c:numRef>
          </c:val>
        </c:ser>
        <c:gapWidth val="100"/>
        <c:overlap val="0"/>
        <c:axId val="6876609"/>
        <c:axId val="47429579"/>
      </c:barChart>
      <c:catAx>
        <c:axId val="687660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78414964312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7429579"/>
        <c:crosses val="autoZero"/>
        <c:auto val="1"/>
        <c:lblAlgn val="ctr"/>
        <c:lblOffset val="100"/>
        <c:noMultiLvlLbl val="0"/>
      </c:catAx>
      <c:valAx>
        <c:axId val="4742957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82355257975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876609"/>
        <c:crosses val="max"/>
        <c:crossBetween val="midCat"/>
        <c:majorUnit val="1000000"/>
      </c:valAx>
      <c:spPr>
        <a:noFill/>
        <a:ln w="0">
          <a:solidFill>
            <a:srgbClr val="b3b3b3"/>
          </a:solidFill>
        </a:ln>
      </c:spPr>
    </c:plotArea>
    <c:legend>
      <c:legendPos val="r"/>
      <c:layout>
        <c:manualLayout>
          <c:xMode val="edge"/>
          <c:yMode val="edge"/>
          <c:x val="0.804299889746417"/>
          <c:y val="0.0768038192735506"/>
          <c:w val="0.170151604646584"/>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402914533281"/>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'LSD.RID.0.AR'!$C$1514</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'LSD.RID.0.AR'!$C$1516:$C$1549</c:f>
              <c:numCache>
                <c:formatCode>[$$-409]#,##0;\-[$$-409]#,##0</c:formatCode>
                <c:ptCount val="34"/>
                <c:pt idx="0">
                  <c:v>400000</c:v>
                </c:pt>
                <c:pt idx="1">
                  <c:v>200000</c:v>
                </c:pt>
                <c:pt idx="2">
                  <c:v>600000</c:v>
                </c:pt>
                <c:pt idx="3">
                  <c:v>300000</c:v>
                </c:pt>
                <c:pt idx="4">
                  <c:v>800000</c:v>
                </c:pt>
                <c:pt idx="5">
                  <c:v>400000</c:v>
                </c:pt>
                <c:pt idx="6">
                  <c:v>400000</c:v>
                </c:pt>
                <c:pt idx="7">
                  <c:v>200000</c:v>
                </c:pt>
                <c:pt idx="8">
                  <c:v>92000000</c:v>
                </c:pt>
                <c:pt idx="9">
                  <c:v>46000000</c:v>
                </c:pt>
                <c:pt idx="10">
                  <c:v>90000000</c:v>
                </c:pt>
                <c:pt idx="11">
                  <c:v>45000000</c:v>
                </c:pt>
                <c:pt idx="12">
                  <c:v>404000000</c:v>
                </c:pt>
                <c:pt idx="13">
                  <c:v>202000000</c:v>
                </c:pt>
                <c:pt idx="14">
                  <c:v>27000000</c:v>
                </c:pt>
                <c:pt idx="15">
                  <c:v>13500000</c:v>
                </c:pt>
                <c:pt idx="16">
                  <c:v>18000000</c:v>
                </c:pt>
                <c:pt idx="17">
                  <c:v>9000000</c:v>
                </c:pt>
                <c:pt idx="18">
                  <c:v>343000000</c:v>
                </c:pt>
                <c:pt idx="19">
                  <c:v>171000000</c:v>
                </c:pt>
                <c:pt idx="20">
                  <c:v>708000000</c:v>
                </c:pt>
                <c:pt idx="21">
                  <c:v>354000000</c:v>
                </c:pt>
                <c:pt idx="22">
                  <c:v>188000000</c:v>
                </c:pt>
                <c:pt idx="23">
                  <c:v>94000000</c:v>
                </c:pt>
                <c:pt idx="24">
                  <c:v>224000000</c:v>
                </c:pt>
                <c:pt idx="25">
                  <c:v>112000000</c:v>
                </c:pt>
                <c:pt idx="26">
                  <c:v>52000000</c:v>
                </c:pt>
                <c:pt idx="27">
                  <c:v>26000000</c:v>
                </c:pt>
                <c:pt idx="28">
                  <c:v>260000000</c:v>
                </c:pt>
                <c:pt idx="29">
                  <c:v>130000000</c:v>
                </c:pt>
                <c:pt idx="30">
                  <c:v>120000000</c:v>
                </c:pt>
                <c:pt idx="31">
                  <c:v>13000000</c:v>
                </c:pt>
                <c:pt idx="32">
                  <c:v>97000000</c:v>
                </c:pt>
                <c:pt idx="33">
                  <c:v>48500000</c:v>
                </c:pt>
              </c:numCache>
            </c:numRef>
          </c:val>
        </c:ser>
        <c:ser>
          <c:idx val="1"/>
          <c:order val="1"/>
          <c:tx>
            <c:strRef>
              <c:f>'LSD.RID.0.AR'!$D$1514</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'LSD.RID.0.AR'!$D$1516:$D$1549</c:f>
              <c:numCache>
                <c:formatCode>[$$-409]#,##0;\-[$$-409]#,##0</c:formatCode>
                <c:ptCount val="34"/>
                <c:pt idx="0">
                  <c:v>100000</c:v>
                </c:pt>
                <c:pt idx="1">
                  <c:v>50000</c:v>
                </c:pt>
                <c:pt idx="2">
                  <c:v>200000</c:v>
                </c:pt>
                <c:pt idx="3">
                  <c:v>100000</c:v>
                </c:pt>
                <c:pt idx="4">
                  <c:v>200000</c:v>
                </c:pt>
                <c:pt idx="5">
                  <c:v>100000</c:v>
                </c:pt>
                <c:pt idx="6">
                  <c:v>100000</c:v>
                </c:pt>
                <c:pt idx="7">
                  <c:v>50000</c:v>
                </c:pt>
                <c:pt idx="8">
                  <c:v>20000000</c:v>
                </c:pt>
                <c:pt idx="9">
                  <c:v>10000000</c:v>
                </c:pt>
                <c:pt idx="10">
                  <c:v>19000000</c:v>
                </c:pt>
                <c:pt idx="11">
                  <c:v>9500000</c:v>
                </c:pt>
                <c:pt idx="12">
                  <c:v>87000000</c:v>
                </c:pt>
                <c:pt idx="13">
                  <c:v>43500000</c:v>
                </c:pt>
                <c:pt idx="14">
                  <c:v>6000000</c:v>
                </c:pt>
                <c:pt idx="15">
                  <c:v>3000000</c:v>
                </c:pt>
                <c:pt idx="16">
                  <c:v>4000000</c:v>
                </c:pt>
                <c:pt idx="17">
                  <c:v>2000000</c:v>
                </c:pt>
                <c:pt idx="18">
                  <c:v>74000000</c:v>
                </c:pt>
                <c:pt idx="19">
                  <c:v>37000000</c:v>
                </c:pt>
                <c:pt idx="20">
                  <c:v>151000000</c:v>
                </c:pt>
                <c:pt idx="21">
                  <c:v>76000000</c:v>
                </c:pt>
                <c:pt idx="22">
                  <c:v>40000000</c:v>
                </c:pt>
                <c:pt idx="23">
                  <c:v>20000000</c:v>
                </c:pt>
                <c:pt idx="24">
                  <c:v>48000000</c:v>
                </c:pt>
                <c:pt idx="25">
                  <c:v>24000000</c:v>
                </c:pt>
                <c:pt idx="26">
                  <c:v>11000000</c:v>
                </c:pt>
                <c:pt idx="27">
                  <c:v>5500000</c:v>
                </c:pt>
                <c:pt idx="28">
                  <c:v>56000000</c:v>
                </c:pt>
                <c:pt idx="29">
                  <c:v>28000000</c:v>
                </c:pt>
                <c:pt idx="30">
                  <c:v>30000000</c:v>
                </c:pt>
                <c:pt idx="31">
                  <c:v>3000000</c:v>
                </c:pt>
                <c:pt idx="32">
                  <c:v>21000000</c:v>
                </c:pt>
                <c:pt idx="33">
                  <c:v>10500000</c:v>
                </c:pt>
              </c:numCache>
            </c:numRef>
          </c:val>
        </c:ser>
        <c:ser>
          <c:idx val="2"/>
          <c:order val="2"/>
          <c:tx>
            <c:strRef>
              <c:f>'LSD.RID.0.AR'!$E$1514</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'LSD.RID.0.AR'!$E$1516:$E$1549</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'LSD.RID.0.AR'!$F$1514</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'LSD.RID.0.AR'!$F$1516:$F$1549</c:f>
              <c:numCache>
                <c:formatCode>[$$-409]#,##0;\-[$$-409]#,##0</c:formatCode>
                <c:ptCount val="34"/>
                <c:pt idx="0">
                  <c:v>300000</c:v>
                </c:pt>
                <c:pt idx="1">
                  <c:v>150000</c:v>
                </c:pt>
                <c:pt idx="2">
                  <c:v>400000</c:v>
                </c:pt>
                <c:pt idx="3">
                  <c:v>200000</c:v>
                </c:pt>
                <c:pt idx="4">
                  <c:v>600000</c:v>
                </c:pt>
                <c:pt idx="5">
                  <c:v>300000</c:v>
                </c:pt>
                <c:pt idx="6">
                  <c:v>300000</c:v>
                </c:pt>
                <c:pt idx="7">
                  <c:v>150000</c:v>
                </c:pt>
                <c:pt idx="8">
                  <c:v>72000000</c:v>
                </c:pt>
                <c:pt idx="9">
                  <c:v>36000000</c:v>
                </c:pt>
                <c:pt idx="10">
                  <c:v>71000000</c:v>
                </c:pt>
                <c:pt idx="11">
                  <c:v>35500000</c:v>
                </c:pt>
                <c:pt idx="12">
                  <c:v>317000000</c:v>
                </c:pt>
                <c:pt idx="13">
                  <c:v>158500000</c:v>
                </c:pt>
                <c:pt idx="14">
                  <c:v>21000000</c:v>
                </c:pt>
                <c:pt idx="15">
                  <c:v>10500000</c:v>
                </c:pt>
                <c:pt idx="16">
                  <c:v>14000000</c:v>
                </c:pt>
                <c:pt idx="17">
                  <c:v>7000000</c:v>
                </c:pt>
                <c:pt idx="18">
                  <c:v>269000000</c:v>
                </c:pt>
                <c:pt idx="19">
                  <c:v>134000000</c:v>
                </c:pt>
                <c:pt idx="20">
                  <c:v>557000000</c:v>
                </c:pt>
                <c:pt idx="21">
                  <c:v>278000000</c:v>
                </c:pt>
                <c:pt idx="22">
                  <c:v>148000000</c:v>
                </c:pt>
                <c:pt idx="23">
                  <c:v>74000000</c:v>
                </c:pt>
                <c:pt idx="24">
                  <c:v>176000000</c:v>
                </c:pt>
                <c:pt idx="25">
                  <c:v>88000000</c:v>
                </c:pt>
                <c:pt idx="26">
                  <c:v>41000000</c:v>
                </c:pt>
                <c:pt idx="27">
                  <c:v>20500000</c:v>
                </c:pt>
                <c:pt idx="28">
                  <c:v>204000000</c:v>
                </c:pt>
                <c:pt idx="29">
                  <c:v>102000000</c:v>
                </c:pt>
                <c:pt idx="30">
                  <c:v>90000000</c:v>
                </c:pt>
                <c:pt idx="31">
                  <c:v>10000000</c:v>
                </c:pt>
                <c:pt idx="32">
                  <c:v>76000000</c:v>
                </c:pt>
                <c:pt idx="33">
                  <c:v>38000000</c:v>
                </c:pt>
              </c:numCache>
            </c:numRef>
          </c:val>
        </c:ser>
        <c:gapWidth val="100"/>
        <c:overlap val="0"/>
        <c:axId val="6623711"/>
        <c:axId val="50344261"/>
      </c:barChart>
      <c:catAx>
        <c:axId val="662371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75953728771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0344261"/>
        <c:crosses val="autoZero"/>
        <c:auto val="1"/>
        <c:lblAlgn val="ctr"/>
        <c:lblOffset val="100"/>
        <c:noMultiLvlLbl val="0"/>
      </c:catAx>
      <c:valAx>
        <c:axId val="5034426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82355257975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623711"/>
        <c:crosses val="max"/>
        <c:crossBetween val="midCat"/>
        <c:majorUnit val="500000"/>
      </c:valAx>
      <c:spPr>
        <a:noFill/>
        <a:ln w="0">
          <a:solidFill>
            <a:srgbClr val="b3b3b3"/>
          </a:solidFill>
        </a:ln>
      </c:spPr>
    </c:plotArea>
    <c:legend>
      <c:legendPos val="r"/>
      <c:layout>
        <c:manualLayout>
          <c:xMode val="edge"/>
          <c:yMode val="edge"/>
          <c:x val="0.804299889746417"/>
          <c:y val="0.0767792105522197"/>
          <c:w val="0.170112226816302"/>
          <c:h val="0.11170173495754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Labor Force Population</a:t>
            </a:r>
          </a:p>
        </c:rich>
      </c:tx>
      <c:layout>
        <c:manualLayout>
          <c:xMode val="edge"/>
          <c:yMode val="edge"/>
          <c:x val="0.277235131941709"/>
          <c:y val="0.0107802116662565"/>
        </c:manualLayout>
      </c:layout>
      <c:overlay val="0"/>
      <c:spPr>
        <a:noFill/>
        <a:ln w="0">
          <a:noFill/>
        </a:ln>
      </c:spPr>
    </c:title>
    <c:autoTitleDeleted val="0"/>
    <c:plotArea>
      <c:layout>
        <c:manualLayout>
          <c:layoutTarget val="inner"/>
          <c:xMode val="edge"/>
          <c:yMode val="edge"/>
          <c:x val="0.299881843245372"/>
          <c:y val="0.0468619246861925"/>
          <c:w val="0.521937770775896"/>
          <c:h val="0.87489539748954"/>
        </c:manualLayout>
      </c:layout>
      <c:barChart>
        <c:barDir val="bar"/>
        <c:grouping val="clustered"/>
        <c:varyColors val="0"/>
        <c:ser>
          <c:idx val="0"/>
          <c:order val="0"/>
          <c:tx>
            <c:strRef>
              <c:f>'LSD.RID.0.FL'!$C$40</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Pt>
            <c:idx val="12"/>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2"/>
              <c:numFmt formatCode="#,##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'LSD.RID.0.FL'!$C$42:$C$75</c:f>
              <c:numCache>
                <c:formatCode>#,##0</c:formatCode>
                <c:ptCount val="34"/>
                <c:pt idx="0">
                  <c:v>57000</c:v>
                </c:pt>
                <c:pt idx="1">
                  <c:v>28500</c:v>
                </c:pt>
                <c:pt idx="2">
                  <c:v>435000</c:v>
                </c:pt>
                <c:pt idx="3">
                  <c:v>217500</c:v>
                </c:pt>
                <c:pt idx="4">
                  <c:v>890000</c:v>
                </c:pt>
                <c:pt idx="5">
                  <c:v>445000</c:v>
                </c:pt>
                <c:pt idx="6">
                  <c:v>177000</c:v>
                </c:pt>
                <c:pt idx="7">
                  <c:v>88500</c:v>
                </c:pt>
                <c:pt idx="8">
                  <c:v>285000</c:v>
                </c:pt>
                <c:pt idx="9">
                  <c:v>142500</c:v>
                </c:pt>
                <c:pt idx="10">
                  <c:v>280000</c:v>
                </c:pt>
                <c:pt idx="11">
                  <c:v>140000</c:v>
                </c:pt>
                <c:pt idx="12">
                  <c:v>1065000</c:v>
                </c:pt>
                <c:pt idx="13">
                  <c:v>532500</c:v>
                </c:pt>
                <c:pt idx="14">
                  <c:v>106000</c:v>
                </c:pt>
                <c:pt idx="15">
                  <c:v>53000</c:v>
                </c:pt>
                <c:pt idx="16">
                  <c:v>57000</c:v>
                </c:pt>
                <c:pt idx="17">
                  <c:v>28500</c:v>
                </c:pt>
                <c:pt idx="18">
                  <c:v>800000</c:v>
                </c:pt>
                <c:pt idx="19">
                  <c:v>400000</c:v>
                </c:pt>
                <c:pt idx="20">
                  <c:v>1080000</c:v>
                </c:pt>
                <c:pt idx="21">
                  <c:v>540000</c:v>
                </c:pt>
                <c:pt idx="22">
                  <c:v>288000</c:v>
                </c:pt>
                <c:pt idx="23">
                  <c:v>144000</c:v>
                </c:pt>
                <c:pt idx="24">
                  <c:v>460000</c:v>
                </c:pt>
                <c:pt idx="25">
                  <c:v>230000</c:v>
                </c:pt>
                <c:pt idx="26">
                  <c:v>106000</c:v>
                </c:pt>
                <c:pt idx="27">
                  <c:v>53000</c:v>
                </c:pt>
                <c:pt idx="28">
                  <c:v>780000</c:v>
                </c:pt>
                <c:pt idx="29">
                  <c:v>390000</c:v>
                </c:pt>
                <c:pt idx="30">
                  <c:v>787500</c:v>
                </c:pt>
                <c:pt idx="31">
                  <c:v>87500</c:v>
                </c:pt>
                <c:pt idx="32">
                  <c:v>255000</c:v>
                </c:pt>
                <c:pt idx="33">
                  <c:v>127500</c:v>
                </c:pt>
              </c:numCache>
            </c:numRef>
          </c:val>
        </c:ser>
        <c:ser>
          <c:idx val="1"/>
          <c:order val="1"/>
          <c:tx>
            <c:strRef>
              <c:f>'LSD.RID.0.FL'!$D$40</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'LSD.RID.0.FL'!$D$42:$D$75</c:f>
              <c:numCache>
                <c:formatCode>#,##0</c:formatCode>
                <c:ptCount val="34"/>
                <c:pt idx="0">
                  <c:v>12300</c:v>
                </c:pt>
                <c:pt idx="1">
                  <c:v>6150</c:v>
                </c:pt>
                <c:pt idx="2">
                  <c:v>93900</c:v>
                </c:pt>
                <c:pt idx="3">
                  <c:v>46950</c:v>
                </c:pt>
                <c:pt idx="4">
                  <c:v>192000</c:v>
                </c:pt>
                <c:pt idx="5">
                  <c:v>96000</c:v>
                </c:pt>
                <c:pt idx="6">
                  <c:v>38000</c:v>
                </c:pt>
                <c:pt idx="7">
                  <c:v>19000</c:v>
                </c:pt>
                <c:pt idx="8">
                  <c:v>61500</c:v>
                </c:pt>
                <c:pt idx="9">
                  <c:v>30750</c:v>
                </c:pt>
                <c:pt idx="10">
                  <c:v>60500</c:v>
                </c:pt>
                <c:pt idx="11">
                  <c:v>30250</c:v>
                </c:pt>
                <c:pt idx="12">
                  <c:v>230000</c:v>
                </c:pt>
                <c:pt idx="13">
                  <c:v>115000</c:v>
                </c:pt>
                <c:pt idx="14">
                  <c:v>23000</c:v>
                </c:pt>
                <c:pt idx="15">
                  <c:v>11500</c:v>
                </c:pt>
                <c:pt idx="16">
                  <c:v>12300</c:v>
                </c:pt>
                <c:pt idx="17">
                  <c:v>6150</c:v>
                </c:pt>
                <c:pt idx="18">
                  <c:v>173000</c:v>
                </c:pt>
                <c:pt idx="19">
                  <c:v>86500</c:v>
                </c:pt>
                <c:pt idx="20">
                  <c:v>233000</c:v>
                </c:pt>
                <c:pt idx="21">
                  <c:v>116500</c:v>
                </c:pt>
                <c:pt idx="22">
                  <c:v>62000</c:v>
                </c:pt>
                <c:pt idx="23">
                  <c:v>31000</c:v>
                </c:pt>
                <c:pt idx="24">
                  <c:v>99000</c:v>
                </c:pt>
                <c:pt idx="25">
                  <c:v>49500</c:v>
                </c:pt>
                <c:pt idx="26">
                  <c:v>23000</c:v>
                </c:pt>
                <c:pt idx="27">
                  <c:v>11500</c:v>
                </c:pt>
                <c:pt idx="28">
                  <c:v>173160</c:v>
                </c:pt>
                <c:pt idx="29">
                  <c:v>86580</c:v>
                </c:pt>
                <c:pt idx="30">
                  <c:v>35440</c:v>
                </c:pt>
                <c:pt idx="31">
                  <c:v>3940</c:v>
                </c:pt>
                <c:pt idx="32">
                  <c:v>55000</c:v>
                </c:pt>
                <c:pt idx="33">
                  <c:v>27500</c:v>
                </c:pt>
              </c:numCache>
            </c:numRef>
          </c:val>
        </c:ser>
        <c:ser>
          <c:idx val="2"/>
          <c:order val="2"/>
          <c:tx>
            <c:strRef>
              <c:f>'LSD.RID.0.FL'!$E$40</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'LSD.RID.0.FL'!$E$42:$E$75</c:f>
              <c:numCache>
                <c:formatCode>#,##0</c:formatCode>
                <c:ptCount val="34"/>
                <c:pt idx="0">
                  <c:v>4200</c:v>
                </c:pt>
                <c:pt idx="1">
                  <c:v>2100</c:v>
                </c:pt>
                <c:pt idx="2">
                  <c:v>31700</c:v>
                </c:pt>
                <c:pt idx="3">
                  <c:v>15850</c:v>
                </c:pt>
                <c:pt idx="4">
                  <c:v>65000</c:v>
                </c:pt>
                <c:pt idx="5">
                  <c:v>32500</c:v>
                </c:pt>
                <c:pt idx="6">
                  <c:v>13000</c:v>
                </c:pt>
                <c:pt idx="7">
                  <c:v>6500</c:v>
                </c:pt>
                <c:pt idx="8">
                  <c:v>21000</c:v>
                </c:pt>
                <c:pt idx="9">
                  <c:v>10500</c:v>
                </c:pt>
                <c:pt idx="10">
                  <c:v>20500</c:v>
                </c:pt>
                <c:pt idx="11">
                  <c:v>10250</c:v>
                </c:pt>
                <c:pt idx="12">
                  <c:v>78000</c:v>
                </c:pt>
                <c:pt idx="13">
                  <c:v>39000</c:v>
                </c:pt>
                <c:pt idx="14">
                  <c:v>7800</c:v>
                </c:pt>
                <c:pt idx="15">
                  <c:v>3900</c:v>
                </c:pt>
                <c:pt idx="16">
                  <c:v>4200</c:v>
                </c:pt>
                <c:pt idx="17">
                  <c:v>2100</c:v>
                </c:pt>
                <c:pt idx="18">
                  <c:v>59000</c:v>
                </c:pt>
                <c:pt idx="19">
                  <c:v>29500</c:v>
                </c:pt>
                <c:pt idx="20">
                  <c:v>79000</c:v>
                </c:pt>
                <c:pt idx="21">
                  <c:v>39500</c:v>
                </c:pt>
                <c:pt idx="22">
                  <c:v>21000</c:v>
                </c:pt>
                <c:pt idx="23">
                  <c:v>10500</c:v>
                </c:pt>
                <c:pt idx="24">
                  <c:v>34000</c:v>
                </c:pt>
                <c:pt idx="25">
                  <c:v>17000</c:v>
                </c:pt>
                <c:pt idx="26">
                  <c:v>7800</c:v>
                </c:pt>
                <c:pt idx="27">
                  <c:v>3900</c:v>
                </c:pt>
                <c:pt idx="28">
                  <c:v>56940</c:v>
                </c:pt>
                <c:pt idx="29">
                  <c:v>28470</c:v>
                </c:pt>
                <c:pt idx="30">
                  <c:v>35440</c:v>
                </c:pt>
                <c:pt idx="31">
                  <c:v>3940</c:v>
                </c:pt>
                <c:pt idx="32">
                  <c:v>19000</c:v>
                </c:pt>
                <c:pt idx="33">
                  <c:v>9500</c:v>
                </c:pt>
              </c:numCache>
            </c:numRef>
          </c:val>
        </c:ser>
        <c:ser>
          <c:idx val="3"/>
          <c:order val="3"/>
          <c:tx>
            <c:strRef>
              <c:f>'LSD.RID.0.FL'!$F$40</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'LSD.RID.0.FL'!$F$42:$F$75</c:f>
              <c:numCache>
                <c:formatCode>#,##0</c:formatCode>
                <c:ptCount val="34"/>
                <c:pt idx="0">
                  <c:v>40500</c:v>
                </c:pt>
                <c:pt idx="1">
                  <c:v>20250</c:v>
                </c:pt>
                <c:pt idx="2">
                  <c:v>309400</c:v>
                </c:pt>
                <c:pt idx="3">
                  <c:v>154700</c:v>
                </c:pt>
                <c:pt idx="4">
                  <c:v>633000</c:v>
                </c:pt>
                <c:pt idx="5">
                  <c:v>316500</c:v>
                </c:pt>
                <c:pt idx="6">
                  <c:v>126000</c:v>
                </c:pt>
                <c:pt idx="7">
                  <c:v>63000</c:v>
                </c:pt>
                <c:pt idx="8">
                  <c:v>202500</c:v>
                </c:pt>
                <c:pt idx="9">
                  <c:v>101250</c:v>
                </c:pt>
                <c:pt idx="10">
                  <c:v>199000</c:v>
                </c:pt>
                <c:pt idx="11">
                  <c:v>99500</c:v>
                </c:pt>
                <c:pt idx="12">
                  <c:v>757000</c:v>
                </c:pt>
                <c:pt idx="13">
                  <c:v>378500</c:v>
                </c:pt>
                <c:pt idx="14">
                  <c:v>75200</c:v>
                </c:pt>
                <c:pt idx="15">
                  <c:v>37600</c:v>
                </c:pt>
                <c:pt idx="16">
                  <c:v>40500</c:v>
                </c:pt>
                <c:pt idx="17">
                  <c:v>20250</c:v>
                </c:pt>
                <c:pt idx="18">
                  <c:v>568000</c:v>
                </c:pt>
                <c:pt idx="19">
                  <c:v>284000</c:v>
                </c:pt>
                <c:pt idx="20">
                  <c:v>769000</c:v>
                </c:pt>
                <c:pt idx="21">
                  <c:v>384500</c:v>
                </c:pt>
                <c:pt idx="22">
                  <c:v>205000</c:v>
                </c:pt>
                <c:pt idx="23">
                  <c:v>102500</c:v>
                </c:pt>
                <c:pt idx="24">
                  <c:v>327000</c:v>
                </c:pt>
                <c:pt idx="25">
                  <c:v>163500</c:v>
                </c:pt>
                <c:pt idx="26">
                  <c:v>75200</c:v>
                </c:pt>
                <c:pt idx="27">
                  <c:v>37600</c:v>
                </c:pt>
                <c:pt idx="28">
                  <c:v>549900</c:v>
                </c:pt>
                <c:pt idx="29">
                  <c:v>274950</c:v>
                </c:pt>
                <c:pt idx="30">
                  <c:v>716620</c:v>
                </c:pt>
                <c:pt idx="31">
                  <c:v>79620</c:v>
                </c:pt>
                <c:pt idx="32">
                  <c:v>181000</c:v>
                </c:pt>
                <c:pt idx="33">
                  <c:v>90500</c:v>
                </c:pt>
              </c:numCache>
            </c:numRef>
          </c:val>
        </c:ser>
        <c:gapWidth val="100"/>
        <c:overlap val="0"/>
        <c:axId val="42538007"/>
        <c:axId val="28590740"/>
      </c:barChart>
      <c:catAx>
        <c:axId val="42538007"/>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30100910657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8590740"/>
        <c:crosses val="autoZero"/>
        <c:auto val="1"/>
        <c:lblAlgn val="ctr"/>
        <c:lblOffset val="100"/>
        <c:noMultiLvlLbl val="0"/>
      </c:catAx>
      <c:valAx>
        <c:axId val="2859074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1232768806617"/>
              <c:y val="0.97004676347526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2538007"/>
        <c:crosses val="autoZero"/>
        <c:crossBetween val="midCat"/>
        <c:majorUnit val="10000"/>
      </c:valAx>
      <c:spPr>
        <a:noFill/>
        <a:ln w="0">
          <a:solidFill>
            <a:srgbClr val="b3b3b3"/>
          </a:solidFill>
        </a:ln>
      </c:spPr>
    </c:plotArea>
    <c:legend>
      <c:legendPos val="r"/>
      <c:layout>
        <c:manualLayout>
          <c:xMode val="edge"/>
          <c:yMode val="edge"/>
          <c:x val="0.854763123695507"/>
          <c:y val="0.0768587109000074"/>
          <c:w val="0.119762129804663"/>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Employment-To-Population Ratio</a:t>
            </a:r>
          </a:p>
        </c:rich>
      </c:tx>
      <c:layout>
        <c:manualLayout>
          <c:xMode val="edge"/>
          <c:yMode val="edge"/>
          <c:x val="0.277235131941709"/>
          <c:y val="0.0107802116662565"/>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'LSD.RID.0.FL'!$C$174</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'LSD.RID.0.FL'!$C$176:$C$209</c:f>
              <c:numCache>
                <c:formatCode>0.00%</c:formatCode>
                <c:ptCount val="34"/>
                <c:pt idx="0">
                  <c:v>0.945</c:v>
                </c:pt>
                <c:pt idx="1">
                  <c:v>0.945</c:v>
                </c:pt>
                <c:pt idx="2">
                  <c:v>0.958</c:v>
                </c:pt>
                <c:pt idx="3">
                  <c:v>0.958</c:v>
                </c:pt>
                <c:pt idx="4">
                  <c:v>0.95</c:v>
                </c:pt>
                <c:pt idx="5">
                  <c:v>0.95</c:v>
                </c:pt>
                <c:pt idx="6">
                  <c:v>0.945</c:v>
                </c:pt>
                <c:pt idx="7">
                  <c:v>0.945</c:v>
                </c:pt>
                <c:pt idx="8">
                  <c:v>0.973</c:v>
                </c:pt>
                <c:pt idx="9">
                  <c:v>0.973</c:v>
                </c:pt>
                <c:pt idx="10">
                  <c:v>0.968</c:v>
                </c:pt>
                <c:pt idx="11">
                  <c:v>0.968</c:v>
                </c:pt>
                <c:pt idx="12">
                  <c:v>0.963</c:v>
                </c:pt>
                <c:pt idx="13">
                  <c:v>0.963</c:v>
                </c:pt>
                <c:pt idx="14">
                  <c:v>0.955</c:v>
                </c:pt>
                <c:pt idx="15">
                  <c:v>0.955</c:v>
                </c:pt>
                <c:pt idx="16">
                  <c:v>0.968</c:v>
                </c:pt>
                <c:pt idx="17">
                  <c:v>0.968</c:v>
                </c:pt>
                <c:pt idx="18">
                  <c:v>0.972</c:v>
                </c:pt>
                <c:pt idx="19">
                  <c:v>0.972</c:v>
                </c:pt>
                <c:pt idx="20">
                  <c:v>0.975</c:v>
                </c:pt>
                <c:pt idx="21">
                  <c:v>0.975</c:v>
                </c:pt>
                <c:pt idx="22">
                  <c:v>0.98</c:v>
                </c:pt>
                <c:pt idx="23">
                  <c:v>0.98</c:v>
                </c:pt>
                <c:pt idx="24">
                  <c:v>0.975</c:v>
                </c:pt>
                <c:pt idx="25">
                  <c:v>0.975</c:v>
                </c:pt>
                <c:pt idx="26">
                  <c:v>0.97</c:v>
                </c:pt>
                <c:pt idx="27">
                  <c:v>0.97</c:v>
                </c:pt>
                <c:pt idx="28">
                  <c:v>0.975</c:v>
                </c:pt>
                <c:pt idx="29">
                  <c:v>0.975</c:v>
                </c:pt>
                <c:pt idx="30">
                  <c:v>0.965</c:v>
                </c:pt>
                <c:pt idx="31">
                  <c:v>0.965</c:v>
                </c:pt>
                <c:pt idx="32">
                  <c:v>0.963</c:v>
                </c:pt>
                <c:pt idx="33">
                  <c:v>0.963</c:v>
                </c:pt>
              </c:numCache>
            </c:numRef>
          </c:val>
        </c:ser>
        <c:ser>
          <c:idx val="1"/>
          <c:order val="1"/>
          <c:tx>
            <c:strRef>
              <c:f>'LSD.RID.0.FL'!$D$174</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'LSD.RID.0.FL'!$D$176:$D$209</c:f>
              <c:numCache>
                <c:formatCode>0.00%</c:formatCode>
                <c:ptCount val="34"/>
                <c:pt idx="0">
                  <c:v>0.93</c:v>
                </c:pt>
                <c:pt idx="1">
                  <c:v>0.93</c:v>
                </c:pt>
                <c:pt idx="2">
                  <c:v>0.94</c:v>
                </c:pt>
                <c:pt idx="3">
                  <c:v>0.94</c:v>
                </c:pt>
                <c:pt idx="4">
                  <c:v>0.93</c:v>
                </c:pt>
                <c:pt idx="5">
                  <c:v>0.93</c:v>
                </c:pt>
                <c:pt idx="6">
                  <c:v>0.92</c:v>
                </c:pt>
                <c:pt idx="7">
                  <c:v>0.92</c:v>
                </c:pt>
                <c:pt idx="8">
                  <c:v>0.96</c:v>
                </c:pt>
                <c:pt idx="9">
                  <c:v>0.96</c:v>
                </c:pt>
                <c:pt idx="10">
                  <c:v>0.95</c:v>
                </c:pt>
                <c:pt idx="11">
                  <c:v>0.95</c:v>
                </c:pt>
                <c:pt idx="12">
                  <c:v>0.93</c:v>
                </c:pt>
                <c:pt idx="13">
                  <c:v>0.93</c:v>
                </c:pt>
                <c:pt idx="14">
                  <c:v>0.93</c:v>
                </c:pt>
                <c:pt idx="15">
                  <c:v>0.93</c:v>
                </c:pt>
                <c:pt idx="16">
                  <c:v>0.95</c:v>
                </c:pt>
                <c:pt idx="17">
                  <c:v>0.95</c:v>
                </c:pt>
                <c:pt idx="18">
                  <c:v>0.96</c:v>
                </c:pt>
                <c:pt idx="19">
                  <c:v>0.96</c:v>
                </c:pt>
                <c:pt idx="20">
                  <c:v>0.96</c:v>
                </c:pt>
                <c:pt idx="21">
                  <c:v>0.96</c:v>
                </c:pt>
                <c:pt idx="22">
                  <c:v>0.96</c:v>
                </c:pt>
                <c:pt idx="23">
                  <c:v>0.96</c:v>
                </c:pt>
                <c:pt idx="24">
                  <c:v>0.96</c:v>
                </c:pt>
                <c:pt idx="25">
                  <c:v>0.96</c:v>
                </c:pt>
                <c:pt idx="26">
                  <c:v>0.95</c:v>
                </c:pt>
                <c:pt idx="27">
                  <c:v>0.95</c:v>
                </c:pt>
                <c:pt idx="28">
                  <c:v>0.96</c:v>
                </c:pt>
                <c:pt idx="29">
                  <c:v>0.96</c:v>
                </c:pt>
                <c:pt idx="30">
                  <c:v>0.95</c:v>
                </c:pt>
                <c:pt idx="31">
                  <c:v>0.95</c:v>
                </c:pt>
                <c:pt idx="32">
                  <c:v>0.93</c:v>
                </c:pt>
                <c:pt idx="33">
                  <c:v>0.93</c:v>
                </c:pt>
              </c:numCache>
            </c:numRef>
          </c:val>
        </c:ser>
        <c:ser>
          <c:idx val="2"/>
          <c:order val="2"/>
          <c:tx>
            <c:strRef>
              <c:f>'LSD.RID.0.FL'!$E$174</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'LSD.RID.0.FL'!$E$176:$E$209</c:f>
              <c:numCache>
                <c:formatCode>0.00%</c:formatCode>
                <c:ptCount val="34"/>
                <c:pt idx="0">
                  <c:v>0.89</c:v>
                </c:pt>
                <c:pt idx="1">
                  <c:v>0.89</c:v>
                </c:pt>
                <c:pt idx="2">
                  <c:v>0.9</c:v>
                </c:pt>
                <c:pt idx="3">
                  <c:v>0.9</c:v>
                </c:pt>
                <c:pt idx="4">
                  <c:v>0.88</c:v>
                </c:pt>
                <c:pt idx="5">
                  <c:v>0.88</c:v>
                </c:pt>
                <c:pt idx="6">
                  <c:v>0.87</c:v>
                </c:pt>
                <c:pt idx="7">
                  <c:v>0.87</c:v>
                </c:pt>
                <c:pt idx="8">
                  <c:v>0.93</c:v>
                </c:pt>
                <c:pt idx="9">
                  <c:v>0.93</c:v>
                </c:pt>
                <c:pt idx="10">
                  <c:v>0.92</c:v>
                </c:pt>
                <c:pt idx="11">
                  <c:v>0.92</c:v>
                </c:pt>
                <c:pt idx="12">
                  <c:v>0.88</c:v>
                </c:pt>
                <c:pt idx="13">
                  <c:v>0.88</c:v>
                </c:pt>
                <c:pt idx="14">
                  <c:v>0.89</c:v>
                </c:pt>
                <c:pt idx="15">
                  <c:v>0.89</c:v>
                </c:pt>
                <c:pt idx="16">
                  <c:v>0.92</c:v>
                </c:pt>
                <c:pt idx="17">
                  <c:v>0.92</c:v>
                </c:pt>
                <c:pt idx="18">
                  <c:v>0.93</c:v>
                </c:pt>
                <c:pt idx="19">
                  <c:v>0.93</c:v>
                </c:pt>
                <c:pt idx="20">
                  <c:v>0.93</c:v>
                </c:pt>
                <c:pt idx="21">
                  <c:v>0.93</c:v>
                </c:pt>
                <c:pt idx="22">
                  <c:v>0.93</c:v>
                </c:pt>
                <c:pt idx="23">
                  <c:v>0.93</c:v>
                </c:pt>
                <c:pt idx="24">
                  <c:v>0.93</c:v>
                </c:pt>
                <c:pt idx="25">
                  <c:v>0.93</c:v>
                </c:pt>
                <c:pt idx="26">
                  <c:v>0.91</c:v>
                </c:pt>
                <c:pt idx="27">
                  <c:v>0.91</c:v>
                </c:pt>
                <c:pt idx="28">
                  <c:v>0.94</c:v>
                </c:pt>
                <c:pt idx="29">
                  <c:v>0.94</c:v>
                </c:pt>
                <c:pt idx="30">
                  <c:v>0.9</c:v>
                </c:pt>
                <c:pt idx="31">
                  <c:v>0.9</c:v>
                </c:pt>
                <c:pt idx="32">
                  <c:v>0.88</c:v>
                </c:pt>
                <c:pt idx="33">
                  <c:v>0.88</c:v>
                </c:pt>
              </c:numCache>
            </c:numRef>
          </c:val>
        </c:ser>
        <c:ser>
          <c:idx val="3"/>
          <c:order val="3"/>
          <c:tx>
            <c:strRef>
              <c:f>'LSD.RID.0.FL'!$F$174</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Pt>
            <c:idx val="24"/>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'LSD.RID.0.FL'!$F$176:$F$209</c:f>
              <c:numCache>
                <c:formatCode>0.00%</c:formatCode>
                <c:ptCount val="34"/>
                <c:pt idx="0">
                  <c:v>0.955</c:v>
                </c:pt>
                <c:pt idx="1">
                  <c:v>0.955</c:v>
                </c:pt>
                <c:pt idx="2">
                  <c:v>0.97</c:v>
                </c:pt>
                <c:pt idx="3">
                  <c:v>0.97</c:v>
                </c:pt>
                <c:pt idx="4">
                  <c:v>0.963</c:v>
                </c:pt>
                <c:pt idx="5">
                  <c:v>0.963</c:v>
                </c:pt>
                <c:pt idx="6">
                  <c:v>0.96</c:v>
                </c:pt>
                <c:pt idx="7">
                  <c:v>0.96</c:v>
                </c:pt>
                <c:pt idx="8">
                  <c:v>0.982</c:v>
                </c:pt>
                <c:pt idx="9">
                  <c:v>0.982</c:v>
                </c:pt>
                <c:pt idx="10">
                  <c:v>0.978</c:v>
                </c:pt>
                <c:pt idx="11">
                  <c:v>0.978</c:v>
                </c:pt>
                <c:pt idx="12">
                  <c:v>0.966</c:v>
                </c:pt>
                <c:pt idx="13">
                  <c:v>0.966</c:v>
                </c:pt>
                <c:pt idx="14">
                  <c:v>0.958</c:v>
                </c:pt>
                <c:pt idx="15">
                  <c:v>0.958</c:v>
                </c:pt>
                <c:pt idx="16">
                  <c:v>0.978</c:v>
                </c:pt>
                <c:pt idx="17">
                  <c:v>0.978</c:v>
                </c:pt>
                <c:pt idx="18">
                  <c:v>0.98</c:v>
                </c:pt>
                <c:pt idx="19">
                  <c:v>0.98</c:v>
                </c:pt>
                <c:pt idx="20">
                  <c:v>0.977</c:v>
                </c:pt>
                <c:pt idx="21">
                  <c:v>0.977</c:v>
                </c:pt>
                <c:pt idx="22">
                  <c:v>0.982</c:v>
                </c:pt>
                <c:pt idx="23">
                  <c:v>0.982</c:v>
                </c:pt>
                <c:pt idx="24">
                  <c:v>0.977</c:v>
                </c:pt>
                <c:pt idx="25">
                  <c:v>0.977</c:v>
                </c:pt>
                <c:pt idx="26">
                  <c:v>0.972</c:v>
                </c:pt>
                <c:pt idx="27">
                  <c:v>0.972</c:v>
                </c:pt>
                <c:pt idx="28">
                  <c:v>0.98</c:v>
                </c:pt>
                <c:pt idx="29">
                  <c:v>0.975</c:v>
                </c:pt>
                <c:pt idx="30">
                  <c:v>0.965</c:v>
                </c:pt>
                <c:pt idx="31">
                  <c:v>0.965</c:v>
                </c:pt>
                <c:pt idx="32">
                  <c:v>0.966</c:v>
                </c:pt>
                <c:pt idx="33">
                  <c:v>0.966</c:v>
                </c:pt>
              </c:numCache>
            </c:numRef>
          </c:val>
        </c:ser>
        <c:gapWidth val="100"/>
        <c:overlap val="0"/>
        <c:axId val="44855135"/>
        <c:axId val="23318755"/>
      </c:barChart>
      <c:catAx>
        <c:axId val="4485513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25178439576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3318755"/>
        <c:crosses val="autoZero"/>
        <c:auto val="1"/>
        <c:lblAlgn val="ctr"/>
        <c:lblOffset val="100"/>
        <c:noMultiLvlLbl val="0"/>
      </c:catAx>
      <c:valAx>
        <c:axId val="2331875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744781410004"/>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855135"/>
        <c:crosses val="max"/>
        <c:crossBetween val="midCat"/>
        <c:majorUnit val="0.01"/>
      </c:valAx>
      <c:spPr>
        <a:noFill/>
        <a:ln w="0">
          <a:solidFill>
            <a:srgbClr val="b3b3b3"/>
          </a:solidFill>
        </a:ln>
      </c:spPr>
    </c:plotArea>
    <c:legend>
      <c:legendPos val="r"/>
      <c:layout>
        <c:manualLayout>
          <c:xMode val="edge"/>
          <c:yMode val="edge"/>
          <c:x val="0.802583389122987"/>
          <c:y val="0.0768587109000074"/>
          <c:w val="0.171943919344675"/>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Labor Force Participation Rate</a:t>
            </a:r>
          </a:p>
        </c:rich>
      </c:tx>
      <c:layout>
        <c:manualLayout>
          <c:xMode val="edge"/>
          <c:yMode val="edge"/>
          <c:x val="0.270382040173297"/>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'LSD.RID.0.FL'!$C$308</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'LSD.RID.0.FL'!$C$310:$C$343</c:f>
              <c:numCache>
                <c:formatCode>0.00%</c:formatCode>
                <c:ptCount val="34"/>
                <c:pt idx="0">
                  <c:v>0.62</c:v>
                </c:pt>
                <c:pt idx="1">
                  <c:v>0.589</c:v>
                </c:pt>
                <c:pt idx="2">
                  <c:v>0.61</c:v>
                </c:pt>
                <c:pt idx="3">
                  <c:v>0.579</c:v>
                </c:pt>
                <c:pt idx="4">
                  <c:v>0.58</c:v>
                </c:pt>
                <c:pt idx="5">
                  <c:v>0.551</c:v>
                </c:pt>
                <c:pt idx="6">
                  <c:v>0.595</c:v>
                </c:pt>
                <c:pt idx="7">
                  <c:v>0.565</c:v>
                </c:pt>
                <c:pt idx="8">
                  <c:v>0.605</c:v>
                </c:pt>
                <c:pt idx="9">
                  <c:v>0.575</c:v>
                </c:pt>
                <c:pt idx="10">
                  <c:v>0.605</c:v>
                </c:pt>
                <c:pt idx="11">
                  <c:v>0.575</c:v>
                </c:pt>
                <c:pt idx="12">
                  <c:v>0.58</c:v>
                </c:pt>
                <c:pt idx="13">
                  <c:v>0.551</c:v>
                </c:pt>
                <c:pt idx="14">
                  <c:v>0.62</c:v>
                </c:pt>
                <c:pt idx="15">
                  <c:v>0.589</c:v>
                </c:pt>
                <c:pt idx="16">
                  <c:v>0.605</c:v>
                </c:pt>
                <c:pt idx="17">
                  <c:v>0.575</c:v>
                </c:pt>
                <c:pt idx="18">
                  <c:v>0.605</c:v>
                </c:pt>
                <c:pt idx="19">
                  <c:v>0.575</c:v>
                </c:pt>
                <c:pt idx="20">
                  <c:v>0.605</c:v>
                </c:pt>
                <c:pt idx="21">
                  <c:v>0.575</c:v>
                </c:pt>
                <c:pt idx="22">
                  <c:v>0.605</c:v>
                </c:pt>
                <c:pt idx="23">
                  <c:v>0.575</c:v>
                </c:pt>
                <c:pt idx="24">
                  <c:v>0.605</c:v>
                </c:pt>
                <c:pt idx="25">
                  <c:v>0.575</c:v>
                </c:pt>
                <c:pt idx="26">
                  <c:v>0.605</c:v>
                </c:pt>
                <c:pt idx="27">
                  <c:v>0.575</c:v>
                </c:pt>
                <c:pt idx="28">
                  <c:v>0.575</c:v>
                </c:pt>
                <c:pt idx="29">
                  <c:v>0.546</c:v>
                </c:pt>
                <c:pt idx="30">
                  <c:v>0.68</c:v>
                </c:pt>
                <c:pt idx="31">
                  <c:v>0.646</c:v>
                </c:pt>
                <c:pt idx="32">
                  <c:v>0.58</c:v>
                </c:pt>
                <c:pt idx="33">
                  <c:v>0.551</c:v>
                </c:pt>
              </c:numCache>
            </c:numRef>
          </c:val>
        </c:ser>
        <c:ser>
          <c:idx val="1"/>
          <c:order val="1"/>
          <c:tx>
            <c:strRef>
              <c:f>'LSD.RID.0.FL'!$D$308</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'LSD.RID.0.FL'!$D$310:$D$343</c:f>
              <c:numCache>
                <c:formatCode>0.00%</c:formatCode>
                <c:ptCount val="34"/>
                <c:pt idx="0">
                  <c:v>0.68</c:v>
                </c:pt>
                <c:pt idx="1">
                  <c:v>0.646</c:v>
                </c:pt>
                <c:pt idx="2">
                  <c:v>0.67</c:v>
                </c:pt>
                <c:pt idx="3">
                  <c:v>0.637</c:v>
                </c:pt>
                <c:pt idx="4">
                  <c:v>0.64</c:v>
                </c:pt>
                <c:pt idx="5">
                  <c:v>0.608</c:v>
                </c:pt>
                <c:pt idx="6">
                  <c:v>0.655</c:v>
                </c:pt>
                <c:pt idx="7">
                  <c:v>0.622</c:v>
                </c:pt>
                <c:pt idx="8">
                  <c:v>0.665</c:v>
                </c:pt>
                <c:pt idx="9">
                  <c:v>0.632</c:v>
                </c:pt>
                <c:pt idx="10">
                  <c:v>0.665</c:v>
                </c:pt>
                <c:pt idx="11">
                  <c:v>0.632</c:v>
                </c:pt>
                <c:pt idx="12">
                  <c:v>0.64</c:v>
                </c:pt>
                <c:pt idx="13">
                  <c:v>0.608</c:v>
                </c:pt>
                <c:pt idx="14">
                  <c:v>0.68</c:v>
                </c:pt>
                <c:pt idx="15">
                  <c:v>0.646</c:v>
                </c:pt>
                <c:pt idx="16">
                  <c:v>0.665</c:v>
                </c:pt>
                <c:pt idx="17">
                  <c:v>0.632</c:v>
                </c:pt>
                <c:pt idx="18">
                  <c:v>0.665</c:v>
                </c:pt>
                <c:pt idx="19">
                  <c:v>0.632</c:v>
                </c:pt>
                <c:pt idx="20">
                  <c:v>0.665</c:v>
                </c:pt>
                <c:pt idx="21">
                  <c:v>0.632</c:v>
                </c:pt>
                <c:pt idx="22">
                  <c:v>0.665</c:v>
                </c:pt>
                <c:pt idx="23">
                  <c:v>0.632</c:v>
                </c:pt>
                <c:pt idx="24">
                  <c:v>0.665</c:v>
                </c:pt>
                <c:pt idx="25">
                  <c:v>0.632</c:v>
                </c:pt>
                <c:pt idx="26">
                  <c:v>0.665</c:v>
                </c:pt>
                <c:pt idx="27">
                  <c:v>0.632</c:v>
                </c:pt>
                <c:pt idx="28">
                  <c:v>0.625</c:v>
                </c:pt>
                <c:pt idx="29">
                  <c:v>0.594</c:v>
                </c:pt>
                <c:pt idx="30">
                  <c:v>0.72</c:v>
                </c:pt>
                <c:pt idx="31">
                  <c:v>0.684</c:v>
                </c:pt>
                <c:pt idx="32">
                  <c:v>0.64</c:v>
                </c:pt>
                <c:pt idx="33">
                  <c:v>0.608</c:v>
                </c:pt>
              </c:numCache>
            </c:numRef>
          </c:val>
        </c:ser>
        <c:ser>
          <c:idx val="2"/>
          <c:order val="2"/>
          <c:tx>
            <c:strRef>
              <c:f>'LSD.RID.0.FL'!$E$308</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7"/>
            <c:invertIfNegative val="0"/>
            <c:spPr>
              <a:solidFill>
                <a:srgbClr val="ffd320"/>
              </a:solidFill>
              <a:ln w="0">
                <a:noFill/>
              </a:ln>
            </c:spPr>
          </c:dPt>
          <c:dPt>
            <c:idx val="28"/>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'LSD.RID.0.FL'!$E$310:$E$343</c:f>
              <c:numCache>
                <c:formatCode>0.00%</c:formatCode>
                <c:ptCount val="34"/>
                <c:pt idx="0">
                  <c:v>0.78</c:v>
                </c:pt>
                <c:pt idx="1">
                  <c:v>0.741</c:v>
                </c:pt>
                <c:pt idx="2">
                  <c:v>0.76</c:v>
                </c:pt>
                <c:pt idx="3">
                  <c:v>0.722</c:v>
                </c:pt>
                <c:pt idx="4">
                  <c:v>0.71</c:v>
                </c:pt>
                <c:pt idx="5">
                  <c:v>0.674</c:v>
                </c:pt>
                <c:pt idx="6">
                  <c:v>0.74</c:v>
                </c:pt>
                <c:pt idx="7">
                  <c:v>0.703</c:v>
                </c:pt>
                <c:pt idx="8">
                  <c:v>0.74</c:v>
                </c:pt>
                <c:pt idx="9">
                  <c:v>0.703</c:v>
                </c:pt>
                <c:pt idx="10">
                  <c:v>0.74</c:v>
                </c:pt>
                <c:pt idx="11">
                  <c:v>0.703</c:v>
                </c:pt>
                <c:pt idx="12">
                  <c:v>0.71</c:v>
                </c:pt>
                <c:pt idx="13">
                  <c:v>0.674</c:v>
                </c:pt>
                <c:pt idx="14">
                  <c:v>0.78</c:v>
                </c:pt>
                <c:pt idx="15">
                  <c:v>0.741</c:v>
                </c:pt>
                <c:pt idx="16">
                  <c:v>0.74</c:v>
                </c:pt>
                <c:pt idx="17">
                  <c:v>0.703</c:v>
                </c:pt>
                <c:pt idx="18">
                  <c:v>0.74</c:v>
                </c:pt>
                <c:pt idx="19">
                  <c:v>0.703</c:v>
                </c:pt>
                <c:pt idx="20">
                  <c:v>0.74</c:v>
                </c:pt>
                <c:pt idx="21">
                  <c:v>0.703</c:v>
                </c:pt>
                <c:pt idx="22">
                  <c:v>0.74</c:v>
                </c:pt>
                <c:pt idx="23">
                  <c:v>0.703</c:v>
                </c:pt>
                <c:pt idx="24">
                  <c:v>0.74</c:v>
                </c:pt>
                <c:pt idx="25">
                  <c:v>0.703</c:v>
                </c:pt>
                <c:pt idx="26">
                  <c:v>0.74</c:v>
                </c:pt>
                <c:pt idx="27">
                  <c:v>0.703</c:v>
                </c:pt>
                <c:pt idx="28">
                  <c:v>0.684</c:v>
                </c:pt>
                <c:pt idx="29">
                  <c:v>0.65</c:v>
                </c:pt>
                <c:pt idx="30">
                  <c:v>0.75</c:v>
                </c:pt>
                <c:pt idx="31">
                  <c:v>0.713</c:v>
                </c:pt>
                <c:pt idx="32">
                  <c:v>0.71</c:v>
                </c:pt>
                <c:pt idx="33">
                  <c:v>0.674</c:v>
                </c:pt>
              </c:numCache>
            </c:numRef>
          </c:val>
        </c:ser>
        <c:ser>
          <c:idx val="3"/>
          <c:order val="3"/>
          <c:tx>
            <c:strRef>
              <c:f>'LSD.RID.0.FL'!$F$308</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'LSD.RID.0.FL'!$F$310:$F$343</c:f>
              <c:numCache>
                <c:formatCode>0.00%</c:formatCode>
                <c:ptCount val="34"/>
                <c:pt idx="0">
                  <c:v>0.6</c:v>
                </c:pt>
                <c:pt idx="1">
                  <c:v>0.57</c:v>
                </c:pt>
                <c:pt idx="2">
                  <c:v>0.59</c:v>
                </c:pt>
                <c:pt idx="3">
                  <c:v>0.56</c:v>
                </c:pt>
                <c:pt idx="4">
                  <c:v>0.57</c:v>
                </c:pt>
                <c:pt idx="5">
                  <c:v>0.542</c:v>
                </c:pt>
                <c:pt idx="6">
                  <c:v>0.58</c:v>
                </c:pt>
                <c:pt idx="7">
                  <c:v>0.551</c:v>
                </c:pt>
                <c:pt idx="8">
                  <c:v>0.59</c:v>
                </c:pt>
                <c:pt idx="9">
                  <c:v>0.56</c:v>
                </c:pt>
                <c:pt idx="10">
                  <c:v>0.59</c:v>
                </c:pt>
                <c:pt idx="11">
                  <c:v>0.56</c:v>
                </c:pt>
                <c:pt idx="12">
                  <c:v>0.57</c:v>
                </c:pt>
                <c:pt idx="13">
                  <c:v>0.542</c:v>
                </c:pt>
                <c:pt idx="14">
                  <c:v>0.6</c:v>
                </c:pt>
                <c:pt idx="15">
                  <c:v>0.57</c:v>
                </c:pt>
                <c:pt idx="16">
                  <c:v>0.59</c:v>
                </c:pt>
                <c:pt idx="17">
                  <c:v>0.56</c:v>
                </c:pt>
                <c:pt idx="18">
                  <c:v>0.59</c:v>
                </c:pt>
                <c:pt idx="19">
                  <c:v>0.56</c:v>
                </c:pt>
                <c:pt idx="20">
                  <c:v>0.59</c:v>
                </c:pt>
                <c:pt idx="21">
                  <c:v>0.56</c:v>
                </c:pt>
                <c:pt idx="22">
                  <c:v>0.59</c:v>
                </c:pt>
                <c:pt idx="23">
                  <c:v>0.56</c:v>
                </c:pt>
                <c:pt idx="24">
                  <c:v>0.59</c:v>
                </c:pt>
                <c:pt idx="25">
                  <c:v>0.56</c:v>
                </c:pt>
                <c:pt idx="26">
                  <c:v>0.59</c:v>
                </c:pt>
                <c:pt idx="27">
                  <c:v>0.56</c:v>
                </c:pt>
                <c:pt idx="28">
                  <c:v>0.56</c:v>
                </c:pt>
                <c:pt idx="29">
                  <c:v>0.532</c:v>
                </c:pt>
                <c:pt idx="30">
                  <c:v>0.68</c:v>
                </c:pt>
                <c:pt idx="31">
                  <c:v>0.646</c:v>
                </c:pt>
                <c:pt idx="32">
                  <c:v>0.57</c:v>
                </c:pt>
                <c:pt idx="33">
                  <c:v>0.542</c:v>
                </c:pt>
              </c:numCache>
            </c:numRef>
          </c:val>
        </c:ser>
        <c:gapWidth val="100"/>
        <c:overlap val="0"/>
        <c:axId val="19629984"/>
        <c:axId val="82324105"/>
      </c:barChart>
      <c:catAx>
        <c:axId val="1962998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20255968496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2324105"/>
        <c:crosses val="autoZero"/>
        <c:auto val="1"/>
        <c:lblAlgn val="ctr"/>
        <c:lblOffset val="100"/>
        <c:noMultiLvlLbl val="0"/>
      </c:catAx>
      <c:valAx>
        <c:axId val="8232410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1823552579756"/>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9629984"/>
        <c:crosses val="max"/>
        <c:crossBetween val="midCat"/>
        <c:majorUnit val="0.01"/>
      </c:valAx>
      <c:spPr>
        <a:noFill/>
        <a:ln w="0">
          <a:solidFill>
            <a:srgbClr val="b3b3b3"/>
          </a:solidFill>
        </a:ln>
      </c:spPr>
    </c:plotArea>
    <c:legend>
      <c:legendPos val="r"/>
      <c:layout>
        <c:manualLayout>
          <c:xMode val="edge"/>
          <c:yMode val="edge"/>
          <c:x val="0.802544008191234"/>
          <c:y val="0.0768587109000074"/>
          <c:w val="0.171943919344675"/>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Unemployment Rate</a:t>
            </a:r>
          </a:p>
        </c:rich>
      </c:tx>
      <c:layout>
        <c:manualLayout>
          <c:xMode val="edge"/>
          <c:yMode val="edge"/>
          <c:x val="0.296967309964553"/>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'LSD.RID.0.FL'!$C$442</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'LSD.RID.0.FL'!$C$444:$C$477</c:f>
              <c:numCache>
                <c:formatCode>0.00%</c:formatCode>
                <c:ptCount val="34"/>
                <c:pt idx="0">
                  <c:v>0.055</c:v>
                </c:pt>
                <c:pt idx="1">
                  <c:v>0.055</c:v>
                </c:pt>
                <c:pt idx="2">
                  <c:v>0.042</c:v>
                </c:pt>
                <c:pt idx="3">
                  <c:v>0.042</c:v>
                </c:pt>
                <c:pt idx="4">
                  <c:v>0.05</c:v>
                </c:pt>
                <c:pt idx="5">
                  <c:v>0.05</c:v>
                </c:pt>
                <c:pt idx="6">
                  <c:v>0.055</c:v>
                </c:pt>
                <c:pt idx="7">
                  <c:v>0.055</c:v>
                </c:pt>
                <c:pt idx="8">
                  <c:v>0.027</c:v>
                </c:pt>
                <c:pt idx="9">
                  <c:v>0.027</c:v>
                </c:pt>
                <c:pt idx="10">
                  <c:v>0.032</c:v>
                </c:pt>
                <c:pt idx="11">
                  <c:v>0.032</c:v>
                </c:pt>
                <c:pt idx="12">
                  <c:v>0.037</c:v>
                </c:pt>
                <c:pt idx="13">
                  <c:v>0.037</c:v>
                </c:pt>
                <c:pt idx="14">
                  <c:v>0.045</c:v>
                </c:pt>
                <c:pt idx="15">
                  <c:v>0.045</c:v>
                </c:pt>
                <c:pt idx="16">
                  <c:v>0.032</c:v>
                </c:pt>
                <c:pt idx="17">
                  <c:v>0.032</c:v>
                </c:pt>
                <c:pt idx="18">
                  <c:v>0.028</c:v>
                </c:pt>
                <c:pt idx="19">
                  <c:v>0.028</c:v>
                </c:pt>
                <c:pt idx="20">
                  <c:v>0.025</c:v>
                </c:pt>
                <c:pt idx="21">
                  <c:v>0.025</c:v>
                </c:pt>
                <c:pt idx="22">
                  <c:v>0.02</c:v>
                </c:pt>
                <c:pt idx="23">
                  <c:v>0.02</c:v>
                </c:pt>
                <c:pt idx="24">
                  <c:v>0.025</c:v>
                </c:pt>
                <c:pt idx="25">
                  <c:v>0.025</c:v>
                </c:pt>
                <c:pt idx="26">
                  <c:v>0.03</c:v>
                </c:pt>
                <c:pt idx="27">
                  <c:v>0.03</c:v>
                </c:pt>
                <c:pt idx="28">
                  <c:v>0.025</c:v>
                </c:pt>
                <c:pt idx="29">
                  <c:v>0.025</c:v>
                </c:pt>
                <c:pt idx="30">
                  <c:v>0.035</c:v>
                </c:pt>
                <c:pt idx="31">
                  <c:v>0.035</c:v>
                </c:pt>
                <c:pt idx="32">
                  <c:v>0.037</c:v>
                </c:pt>
                <c:pt idx="33">
                  <c:v>0.037</c:v>
                </c:pt>
              </c:numCache>
            </c:numRef>
          </c:val>
        </c:ser>
        <c:ser>
          <c:idx val="1"/>
          <c:order val="1"/>
          <c:tx>
            <c:strRef>
              <c:f>'LSD.RID.0.FL'!$D$442</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'LSD.RID.0.FL'!$D$444:$D$477</c:f>
              <c:numCache>
                <c:formatCode>0.00%</c:formatCode>
                <c:ptCount val="34"/>
                <c:pt idx="0">
                  <c:v>0.07</c:v>
                </c:pt>
                <c:pt idx="1">
                  <c:v>0.07</c:v>
                </c:pt>
                <c:pt idx="2">
                  <c:v>0.06</c:v>
                </c:pt>
                <c:pt idx="3">
                  <c:v>0.06</c:v>
                </c:pt>
                <c:pt idx="4">
                  <c:v>0.07</c:v>
                </c:pt>
                <c:pt idx="5">
                  <c:v>0.07</c:v>
                </c:pt>
                <c:pt idx="6">
                  <c:v>0.08</c:v>
                </c:pt>
                <c:pt idx="7">
                  <c:v>0.08</c:v>
                </c:pt>
                <c:pt idx="8">
                  <c:v>0.04</c:v>
                </c:pt>
                <c:pt idx="9">
                  <c:v>0.04</c:v>
                </c:pt>
                <c:pt idx="10">
                  <c:v>0.05</c:v>
                </c:pt>
                <c:pt idx="11">
                  <c:v>0.05</c:v>
                </c:pt>
                <c:pt idx="12">
                  <c:v>0.07</c:v>
                </c:pt>
                <c:pt idx="13">
                  <c:v>0.07</c:v>
                </c:pt>
                <c:pt idx="14">
                  <c:v>0.07</c:v>
                </c:pt>
                <c:pt idx="15">
                  <c:v>0.07</c:v>
                </c:pt>
                <c:pt idx="16">
                  <c:v>0.05</c:v>
                </c:pt>
                <c:pt idx="17">
                  <c:v>0.05</c:v>
                </c:pt>
                <c:pt idx="18">
                  <c:v>0.04</c:v>
                </c:pt>
                <c:pt idx="19">
                  <c:v>0.04</c:v>
                </c:pt>
                <c:pt idx="20">
                  <c:v>0.04</c:v>
                </c:pt>
                <c:pt idx="21">
                  <c:v>0.04</c:v>
                </c:pt>
                <c:pt idx="22">
                  <c:v>0.04</c:v>
                </c:pt>
                <c:pt idx="23">
                  <c:v>0.04</c:v>
                </c:pt>
                <c:pt idx="24">
                  <c:v>0.045</c:v>
                </c:pt>
                <c:pt idx="25">
                  <c:v>0.045</c:v>
                </c:pt>
                <c:pt idx="26">
                  <c:v>0.05</c:v>
                </c:pt>
                <c:pt idx="27">
                  <c:v>0.05</c:v>
                </c:pt>
                <c:pt idx="28">
                  <c:v>0.04</c:v>
                </c:pt>
                <c:pt idx="29">
                  <c:v>0.04</c:v>
                </c:pt>
                <c:pt idx="30">
                  <c:v>0.045</c:v>
                </c:pt>
                <c:pt idx="31">
                  <c:v>0.045</c:v>
                </c:pt>
                <c:pt idx="32">
                  <c:v>0.07</c:v>
                </c:pt>
                <c:pt idx="33">
                  <c:v>0.07</c:v>
                </c:pt>
              </c:numCache>
            </c:numRef>
          </c:val>
        </c:ser>
        <c:ser>
          <c:idx val="2"/>
          <c:order val="2"/>
          <c:tx>
            <c:strRef>
              <c:f>'LSD.RID.0.FL'!$E$442</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'LSD.RID.0.FL'!$E$444:$E$477</c:f>
              <c:numCache>
                <c:formatCode>0.00%</c:formatCode>
                <c:ptCount val="34"/>
                <c:pt idx="0">
                  <c:v>0.11</c:v>
                </c:pt>
                <c:pt idx="1">
                  <c:v>0.11</c:v>
                </c:pt>
                <c:pt idx="2">
                  <c:v>0.1</c:v>
                </c:pt>
                <c:pt idx="3">
                  <c:v>0.1</c:v>
                </c:pt>
                <c:pt idx="4">
                  <c:v>0.12</c:v>
                </c:pt>
                <c:pt idx="5">
                  <c:v>0.12</c:v>
                </c:pt>
                <c:pt idx="6">
                  <c:v>0.13</c:v>
                </c:pt>
                <c:pt idx="7">
                  <c:v>0.13</c:v>
                </c:pt>
                <c:pt idx="8">
                  <c:v>0.07</c:v>
                </c:pt>
                <c:pt idx="9">
                  <c:v>0.07</c:v>
                </c:pt>
                <c:pt idx="10">
                  <c:v>0.08</c:v>
                </c:pt>
                <c:pt idx="11">
                  <c:v>0.08</c:v>
                </c:pt>
                <c:pt idx="12">
                  <c:v>0.12</c:v>
                </c:pt>
                <c:pt idx="13">
                  <c:v>0.12</c:v>
                </c:pt>
                <c:pt idx="14">
                  <c:v>0.11</c:v>
                </c:pt>
                <c:pt idx="15">
                  <c:v>0.11</c:v>
                </c:pt>
                <c:pt idx="16">
                  <c:v>0.08</c:v>
                </c:pt>
                <c:pt idx="17">
                  <c:v>0.08</c:v>
                </c:pt>
                <c:pt idx="18">
                  <c:v>0.07</c:v>
                </c:pt>
                <c:pt idx="19">
                  <c:v>0.07</c:v>
                </c:pt>
                <c:pt idx="20">
                  <c:v>0.07</c:v>
                </c:pt>
                <c:pt idx="21">
                  <c:v>0.07</c:v>
                </c:pt>
                <c:pt idx="22">
                  <c:v>0.07</c:v>
                </c:pt>
                <c:pt idx="23">
                  <c:v>0.07</c:v>
                </c:pt>
                <c:pt idx="24">
                  <c:v>0.08</c:v>
                </c:pt>
                <c:pt idx="25">
                  <c:v>0.08</c:v>
                </c:pt>
                <c:pt idx="26">
                  <c:v>0.09</c:v>
                </c:pt>
                <c:pt idx="27">
                  <c:v>0.09</c:v>
                </c:pt>
                <c:pt idx="28">
                  <c:v>0.06</c:v>
                </c:pt>
                <c:pt idx="29">
                  <c:v>0.06</c:v>
                </c:pt>
                <c:pt idx="30">
                  <c:v>0.06</c:v>
                </c:pt>
                <c:pt idx="31">
                  <c:v>0.06</c:v>
                </c:pt>
                <c:pt idx="32">
                  <c:v>0.12</c:v>
                </c:pt>
                <c:pt idx="33">
                  <c:v>0.12</c:v>
                </c:pt>
              </c:numCache>
            </c:numRef>
          </c:val>
        </c:ser>
        <c:ser>
          <c:idx val="3"/>
          <c:order val="3"/>
          <c:tx>
            <c:strRef>
              <c:f>'LSD.RID.0.FL'!$F$442</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'LSD.RID.0.FL'!$F$444:$F$477</c:f>
              <c:numCache>
                <c:formatCode>0.00%</c:formatCode>
                <c:ptCount val="34"/>
                <c:pt idx="0">
                  <c:v>0.045</c:v>
                </c:pt>
                <c:pt idx="1">
                  <c:v>0.045</c:v>
                </c:pt>
                <c:pt idx="2">
                  <c:v>0.03</c:v>
                </c:pt>
                <c:pt idx="3">
                  <c:v>0.03</c:v>
                </c:pt>
                <c:pt idx="4">
                  <c:v>0.037</c:v>
                </c:pt>
                <c:pt idx="5">
                  <c:v>0.037</c:v>
                </c:pt>
                <c:pt idx="6">
                  <c:v>0.04</c:v>
                </c:pt>
                <c:pt idx="7">
                  <c:v>0.04</c:v>
                </c:pt>
                <c:pt idx="8">
                  <c:v>0.018</c:v>
                </c:pt>
                <c:pt idx="9">
                  <c:v>0.018</c:v>
                </c:pt>
                <c:pt idx="10">
                  <c:v>0.022</c:v>
                </c:pt>
                <c:pt idx="11">
                  <c:v>0.022</c:v>
                </c:pt>
                <c:pt idx="12">
                  <c:v>0.034</c:v>
                </c:pt>
                <c:pt idx="13">
                  <c:v>0.034</c:v>
                </c:pt>
                <c:pt idx="14">
                  <c:v>0.042</c:v>
                </c:pt>
                <c:pt idx="15">
                  <c:v>0.042</c:v>
                </c:pt>
                <c:pt idx="16">
                  <c:v>0.022</c:v>
                </c:pt>
                <c:pt idx="17">
                  <c:v>0.022</c:v>
                </c:pt>
                <c:pt idx="18">
                  <c:v>0.02</c:v>
                </c:pt>
                <c:pt idx="19">
                  <c:v>0.02</c:v>
                </c:pt>
                <c:pt idx="20">
                  <c:v>0.023</c:v>
                </c:pt>
                <c:pt idx="21">
                  <c:v>0.023</c:v>
                </c:pt>
                <c:pt idx="22">
                  <c:v>0.018</c:v>
                </c:pt>
                <c:pt idx="23">
                  <c:v>0.018</c:v>
                </c:pt>
                <c:pt idx="24">
                  <c:v>0.023</c:v>
                </c:pt>
                <c:pt idx="25">
                  <c:v>0.023</c:v>
                </c:pt>
                <c:pt idx="26">
                  <c:v>0.028</c:v>
                </c:pt>
                <c:pt idx="27">
                  <c:v>0.028</c:v>
                </c:pt>
                <c:pt idx="28">
                  <c:v>0.02</c:v>
                </c:pt>
                <c:pt idx="29">
                  <c:v>0.02</c:v>
                </c:pt>
                <c:pt idx="30">
                  <c:v>0.035</c:v>
                </c:pt>
                <c:pt idx="31">
                  <c:v>0.035</c:v>
                </c:pt>
                <c:pt idx="32">
                  <c:v>0.034</c:v>
                </c:pt>
                <c:pt idx="33">
                  <c:v>0.034</c:v>
                </c:pt>
              </c:numCache>
            </c:numRef>
          </c:val>
        </c:ser>
        <c:gapWidth val="100"/>
        <c:overlap val="0"/>
        <c:axId val="64645786"/>
        <c:axId val="36972514"/>
      </c:barChart>
      <c:catAx>
        <c:axId val="6464578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12872261875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6972514"/>
        <c:crosses val="autoZero"/>
        <c:auto val="1"/>
        <c:lblAlgn val="ctr"/>
        <c:lblOffset val="100"/>
        <c:noMultiLvlLbl val="0"/>
      </c:catAx>
      <c:valAx>
        <c:axId val="3697251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1902323749508"/>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4645786"/>
        <c:crosses val="max"/>
        <c:crossBetween val="midCat"/>
        <c:majorUnit val="0.01"/>
      </c:valAx>
      <c:spPr>
        <a:noFill/>
        <a:ln w="0">
          <a:solidFill>
            <a:srgbClr val="b3b3b3"/>
          </a:solidFill>
        </a:ln>
      </c:spPr>
    </c:plotArea>
    <c:legend>
      <c:legendPos val="r"/>
      <c:layout>
        <c:manualLayout>
          <c:xMode val="edge"/>
          <c:yMode val="edge"/>
          <c:x val="0.802544008191234"/>
          <c:y val="0.0768587109000074"/>
          <c:w val="0.171943919344675"/>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Underemployment Rate</a:t>
            </a:r>
          </a:p>
        </c:rich>
      </c:tx>
      <c:layout>
        <c:manualLayout>
          <c:xMode val="edge"/>
          <c:yMode val="edge"/>
          <c:x val="0.281252461599055"/>
          <c:y val="0.0107063746000492"/>
        </c:manualLayout>
      </c:layout>
      <c:overlay val="0"/>
      <c:spPr>
        <a:noFill/>
        <a:ln w="0">
          <a:noFill/>
        </a:ln>
      </c:spPr>
    </c:title>
    <c:autoTitleDeleted val="0"/>
    <c:plotArea>
      <c:layout>
        <c:manualLayout>
          <c:layoutTarget val="inner"/>
          <c:xMode val="edge"/>
          <c:yMode val="edge"/>
          <c:x val="0.299842457660496"/>
          <c:y val="0.0468619246861925"/>
          <c:w val="0.470854667191808"/>
          <c:h val="0.874870785134137"/>
        </c:manualLayout>
      </c:layout>
      <c:barChart>
        <c:barDir val="bar"/>
        <c:grouping val="clustered"/>
        <c:varyColors val="0"/>
        <c:ser>
          <c:idx val="0"/>
          <c:order val="0"/>
          <c:tx>
            <c:strRef>
              <c:f>'LSD.RID.0.FL'!$C$576</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'LSD.RID.0.FL'!$C$578:$C$611</c:f>
              <c:numCache>
                <c:formatCode>0.00%</c:formatCode>
                <c:ptCount val="34"/>
                <c:pt idx="0">
                  <c:v>0.095</c:v>
                </c:pt>
                <c:pt idx="1">
                  <c:v>0.104</c:v>
                </c:pt>
                <c:pt idx="2">
                  <c:v>0.079</c:v>
                </c:pt>
                <c:pt idx="3">
                  <c:v>0.086</c:v>
                </c:pt>
                <c:pt idx="4">
                  <c:v>0.085</c:v>
                </c:pt>
                <c:pt idx="5">
                  <c:v>0.093</c:v>
                </c:pt>
                <c:pt idx="6">
                  <c:v>0.093</c:v>
                </c:pt>
                <c:pt idx="7">
                  <c:v>0.102</c:v>
                </c:pt>
                <c:pt idx="8">
                  <c:v>0.064</c:v>
                </c:pt>
                <c:pt idx="9">
                  <c:v>0.071</c:v>
                </c:pt>
                <c:pt idx="10">
                  <c:v>0.071</c:v>
                </c:pt>
                <c:pt idx="11">
                  <c:v>0.079</c:v>
                </c:pt>
                <c:pt idx="12">
                  <c:v>0.08</c:v>
                </c:pt>
                <c:pt idx="13">
                  <c:v>0.088</c:v>
                </c:pt>
                <c:pt idx="14">
                  <c:v>0.095</c:v>
                </c:pt>
                <c:pt idx="15">
                  <c:v>0.104</c:v>
                </c:pt>
                <c:pt idx="16">
                  <c:v>0.071</c:v>
                </c:pt>
                <c:pt idx="17">
                  <c:v>0.079</c:v>
                </c:pt>
                <c:pt idx="18">
                  <c:v>0.057</c:v>
                </c:pt>
                <c:pt idx="19">
                  <c:v>0.063</c:v>
                </c:pt>
                <c:pt idx="20">
                  <c:v>0.045</c:v>
                </c:pt>
                <c:pt idx="21">
                  <c:v>0.05</c:v>
                </c:pt>
                <c:pt idx="22">
                  <c:v>0.045</c:v>
                </c:pt>
                <c:pt idx="23">
                  <c:v>0.05</c:v>
                </c:pt>
                <c:pt idx="24">
                  <c:v>0.045</c:v>
                </c:pt>
                <c:pt idx="25">
                  <c:v>0.05</c:v>
                </c:pt>
                <c:pt idx="26">
                  <c:v>0.06</c:v>
                </c:pt>
                <c:pt idx="27">
                  <c:v>0.066</c:v>
                </c:pt>
                <c:pt idx="28">
                  <c:v>0.05</c:v>
                </c:pt>
                <c:pt idx="29">
                  <c:v>0.055</c:v>
                </c:pt>
                <c:pt idx="30">
                  <c:v>0.11</c:v>
                </c:pt>
                <c:pt idx="31">
                  <c:v>0.121</c:v>
                </c:pt>
                <c:pt idx="32">
                  <c:v>0.08</c:v>
                </c:pt>
                <c:pt idx="33">
                  <c:v>0.088</c:v>
                </c:pt>
              </c:numCache>
            </c:numRef>
          </c:val>
        </c:ser>
        <c:ser>
          <c:idx val="1"/>
          <c:order val="1"/>
          <c:tx>
            <c:strRef>
              <c:f>'LSD.RID.0.FL'!$D$576</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'LSD.RID.0.FL'!$D$578:$D$611</c:f>
              <c:numCache>
                <c:formatCode>0.00%</c:formatCode>
                <c:ptCount val="34"/>
                <c:pt idx="0">
                  <c:v>0.11</c:v>
                </c:pt>
                <c:pt idx="1">
                  <c:v>0.115</c:v>
                </c:pt>
                <c:pt idx="2">
                  <c:v>0.087</c:v>
                </c:pt>
                <c:pt idx="3">
                  <c:v>0.095</c:v>
                </c:pt>
                <c:pt idx="4">
                  <c:v>0.1</c:v>
                </c:pt>
                <c:pt idx="5">
                  <c:v>0.103</c:v>
                </c:pt>
                <c:pt idx="6">
                  <c:v>0.103</c:v>
                </c:pt>
                <c:pt idx="7">
                  <c:v>0.113</c:v>
                </c:pt>
                <c:pt idx="8">
                  <c:v>0.071</c:v>
                </c:pt>
                <c:pt idx="9">
                  <c:v>0.078</c:v>
                </c:pt>
                <c:pt idx="10">
                  <c:v>0.079</c:v>
                </c:pt>
                <c:pt idx="11">
                  <c:v>0.087</c:v>
                </c:pt>
                <c:pt idx="12">
                  <c:v>0.095</c:v>
                </c:pt>
                <c:pt idx="13">
                  <c:v>0.104</c:v>
                </c:pt>
                <c:pt idx="14">
                  <c:v>0.11</c:v>
                </c:pt>
                <c:pt idx="15">
                  <c:v>0.115</c:v>
                </c:pt>
                <c:pt idx="16">
                  <c:v>0.079</c:v>
                </c:pt>
                <c:pt idx="17">
                  <c:v>0.087</c:v>
                </c:pt>
                <c:pt idx="18">
                  <c:v>0.063</c:v>
                </c:pt>
                <c:pt idx="19">
                  <c:v>0.07</c:v>
                </c:pt>
                <c:pt idx="20">
                  <c:v>0.052</c:v>
                </c:pt>
                <c:pt idx="21">
                  <c:v>0.057</c:v>
                </c:pt>
                <c:pt idx="22">
                  <c:v>0.052</c:v>
                </c:pt>
                <c:pt idx="23">
                  <c:v>0.057</c:v>
                </c:pt>
                <c:pt idx="24">
                  <c:v>0.052</c:v>
                </c:pt>
                <c:pt idx="25">
                  <c:v>0.057</c:v>
                </c:pt>
                <c:pt idx="26">
                  <c:v>0.07</c:v>
                </c:pt>
                <c:pt idx="27">
                  <c:v>0.077</c:v>
                </c:pt>
                <c:pt idx="28">
                  <c:v>0.055</c:v>
                </c:pt>
                <c:pt idx="29">
                  <c:v>0.061</c:v>
                </c:pt>
                <c:pt idx="30">
                  <c:v>0.127</c:v>
                </c:pt>
                <c:pt idx="31">
                  <c:v>0.14</c:v>
                </c:pt>
                <c:pt idx="32">
                  <c:v>0.095</c:v>
                </c:pt>
                <c:pt idx="33">
                  <c:v>0.104</c:v>
                </c:pt>
              </c:numCache>
            </c:numRef>
          </c:val>
        </c:ser>
        <c:ser>
          <c:idx val="2"/>
          <c:order val="2"/>
          <c:tx>
            <c:strRef>
              <c:f>'LSD.RID.0.FL'!$E$576</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2"/>
            <c:invertIfNegative val="0"/>
            <c:spPr>
              <a:solidFill>
                <a:srgbClr val="ffd320"/>
              </a:solidFill>
              <a:ln w="0">
                <a:noFill/>
              </a:ln>
            </c:spPr>
          </c:dPt>
          <c:dPt>
            <c:idx val="13"/>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8"/>
            <c:invertIfNegative val="0"/>
            <c:spPr>
              <a:solidFill>
                <a:srgbClr val="ffd320"/>
              </a:solidFill>
              <a:ln w="0">
                <a:noFill/>
              </a:ln>
            </c:spPr>
          </c:dPt>
          <c:dPt>
            <c:idx val="29"/>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3"/>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9"/>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'LSD.RID.0.FL'!$E$578:$E$611</c:f>
              <c:numCache>
                <c:formatCode>0.00%</c:formatCode>
                <c:ptCount val="34"/>
                <c:pt idx="0">
                  <c:v>0.17</c:v>
                </c:pt>
                <c:pt idx="1">
                  <c:v>0.17</c:v>
                </c:pt>
                <c:pt idx="2">
                  <c:v>0.115</c:v>
                </c:pt>
                <c:pt idx="3">
                  <c:v>0.125</c:v>
                </c:pt>
                <c:pt idx="4">
                  <c:v>0.18</c:v>
                </c:pt>
                <c:pt idx="5">
                  <c:v>0.18</c:v>
                </c:pt>
                <c:pt idx="6">
                  <c:v>0.118</c:v>
                </c:pt>
                <c:pt idx="7">
                  <c:v>0.13</c:v>
                </c:pt>
                <c:pt idx="8">
                  <c:v>0.082</c:v>
                </c:pt>
                <c:pt idx="9">
                  <c:v>0.09</c:v>
                </c:pt>
                <c:pt idx="10">
                  <c:v>0.091</c:v>
                </c:pt>
                <c:pt idx="11">
                  <c:v>0.1</c:v>
                </c:pt>
                <c:pt idx="12">
                  <c:v>0.17</c:v>
                </c:pt>
                <c:pt idx="13">
                  <c:v>0.18</c:v>
                </c:pt>
                <c:pt idx="14">
                  <c:v>0.17</c:v>
                </c:pt>
                <c:pt idx="15">
                  <c:v>0.17</c:v>
                </c:pt>
                <c:pt idx="16">
                  <c:v>0.091</c:v>
                </c:pt>
                <c:pt idx="17">
                  <c:v>0.1</c:v>
                </c:pt>
                <c:pt idx="18">
                  <c:v>0.073</c:v>
                </c:pt>
                <c:pt idx="19">
                  <c:v>0.08</c:v>
                </c:pt>
                <c:pt idx="20">
                  <c:v>0.094</c:v>
                </c:pt>
                <c:pt idx="21">
                  <c:v>0.1</c:v>
                </c:pt>
                <c:pt idx="22">
                  <c:v>0.094</c:v>
                </c:pt>
                <c:pt idx="23">
                  <c:v>0.1</c:v>
                </c:pt>
                <c:pt idx="24">
                  <c:v>0.094</c:v>
                </c:pt>
                <c:pt idx="25">
                  <c:v>0.1</c:v>
                </c:pt>
                <c:pt idx="26">
                  <c:v>0.12</c:v>
                </c:pt>
                <c:pt idx="27">
                  <c:v>0.13</c:v>
                </c:pt>
                <c:pt idx="28">
                  <c:v>0.07</c:v>
                </c:pt>
                <c:pt idx="29">
                  <c:v>0.077</c:v>
                </c:pt>
                <c:pt idx="30">
                  <c:v>0.145</c:v>
                </c:pt>
                <c:pt idx="31">
                  <c:v>0.16</c:v>
                </c:pt>
                <c:pt idx="32">
                  <c:v>0.17</c:v>
                </c:pt>
                <c:pt idx="33">
                  <c:v>0.18</c:v>
                </c:pt>
              </c:numCache>
            </c:numRef>
          </c:val>
        </c:ser>
        <c:ser>
          <c:idx val="3"/>
          <c:order val="3"/>
          <c:tx>
            <c:strRef>
              <c:f>'LSD.RID.0.FL'!$F$576</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'LSD.RID.0.FL'!$F$578:$F$611</c:f>
              <c:numCache>
                <c:formatCode>0.00%</c:formatCode>
                <c:ptCount val="34"/>
                <c:pt idx="0">
                  <c:v>0.086</c:v>
                </c:pt>
                <c:pt idx="1">
                  <c:v>0.094</c:v>
                </c:pt>
                <c:pt idx="2">
                  <c:v>0.074</c:v>
                </c:pt>
                <c:pt idx="3">
                  <c:v>0.081</c:v>
                </c:pt>
                <c:pt idx="4">
                  <c:v>0.077</c:v>
                </c:pt>
                <c:pt idx="5">
                  <c:v>0.085</c:v>
                </c:pt>
                <c:pt idx="6">
                  <c:v>0.087</c:v>
                </c:pt>
                <c:pt idx="7">
                  <c:v>0.096</c:v>
                </c:pt>
                <c:pt idx="8">
                  <c:v>0.06</c:v>
                </c:pt>
                <c:pt idx="9">
                  <c:v>0.066</c:v>
                </c:pt>
                <c:pt idx="10">
                  <c:v>0.067</c:v>
                </c:pt>
                <c:pt idx="11">
                  <c:v>0.074</c:v>
                </c:pt>
                <c:pt idx="12">
                  <c:v>0.073</c:v>
                </c:pt>
                <c:pt idx="13">
                  <c:v>0.08</c:v>
                </c:pt>
                <c:pt idx="14">
                  <c:v>0.086</c:v>
                </c:pt>
                <c:pt idx="15">
                  <c:v>0.094</c:v>
                </c:pt>
                <c:pt idx="16">
                  <c:v>0.067</c:v>
                </c:pt>
                <c:pt idx="17">
                  <c:v>0.074</c:v>
                </c:pt>
                <c:pt idx="18">
                  <c:v>0.054</c:v>
                </c:pt>
                <c:pt idx="19">
                  <c:v>0.059</c:v>
                </c:pt>
                <c:pt idx="20">
                  <c:v>0.041</c:v>
                </c:pt>
                <c:pt idx="21">
                  <c:v>0.045</c:v>
                </c:pt>
                <c:pt idx="22">
                  <c:v>0.041</c:v>
                </c:pt>
                <c:pt idx="23">
                  <c:v>0.045</c:v>
                </c:pt>
                <c:pt idx="24">
                  <c:v>0.041</c:v>
                </c:pt>
                <c:pt idx="25">
                  <c:v>0.045</c:v>
                </c:pt>
                <c:pt idx="26">
                  <c:v>0.05</c:v>
                </c:pt>
                <c:pt idx="27">
                  <c:v>0.055</c:v>
                </c:pt>
                <c:pt idx="28">
                  <c:v>0.045</c:v>
                </c:pt>
                <c:pt idx="29">
                  <c:v>0.05</c:v>
                </c:pt>
                <c:pt idx="30">
                  <c:v>0.108</c:v>
                </c:pt>
                <c:pt idx="31">
                  <c:v>0.119</c:v>
                </c:pt>
                <c:pt idx="32">
                  <c:v>0.073</c:v>
                </c:pt>
                <c:pt idx="33">
                  <c:v>0.08</c:v>
                </c:pt>
              </c:numCache>
            </c:numRef>
          </c:val>
        </c:ser>
        <c:gapWidth val="100"/>
        <c:overlap val="0"/>
        <c:axId val="11453424"/>
        <c:axId val="4460454"/>
      </c:barChart>
      <c:catAx>
        <c:axId val="1145342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10411026335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60454"/>
        <c:crosses val="autoZero"/>
        <c:auto val="1"/>
        <c:lblAlgn val="ctr"/>
        <c:lblOffset val="100"/>
        <c:noMultiLvlLbl val="0"/>
      </c:catAx>
      <c:valAx>
        <c:axId val="446045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1508467900748"/>
              <c:y val="0.97004676347526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1453424"/>
        <c:crosses val="max"/>
        <c:crossBetween val="midCat"/>
        <c:majorUnit val="0.01"/>
      </c:valAx>
      <c:spPr>
        <a:noFill/>
        <a:ln w="0">
          <a:solidFill>
            <a:srgbClr val="b3b3b3"/>
          </a:solidFill>
        </a:ln>
      </c:spPr>
    </c:plotArea>
    <c:legend>
      <c:legendPos val="r"/>
      <c:layout>
        <c:manualLayout>
          <c:xMode val="edge"/>
          <c:yMode val="edge"/>
          <c:x val="0.786515968967826"/>
          <c:y val="0.07678487928531"/>
          <c:w val="0.187933207309389"/>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Wage Average</a:t>
            </a:r>
          </a:p>
        </c:rich>
      </c:tx>
      <c:layout>
        <c:manualLayout>
          <c:xMode val="edge"/>
          <c:yMode val="edge"/>
          <c:x val="0.316620716817645"/>
          <c:y val="0.01070637460004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'LSD.RID.0.FL'!$C$710</c:f>
              <c:strCache>
                <c:ptCount val="1"/>
                <c:pt idx="0">
                  <c:v>Wage Average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'LSD.RID.0.FL'!$C$712:$C$745</c:f>
              <c:numCache>
                <c:formatCode>[$$-409]#,##0.00;[RED]\-[$$-409]#,##0.00</c:formatCode>
                <c:ptCount val="34"/>
                <c:pt idx="0">
                  <c:v>17.8</c:v>
                </c:pt>
                <c:pt idx="1">
                  <c:v>15.1</c:v>
                </c:pt>
                <c:pt idx="2">
                  <c:v>24.9</c:v>
                </c:pt>
                <c:pt idx="3">
                  <c:v>21.2</c:v>
                </c:pt>
                <c:pt idx="4">
                  <c:v>16.9</c:v>
                </c:pt>
                <c:pt idx="5">
                  <c:v>14.4</c:v>
                </c:pt>
                <c:pt idx="6">
                  <c:v>17.3</c:v>
                </c:pt>
                <c:pt idx="7">
                  <c:v>14.7</c:v>
                </c:pt>
                <c:pt idx="8">
                  <c:v>22.6</c:v>
                </c:pt>
                <c:pt idx="9">
                  <c:v>19.2</c:v>
                </c:pt>
                <c:pt idx="10">
                  <c:v>23.2</c:v>
                </c:pt>
                <c:pt idx="11">
                  <c:v>19.7</c:v>
                </c:pt>
                <c:pt idx="12">
                  <c:v>23.9</c:v>
                </c:pt>
                <c:pt idx="13">
                  <c:v>20.3</c:v>
                </c:pt>
                <c:pt idx="14">
                  <c:v>17.5</c:v>
                </c:pt>
                <c:pt idx="15">
                  <c:v>14.9</c:v>
                </c:pt>
                <c:pt idx="16">
                  <c:v>26.5</c:v>
                </c:pt>
                <c:pt idx="17">
                  <c:v>22.5</c:v>
                </c:pt>
                <c:pt idx="18">
                  <c:v>34.6</c:v>
                </c:pt>
                <c:pt idx="19">
                  <c:v>29.4</c:v>
                </c:pt>
                <c:pt idx="20">
                  <c:v>39.5</c:v>
                </c:pt>
                <c:pt idx="21">
                  <c:v>33.6</c:v>
                </c:pt>
                <c:pt idx="22">
                  <c:v>31.7</c:v>
                </c:pt>
                <c:pt idx="23">
                  <c:v>27</c:v>
                </c:pt>
                <c:pt idx="24">
                  <c:v>39.5</c:v>
                </c:pt>
                <c:pt idx="25">
                  <c:v>33.6</c:v>
                </c:pt>
                <c:pt idx="26">
                  <c:v>39.8</c:v>
                </c:pt>
                <c:pt idx="27">
                  <c:v>33.8</c:v>
                </c:pt>
                <c:pt idx="28">
                  <c:v>33.8</c:v>
                </c:pt>
                <c:pt idx="29">
                  <c:v>28.7</c:v>
                </c:pt>
                <c:pt idx="30">
                  <c:v>25</c:v>
                </c:pt>
                <c:pt idx="31">
                  <c:v>21.3</c:v>
                </c:pt>
                <c:pt idx="32">
                  <c:v>20.6</c:v>
                </c:pt>
                <c:pt idx="33">
                  <c:v>17.5</c:v>
                </c:pt>
              </c:numCache>
            </c:numRef>
          </c:val>
        </c:ser>
        <c:ser>
          <c:idx val="1"/>
          <c:order val="1"/>
          <c:tx>
            <c:strRef>
              <c:f>'LSD.RID.0.FL'!$D$710</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'LSD.RID.0.FL'!$D$712:$D$745</c:f>
              <c:numCache>
                <c:formatCode>[$$-409]#,##0.00;\-[$$-409]#,##0.00</c:formatCode>
                <c:ptCount val="34"/>
                <c:pt idx="0">
                  <c:v>17.3</c:v>
                </c:pt>
                <c:pt idx="1">
                  <c:v>14.7</c:v>
                </c:pt>
                <c:pt idx="2">
                  <c:v>24.2</c:v>
                </c:pt>
                <c:pt idx="3">
                  <c:v>20.6</c:v>
                </c:pt>
                <c:pt idx="4">
                  <c:v>16.4</c:v>
                </c:pt>
                <c:pt idx="5">
                  <c:v>14</c:v>
                </c:pt>
                <c:pt idx="6">
                  <c:v>16.8</c:v>
                </c:pt>
                <c:pt idx="7">
                  <c:v>14.3</c:v>
                </c:pt>
                <c:pt idx="8">
                  <c:v>21.9</c:v>
                </c:pt>
                <c:pt idx="9">
                  <c:v>18.6</c:v>
                </c:pt>
                <c:pt idx="10">
                  <c:v>22.5</c:v>
                </c:pt>
                <c:pt idx="11">
                  <c:v>19.1</c:v>
                </c:pt>
                <c:pt idx="12">
                  <c:v>23.2</c:v>
                </c:pt>
                <c:pt idx="13">
                  <c:v>19.7</c:v>
                </c:pt>
                <c:pt idx="14">
                  <c:v>17</c:v>
                </c:pt>
                <c:pt idx="15">
                  <c:v>14.5</c:v>
                </c:pt>
                <c:pt idx="16">
                  <c:v>25.7</c:v>
                </c:pt>
                <c:pt idx="17">
                  <c:v>21.9</c:v>
                </c:pt>
                <c:pt idx="18">
                  <c:v>33.5</c:v>
                </c:pt>
                <c:pt idx="19">
                  <c:v>28.4</c:v>
                </c:pt>
                <c:pt idx="20">
                  <c:v>38.2</c:v>
                </c:pt>
                <c:pt idx="21">
                  <c:v>32.5</c:v>
                </c:pt>
                <c:pt idx="22">
                  <c:v>30.7</c:v>
                </c:pt>
                <c:pt idx="23">
                  <c:v>26.1</c:v>
                </c:pt>
                <c:pt idx="24">
                  <c:v>38.2</c:v>
                </c:pt>
                <c:pt idx="25">
                  <c:v>32.5</c:v>
                </c:pt>
                <c:pt idx="26">
                  <c:v>38.5</c:v>
                </c:pt>
                <c:pt idx="27">
                  <c:v>32.7</c:v>
                </c:pt>
                <c:pt idx="28">
                  <c:v>32.8</c:v>
                </c:pt>
                <c:pt idx="29">
                  <c:v>27.9</c:v>
                </c:pt>
                <c:pt idx="30">
                  <c:v>24.2</c:v>
                </c:pt>
                <c:pt idx="31">
                  <c:v>20.6</c:v>
                </c:pt>
                <c:pt idx="32">
                  <c:v>20</c:v>
                </c:pt>
                <c:pt idx="33">
                  <c:v>17</c:v>
                </c:pt>
              </c:numCache>
            </c:numRef>
          </c:val>
        </c:ser>
        <c:ser>
          <c:idx val="2"/>
          <c:order val="2"/>
          <c:tx>
            <c:strRef>
              <c:f>'LSD.RID.0.FL'!$E$710</c:f>
              <c:strCache>
                <c:ptCount val="1"/>
                <c:pt idx="0">
                  <c:v>Unauthorized Immigrant Wage Average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'LSD.RID.0.FL'!$E$712:$E$745</c:f>
              <c:numCache>
                <c:formatCode>[$$-409]#,##0.00;\-[$$-409]#,##0.00</c:formatCode>
                <c:ptCount val="34"/>
                <c:pt idx="0">
                  <c:v>15.1</c:v>
                </c:pt>
                <c:pt idx="1">
                  <c:v>12.9</c:v>
                </c:pt>
                <c:pt idx="2">
                  <c:v>21.8</c:v>
                </c:pt>
                <c:pt idx="3">
                  <c:v>18.5</c:v>
                </c:pt>
                <c:pt idx="4">
                  <c:v>14.4</c:v>
                </c:pt>
                <c:pt idx="5">
                  <c:v>12.2</c:v>
                </c:pt>
                <c:pt idx="6">
                  <c:v>14.7</c:v>
                </c:pt>
                <c:pt idx="7">
                  <c:v>12.5</c:v>
                </c:pt>
                <c:pt idx="8">
                  <c:v>20.3</c:v>
                </c:pt>
                <c:pt idx="9">
                  <c:v>17.3</c:v>
                </c:pt>
                <c:pt idx="10">
                  <c:v>20.9</c:v>
                </c:pt>
                <c:pt idx="11">
                  <c:v>17.8</c:v>
                </c:pt>
                <c:pt idx="12">
                  <c:v>20.3</c:v>
                </c:pt>
                <c:pt idx="13">
                  <c:v>17.3</c:v>
                </c:pt>
                <c:pt idx="14">
                  <c:v>14.9</c:v>
                </c:pt>
                <c:pt idx="15">
                  <c:v>12.7</c:v>
                </c:pt>
                <c:pt idx="16">
                  <c:v>23.8</c:v>
                </c:pt>
                <c:pt idx="17">
                  <c:v>20.3</c:v>
                </c:pt>
                <c:pt idx="18">
                  <c:v>32.8</c:v>
                </c:pt>
                <c:pt idx="19">
                  <c:v>27.9</c:v>
                </c:pt>
                <c:pt idx="20">
                  <c:v>37.5</c:v>
                </c:pt>
                <c:pt idx="21">
                  <c:v>31.9</c:v>
                </c:pt>
                <c:pt idx="22">
                  <c:v>30.1</c:v>
                </c:pt>
                <c:pt idx="23">
                  <c:v>25.6</c:v>
                </c:pt>
                <c:pt idx="24">
                  <c:v>37.5</c:v>
                </c:pt>
                <c:pt idx="25">
                  <c:v>31.9</c:v>
                </c:pt>
                <c:pt idx="26">
                  <c:v>37.8</c:v>
                </c:pt>
                <c:pt idx="27">
                  <c:v>31.1</c:v>
                </c:pt>
                <c:pt idx="28">
                  <c:v>32.2</c:v>
                </c:pt>
                <c:pt idx="29">
                  <c:v>27.4</c:v>
                </c:pt>
                <c:pt idx="30">
                  <c:v>22.5</c:v>
                </c:pt>
                <c:pt idx="31">
                  <c:v>19.1</c:v>
                </c:pt>
                <c:pt idx="32">
                  <c:v>17.5</c:v>
                </c:pt>
                <c:pt idx="33">
                  <c:v>14.9</c:v>
                </c:pt>
              </c:numCache>
            </c:numRef>
          </c:val>
        </c:ser>
        <c:ser>
          <c:idx val="3"/>
          <c:order val="3"/>
          <c:tx>
            <c:strRef>
              <c:f>'LSD.RID.0.FL'!$F$710</c:f>
              <c:strCache>
                <c:ptCount val="1"/>
                <c:pt idx="0">
                  <c:v>American Wage Average ($/hr)</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9"/>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'LSD.RID.0.FL'!$F$712:$F$745</c:f>
              <c:numCache>
                <c:formatCode>[$$-409]#,##0.00;\-[$$-409]#,##0.00</c:formatCode>
                <c:ptCount val="34"/>
                <c:pt idx="0">
                  <c:v>18.2</c:v>
                </c:pt>
                <c:pt idx="1">
                  <c:v>15.4</c:v>
                </c:pt>
                <c:pt idx="2">
                  <c:v>25.4</c:v>
                </c:pt>
                <c:pt idx="3">
                  <c:v>21.6</c:v>
                </c:pt>
                <c:pt idx="4">
                  <c:v>17.2</c:v>
                </c:pt>
                <c:pt idx="5">
                  <c:v>14.7</c:v>
                </c:pt>
                <c:pt idx="6">
                  <c:v>17.7</c:v>
                </c:pt>
                <c:pt idx="7">
                  <c:v>15</c:v>
                </c:pt>
                <c:pt idx="8">
                  <c:v>22.9</c:v>
                </c:pt>
                <c:pt idx="9">
                  <c:v>19.5</c:v>
                </c:pt>
                <c:pt idx="10">
                  <c:v>23.6</c:v>
                </c:pt>
                <c:pt idx="11">
                  <c:v>20.1</c:v>
                </c:pt>
                <c:pt idx="12">
                  <c:v>24.4</c:v>
                </c:pt>
                <c:pt idx="13">
                  <c:v>20.7</c:v>
                </c:pt>
                <c:pt idx="14">
                  <c:v>17.9</c:v>
                </c:pt>
                <c:pt idx="15">
                  <c:v>15.2</c:v>
                </c:pt>
                <c:pt idx="16">
                  <c:v>27</c:v>
                </c:pt>
                <c:pt idx="17">
                  <c:v>22.9</c:v>
                </c:pt>
                <c:pt idx="18">
                  <c:v>35.2</c:v>
                </c:pt>
                <c:pt idx="19">
                  <c:v>29.9</c:v>
                </c:pt>
                <c:pt idx="20">
                  <c:v>40.2</c:v>
                </c:pt>
                <c:pt idx="21">
                  <c:v>34.2</c:v>
                </c:pt>
                <c:pt idx="22">
                  <c:v>32.3</c:v>
                </c:pt>
                <c:pt idx="23">
                  <c:v>27.5</c:v>
                </c:pt>
                <c:pt idx="24">
                  <c:v>40.2</c:v>
                </c:pt>
                <c:pt idx="25">
                  <c:v>34.2</c:v>
                </c:pt>
                <c:pt idx="26">
                  <c:v>40.5</c:v>
                </c:pt>
                <c:pt idx="27">
                  <c:v>34.4</c:v>
                </c:pt>
                <c:pt idx="28">
                  <c:v>34.4</c:v>
                </c:pt>
                <c:pt idx="29">
                  <c:v>29.2</c:v>
                </c:pt>
                <c:pt idx="30">
                  <c:v>25.4</c:v>
                </c:pt>
                <c:pt idx="31">
                  <c:v>21.6</c:v>
                </c:pt>
                <c:pt idx="32">
                  <c:v>21</c:v>
                </c:pt>
                <c:pt idx="33">
                  <c:v>17.9</c:v>
                </c:pt>
              </c:numCache>
            </c:numRef>
          </c:val>
        </c:ser>
        <c:gapWidth val="100"/>
        <c:overlap val="0"/>
        <c:axId val="86226958"/>
        <c:axId val="31580413"/>
      </c:barChart>
      <c:catAx>
        <c:axId val="8622695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903027319714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1580413"/>
        <c:crosses val="autoZero"/>
        <c:auto val="1"/>
        <c:lblAlgn val="ctr"/>
        <c:lblOffset val="100"/>
        <c:noMultiLvlLbl val="0"/>
      </c:catAx>
      <c:valAx>
        <c:axId val="3158041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198109491926"/>
              <c:y val="0.970046763475265"/>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6226958"/>
        <c:crosses val="max"/>
        <c:crossBetween val="midCat"/>
        <c:majorUnit val="1"/>
      </c:valAx>
      <c:spPr>
        <a:noFill/>
        <a:ln w="0">
          <a:solidFill>
            <a:srgbClr val="b3b3b3"/>
          </a:solidFill>
        </a:ln>
      </c:spPr>
    </c:plotArea>
    <c:legend>
      <c:legendPos val="r"/>
      <c:layout>
        <c:manualLayout>
          <c:xMode val="edge"/>
          <c:yMode val="edge"/>
          <c:x val="0.802544008191234"/>
          <c:y val="0.0768094898235424"/>
          <c:w val="0.171904536862004"/>
          <c:h val="0.11173459342390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Annual Income Average</a:t>
            </a:r>
          </a:p>
        </c:rich>
      </c:tx>
      <c:layout>
        <c:manualLayout>
          <c:xMode val="edge"/>
          <c:yMode val="edge"/>
          <c:x val="0.281567546278062"/>
          <c:y val="0.0169579128722619"/>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'LSD.RID.0.FL'!$C$844</c:f>
              <c:strCache>
                <c:ptCount val="1"/>
                <c:pt idx="0">
                  <c:v>Annual Income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'LSD.RID.0.FL'!$C$846:$C$879</c:f>
              <c:numCache>
                <c:formatCode>[$$-409]#,##0;[RED]\-[$$-409]#,##0</c:formatCode>
                <c:ptCount val="34"/>
                <c:pt idx="0">
                  <c:v>37104</c:v>
                </c:pt>
                <c:pt idx="1">
                  <c:v>31408</c:v>
                </c:pt>
                <c:pt idx="2">
                  <c:v>51832</c:v>
                </c:pt>
                <c:pt idx="3">
                  <c:v>44100</c:v>
                </c:pt>
                <c:pt idx="4">
                  <c:v>35152</c:v>
                </c:pt>
                <c:pt idx="5">
                  <c:v>29952</c:v>
                </c:pt>
                <c:pt idx="6">
                  <c:v>36004</c:v>
                </c:pt>
                <c:pt idx="7">
                  <c:v>30576</c:v>
                </c:pt>
                <c:pt idx="8">
                  <c:v>47008</c:v>
                </c:pt>
                <c:pt idx="9">
                  <c:v>39936</c:v>
                </c:pt>
                <c:pt idx="10">
                  <c:v>48256</c:v>
                </c:pt>
                <c:pt idx="11">
                  <c:v>40976</c:v>
                </c:pt>
                <c:pt idx="12">
                  <c:v>49712</c:v>
                </c:pt>
                <c:pt idx="13">
                  <c:v>42224</c:v>
                </c:pt>
                <c:pt idx="14">
                  <c:v>36400</c:v>
                </c:pt>
                <c:pt idx="15">
                  <c:v>30992</c:v>
                </c:pt>
                <c:pt idx="16">
                  <c:v>55120</c:v>
                </c:pt>
                <c:pt idx="17">
                  <c:v>46800</c:v>
                </c:pt>
                <c:pt idx="18">
                  <c:v>71968</c:v>
                </c:pt>
                <c:pt idx="19">
                  <c:v>61152</c:v>
                </c:pt>
                <c:pt idx="20">
                  <c:v>82160</c:v>
                </c:pt>
                <c:pt idx="21">
                  <c:v>69888</c:v>
                </c:pt>
                <c:pt idx="22">
                  <c:v>65936</c:v>
                </c:pt>
                <c:pt idx="23">
                  <c:v>56160</c:v>
                </c:pt>
                <c:pt idx="24">
                  <c:v>82160</c:v>
                </c:pt>
                <c:pt idx="25">
                  <c:v>69888</c:v>
                </c:pt>
                <c:pt idx="26">
                  <c:v>82784</c:v>
                </c:pt>
                <c:pt idx="27">
                  <c:v>70304</c:v>
                </c:pt>
                <c:pt idx="28">
                  <c:v>70304</c:v>
                </c:pt>
                <c:pt idx="29">
                  <c:v>59696</c:v>
                </c:pt>
                <c:pt idx="30">
                  <c:v>52000</c:v>
                </c:pt>
                <c:pt idx="31">
                  <c:v>44288</c:v>
                </c:pt>
                <c:pt idx="32">
                  <c:v>42848</c:v>
                </c:pt>
                <c:pt idx="33">
                  <c:v>36400</c:v>
                </c:pt>
              </c:numCache>
            </c:numRef>
          </c:val>
        </c:ser>
        <c:ser>
          <c:idx val="1"/>
          <c:order val="1"/>
          <c:tx>
            <c:strRef>
              <c:f>'LSD.RID.0.FL'!$D$844</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'LSD.RID.0.FL'!$D$846:$D$879</c:f>
              <c:numCache>
                <c:formatCode>[$$-409]#,##0;[RED]\-[$$-409]#,##0</c:formatCode>
                <c:ptCount val="34"/>
                <c:pt idx="0">
                  <c:v>36084</c:v>
                </c:pt>
                <c:pt idx="1">
                  <c:v>30636</c:v>
                </c:pt>
                <c:pt idx="2">
                  <c:v>50416</c:v>
                </c:pt>
                <c:pt idx="3">
                  <c:v>42928</c:v>
                </c:pt>
                <c:pt idx="4">
                  <c:v>34112</c:v>
                </c:pt>
                <c:pt idx="5">
                  <c:v>29120</c:v>
                </c:pt>
                <c:pt idx="6">
                  <c:v>34944</c:v>
                </c:pt>
                <c:pt idx="7">
                  <c:v>29744</c:v>
                </c:pt>
                <c:pt idx="8">
                  <c:v>45672</c:v>
                </c:pt>
                <c:pt idx="9">
                  <c:v>38736</c:v>
                </c:pt>
                <c:pt idx="10">
                  <c:v>46800</c:v>
                </c:pt>
                <c:pt idx="11">
                  <c:v>39728</c:v>
                </c:pt>
                <c:pt idx="12">
                  <c:v>48256</c:v>
                </c:pt>
                <c:pt idx="13">
                  <c:v>41096</c:v>
                </c:pt>
                <c:pt idx="14">
                  <c:v>35440</c:v>
                </c:pt>
                <c:pt idx="15">
                  <c:v>30240</c:v>
                </c:pt>
                <c:pt idx="16">
                  <c:v>53536</c:v>
                </c:pt>
                <c:pt idx="17">
                  <c:v>45672</c:v>
                </c:pt>
                <c:pt idx="18">
                  <c:v>69880</c:v>
                </c:pt>
                <c:pt idx="19">
                  <c:v>59107</c:v>
                </c:pt>
                <c:pt idx="20">
                  <c:v>79616</c:v>
                </c:pt>
                <c:pt idx="21">
                  <c:v>67600</c:v>
                </c:pt>
                <c:pt idx="22">
                  <c:v>63936</c:v>
                </c:pt>
                <c:pt idx="23">
                  <c:v>54336</c:v>
                </c:pt>
                <c:pt idx="24">
                  <c:v>79616</c:v>
                </c:pt>
                <c:pt idx="25">
                  <c:v>67600</c:v>
                </c:pt>
                <c:pt idx="26">
                  <c:v>80200</c:v>
                </c:pt>
                <c:pt idx="27">
                  <c:v>68136</c:v>
                </c:pt>
                <c:pt idx="28">
                  <c:v>68384</c:v>
                </c:pt>
                <c:pt idx="29">
                  <c:v>58112</c:v>
                </c:pt>
                <c:pt idx="30">
                  <c:v>50336</c:v>
                </c:pt>
                <c:pt idx="31">
                  <c:v>42928</c:v>
                </c:pt>
                <c:pt idx="32">
                  <c:v>41600</c:v>
                </c:pt>
                <c:pt idx="33">
                  <c:v>35440</c:v>
                </c:pt>
              </c:numCache>
            </c:numRef>
          </c:val>
        </c:ser>
        <c:ser>
          <c:idx val="2"/>
          <c:order val="2"/>
          <c:tx>
            <c:strRef>
              <c:f>'LSD.RID.0.FL'!$E$844</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'LSD.RID.0.FL'!$E$846:$E$879</c:f>
              <c:numCache>
                <c:formatCode>[$$-409]#,##0;[RED]\-[$$-409]#,##0</c:formatCode>
                <c:ptCount val="34"/>
                <c:pt idx="0">
                  <c:v>31408</c:v>
                </c:pt>
                <c:pt idx="1">
                  <c:v>26832</c:v>
                </c:pt>
                <c:pt idx="2">
                  <c:v>45344</c:v>
                </c:pt>
                <c:pt idx="3">
                  <c:v>38480</c:v>
                </c:pt>
                <c:pt idx="4">
                  <c:v>29952</c:v>
                </c:pt>
                <c:pt idx="5">
                  <c:v>25376</c:v>
                </c:pt>
                <c:pt idx="6">
                  <c:v>30576</c:v>
                </c:pt>
                <c:pt idx="7">
                  <c:v>25920</c:v>
                </c:pt>
                <c:pt idx="8">
                  <c:v>42224</c:v>
                </c:pt>
                <c:pt idx="9">
                  <c:v>35984</c:v>
                </c:pt>
                <c:pt idx="10">
                  <c:v>43472</c:v>
                </c:pt>
                <c:pt idx="11">
                  <c:v>37024</c:v>
                </c:pt>
                <c:pt idx="12">
                  <c:v>42224</c:v>
                </c:pt>
                <c:pt idx="13">
                  <c:v>35984</c:v>
                </c:pt>
                <c:pt idx="14">
                  <c:v>30992</c:v>
                </c:pt>
                <c:pt idx="15">
                  <c:v>26416</c:v>
                </c:pt>
                <c:pt idx="16">
                  <c:v>49504</c:v>
                </c:pt>
                <c:pt idx="17">
                  <c:v>42224</c:v>
                </c:pt>
                <c:pt idx="18">
                  <c:v>68224</c:v>
                </c:pt>
                <c:pt idx="19">
                  <c:v>58032</c:v>
                </c:pt>
                <c:pt idx="20">
                  <c:v>78000</c:v>
                </c:pt>
                <c:pt idx="21">
                  <c:v>66352</c:v>
                </c:pt>
                <c:pt idx="22">
                  <c:v>62608</c:v>
                </c:pt>
                <c:pt idx="23">
                  <c:v>53248</c:v>
                </c:pt>
                <c:pt idx="24">
                  <c:v>78000</c:v>
                </c:pt>
                <c:pt idx="25">
                  <c:v>66352</c:v>
                </c:pt>
                <c:pt idx="26">
                  <c:v>78624</c:v>
                </c:pt>
                <c:pt idx="27">
                  <c:v>64688</c:v>
                </c:pt>
                <c:pt idx="28">
                  <c:v>66976</c:v>
                </c:pt>
                <c:pt idx="29">
                  <c:v>57008</c:v>
                </c:pt>
                <c:pt idx="30">
                  <c:v>46800</c:v>
                </c:pt>
                <c:pt idx="31">
                  <c:v>39728</c:v>
                </c:pt>
                <c:pt idx="32">
                  <c:v>36400</c:v>
                </c:pt>
                <c:pt idx="33">
                  <c:v>30992</c:v>
                </c:pt>
              </c:numCache>
            </c:numRef>
          </c:val>
        </c:ser>
        <c:ser>
          <c:idx val="3"/>
          <c:order val="3"/>
          <c:tx>
            <c:strRef>
              <c:f>'LSD.RID.0.FL'!$F$844</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'LSD.RID.0.FL'!$F$846:$F$879</c:f>
              <c:numCache>
                <c:formatCode>[$$-409]#,##0;[RED]\-[$$-409]#,##0</c:formatCode>
                <c:ptCount val="34"/>
                <c:pt idx="0">
                  <c:v>37856</c:v>
                </c:pt>
                <c:pt idx="1">
                  <c:v>32032</c:v>
                </c:pt>
                <c:pt idx="2">
                  <c:v>52832</c:v>
                </c:pt>
                <c:pt idx="3">
                  <c:v>44928</c:v>
                </c:pt>
                <c:pt idx="4">
                  <c:v>35776</c:v>
                </c:pt>
                <c:pt idx="5">
                  <c:v>30576</c:v>
                </c:pt>
                <c:pt idx="6">
                  <c:v>36816</c:v>
                </c:pt>
                <c:pt idx="7">
                  <c:v>31200</c:v>
                </c:pt>
                <c:pt idx="8">
                  <c:v>47632</c:v>
                </c:pt>
                <c:pt idx="9">
                  <c:v>40560</c:v>
                </c:pt>
                <c:pt idx="10">
                  <c:v>49088</c:v>
                </c:pt>
                <c:pt idx="11">
                  <c:v>41808</c:v>
                </c:pt>
                <c:pt idx="12">
                  <c:v>50752</c:v>
                </c:pt>
                <c:pt idx="13">
                  <c:v>43056</c:v>
                </c:pt>
                <c:pt idx="14">
                  <c:v>37232</c:v>
                </c:pt>
                <c:pt idx="15">
                  <c:v>31616</c:v>
                </c:pt>
                <c:pt idx="16">
                  <c:v>56160</c:v>
                </c:pt>
                <c:pt idx="17">
                  <c:v>47632</c:v>
                </c:pt>
                <c:pt idx="18">
                  <c:v>73216</c:v>
                </c:pt>
                <c:pt idx="19">
                  <c:v>62192</c:v>
                </c:pt>
                <c:pt idx="20">
                  <c:v>83616</c:v>
                </c:pt>
                <c:pt idx="21">
                  <c:v>71088</c:v>
                </c:pt>
                <c:pt idx="22">
                  <c:v>67264</c:v>
                </c:pt>
                <c:pt idx="23">
                  <c:v>57200</c:v>
                </c:pt>
                <c:pt idx="24">
                  <c:v>83616</c:v>
                </c:pt>
                <c:pt idx="25">
                  <c:v>71088</c:v>
                </c:pt>
                <c:pt idx="26">
                  <c:v>84240</c:v>
                </c:pt>
                <c:pt idx="27">
                  <c:v>71552</c:v>
                </c:pt>
                <c:pt idx="28">
                  <c:v>71552</c:v>
                </c:pt>
                <c:pt idx="29">
                  <c:v>60736</c:v>
                </c:pt>
                <c:pt idx="30">
                  <c:v>52832</c:v>
                </c:pt>
                <c:pt idx="31">
                  <c:v>44928</c:v>
                </c:pt>
                <c:pt idx="32">
                  <c:v>43680</c:v>
                </c:pt>
                <c:pt idx="33">
                  <c:v>37232</c:v>
                </c:pt>
              </c:numCache>
            </c:numRef>
          </c:val>
        </c:ser>
        <c:gapWidth val="100"/>
        <c:overlap val="0"/>
        <c:axId val="21786008"/>
        <c:axId val="24430202"/>
      </c:barChart>
      <c:catAx>
        <c:axId val="2178600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9810484863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4430202"/>
        <c:crosses val="autoZero"/>
        <c:auto val="1"/>
        <c:lblAlgn val="ctr"/>
        <c:lblOffset val="100"/>
        <c:noMultiLvlLbl val="0"/>
      </c:catAx>
      <c:valAx>
        <c:axId val="2443020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5872390705"/>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1786008"/>
        <c:crosses val="max"/>
        <c:crossBetween val="midCat"/>
        <c:majorUnit val="1000"/>
      </c:valAx>
      <c:spPr>
        <a:noFill/>
        <a:ln w="0">
          <a:solidFill>
            <a:srgbClr val="b3b3b3"/>
          </a:solidFill>
        </a:ln>
      </c:spPr>
    </c:plotArea>
    <c:legend>
      <c:legendPos val="r"/>
      <c:layout>
        <c:manualLayout>
          <c:xMode val="edge"/>
          <c:yMode val="edge"/>
          <c:x val="0.78588587405978"/>
          <c:y val="0.07678487928531"/>
          <c:w val="0.188563327032136"/>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Federal Personal Income Tax Revenue</a:t>
            </a:r>
          </a:p>
        </c:rich>
      </c:tx>
      <c:layout>
        <c:manualLayout>
          <c:xMode val="edge"/>
          <c:yMode val="edge"/>
          <c:x val="0.226624655376132"/>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'LSD.RID.0.FL'!$C$978</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'LSD.RID.0.FL'!$C$980:$C$1013</c:f>
              <c:numCache>
                <c:formatCode>[$$-409]#,##0;\-[$$-409]#,##0</c:formatCode>
                <c:ptCount val="34"/>
                <c:pt idx="0">
                  <c:v>144000000</c:v>
                </c:pt>
                <c:pt idx="1">
                  <c:v>72000000</c:v>
                </c:pt>
                <c:pt idx="2">
                  <c:v>2280000000</c:v>
                </c:pt>
                <c:pt idx="3">
                  <c:v>970000000</c:v>
                </c:pt>
                <c:pt idx="4">
                  <c:v>2705000000</c:v>
                </c:pt>
                <c:pt idx="5">
                  <c:v>1148000000</c:v>
                </c:pt>
                <c:pt idx="6">
                  <c:v>436000000</c:v>
                </c:pt>
                <c:pt idx="7">
                  <c:v>195000000</c:v>
                </c:pt>
                <c:pt idx="8">
                  <c:v>1406000000</c:v>
                </c:pt>
                <c:pt idx="9">
                  <c:v>597000000</c:v>
                </c:pt>
                <c:pt idx="10">
                  <c:v>1292000000</c:v>
                </c:pt>
                <c:pt idx="11">
                  <c:v>548000000</c:v>
                </c:pt>
                <c:pt idx="12">
                  <c:v>4581000000</c:v>
                </c:pt>
                <c:pt idx="13">
                  <c:v>1944000000</c:v>
                </c:pt>
                <c:pt idx="14">
                  <c:v>265000000</c:v>
                </c:pt>
                <c:pt idx="15">
                  <c:v>112000000</c:v>
                </c:pt>
                <c:pt idx="16">
                  <c:v>300000000</c:v>
                </c:pt>
                <c:pt idx="17">
                  <c:v>127000000</c:v>
                </c:pt>
                <c:pt idx="18">
                  <c:v>5419000000</c:v>
                </c:pt>
                <c:pt idx="19">
                  <c:v>2300000000</c:v>
                </c:pt>
                <c:pt idx="20">
                  <c:v>10142000000</c:v>
                </c:pt>
                <c:pt idx="21">
                  <c:v>4304000000</c:v>
                </c:pt>
                <c:pt idx="22">
                  <c:v>1820000000</c:v>
                </c:pt>
                <c:pt idx="23">
                  <c:v>772000000</c:v>
                </c:pt>
                <c:pt idx="24">
                  <c:v>4316000000</c:v>
                </c:pt>
                <c:pt idx="25">
                  <c:v>1832000000</c:v>
                </c:pt>
                <c:pt idx="26">
                  <c:v>922000000</c:v>
                </c:pt>
                <c:pt idx="27">
                  <c:v>391000000</c:v>
                </c:pt>
                <c:pt idx="28">
                  <c:v>4200000000</c:v>
                </c:pt>
                <c:pt idx="29">
                  <c:v>1780000000</c:v>
                </c:pt>
                <c:pt idx="30">
                  <c:v>8750000000</c:v>
                </c:pt>
                <c:pt idx="31">
                  <c:v>970000000</c:v>
                </c:pt>
                <c:pt idx="32">
                  <c:v>951000000</c:v>
                </c:pt>
                <c:pt idx="33">
                  <c:v>404000000</c:v>
                </c:pt>
              </c:numCache>
            </c:numRef>
          </c:val>
        </c:ser>
        <c:ser>
          <c:idx val="1"/>
          <c:order val="1"/>
          <c:tx>
            <c:strRef>
              <c:f>'LSD.RID.0.FL'!$D$978</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'LSD.RID.0.FL'!$D$980:$D$1013</c:f>
              <c:numCache>
                <c:formatCode>[$$-409]#,##0;\-[$$-409]#,##0</c:formatCode>
                <c:ptCount val="34"/>
                <c:pt idx="0">
                  <c:v>30000000</c:v>
                </c:pt>
                <c:pt idx="1">
                  <c:v>15000000</c:v>
                </c:pt>
                <c:pt idx="2">
                  <c:v>480000000</c:v>
                </c:pt>
                <c:pt idx="3">
                  <c:v>204000000</c:v>
                </c:pt>
                <c:pt idx="4">
                  <c:v>572000000</c:v>
                </c:pt>
                <c:pt idx="5">
                  <c:v>243000000</c:v>
                </c:pt>
                <c:pt idx="6">
                  <c:v>92000000</c:v>
                </c:pt>
                <c:pt idx="7">
                  <c:v>41000000</c:v>
                </c:pt>
                <c:pt idx="8">
                  <c:v>297000000</c:v>
                </c:pt>
                <c:pt idx="9">
                  <c:v>126000000</c:v>
                </c:pt>
                <c:pt idx="10">
                  <c:v>273000000</c:v>
                </c:pt>
                <c:pt idx="11">
                  <c:v>116000000</c:v>
                </c:pt>
                <c:pt idx="12">
                  <c:v>968000000</c:v>
                </c:pt>
                <c:pt idx="13">
                  <c:v>411000000</c:v>
                </c:pt>
                <c:pt idx="14">
                  <c:v>56000000</c:v>
                </c:pt>
                <c:pt idx="15">
                  <c:v>24000000</c:v>
                </c:pt>
                <c:pt idx="16">
                  <c:v>63000000</c:v>
                </c:pt>
                <c:pt idx="17">
                  <c:v>27000000</c:v>
                </c:pt>
                <c:pt idx="18">
                  <c:v>1142000000</c:v>
                </c:pt>
                <c:pt idx="19">
                  <c:v>485000000</c:v>
                </c:pt>
                <c:pt idx="20">
                  <c:v>2138000000</c:v>
                </c:pt>
                <c:pt idx="21">
                  <c:v>907000000</c:v>
                </c:pt>
                <c:pt idx="22">
                  <c:v>384000000</c:v>
                </c:pt>
                <c:pt idx="23">
                  <c:v>163000000</c:v>
                </c:pt>
                <c:pt idx="24">
                  <c:v>910000000</c:v>
                </c:pt>
                <c:pt idx="25">
                  <c:v>386000000</c:v>
                </c:pt>
                <c:pt idx="26">
                  <c:v>194000000</c:v>
                </c:pt>
                <c:pt idx="27">
                  <c:v>82000000</c:v>
                </c:pt>
                <c:pt idx="28">
                  <c:v>884000000</c:v>
                </c:pt>
                <c:pt idx="29">
                  <c:v>375000000</c:v>
                </c:pt>
                <c:pt idx="30">
                  <c:v>350000000</c:v>
                </c:pt>
                <c:pt idx="31">
                  <c:v>39000000</c:v>
                </c:pt>
                <c:pt idx="32">
                  <c:v>201000000</c:v>
                </c:pt>
                <c:pt idx="33">
                  <c:v>85000000</c:v>
                </c:pt>
              </c:numCache>
            </c:numRef>
          </c:val>
        </c:ser>
        <c:ser>
          <c:idx val="2"/>
          <c:order val="2"/>
          <c:tx>
            <c:strRef>
              <c:f>'LSD.RID.0.FL'!$E$978</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'LSD.RID.0.FL'!$E$980:$E$1013</c:f>
              <c:numCache>
                <c:formatCode>[$$-409]#,##0;\-[$$-409]#,##0</c:formatCode>
                <c:ptCount val="34"/>
                <c:pt idx="0">
                  <c:v>3000000</c:v>
                </c:pt>
                <c:pt idx="1">
                  <c:v>1500000</c:v>
                </c:pt>
                <c:pt idx="2">
                  <c:v>45000000</c:v>
                </c:pt>
                <c:pt idx="3">
                  <c:v>19000000</c:v>
                </c:pt>
                <c:pt idx="4">
                  <c:v>55000000</c:v>
                </c:pt>
                <c:pt idx="5">
                  <c:v>23000000</c:v>
                </c:pt>
                <c:pt idx="6">
                  <c:v>8500000</c:v>
                </c:pt>
                <c:pt idx="7">
                  <c:v>4000000</c:v>
                </c:pt>
                <c:pt idx="8">
                  <c:v>28000000</c:v>
                </c:pt>
                <c:pt idx="9">
                  <c:v>12000000</c:v>
                </c:pt>
                <c:pt idx="10">
                  <c:v>26000000</c:v>
                </c:pt>
                <c:pt idx="11">
                  <c:v>11000000</c:v>
                </c:pt>
                <c:pt idx="12">
                  <c:v>87000000</c:v>
                </c:pt>
                <c:pt idx="13">
                  <c:v>37000000</c:v>
                </c:pt>
                <c:pt idx="14">
                  <c:v>5000000</c:v>
                </c:pt>
                <c:pt idx="15">
                  <c:v>2000000</c:v>
                </c:pt>
                <c:pt idx="16">
                  <c:v>6000000</c:v>
                </c:pt>
                <c:pt idx="17">
                  <c:v>3000000</c:v>
                </c:pt>
                <c:pt idx="18">
                  <c:v>115000000</c:v>
                </c:pt>
                <c:pt idx="19">
                  <c:v>49000000</c:v>
                </c:pt>
                <c:pt idx="20">
                  <c:v>215000000</c:v>
                </c:pt>
                <c:pt idx="21">
                  <c:v>91000000</c:v>
                </c:pt>
                <c:pt idx="22">
                  <c:v>39000000</c:v>
                </c:pt>
                <c:pt idx="23">
                  <c:v>16000000</c:v>
                </c:pt>
                <c:pt idx="24">
                  <c:v>92000000</c:v>
                </c:pt>
                <c:pt idx="25">
                  <c:v>39000000</c:v>
                </c:pt>
                <c:pt idx="26">
                  <c:v>20000000</c:v>
                </c:pt>
                <c:pt idx="27">
                  <c:v>8000000</c:v>
                </c:pt>
                <c:pt idx="28">
                  <c:v>90000000</c:v>
                </c:pt>
                <c:pt idx="29">
                  <c:v>38000000</c:v>
                </c:pt>
                <c:pt idx="30">
                  <c:v>350000000</c:v>
                </c:pt>
                <c:pt idx="31">
                  <c:v>39000000</c:v>
                </c:pt>
                <c:pt idx="32">
                  <c:v>18000000</c:v>
                </c:pt>
                <c:pt idx="33">
                  <c:v>8000000</c:v>
                </c:pt>
              </c:numCache>
            </c:numRef>
          </c:val>
        </c:ser>
        <c:ser>
          <c:idx val="3"/>
          <c:order val="3"/>
          <c:tx>
            <c:strRef>
              <c:f>'LSD.RID.0.FL'!$F$978</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'LSD.RID.0.FL'!$F$980:$F$1013</c:f>
              <c:numCache>
                <c:formatCode>[$$-409]#,##0;\-[$$-409]#,##0</c:formatCode>
                <c:ptCount val="34"/>
                <c:pt idx="0">
                  <c:v>111000000</c:v>
                </c:pt>
                <c:pt idx="1">
                  <c:v>55500000</c:v>
                </c:pt>
                <c:pt idx="2">
                  <c:v>1755000000</c:v>
                </c:pt>
                <c:pt idx="3">
                  <c:v>747000000</c:v>
                </c:pt>
                <c:pt idx="4">
                  <c:v>2082000000</c:v>
                </c:pt>
                <c:pt idx="5">
                  <c:v>884000000</c:v>
                </c:pt>
                <c:pt idx="6">
                  <c:v>354500000</c:v>
                </c:pt>
                <c:pt idx="7">
                  <c:v>150000000</c:v>
                </c:pt>
                <c:pt idx="8">
                  <c:v>1081000000</c:v>
                </c:pt>
                <c:pt idx="9">
                  <c:v>459000000</c:v>
                </c:pt>
                <c:pt idx="10">
                  <c:v>994000000</c:v>
                </c:pt>
                <c:pt idx="11">
                  <c:v>422000000</c:v>
                </c:pt>
                <c:pt idx="12">
                  <c:v>3526000000</c:v>
                </c:pt>
                <c:pt idx="13">
                  <c:v>1496000000</c:v>
                </c:pt>
                <c:pt idx="14">
                  <c:v>204000000</c:v>
                </c:pt>
                <c:pt idx="15">
                  <c:v>87000000</c:v>
                </c:pt>
                <c:pt idx="16">
                  <c:v>231000000</c:v>
                </c:pt>
                <c:pt idx="17">
                  <c:v>98000000</c:v>
                </c:pt>
                <c:pt idx="18">
                  <c:v>4162000000</c:v>
                </c:pt>
                <c:pt idx="19">
                  <c:v>1766000000</c:v>
                </c:pt>
                <c:pt idx="20">
                  <c:v>7789000000</c:v>
                </c:pt>
                <c:pt idx="21">
                  <c:v>3306000000</c:v>
                </c:pt>
                <c:pt idx="22">
                  <c:v>1398000000</c:v>
                </c:pt>
                <c:pt idx="23">
                  <c:v>593000000</c:v>
                </c:pt>
                <c:pt idx="24">
                  <c:v>3315000000</c:v>
                </c:pt>
                <c:pt idx="25">
                  <c:v>1407000000</c:v>
                </c:pt>
                <c:pt idx="26">
                  <c:v>708000000</c:v>
                </c:pt>
                <c:pt idx="27">
                  <c:v>301000000</c:v>
                </c:pt>
                <c:pt idx="28">
                  <c:v>3226000000</c:v>
                </c:pt>
                <c:pt idx="29">
                  <c:v>1367000000</c:v>
                </c:pt>
                <c:pt idx="30">
                  <c:v>8050000000</c:v>
                </c:pt>
                <c:pt idx="31">
                  <c:v>892000000</c:v>
                </c:pt>
                <c:pt idx="32">
                  <c:v>732000000</c:v>
                </c:pt>
                <c:pt idx="33">
                  <c:v>311000000</c:v>
                </c:pt>
              </c:numCache>
            </c:numRef>
          </c:val>
        </c:ser>
        <c:gapWidth val="100"/>
        <c:overlap val="0"/>
        <c:axId val="91564228"/>
        <c:axId val="3955726"/>
      </c:barChart>
      <c:catAx>
        <c:axId val="9156422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93182377553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955726"/>
        <c:crosses val="autoZero"/>
        <c:auto val="1"/>
        <c:lblAlgn val="ctr"/>
        <c:lblOffset val="100"/>
        <c:noMultiLvlLbl val="0"/>
      </c:catAx>
      <c:valAx>
        <c:axId val="395572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202048050413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1564228"/>
        <c:crosses val="max"/>
        <c:crossBetween val="midCat"/>
        <c:majorUnit val="1000000"/>
      </c:valAx>
      <c:spPr>
        <a:noFill/>
        <a:ln w="0">
          <a:solidFill>
            <a:srgbClr val="b3b3b3"/>
          </a:solidFill>
        </a:ln>
      </c:spPr>
    </c:plotArea>
    <c:legend>
      <c:legendPos val="r"/>
      <c:layout>
        <c:manualLayout>
          <c:xMode val="edge"/>
          <c:yMode val="edge"/>
          <c:x val="0.785846493128028"/>
          <c:y val="0.07678487928531"/>
          <c:w val="0.188563327032136"/>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Federal Payroll Tax Revenue</a:t>
            </a:r>
          </a:p>
        </c:rich>
      </c:tx>
      <c:layout>
        <c:manualLayout>
          <c:xMode val="edge"/>
          <c:yMode val="edge"/>
          <c:x val="0.261756597085467"/>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'LSD.RID.0.FL'!$C$1112</c:f>
              <c:strCache>
                <c:ptCount val="1"/>
                <c:pt idx="0">
                  <c:v>Payroll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'LSD.RID.0.FL'!$C$1114:$C$1147</c:f>
              <c:numCache>
                <c:formatCode>[$$-409]#,##0;\-[$$-409]#,##0</c:formatCode>
                <c:ptCount val="34"/>
                <c:pt idx="0">
                  <c:v>146000000</c:v>
                </c:pt>
                <c:pt idx="1">
                  <c:v>73000000</c:v>
                </c:pt>
                <c:pt idx="2">
                  <c:v>1650000000</c:v>
                </c:pt>
                <c:pt idx="3">
                  <c:v>700000000</c:v>
                </c:pt>
                <c:pt idx="4">
                  <c:v>2164000000</c:v>
                </c:pt>
                <c:pt idx="5">
                  <c:v>918000000</c:v>
                </c:pt>
                <c:pt idx="6">
                  <c:v>442000000</c:v>
                </c:pt>
                <c:pt idx="7">
                  <c:v>198000000</c:v>
                </c:pt>
                <c:pt idx="8">
                  <c:v>929000000</c:v>
                </c:pt>
                <c:pt idx="9">
                  <c:v>394000000</c:v>
                </c:pt>
                <c:pt idx="10">
                  <c:v>935000000</c:v>
                </c:pt>
                <c:pt idx="11">
                  <c:v>397000000</c:v>
                </c:pt>
                <c:pt idx="12">
                  <c:v>3664000000</c:v>
                </c:pt>
                <c:pt idx="13">
                  <c:v>1555000000</c:v>
                </c:pt>
                <c:pt idx="14">
                  <c:v>269000000</c:v>
                </c:pt>
                <c:pt idx="15">
                  <c:v>114000000</c:v>
                </c:pt>
                <c:pt idx="16">
                  <c:v>217000000</c:v>
                </c:pt>
                <c:pt idx="17">
                  <c:v>92000000</c:v>
                </c:pt>
                <c:pt idx="18">
                  <c:v>3919000000</c:v>
                </c:pt>
                <c:pt idx="19">
                  <c:v>1663000000</c:v>
                </c:pt>
                <c:pt idx="20">
                  <c:v>6162000000</c:v>
                </c:pt>
                <c:pt idx="21">
                  <c:v>2615000000</c:v>
                </c:pt>
                <c:pt idx="22">
                  <c:v>1316000000</c:v>
                </c:pt>
                <c:pt idx="23">
                  <c:v>559000000</c:v>
                </c:pt>
                <c:pt idx="24">
                  <c:v>2622000000</c:v>
                </c:pt>
                <c:pt idx="25">
                  <c:v>1113000000</c:v>
                </c:pt>
                <c:pt idx="26">
                  <c:v>609000000</c:v>
                </c:pt>
                <c:pt idx="27">
                  <c:v>258000000</c:v>
                </c:pt>
                <c:pt idx="28">
                  <c:v>2550000000</c:v>
                </c:pt>
                <c:pt idx="29">
                  <c:v>1080000000</c:v>
                </c:pt>
                <c:pt idx="30">
                  <c:v>4550000000</c:v>
                </c:pt>
                <c:pt idx="31">
                  <c:v>505000000</c:v>
                </c:pt>
                <c:pt idx="32">
                  <c:v>761000000</c:v>
                </c:pt>
                <c:pt idx="33">
                  <c:v>323000000</c:v>
                </c:pt>
              </c:numCache>
            </c:numRef>
          </c:val>
        </c:ser>
        <c:ser>
          <c:idx val="1"/>
          <c:order val="1"/>
          <c:tx>
            <c:strRef>
              <c:f>'LSD.RID.0.FL'!$D$1112</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'LSD.RID.0.FL'!$D$1114:$D$1147</c:f>
              <c:numCache>
                <c:formatCode>[$$-409]#,##0;\-[$$-409]#,##0</c:formatCode>
                <c:ptCount val="34"/>
                <c:pt idx="0">
                  <c:v>31000000</c:v>
                </c:pt>
                <c:pt idx="1">
                  <c:v>15500000</c:v>
                </c:pt>
                <c:pt idx="2">
                  <c:v>350000000</c:v>
                </c:pt>
                <c:pt idx="3">
                  <c:v>148000000</c:v>
                </c:pt>
                <c:pt idx="4">
                  <c:v>460000000</c:v>
                </c:pt>
                <c:pt idx="5">
                  <c:v>195000000</c:v>
                </c:pt>
                <c:pt idx="6">
                  <c:v>94000000</c:v>
                </c:pt>
                <c:pt idx="7">
                  <c:v>42000000</c:v>
                </c:pt>
                <c:pt idx="8">
                  <c:v>197000000</c:v>
                </c:pt>
                <c:pt idx="9">
                  <c:v>84000000</c:v>
                </c:pt>
                <c:pt idx="10">
                  <c:v>199000000</c:v>
                </c:pt>
                <c:pt idx="11">
                  <c:v>84000000</c:v>
                </c:pt>
                <c:pt idx="12">
                  <c:v>779000000</c:v>
                </c:pt>
                <c:pt idx="13">
                  <c:v>331000000</c:v>
                </c:pt>
                <c:pt idx="14">
                  <c:v>57000000</c:v>
                </c:pt>
                <c:pt idx="15">
                  <c:v>24000000</c:v>
                </c:pt>
                <c:pt idx="16">
                  <c:v>46000000</c:v>
                </c:pt>
                <c:pt idx="17">
                  <c:v>20000000</c:v>
                </c:pt>
                <c:pt idx="18">
                  <c:v>832000000</c:v>
                </c:pt>
                <c:pt idx="19">
                  <c:v>353000000</c:v>
                </c:pt>
                <c:pt idx="20">
                  <c:v>1308000000</c:v>
                </c:pt>
                <c:pt idx="21">
                  <c:v>555000000</c:v>
                </c:pt>
                <c:pt idx="22">
                  <c:v>280000000</c:v>
                </c:pt>
                <c:pt idx="23">
                  <c:v>119000000</c:v>
                </c:pt>
                <c:pt idx="24">
                  <c:v>557000000</c:v>
                </c:pt>
                <c:pt idx="25">
                  <c:v>236000000</c:v>
                </c:pt>
                <c:pt idx="26">
                  <c:v>129000000</c:v>
                </c:pt>
                <c:pt idx="27">
                  <c:v>55000000</c:v>
                </c:pt>
                <c:pt idx="28">
                  <c:v>541000000</c:v>
                </c:pt>
                <c:pt idx="29">
                  <c:v>229000000</c:v>
                </c:pt>
                <c:pt idx="30">
                  <c:v>175000000</c:v>
                </c:pt>
                <c:pt idx="31">
                  <c:v>19500000</c:v>
                </c:pt>
                <c:pt idx="32">
                  <c:v>162000000</c:v>
                </c:pt>
                <c:pt idx="33">
                  <c:v>69000000</c:v>
                </c:pt>
              </c:numCache>
            </c:numRef>
          </c:val>
        </c:ser>
        <c:ser>
          <c:idx val="2"/>
          <c:order val="2"/>
          <c:tx>
            <c:strRef>
              <c:f>'LSD.RID.0.FL'!$E$1112</c:f>
              <c:strCache>
                <c:ptCount val="1"/>
                <c:pt idx="0">
                  <c:v>Unauthorized Immigrant Payroll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'LSD.RID.0.FL'!$E$1114:$E$1147</c:f>
              <c:numCache>
                <c:formatCode>[$$-409]#,##0;\-[$$-409]#,##0</c:formatCode>
                <c:ptCount val="34"/>
                <c:pt idx="0">
                  <c:v>2000000</c:v>
                </c:pt>
                <c:pt idx="1">
                  <c:v>1000000</c:v>
                </c:pt>
                <c:pt idx="2">
                  <c:v>22000000</c:v>
                </c:pt>
                <c:pt idx="3">
                  <c:v>9000000</c:v>
                </c:pt>
                <c:pt idx="4">
                  <c:v>28000000</c:v>
                </c:pt>
                <c:pt idx="5">
                  <c:v>12000000</c:v>
                </c:pt>
                <c:pt idx="6">
                  <c:v>6500000</c:v>
                </c:pt>
                <c:pt idx="7">
                  <c:v>3000000</c:v>
                </c:pt>
                <c:pt idx="8">
                  <c:v>12000000</c:v>
                </c:pt>
                <c:pt idx="9">
                  <c:v>5000000</c:v>
                </c:pt>
                <c:pt idx="10">
                  <c:v>12000000</c:v>
                </c:pt>
                <c:pt idx="11">
                  <c:v>5000000</c:v>
                </c:pt>
                <c:pt idx="12">
                  <c:v>46000000</c:v>
                </c:pt>
                <c:pt idx="13">
                  <c:v>19000000</c:v>
                </c:pt>
                <c:pt idx="14">
                  <c:v>3000000</c:v>
                </c:pt>
                <c:pt idx="15">
                  <c:v>1000000</c:v>
                </c:pt>
                <c:pt idx="16">
                  <c:v>3000000</c:v>
                </c:pt>
                <c:pt idx="17">
                  <c:v>1000000</c:v>
                </c:pt>
                <c:pt idx="18">
                  <c:v>55000000</c:v>
                </c:pt>
                <c:pt idx="19">
                  <c:v>23000000</c:v>
                </c:pt>
                <c:pt idx="20">
                  <c:v>86000000</c:v>
                </c:pt>
                <c:pt idx="21">
                  <c:v>37000000</c:v>
                </c:pt>
                <c:pt idx="22">
                  <c:v>18000000</c:v>
                </c:pt>
                <c:pt idx="23">
                  <c:v>8000000</c:v>
                </c:pt>
                <c:pt idx="24">
                  <c:v>37000000</c:v>
                </c:pt>
                <c:pt idx="25">
                  <c:v>16000000</c:v>
                </c:pt>
                <c:pt idx="26">
                  <c:v>9000000</c:v>
                </c:pt>
                <c:pt idx="27">
                  <c:v>4000000</c:v>
                </c:pt>
                <c:pt idx="28">
                  <c:v>37000000</c:v>
                </c:pt>
                <c:pt idx="29">
                  <c:v>16000000</c:v>
                </c:pt>
                <c:pt idx="30">
                  <c:v>175000000</c:v>
                </c:pt>
                <c:pt idx="31">
                  <c:v>19500000</c:v>
                </c:pt>
                <c:pt idx="32">
                  <c:v>10000000</c:v>
                </c:pt>
                <c:pt idx="33">
                  <c:v>4000000</c:v>
                </c:pt>
              </c:numCache>
            </c:numRef>
          </c:val>
        </c:ser>
        <c:ser>
          <c:idx val="3"/>
          <c:order val="3"/>
          <c:tx>
            <c:strRef>
              <c:f>'LSD.RID.0.FL'!$F$1112</c:f>
              <c:strCache>
                <c:ptCount val="1"/>
                <c:pt idx="0">
                  <c:v>American Payroll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'LSD.RID.0.FL'!$F$1114:$F$1147</c:f>
              <c:numCache>
                <c:formatCode>[$$-409]#,##0;\-[$$-409]#,##0</c:formatCode>
                <c:ptCount val="34"/>
                <c:pt idx="0">
                  <c:v>113000000</c:v>
                </c:pt>
                <c:pt idx="1">
                  <c:v>56500000</c:v>
                </c:pt>
                <c:pt idx="2">
                  <c:v>1278000000</c:v>
                </c:pt>
                <c:pt idx="3">
                  <c:v>542000000</c:v>
                </c:pt>
                <c:pt idx="4">
                  <c:v>1677000000</c:v>
                </c:pt>
                <c:pt idx="5">
                  <c:v>712000000</c:v>
                </c:pt>
                <c:pt idx="6">
                  <c:v>361200000</c:v>
                </c:pt>
                <c:pt idx="7">
                  <c:v>153000000</c:v>
                </c:pt>
                <c:pt idx="8">
                  <c:v>719000000</c:v>
                </c:pt>
                <c:pt idx="9">
                  <c:v>305000000</c:v>
                </c:pt>
                <c:pt idx="10">
                  <c:v>724000000</c:v>
                </c:pt>
                <c:pt idx="11">
                  <c:v>307000000</c:v>
                </c:pt>
                <c:pt idx="12">
                  <c:v>2839000000</c:v>
                </c:pt>
                <c:pt idx="13">
                  <c:v>1205000000</c:v>
                </c:pt>
                <c:pt idx="14">
                  <c:v>208000000</c:v>
                </c:pt>
                <c:pt idx="15">
                  <c:v>88000000</c:v>
                </c:pt>
                <c:pt idx="16">
                  <c:v>168000000</c:v>
                </c:pt>
                <c:pt idx="17">
                  <c:v>71000000</c:v>
                </c:pt>
                <c:pt idx="18">
                  <c:v>3032000000</c:v>
                </c:pt>
                <c:pt idx="19">
                  <c:v>1287000000</c:v>
                </c:pt>
                <c:pt idx="20">
                  <c:v>4767000000</c:v>
                </c:pt>
                <c:pt idx="21">
                  <c:v>2023000000</c:v>
                </c:pt>
                <c:pt idx="22">
                  <c:v>1018000000</c:v>
                </c:pt>
                <c:pt idx="23">
                  <c:v>432000000</c:v>
                </c:pt>
                <c:pt idx="24">
                  <c:v>2029000000</c:v>
                </c:pt>
                <c:pt idx="25">
                  <c:v>861000000</c:v>
                </c:pt>
                <c:pt idx="26">
                  <c:v>471000000</c:v>
                </c:pt>
                <c:pt idx="27">
                  <c:v>200000000</c:v>
                </c:pt>
                <c:pt idx="28">
                  <c:v>1972000000</c:v>
                </c:pt>
                <c:pt idx="29">
                  <c:v>833000000</c:v>
                </c:pt>
                <c:pt idx="30">
                  <c:v>4200000000</c:v>
                </c:pt>
                <c:pt idx="31">
                  <c:v>466000000</c:v>
                </c:pt>
                <c:pt idx="32">
                  <c:v>589000000</c:v>
                </c:pt>
                <c:pt idx="33">
                  <c:v>250000000</c:v>
                </c:pt>
              </c:numCache>
            </c:numRef>
          </c:val>
        </c:ser>
        <c:gapWidth val="100"/>
        <c:overlap val="0"/>
        <c:axId val="62912601"/>
        <c:axId val="51604778"/>
      </c:barChart>
      <c:catAx>
        <c:axId val="6291260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85798670932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1604778"/>
        <c:crosses val="autoZero"/>
        <c:auto val="1"/>
        <c:lblAlgn val="ctr"/>
        <c:lblOffset val="100"/>
        <c:noMultiLvlLbl val="0"/>
      </c:catAx>
      <c:valAx>
        <c:axId val="5160477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2099251673887"/>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2912601"/>
        <c:crosses val="max"/>
        <c:crossBetween val="midCat"/>
        <c:majorUnit val="1000000"/>
      </c:valAx>
      <c:spPr>
        <a:noFill/>
        <a:ln w="0">
          <a:solidFill>
            <a:srgbClr val="b3b3b3"/>
          </a:solidFill>
        </a:ln>
      </c:spPr>
    </c:plotArea>
    <c:legend>
      <c:legendPos val="r"/>
      <c:layout>
        <c:manualLayout>
          <c:xMode val="edge"/>
          <c:yMode val="edge"/>
          <c:x val="0.804316150120112"/>
          <c:y val="0.07678487928531"/>
          <c:w val="0.170132325141777"/>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Earned Income Tax Credit Refund</a:t>
            </a:r>
          </a:p>
        </c:rich>
      </c:tx>
      <c:layout>
        <c:manualLayout>
          <c:xMode val="edge"/>
          <c:yMode val="edge"/>
          <c:x val="0.243363528948405"/>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'LSD.RID.0.FL'!$C$1246</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'LSD.RID.0.FL'!$C$1248:$C$1281</c:f>
              <c:numCache>
                <c:formatCode>[$$-409]#,##0;\-[$$-409]#,##0</c:formatCode>
                <c:ptCount val="34"/>
                <c:pt idx="0">
                  <c:v>338000000</c:v>
                </c:pt>
                <c:pt idx="1">
                  <c:v>169000000</c:v>
                </c:pt>
                <c:pt idx="2">
                  <c:v>2590000000</c:v>
                </c:pt>
                <c:pt idx="3">
                  <c:v>1300000000</c:v>
                </c:pt>
                <c:pt idx="4">
                  <c:v>5016000000</c:v>
                </c:pt>
                <c:pt idx="5">
                  <c:v>2504000000</c:v>
                </c:pt>
                <c:pt idx="6">
                  <c:v>1050000000</c:v>
                </c:pt>
                <c:pt idx="7">
                  <c:v>525000000</c:v>
                </c:pt>
                <c:pt idx="8">
                  <c:v>1611000000</c:v>
                </c:pt>
                <c:pt idx="9">
                  <c:v>804000000</c:v>
                </c:pt>
                <c:pt idx="10">
                  <c:v>1578000000</c:v>
                </c:pt>
                <c:pt idx="11">
                  <c:v>788000000</c:v>
                </c:pt>
                <c:pt idx="12">
                  <c:v>6004000000</c:v>
                </c:pt>
                <c:pt idx="13">
                  <c:v>2997000000</c:v>
                </c:pt>
                <c:pt idx="14">
                  <c:v>600000000</c:v>
                </c:pt>
                <c:pt idx="15">
                  <c:v>300000000</c:v>
                </c:pt>
                <c:pt idx="16">
                  <c:v>321000000</c:v>
                </c:pt>
                <c:pt idx="17">
                  <c:v>160000000</c:v>
                </c:pt>
                <c:pt idx="18">
                  <c:v>4440000000</c:v>
                </c:pt>
                <c:pt idx="19">
                  <c:v>2217000000</c:v>
                </c:pt>
                <c:pt idx="20">
                  <c:v>6106000000</c:v>
                </c:pt>
                <c:pt idx="21">
                  <c:v>3048000000</c:v>
                </c:pt>
                <c:pt idx="22">
                  <c:v>1627000000</c:v>
                </c:pt>
                <c:pt idx="23">
                  <c:v>812000000</c:v>
                </c:pt>
                <c:pt idx="24">
                  <c:v>2599000000</c:v>
                </c:pt>
                <c:pt idx="25">
                  <c:v>1297000000</c:v>
                </c:pt>
                <c:pt idx="26">
                  <c:v>600000000</c:v>
                </c:pt>
                <c:pt idx="27">
                  <c:v>300000000</c:v>
                </c:pt>
                <c:pt idx="28">
                  <c:v>2980000000</c:v>
                </c:pt>
                <c:pt idx="29">
                  <c:v>1490000000</c:v>
                </c:pt>
                <c:pt idx="30">
                  <c:v>9800000000</c:v>
                </c:pt>
                <c:pt idx="31">
                  <c:v>1090000000</c:v>
                </c:pt>
                <c:pt idx="32">
                  <c:v>1446000000</c:v>
                </c:pt>
                <c:pt idx="33">
                  <c:v>722000000</c:v>
                </c:pt>
              </c:numCache>
            </c:numRef>
          </c:val>
        </c:ser>
        <c:ser>
          <c:idx val="1"/>
          <c:order val="1"/>
          <c:tx>
            <c:strRef>
              <c:f>'LSD.RID.0.FL'!$D$1246</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'LSD.RID.0.FL'!$D$1248:$D$1281</c:f>
              <c:numCache>
                <c:formatCode>[$$-409]#,##0;\-[$$-409]#,##0</c:formatCode>
                <c:ptCount val="34"/>
                <c:pt idx="0">
                  <c:v>75000000</c:v>
                </c:pt>
                <c:pt idx="1">
                  <c:v>37500000</c:v>
                </c:pt>
                <c:pt idx="2">
                  <c:v>573000000</c:v>
                </c:pt>
                <c:pt idx="3">
                  <c:v>288000000</c:v>
                </c:pt>
                <c:pt idx="4">
                  <c:v>1110000000</c:v>
                </c:pt>
                <c:pt idx="5">
                  <c:v>554000000</c:v>
                </c:pt>
                <c:pt idx="6">
                  <c:v>232000000</c:v>
                </c:pt>
                <c:pt idx="7">
                  <c:v>116000000</c:v>
                </c:pt>
                <c:pt idx="8">
                  <c:v>357000000</c:v>
                </c:pt>
                <c:pt idx="9">
                  <c:v>178000000</c:v>
                </c:pt>
                <c:pt idx="10">
                  <c:v>349000000</c:v>
                </c:pt>
                <c:pt idx="11">
                  <c:v>174000000</c:v>
                </c:pt>
                <c:pt idx="12">
                  <c:v>1329000000</c:v>
                </c:pt>
                <c:pt idx="13">
                  <c:v>663000000</c:v>
                </c:pt>
                <c:pt idx="14">
                  <c:v>133000000</c:v>
                </c:pt>
                <c:pt idx="15">
                  <c:v>66000000</c:v>
                </c:pt>
                <c:pt idx="16">
                  <c:v>71000000</c:v>
                </c:pt>
                <c:pt idx="17">
                  <c:v>35000000</c:v>
                </c:pt>
                <c:pt idx="18">
                  <c:v>983000000</c:v>
                </c:pt>
                <c:pt idx="19">
                  <c:v>491000000</c:v>
                </c:pt>
                <c:pt idx="20">
                  <c:v>1351000000</c:v>
                </c:pt>
                <c:pt idx="21">
                  <c:v>675000000</c:v>
                </c:pt>
                <c:pt idx="22">
                  <c:v>360000000</c:v>
                </c:pt>
                <c:pt idx="23">
                  <c:v>180000000</c:v>
                </c:pt>
                <c:pt idx="24">
                  <c:v>575000000</c:v>
                </c:pt>
                <c:pt idx="25">
                  <c:v>287000000</c:v>
                </c:pt>
                <c:pt idx="26">
                  <c:v>133000000</c:v>
                </c:pt>
                <c:pt idx="27">
                  <c:v>66000000</c:v>
                </c:pt>
                <c:pt idx="28">
                  <c:v>659000000</c:v>
                </c:pt>
                <c:pt idx="29">
                  <c:v>330000000</c:v>
                </c:pt>
                <c:pt idx="30">
                  <c:v>3900000000</c:v>
                </c:pt>
                <c:pt idx="31">
                  <c:v>435000000</c:v>
                </c:pt>
                <c:pt idx="32">
                  <c:v>320000000</c:v>
                </c:pt>
                <c:pt idx="33">
                  <c:v>160000000</c:v>
                </c:pt>
              </c:numCache>
            </c:numRef>
          </c:val>
        </c:ser>
        <c:ser>
          <c:idx val="2"/>
          <c:order val="2"/>
          <c:tx>
            <c:strRef>
              <c:f>'LSD.RID.0.FL'!$E$1246</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'LSD.RID.0.FL'!$E$1248:$E$1281</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'LSD.RID.0.FL'!$F$1246</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'LSD.RID.0.FL'!$F$1248:$F$1281</c:f>
              <c:numCache>
                <c:formatCode>[$$-409]#,##0;\-[$$-409]#,##0</c:formatCode>
                <c:ptCount val="34"/>
                <c:pt idx="0">
                  <c:v>263000000</c:v>
                </c:pt>
                <c:pt idx="1">
                  <c:v>131500000</c:v>
                </c:pt>
                <c:pt idx="2">
                  <c:v>2017000000</c:v>
                </c:pt>
                <c:pt idx="3">
                  <c:v>1012000000</c:v>
                </c:pt>
                <c:pt idx="4">
                  <c:v>3906000000</c:v>
                </c:pt>
                <c:pt idx="5">
                  <c:v>1950000000</c:v>
                </c:pt>
                <c:pt idx="6">
                  <c:v>816000000</c:v>
                </c:pt>
                <c:pt idx="7">
                  <c:v>409000000</c:v>
                </c:pt>
                <c:pt idx="8">
                  <c:v>1255000000</c:v>
                </c:pt>
                <c:pt idx="9">
                  <c:v>626000000</c:v>
                </c:pt>
                <c:pt idx="10">
                  <c:v>1229000000</c:v>
                </c:pt>
                <c:pt idx="11">
                  <c:v>614000000</c:v>
                </c:pt>
                <c:pt idx="12">
                  <c:v>4675000000</c:v>
                </c:pt>
                <c:pt idx="13">
                  <c:v>2334000000</c:v>
                </c:pt>
                <c:pt idx="14">
                  <c:v>468000000</c:v>
                </c:pt>
                <c:pt idx="15">
                  <c:v>233000000</c:v>
                </c:pt>
                <c:pt idx="16">
                  <c:v>250000000</c:v>
                </c:pt>
                <c:pt idx="17">
                  <c:v>125000000</c:v>
                </c:pt>
                <c:pt idx="18">
                  <c:v>3458000000</c:v>
                </c:pt>
                <c:pt idx="19">
                  <c:v>1726000000</c:v>
                </c:pt>
                <c:pt idx="20">
                  <c:v>4755000000</c:v>
                </c:pt>
                <c:pt idx="21">
                  <c:v>2374000000</c:v>
                </c:pt>
                <c:pt idx="22">
                  <c:v>1267000000</c:v>
                </c:pt>
                <c:pt idx="23">
                  <c:v>633000000</c:v>
                </c:pt>
                <c:pt idx="24">
                  <c:v>2023000000</c:v>
                </c:pt>
                <c:pt idx="25">
                  <c:v>1010000000</c:v>
                </c:pt>
                <c:pt idx="26">
                  <c:v>468000000</c:v>
                </c:pt>
                <c:pt idx="27">
                  <c:v>233000000</c:v>
                </c:pt>
                <c:pt idx="28">
                  <c:v>2319000000</c:v>
                </c:pt>
                <c:pt idx="29">
                  <c:v>1160000000</c:v>
                </c:pt>
                <c:pt idx="30">
                  <c:v>9410000000</c:v>
                </c:pt>
                <c:pt idx="31">
                  <c:v>1045000000</c:v>
                </c:pt>
                <c:pt idx="32">
                  <c:v>1126000000</c:v>
                </c:pt>
                <c:pt idx="33">
                  <c:v>562000000</c:v>
                </c:pt>
              </c:numCache>
            </c:numRef>
          </c:val>
        </c:ser>
        <c:gapWidth val="100"/>
        <c:overlap val="0"/>
        <c:axId val="96147232"/>
        <c:axId val="21857044"/>
      </c:barChart>
      <c:catAx>
        <c:axId val="9614723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83337435392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1857044"/>
        <c:crosses val="autoZero"/>
        <c:auto val="1"/>
        <c:lblAlgn val="ctr"/>
        <c:lblOffset val="100"/>
        <c:noMultiLvlLbl val="0"/>
      </c:catAx>
      <c:valAx>
        <c:axId val="2185704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178022843639"/>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6147232"/>
        <c:crosses val="max"/>
        <c:crossBetween val="midCat"/>
        <c:majorUnit val="1000000"/>
      </c:valAx>
      <c:spPr>
        <a:noFill/>
        <a:ln w="0">
          <a:solidFill>
            <a:srgbClr val="b3b3b3"/>
          </a:solidFill>
        </a:ln>
      </c:spPr>
    </c:plotArea>
    <c:legend>
      <c:legendPos val="r"/>
      <c:layout>
        <c:manualLayout>
          <c:xMode val="edge"/>
          <c:yMode val="edge"/>
          <c:x val="0.804276769188359"/>
          <c:y val="0.07678487928531"/>
          <c:w val="0.170132325141777"/>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Additional Child Tax Credit Refund</a:t>
            </a:r>
          </a:p>
        </c:rich>
      </c:tx>
      <c:layout>
        <c:manualLayout>
          <c:xMode val="edge"/>
          <c:yMode val="edge"/>
          <c:x val="0.243324143363529"/>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'LSD.RID.0.FL'!$C$1380</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'LSD.RID.0.FL'!$C$1382:$C$1415</c:f>
              <c:numCache>
                <c:formatCode>[$$-409]#,##0;\-[$$-409]#,##0</c:formatCode>
                <c:ptCount val="34"/>
                <c:pt idx="0">
                  <c:v>155000000</c:v>
                </c:pt>
                <c:pt idx="1">
                  <c:v>77500000</c:v>
                </c:pt>
                <c:pt idx="2">
                  <c:v>1190000000</c:v>
                </c:pt>
                <c:pt idx="3">
                  <c:v>595000000</c:v>
                </c:pt>
                <c:pt idx="4">
                  <c:v>2299000000</c:v>
                </c:pt>
                <c:pt idx="5">
                  <c:v>1148000000</c:v>
                </c:pt>
                <c:pt idx="6">
                  <c:v>485000000</c:v>
                </c:pt>
                <c:pt idx="7">
                  <c:v>242000000</c:v>
                </c:pt>
                <c:pt idx="8">
                  <c:v>739000000</c:v>
                </c:pt>
                <c:pt idx="9">
                  <c:v>369000000</c:v>
                </c:pt>
                <c:pt idx="10">
                  <c:v>723000000</c:v>
                </c:pt>
                <c:pt idx="11">
                  <c:v>361000000</c:v>
                </c:pt>
                <c:pt idx="12">
                  <c:v>2752000000</c:v>
                </c:pt>
                <c:pt idx="13">
                  <c:v>1374000000</c:v>
                </c:pt>
                <c:pt idx="14">
                  <c:v>275000000</c:v>
                </c:pt>
                <c:pt idx="15">
                  <c:v>137000000</c:v>
                </c:pt>
                <c:pt idx="16">
                  <c:v>147000000</c:v>
                </c:pt>
                <c:pt idx="17">
                  <c:v>73000000</c:v>
                </c:pt>
                <c:pt idx="18">
                  <c:v>2035000000</c:v>
                </c:pt>
                <c:pt idx="19">
                  <c:v>1016000000</c:v>
                </c:pt>
                <c:pt idx="20">
                  <c:v>2799000000</c:v>
                </c:pt>
                <c:pt idx="21">
                  <c:v>1397000000</c:v>
                </c:pt>
                <c:pt idx="22">
                  <c:v>746000000</c:v>
                </c:pt>
                <c:pt idx="23">
                  <c:v>372000000</c:v>
                </c:pt>
                <c:pt idx="24">
                  <c:v>1191000000</c:v>
                </c:pt>
                <c:pt idx="25">
                  <c:v>595000000</c:v>
                </c:pt>
                <c:pt idx="26">
                  <c:v>275000000</c:v>
                </c:pt>
                <c:pt idx="27">
                  <c:v>137000000</c:v>
                </c:pt>
                <c:pt idx="28">
                  <c:v>1060000000</c:v>
                </c:pt>
                <c:pt idx="29">
                  <c:v>530000000</c:v>
                </c:pt>
                <c:pt idx="30">
                  <c:v>7800000000</c:v>
                </c:pt>
                <c:pt idx="31">
                  <c:v>865000000</c:v>
                </c:pt>
                <c:pt idx="32">
                  <c:v>663000000</c:v>
                </c:pt>
                <c:pt idx="33">
                  <c:v>331000000</c:v>
                </c:pt>
              </c:numCache>
            </c:numRef>
          </c:val>
        </c:ser>
        <c:ser>
          <c:idx val="1"/>
          <c:order val="1"/>
          <c:tx>
            <c:strRef>
              <c:f>'LSD.RID.0.FL'!$D$1380</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'LSD.RID.0.FL'!$D$1382:$D$1415</c:f>
              <c:numCache>
                <c:formatCode>[$$-409]#,##0;\-[$$-409]#,##0</c:formatCode>
                <c:ptCount val="34"/>
                <c:pt idx="0">
                  <c:v>39000000</c:v>
                </c:pt>
                <c:pt idx="1">
                  <c:v>19500000</c:v>
                </c:pt>
                <c:pt idx="2">
                  <c:v>304000000</c:v>
                </c:pt>
                <c:pt idx="3">
                  <c:v>152000000</c:v>
                </c:pt>
                <c:pt idx="4">
                  <c:v>586000000</c:v>
                </c:pt>
                <c:pt idx="5">
                  <c:v>292000000</c:v>
                </c:pt>
                <c:pt idx="6">
                  <c:v>123000000</c:v>
                </c:pt>
                <c:pt idx="7">
                  <c:v>61500000</c:v>
                </c:pt>
                <c:pt idx="8">
                  <c:v>188000000</c:v>
                </c:pt>
                <c:pt idx="9">
                  <c:v>94000000</c:v>
                </c:pt>
                <c:pt idx="10">
                  <c:v>184000000</c:v>
                </c:pt>
                <c:pt idx="11">
                  <c:v>92000000</c:v>
                </c:pt>
                <c:pt idx="12">
                  <c:v>701000000</c:v>
                </c:pt>
                <c:pt idx="13">
                  <c:v>350000000</c:v>
                </c:pt>
                <c:pt idx="14">
                  <c:v>70000000</c:v>
                </c:pt>
                <c:pt idx="15">
                  <c:v>35000000</c:v>
                </c:pt>
                <c:pt idx="16">
                  <c:v>37000000</c:v>
                </c:pt>
                <c:pt idx="17">
                  <c:v>19000000</c:v>
                </c:pt>
                <c:pt idx="18">
                  <c:v>518000000</c:v>
                </c:pt>
                <c:pt idx="19">
                  <c:v>259000000</c:v>
                </c:pt>
                <c:pt idx="20">
                  <c:v>713000000</c:v>
                </c:pt>
                <c:pt idx="21">
                  <c:v>356000000</c:v>
                </c:pt>
                <c:pt idx="22">
                  <c:v>190000000</c:v>
                </c:pt>
                <c:pt idx="23">
                  <c:v>95000000</c:v>
                </c:pt>
                <c:pt idx="24">
                  <c:v>303000000</c:v>
                </c:pt>
                <c:pt idx="25">
                  <c:v>151000000</c:v>
                </c:pt>
                <c:pt idx="26">
                  <c:v>70000000</c:v>
                </c:pt>
                <c:pt idx="27">
                  <c:v>35000000</c:v>
                </c:pt>
                <c:pt idx="28">
                  <c:v>270000000</c:v>
                </c:pt>
                <c:pt idx="29">
                  <c:v>135000000</c:v>
                </c:pt>
                <c:pt idx="30">
                  <c:v>1950000000</c:v>
                </c:pt>
                <c:pt idx="31">
                  <c:v>216000000</c:v>
                </c:pt>
                <c:pt idx="32">
                  <c:v>169000000</c:v>
                </c:pt>
                <c:pt idx="33">
                  <c:v>84000000</c:v>
                </c:pt>
              </c:numCache>
            </c:numRef>
          </c:val>
        </c:ser>
        <c:ser>
          <c:idx val="2"/>
          <c:order val="2"/>
          <c:tx>
            <c:strRef>
              <c:f>'LSD.RID.0.FL'!$E$1380</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'LSD.RID.0.FL'!$E$1382:$E$1415</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'LSD.RID.0.FL'!$F$1380</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'LSD.RID.0.FL'!$F$1382:$F$1415</c:f>
              <c:numCache>
                <c:formatCode>[$$-409]#,##0;\-[$$-409]#,##0</c:formatCode>
                <c:ptCount val="34"/>
                <c:pt idx="0">
                  <c:v>116000000</c:v>
                </c:pt>
                <c:pt idx="1">
                  <c:v>58000000</c:v>
                </c:pt>
                <c:pt idx="2">
                  <c:v>886000000</c:v>
                </c:pt>
                <c:pt idx="3">
                  <c:v>443000000</c:v>
                </c:pt>
                <c:pt idx="4">
                  <c:v>1714000000</c:v>
                </c:pt>
                <c:pt idx="5">
                  <c:v>855000000</c:v>
                </c:pt>
                <c:pt idx="6">
                  <c:v>362000000</c:v>
                </c:pt>
                <c:pt idx="7">
                  <c:v>180500000</c:v>
                </c:pt>
                <c:pt idx="8">
                  <c:v>550000000</c:v>
                </c:pt>
                <c:pt idx="9">
                  <c:v>275000000</c:v>
                </c:pt>
                <c:pt idx="10">
                  <c:v>539000000</c:v>
                </c:pt>
                <c:pt idx="11">
                  <c:v>269000000</c:v>
                </c:pt>
                <c:pt idx="12">
                  <c:v>2051000000</c:v>
                </c:pt>
                <c:pt idx="13">
                  <c:v>1024000000</c:v>
                </c:pt>
                <c:pt idx="14">
                  <c:v>205000000</c:v>
                </c:pt>
                <c:pt idx="15">
                  <c:v>102000000</c:v>
                </c:pt>
                <c:pt idx="16">
                  <c:v>110000000</c:v>
                </c:pt>
                <c:pt idx="17">
                  <c:v>55000000</c:v>
                </c:pt>
                <c:pt idx="18">
                  <c:v>1517000000</c:v>
                </c:pt>
                <c:pt idx="19">
                  <c:v>757000000</c:v>
                </c:pt>
                <c:pt idx="20">
                  <c:v>2086000000</c:v>
                </c:pt>
                <c:pt idx="21">
                  <c:v>1041000000</c:v>
                </c:pt>
                <c:pt idx="22">
                  <c:v>556000000</c:v>
                </c:pt>
                <c:pt idx="23">
                  <c:v>278000000</c:v>
                </c:pt>
                <c:pt idx="24">
                  <c:v>888000000</c:v>
                </c:pt>
                <c:pt idx="25">
                  <c:v>443000000</c:v>
                </c:pt>
                <c:pt idx="26">
                  <c:v>205000000</c:v>
                </c:pt>
                <c:pt idx="27">
                  <c:v>102000000</c:v>
                </c:pt>
                <c:pt idx="28">
                  <c:v>790000000</c:v>
                </c:pt>
                <c:pt idx="29">
                  <c:v>395000000</c:v>
                </c:pt>
                <c:pt idx="30">
                  <c:v>5850000000</c:v>
                </c:pt>
                <c:pt idx="31">
                  <c:v>649000000</c:v>
                </c:pt>
                <c:pt idx="32">
                  <c:v>494000000</c:v>
                </c:pt>
                <c:pt idx="33">
                  <c:v>247000000</c:v>
                </c:pt>
              </c:numCache>
            </c:numRef>
          </c:val>
        </c:ser>
        <c:gapWidth val="100"/>
        <c:overlap val="0"/>
        <c:axId val="70023059"/>
        <c:axId val="86140898"/>
      </c:barChart>
      <c:catAx>
        <c:axId val="7002305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75953728771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6140898"/>
        <c:crosses val="autoZero"/>
        <c:auto val="1"/>
        <c:lblAlgn val="ctr"/>
        <c:lblOffset val="100"/>
        <c:noMultiLvlLbl val="0"/>
      </c:catAx>
      <c:valAx>
        <c:axId val="8614089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82355257975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0023059"/>
        <c:crosses val="max"/>
        <c:crossBetween val="midCat"/>
        <c:majorUnit val="1000000"/>
      </c:valAx>
      <c:spPr>
        <a:noFill/>
        <a:ln w="0">
          <a:solidFill>
            <a:srgbClr val="b3b3b3"/>
          </a:solidFill>
        </a:ln>
      </c:spPr>
    </c:plotArea>
    <c:legend>
      <c:legendPos val="r"/>
      <c:layout>
        <c:manualLayout>
          <c:xMode val="edge"/>
          <c:yMode val="edge"/>
          <c:x val="0.804276769188359"/>
          <c:y val="0.07678487928531"/>
          <c:w val="0.170132325141777"/>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Additional Child Tax Credit Refund</a:t>
            </a:r>
          </a:p>
        </c:rich>
      </c:tx>
      <c:layout>
        <c:manualLayout>
          <c:xMode val="edge"/>
          <c:yMode val="edge"/>
          <c:x val="0.243402914533281"/>
          <c:y val="0.0114201329067192"/>
        </c:manualLayout>
      </c:layout>
      <c:overlay val="0"/>
      <c:spPr>
        <a:noFill/>
        <a:ln w="0">
          <a:noFill/>
        </a:ln>
      </c:spPr>
    </c:title>
    <c:autoTitleDeleted val="0"/>
    <c:plotArea>
      <c:layout>
        <c:manualLayout>
          <c:layoutTarget val="inner"/>
          <c:xMode val="edge"/>
          <c:yMode val="edge"/>
          <c:x val="0.299881843245372"/>
          <c:y val="0.0468619246861925"/>
          <c:w val="0.470894052776684"/>
          <c:h val="0.87489539748954"/>
        </c:manualLayout>
      </c:layout>
      <c:barChart>
        <c:barDir val="bar"/>
        <c:grouping val="clustered"/>
        <c:varyColors val="0"/>
        <c:ser>
          <c:idx val="0"/>
          <c:order val="0"/>
          <c:tx>
            <c:strRef>
              <c:f>'LSD.RID.0.FL'!$C$1513</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'LSD.RID.0.FL'!$C$1515:$C$1548</c:f>
              <c:numCache>
                <c:formatCode>[$$-409]#,##0;\-[$$-409]#,##0</c:formatCode>
                <c:ptCount val="34"/>
                <c:pt idx="0">
                  <c:v>12000000</c:v>
                </c:pt>
                <c:pt idx="1">
                  <c:v>6000000</c:v>
                </c:pt>
                <c:pt idx="2">
                  <c:v>114000000</c:v>
                </c:pt>
                <c:pt idx="3">
                  <c:v>57000000</c:v>
                </c:pt>
                <c:pt idx="4">
                  <c:v>319000000</c:v>
                </c:pt>
                <c:pt idx="5">
                  <c:v>159000000</c:v>
                </c:pt>
                <c:pt idx="6">
                  <c:v>46000000</c:v>
                </c:pt>
                <c:pt idx="7">
                  <c:v>23000000</c:v>
                </c:pt>
                <c:pt idx="8">
                  <c:v>87000000</c:v>
                </c:pt>
                <c:pt idx="9">
                  <c:v>43000000</c:v>
                </c:pt>
                <c:pt idx="10">
                  <c:v>85000000</c:v>
                </c:pt>
                <c:pt idx="11">
                  <c:v>42000000</c:v>
                </c:pt>
                <c:pt idx="12">
                  <c:v>382000000</c:v>
                </c:pt>
                <c:pt idx="13">
                  <c:v>191000000</c:v>
                </c:pt>
                <c:pt idx="14">
                  <c:v>26000000</c:v>
                </c:pt>
                <c:pt idx="15">
                  <c:v>13000000</c:v>
                </c:pt>
                <c:pt idx="16">
                  <c:v>17000000</c:v>
                </c:pt>
                <c:pt idx="17">
                  <c:v>9000000</c:v>
                </c:pt>
                <c:pt idx="18">
                  <c:v>326000000</c:v>
                </c:pt>
                <c:pt idx="19">
                  <c:v>163000000</c:v>
                </c:pt>
                <c:pt idx="20">
                  <c:v>688000000</c:v>
                </c:pt>
                <c:pt idx="21">
                  <c:v>343000000</c:v>
                </c:pt>
                <c:pt idx="22">
                  <c:v>183000000</c:v>
                </c:pt>
                <c:pt idx="23">
                  <c:v>91000000</c:v>
                </c:pt>
                <c:pt idx="24">
                  <c:v>216000000</c:v>
                </c:pt>
                <c:pt idx="25">
                  <c:v>108000000</c:v>
                </c:pt>
                <c:pt idx="26">
                  <c:v>50000000</c:v>
                </c:pt>
                <c:pt idx="27">
                  <c:v>25000000</c:v>
                </c:pt>
                <c:pt idx="28">
                  <c:v>260000000</c:v>
                </c:pt>
                <c:pt idx="29">
                  <c:v>130000000</c:v>
                </c:pt>
                <c:pt idx="30">
                  <c:v>1200000000</c:v>
                </c:pt>
                <c:pt idx="31">
                  <c:v>133000000</c:v>
                </c:pt>
                <c:pt idx="32">
                  <c:v>92000000</c:v>
                </c:pt>
                <c:pt idx="33">
                  <c:v>46000000</c:v>
                </c:pt>
              </c:numCache>
            </c:numRef>
          </c:val>
        </c:ser>
        <c:ser>
          <c:idx val="1"/>
          <c:order val="1"/>
          <c:tx>
            <c:strRef>
              <c:f>'LSD.RID.0.FL'!$D$1513</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'LSD.RID.0.FL'!$D$1515:$D$1548</c:f>
              <c:numCache>
                <c:formatCode>[$$-409]#,##0;\-[$$-409]#,##0</c:formatCode>
                <c:ptCount val="34"/>
                <c:pt idx="0">
                  <c:v>2200000</c:v>
                </c:pt>
                <c:pt idx="1">
                  <c:v>1100000</c:v>
                </c:pt>
                <c:pt idx="2">
                  <c:v>24000000</c:v>
                </c:pt>
                <c:pt idx="3">
                  <c:v>12000000</c:v>
                </c:pt>
                <c:pt idx="4">
                  <c:v>68000000</c:v>
                </c:pt>
                <c:pt idx="5">
                  <c:v>34000000</c:v>
                </c:pt>
                <c:pt idx="6">
                  <c:v>9500000</c:v>
                </c:pt>
                <c:pt idx="7">
                  <c:v>4750000</c:v>
                </c:pt>
                <c:pt idx="8">
                  <c:v>19000000</c:v>
                </c:pt>
                <c:pt idx="9">
                  <c:v>9000000</c:v>
                </c:pt>
                <c:pt idx="10">
                  <c:v>18000000</c:v>
                </c:pt>
                <c:pt idx="11">
                  <c:v>9000000</c:v>
                </c:pt>
                <c:pt idx="12">
                  <c:v>82000000</c:v>
                </c:pt>
                <c:pt idx="13">
                  <c:v>41000000</c:v>
                </c:pt>
                <c:pt idx="14">
                  <c:v>6000000</c:v>
                </c:pt>
                <c:pt idx="15">
                  <c:v>3000000</c:v>
                </c:pt>
                <c:pt idx="16">
                  <c:v>4000000</c:v>
                </c:pt>
                <c:pt idx="17">
                  <c:v>2000000</c:v>
                </c:pt>
                <c:pt idx="18">
                  <c:v>70000000</c:v>
                </c:pt>
                <c:pt idx="19">
                  <c:v>35000000</c:v>
                </c:pt>
                <c:pt idx="20">
                  <c:v>147000000</c:v>
                </c:pt>
                <c:pt idx="21">
                  <c:v>74000000</c:v>
                </c:pt>
                <c:pt idx="22">
                  <c:v>39000000</c:v>
                </c:pt>
                <c:pt idx="23">
                  <c:v>20000000</c:v>
                </c:pt>
                <c:pt idx="24">
                  <c:v>46000000</c:v>
                </c:pt>
                <c:pt idx="25">
                  <c:v>23000000</c:v>
                </c:pt>
                <c:pt idx="26">
                  <c:v>11000000</c:v>
                </c:pt>
                <c:pt idx="27">
                  <c:v>5000000</c:v>
                </c:pt>
                <c:pt idx="28">
                  <c:v>56000000</c:v>
                </c:pt>
                <c:pt idx="29">
                  <c:v>28000000</c:v>
                </c:pt>
                <c:pt idx="30">
                  <c:v>300000000</c:v>
                </c:pt>
                <c:pt idx="31">
                  <c:v>33000000</c:v>
                </c:pt>
                <c:pt idx="32">
                  <c:v>20000000</c:v>
                </c:pt>
                <c:pt idx="33">
                  <c:v>10000000</c:v>
                </c:pt>
              </c:numCache>
            </c:numRef>
          </c:val>
        </c:ser>
        <c:ser>
          <c:idx val="2"/>
          <c:order val="2"/>
          <c:tx>
            <c:strRef>
              <c:f>'LSD.RID.0.FL'!$E$1513</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'LSD.RID.0.FL'!$E$1515:$E$1548</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'LSD.RID.0.FL'!$F$1513</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'LSD.RID.0.FL'!$F$1515:$F$1548</c:f>
              <c:numCache>
                <c:formatCode>[$$-409]#,##0;\-[$$-409]#,##0</c:formatCode>
                <c:ptCount val="34"/>
                <c:pt idx="0">
                  <c:v>9800000</c:v>
                </c:pt>
                <c:pt idx="1">
                  <c:v>4900000</c:v>
                </c:pt>
                <c:pt idx="2">
                  <c:v>90000000</c:v>
                </c:pt>
                <c:pt idx="3">
                  <c:v>45000000</c:v>
                </c:pt>
                <c:pt idx="4">
                  <c:v>251000000</c:v>
                </c:pt>
                <c:pt idx="5">
                  <c:v>125000000</c:v>
                </c:pt>
                <c:pt idx="6">
                  <c:v>36500000</c:v>
                </c:pt>
                <c:pt idx="7">
                  <c:v>18250000</c:v>
                </c:pt>
                <c:pt idx="8">
                  <c:v>68000000</c:v>
                </c:pt>
                <c:pt idx="9">
                  <c:v>34000000</c:v>
                </c:pt>
                <c:pt idx="10">
                  <c:v>67000000</c:v>
                </c:pt>
                <c:pt idx="11">
                  <c:v>33000000</c:v>
                </c:pt>
                <c:pt idx="12">
                  <c:v>300000000</c:v>
                </c:pt>
                <c:pt idx="13">
                  <c:v>150000000</c:v>
                </c:pt>
                <c:pt idx="14">
                  <c:v>21000000</c:v>
                </c:pt>
                <c:pt idx="15">
                  <c:v>10000000</c:v>
                </c:pt>
                <c:pt idx="16">
                  <c:v>14000000</c:v>
                </c:pt>
                <c:pt idx="17">
                  <c:v>7000000</c:v>
                </c:pt>
                <c:pt idx="18">
                  <c:v>256000000</c:v>
                </c:pt>
                <c:pt idx="19">
                  <c:v>128000000</c:v>
                </c:pt>
                <c:pt idx="20">
                  <c:v>540000000</c:v>
                </c:pt>
                <c:pt idx="21">
                  <c:v>270000000</c:v>
                </c:pt>
                <c:pt idx="22">
                  <c:v>144000000</c:v>
                </c:pt>
                <c:pt idx="23">
                  <c:v>72000000</c:v>
                </c:pt>
                <c:pt idx="24">
                  <c:v>170000000</c:v>
                </c:pt>
                <c:pt idx="25">
                  <c:v>85000000</c:v>
                </c:pt>
                <c:pt idx="26">
                  <c:v>39000000</c:v>
                </c:pt>
                <c:pt idx="27">
                  <c:v>20000000</c:v>
                </c:pt>
                <c:pt idx="28">
                  <c:v>204000000</c:v>
                </c:pt>
                <c:pt idx="29">
                  <c:v>102000000</c:v>
                </c:pt>
                <c:pt idx="30">
                  <c:v>900000000</c:v>
                </c:pt>
                <c:pt idx="31">
                  <c:v>100000000</c:v>
                </c:pt>
                <c:pt idx="32">
                  <c:v>72000000</c:v>
                </c:pt>
                <c:pt idx="33">
                  <c:v>36000000</c:v>
                </c:pt>
              </c:numCache>
            </c:numRef>
          </c:val>
        </c:ser>
        <c:gapWidth val="100"/>
        <c:overlap val="0"/>
        <c:axId val="85811247"/>
        <c:axId val="3543169"/>
      </c:barChart>
      <c:catAx>
        <c:axId val="8581124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4497833792832"/>
              <c:y val="0.47873492493231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543169"/>
        <c:crosses val="autoZero"/>
        <c:auto val="1"/>
        <c:lblAlgn val="ctr"/>
        <c:lblOffset val="100"/>
        <c:noMultiLvlLbl val="0"/>
      </c:catAx>
      <c:valAx>
        <c:axId val="354316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823552579756"/>
              <c:y val="0.97004676347526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811247"/>
        <c:crosses val="max"/>
        <c:crossBetween val="midCat"/>
        <c:majorUnit val="500000"/>
      </c:valAx>
      <c:spPr>
        <a:noFill/>
        <a:ln w="0">
          <a:solidFill>
            <a:srgbClr val="b3b3b3"/>
          </a:solidFill>
        </a:ln>
      </c:spPr>
    </c:plotArea>
    <c:legend>
      <c:legendPos val="r"/>
      <c:layout>
        <c:manualLayout>
          <c:xMode val="edge"/>
          <c:yMode val="edge"/>
          <c:x val="0.804276769188359"/>
          <c:y val="0.0767602687470775"/>
          <c:w val="0.170092942659105"/>
          <c:h val="0.1116853711360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
</Relationships>
</file>

<file path=xl/drawings/_rels/drawing2.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 Id="rId9" Type="http://schemas.openxmlformats.org/officeDocument/2006/relationships/chart" Target="../charts/chart21.xml"/><Relationship Id="rId10" Type="http://schemas.openxmlformats.org/officeDocument/2006/relationships/chart" Target="../charts/chart22.xml"/><Relationship Id="rId11" Type="http://schemas.openxmlformats.org/officeDocument/2006/relationships/chart" Target="../charts/chart23.xml"/><Relationship Id="rId12" Type="http://schemas.openxmlformats.org/officeDocument/2006/relationships/chart" Target="../charts/chart24.xml"/>
</Relationships>
</file>

<file path=xl/drawings/_rels/drawing3.xml.rels><?xml version="1.0" encoding="UTF-8"?>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 Id="rId4" Type="http://schemas.openxmlformats.org/officeDocument/2006/relationships/chart" Target="../charts/chart28.xml"/><Relationship Id="rId5" Type="http://schemas.openxmlformats.org/officeDocument/2006/relationships/chart" Target="../charts/chart29.xml"/><Relationship Id="rId6" Type="http://schemas.openxmlformats.org/officeDocument/2006/relationships/chart" Target="../charts/chart30.xml"/><Relationship Id="rId7" Type="http://schemas.openxmlformats.org/officeDocument/2006/relationships/chart" Target="../charts/chart31.xml"/><Relationship Id="rId8" Type="http://schemas.openxmlformats.org/officeDocument/2006/relationships/chart" Target="../charts/chart32.xml"/><Relationship Id="rId9" Type="http://schemas.openxmlformats.org/officeDocument/2006/relationships/chart" Target="../charts/chart33.xml"/><Relationship Id="rId10" Type="http://schemas.openxmlformats.org/officeDocument/2006/relationships/chart" Target="../charts/chart34.xml"/><Relationship Id="rId11" Type="http://schemas.openxmlformats.org/officeDocument/2006/relationships/chart" Target="../charts/chart35.xml"/><Relationship Id="rId12" Type="http://schemas.openxmlformats.org/officeDocument/2006/relationships/chart" Target="../charts/chart3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73</xdr:row>
      <xdr:rowOff>150120</xdr:rowOff>
    </xdr:from>
    <xdr:to>
      <xdr:col>7</xdr:col>
      <xdr:colOff>271080</xdr:colOff>
      <xdr:row>163</xdr:row>
      <xdr:rowOff>146160</xdr:rowOff>
    </xdr:to>
    <xdr:graphicFrame>
      <xdr:nvGraphicFramePr>
        <xdr:cNvPr id="1" name=""/>
        <xdr:cNvGraphicFramePr/>
      </xdr:nvGraphicFramePr>
      <xdr:xfrm>
        <a:off x="805320" y="12858480"/>
        <a:ext cx="9140040" cy="14626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1800</xdr:colOff>
      <xdr:row>204</xdr:row>
      <xdr:rowOff>46800</xdr:rowOff>
    </xdr:from>
    <xdr:to>
      <xdr:col>7</xdr:col>
      <xdr:colOff>280440</xdr:colOff>
      <xdr:row>294</xdr:row>
      <xdr:rowOff>42840</xdr:rowOff>
    </xdr:to>
    <xdr:graphicFrame>
      <xdr:nvGraphicFramePr>
        <xdr:cNvPr id="2" name=""/>
        <xdr:cNvGraphicFramePr/>
      </xdr:nvGraphicFramePr>
      <xdr:xfrm>
        <a:off x="814680" y="34468920"/>
        <a:ext cx="9140040" cy="14626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811080</xdr:colOff>
      <xdr:row>334</xdr:row>
      <xdr:rowOff>18360</xdr:rowOff>
    </xdr:from>
    <xdr:to>
      <xdr:col>7</xdr:col>
      <xdr:colOff>276840</xdr:colOff>
      <xdr:row>424</xdr:row>
      <xdr:rowOff>14400</xdr:rowOff>
    </xdr:to>
    <xdr:graphicFrame>
      <xdr:nvGraphicFramePr>
        <xdr:cNvPr id="3" name=""/>
        <xdr:cNvGraphicFramePr/>
      </xdr:nvGraphicFramePr>
      <xdr:xfrm>
        <a:off x="811080" y="55998000"/>
        <a:ext cx="9140040" cy="14626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1800</xdr:colOff>
      <xdr:row>464</xdr:row>
      <xdr:rowOff>43200</xdr:rowOff>
    </xdr:from>
    <xdr:to>
      <xdr:col>7</xdr:col>
      <xdr:colOff>280440</xdr:colOff>
      <xdr:row>554</xdr:row>
      <xdr:rowOff>39240</xdr:rowOff>
    </xdr:to>
    <xdr:graphicFrame>
      <xdr:nvGraphicFramePr>
        <xdr:cNvPr id="4" name=""/>
        <xdr:cNvGraphicFramePr/>
      </xdr:nvGraphicFramePr>
      <xdr:xfrm>
        <a:off x="814680" y="77580360"/>
        <a:ext cx="9140040" cy="14626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804960</xdr:colOff>
      <xdr:row>594</xdr:row>
      <xdr:rowOff>-720</xdr:rowOff>
    </xdr:from>
    <xdr:to>
      <xdr:col>7</xdr:col>
      <xdr:colOff>270720</xdr:colOff>
      <xdr:row>683</xdr:row>
      <xdr:rowOff>158040</xdr:rowOff>
    </xdr:to>
    <xdr:graphicFrame>
      <xdr:nvGraphicFramePr>
        <xdr:cNvPr id="5" name=""/>
        <xdr:cNvGraphicFramePr/>
      </xdr:nvGraphicFramePr>
      <xdr:xfrm>
        <a:off x="804960" y="99094320"/>
        <a:ext cx="9140040" cy="146264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1440</xdr:colOff>
      <xdr:row>724</xdr:row>
      <xdr:rowOff>32400</xdr:rowOff>
    </xdr:from>
    <xdr:to>
      <xdr:col>7</xdr:col>
      <xdr:colOff>280080</xdr:colOff>
      <xdr:row>814</xdr:row>
      <xdr:rowOff>28440</xdr:rowOff>
    </xdr:to>
    <xdr:graphicFrame>
      <xdr:nvGraphicFramePr>
        <xdr:cNvPr id="6" name=""/>
        <xdr:cNvGraphicFramePr/>
      </xdr:nvGraphicFramePr>
      <xdr:xfrm>
        <a:off x="814320" y="120542760"/>
        <a:ext cx="9140040" cy="146264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360</xdr:colOff>
      <xdr:row>854</xdr:row>
      <xdr:rowOff>22680</xdr:rowOff>
    </xdr:from>
    <xdr:to>
      <xdr:col>7</xdr:col>
      <xdr:colOff>279000</xdr:colOff>
      <xdr:row>944</xdr:row>
      <xdr:rowOff>18720</xdr:rowOff>
    </xdr:to>
    <xdr:graphicFrame>
      <xdr:nvGraphicFramePr>
        <xdr:cNvPr id="7" name=""/>
        <xdr:cNvGraphicFramePr/>
      </xdr:nvGraphicFramePr>
      <xdr:xfrm>
        <a:off x="813240" y="142090560"/>
        <a:ext cx="9140040" cy="146264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4320</xdr:colOff>
      <xdr:row>984</xdr:row>
      <xdr:rowOff>20160</xdr:rowOff>
    </xdr:from>
    <xdr:to>
      <xdr:col>7</xdr:col>
      <xdr:colOff>282960</xdr:colOff>
      <xdr:row>1074</xdr:row>
      <xdr:rowOff>16200</xdr:rowOff>
    </xdr:to>
    <xdr:graphicFrame>
      <xdr:nvGraphicFramePr>
        <xdr:cNvPr id="8" name=""/>
        <xdr:cNvGraphicFramePr/>
      </xdr:nvGraphicFramePr>
      <xdr:xfrm>
        <a:off x="817200" y="163645560"/>
        <a:ext cx="9140040" cy="146264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4320</xdr:colOff>
      <xdr:row>1114</xdr:row>
      <xdr:rowOff>6840</xdr:rowOff>
    </xdr:from>
    <xdr:to>
      <xdr:col>7</xdr:col>
      <xdr:colOff>282960</xdr:colOff>
      <xdr:row>1204</xdr:row>
      <xdr:rowOff>2880</xdr:rowOff>
    </xdr:to>
    <xdr:graphicFrame>
      <xdr:nvGraphicFramePr>
        <xdr:cNvPr id="9" name=""/>
        <xdr:cNvGraphicFramePr/>
      </xdr:nvGraphicFramePr>
      <xdr:xfrm>
        <a:off x="817200" y="185039640"/>
        <a:ext cx="9140040" cy="146264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4320</xdr:colOff>
      <xdr:row>1243</xdr:row>
      <xdr:rowOff>161280</xdr:rowOff>
    </xdr:from>
    <xdr:to>
      <xdr:col>7</xdr:col>
      <xdr:colOff>282960</xdr:colOff>
      <xdr:row>1333</xdr:row>
      <xdr:rowOff>157320</xdr:rowOff>
    </xdr:to>
    <xdr:graphicFrame>
      <xdr:nvGraphicFramePr>
        <xdr:cNvPr id="10" name=""/>
        <xdr:cNvGraphicFramePr/>
      </xdr:nvGraphicFramePr>
      <xdr:xfrm>
        <a:off x="817200" y="206446680"/>
        <a:ext cx="9140040" cy="146264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4320</xdr:colOff>
      <xdr:row>1373</xdr:row>
      <xdr:rowOff>153360</xdr:rowOff>
    </xdr:from>
    <xdr:to>
      <xdr:col>7</xdr:col>
      <xdr:colOff>282960</xdr:colOff>
      <xdr:row>1463</xdr:row>
      <xdr:rowOff>149400</xdr:rowOff>
    </xdr:to>
    <xdr:graphicFrame>
      <xdr:nvGraphicFramePr>
        <xdr:cNvPr id="11" name=""/>
        <xdr:cNvGraphicFramePr/>
      </xdr:nvGraphicFramePr>
      <xdr:xfrm>
        <a:off x="817200" y="227854080"/>
        <a:ext cx="9140040" cy="146264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1503</xdr:row>
      <xdr:rowOff>-360</xdr:rowOff>
    </xdr:from>
    <xdr:to>
      <xdr:col>7</xdr:col>
      <xdr:colOff>270720</xdr:colOff>
      <xdr:row>1592</xdr:row>
      <xdr:rowOff>158040</xdr:rowOff>
    </xdr:to>
    <xdr:graphicFrame>
      <xdr:nvGraphicFramePr>
        <xdr:cNvPr id="12" name=""/>
        <xdr:cNvGraphicFramePr/>
      </xdr:nvGraphicFramePr>
      <xdr:xfrm>
        <a:off x="804960" y="249115680"/>
        <a:ext cx="9140040" cy="146264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78</xdr:row>
      <xdr:rowOff>159840</xdr:rowOff>
    </xdr:from>
    <xdr:to>
      <xdr:col>7</xdr:col>
      <xdr:colOff>271080</xdr:colOff>
      <xdr:row>168</xdr:row>
      <xdr:rowOff>155880</xdr:rowOff>
    </xdr:to>
    <xdr:graphicFrame>
      <xdr:nvGraphicFramePr>
        <xdr:cNvPr id="13" name=""/>
        <xdr:cNvGraphicFramePr/>
      </xdr:nvGraphicFramePr>
      <xdr:xfrm>
        <a:off x="805320" y="13122000"/>
        <a:ext cx="9140040" cy="14626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1800</xdr:colOff>
      <xdr:row>213</xdr:row>
      <xdr:rowOff>56160</xdr:rowOff>
    </xdr:from>
    <xdr:to>
      <xdr:col>7</xdr:col>
      <xdr:colOff>280440</xdr:colOff>
      <xdr:row>303</xdr:row>
      <xdr:rowOff>52200</xdr:rowOff>
    </xdr:to>
    <xdr:graphicFrame>
      <xdr:nvGraphicFramePr>
        <xdr:cNvPr id="14" name=""/>
        <xdr:cNvGraphicFramePr/>
      </xdr:nvGraphicFramePr>
      <xdr:xfrm>
        <a:off x="814680" y="35382600"/>
        <a:ext cx="9140040" cy="14626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811080</xdr:colOff>
      <xdr:row>347</xdr:row>
      <xdr:rowOff>27720</xdr:rowOff>
    </xdr:from>
    <xdr:to>
      <xdr:col>7</xdr:col>
      <xdr:colOff>276840</xdr:colOff>
      <xdr:row>437</xdr:row>
      <xdr:rowOff>23760</xdr:rowOff>
    </xdr:to>
    <xdr:graphicFrame>
      <xdr:nvGraphicFramePr>
        <xdr:cNvPr id="15" name=""/>
        <xdr:cNvGraphicFramePr/>
      </xdr:nvGraphicFramePr>
      <xdr:xfrm>
        <a:off x="811080" y="57561840"/>
        <a:ext cx="9140040" cy="14626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1800</xdr:colOff>
      <xdr:row>481</xdr:row>
      <xdr:rowOff>52920</xdr:rowOff>
    </xdr:from>
    <xdr:to>
      <xdr:col>7</xdr:col>
      <xdr:colOff>280440</xdr:colOff>
      <xdr:row>571</xdr:row>
      <xdr:rowOff>48960</xdr:rowOff>
    </xdr:to>
    <xdr:graphicFrame>
      <xdr:nvGraphicFramePr>
        <xdr:cNvPr id="16" name=""/>
        <xdr:cNvGraphicFramePr/>
      </xdr:nvGraphicFramePr>
      <xdr:xfrm>
        <a:off x="814680" y="79795080"/>
        <a:ext cx="9140040" cy="14626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804960</xdr:colOff>
      <xdr:row>615</xdr:row>
      <xdr:rowOff>8640</xdr:rowOff>
    </xdr:from>
    <xdr:to>
      <xdr:col>7</xdr:col>
      <xdr:colOff>270720</xdr:colOff>
      <xdr:row>705</xdr:row>
      <xdr:rowOff>4680</xdr:rowOff>
    </xdr:to>
    <xdr:graphicFrame>
      <xdr:nvGraphicFramePr>
        <xdr:cNvPr id="17" name=""/>
        <xdr:cNvGraphicFramePr/>
      </xdr:nvGraphicFramePr>
      <xdr:xfrm>
        <a:off x="804960" y="101958480"/>
        <a:ext cx="9140040" cy="146264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1440</xdr:colOff>
      <xdr:row>749</xdr:row>
      <xdr:rowOff>42120</xdr:rowOff>
    </xdr:from>
    <xdr:to>
      <xdr:col>7</xdr:col>
      <xdr:colOff>280080</xdr:colOff>
      <xdr:row>839</xdr:row>
      <xdr:rowOff>38160</xdr:rowOff>
    </xdr:to>
    <xdr:graphicFrame>
      <xdr:nvGraphicFramePr>
        <xdr:cNvPr id="18" name=""/>
        <xdr:cNvGraphicFramePr/>
      </xdr:nvGraphicFramePr>
      <xdr:xfrm>
        <a:off x="814320" y="124057800"/>
        <a:ext cx="9140040" cy="146264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360</xdr:colOff>
      <xdr:row>883</xdr:row>
      <xdr:rowOff>32400</xdr:rowOff>
    </xdr:from>
    <xdr:to>
      <xdr:col>7</xdr:col>
      <xdr:colOff>279000</xdr:colOff>
      <xdr:row>973</xdr:row>
      <xdr:rowOff>28440</xdr:rowOff>
    </xdr:to>
    <xdr:graphicFrame>
      <xdr:nvGraphicFramePr>
        <xdr:cNvPr id="19" name=""/>
        <xdr:cNvGraphicFramePr/>
      </xdr:nvGraphicFramePr>
      <xdr:xfrm>
        <a:off x="813240" y="146255760"/>
        <a:ext cx="9140040" cy="146264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4320</xdr:colOff>
      <xdr:row>1017</xdr:row>
      <xdr:rowOff>29520</xdr:rowOff>
    </xdr:from>
    <xdr:to>
      <xdr:col>7</xdr:col>
      <xdr:colOff>282960</xdr:colOff>
      <xdr:row>1107</xdr:row>
      <xdr:rowOff>25560</xdr:rowOff>
    </xdr:to>
    <xdr:graphicFrame>
      <xdr:nvGraphicFramePr>
        <xdr:cNvPr id="20" name=""/>
        <xdr:cNvGraphicFramePr/>
      </xdr:nvGraphicFramePr>
      <xdr:xfrm>
        <a:off x="817200" y="168460560"/>
        <a:ext cx="9140040" cy="146264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4320</xdr:colOff>
      <xdr:row>1151</xdr:row>
      <xdr:rowOff>16560</xdr:rowOff>
    </xdr:from>
    <xdr:to>
      <xdr:col>7</xdr:col>
      <xdr:colOff>282960</xdr:colOff>
      <xdr:row>1241</xdr:row>
      <xdr:rowOff>12600</xdr:rowOff>
    </xdr:to>
    <xdr:graphicFrame>
      <xdr:nvGraphicFramePr>
        <xdr:cNvPr id="21" name=""/>
        <xdr:cNvGraphicFramePr/>
      </xdr:nvGraphicFramePr>
      <xdr:xfrm>
        <a:off x="817200" y="190505160"/>
        <a:ext cx="9140040" cy="146264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4320</xdr:colOff>
      <xdr:row>1284</xdr:row>
      <xdr:rowOff>8280</xdr:rowOff>
    </xdr:from>
    <xdr:to>
      <xdr:col>7</xdr:col>
      <xdr:colOff>282960</xdr:colOff>
      <xdr:row>1374</xdr:row>
      <xdr:rowOff>4320</xdr:rowOff>
    </xdr:to>
    <xdr:graphicFrame>
      <xdr:nvGraphicFramePr>
        <xdr:cNvPr id="22" name=""/>
        <xdr:cNvGraphicFramePr/>
      </xdr:nvGraphicFramePr>
      <xdr:xfrm>
        <a:off x="817200" y="212400000"/>
        <a:ext cx="9140040" cy="146264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4320</xdr:colOff>
      <xdr:row>1418</xdr:row>
      <xdr:rowOff>360</xdr:rowOff>
    </xdr:from>
    <xdr:to>
      <xdr:col>7</xdr:col>
      <xdr:colOff>282960</xdr:colOff>
      <xdr:row>1507</xdr:row>
      <xdr:rowOff>158760</xdr:rowOff>
    </xdr:to>
    <xdr:graphicFrame>
      <xdr:nvGraphicFramePr>
        <xdr:cNvPr id="23" name=""/>
        <xdr:cNvGraphicFramePr/>
      </xdr:nvGraphicFramePr>
      <xdr:xfrm>
        <a:off x="817200" y="234457560"/>
        <a:ext cx="9140040" cy="146264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1552</xdr:row>
      <xdr:rowOff>9360</xdr:rowOff>
    </xdr:from>
    <xdr:to>
      <xdr:col>7</xdr:col>
      <xdr:colOff>270720</xdr:colOff>
      <xdr:row>1642</xdr:row>
      <xdr:rowOff>5400</xdr:rowOff>
    </xdr:to>
    <xdr:graphicFrame>
      <xdr:nvGraphicFramePr>
        <xdr:cNvPr id="24" name=""/>
        <xdr:cNvGraphicFramePr/>
      </xdr:nvGraphicFramePr>
      <xdr:xfrm>
        <a:off x="804960" y="256532040"/>
        <a:ext cx="9140040" cy="146264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76</xdr:row>
      <xdr:rowOff>153720</xdr:rowOff>
    </xdr:from>
    <xdr:to>
      <xdr:col>7</xdr:col>
      <xdr:colOff>271080</xdr:colOff>
      <xdr:row>166</xdr:row>
      <xdr:rowOff>149760</xdr:rowOff>
    </xdr:to>
    <xdr:graphicFrame>
      <xdr:nvGraphicFramePr>
        <xdr:cNvPr id="25" name=""/>
        <xdr:cNvGraphicFramePr/>
      </xdr:nvGraphicFramePr>
      <xdr:xfrm>
        <a:off x="805320" y="12790800"/>
        <a:ext cx="9140040" cy="14626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1800</xdr:colOff>
      <xdr:row>211</xdr:row>
      <xdr:rowOff>50040</xdr:rowOff>
    </xdr:from>
    <xdr:to>
      <xdr:col>7</xdr:col>
      <xdr:colOff>280440</xdr:colOff>
      <xdr:row>301</xdr:row>
      <xdr:rowOff>46080</xdr:rowOff>
    </xdr:to>
    <xdr:graphicFrame>
      <xdr:nvGraphicFramePr>
        <xdr:cNvPr id="26" name=""/>
        <xdr:cNvGraphicFramePr/>
      </xdr:nvGraphicFramePr>
      <xdr:xfrm>
        <a:off x="814680" y="35051400"/>
        <a:ext cx="9140040" cy="14626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811080</xdr:colOff>
      <xdr:row>345</xdr:row>
      <xdr:rowOff>21240</xdr:rowOff>
    </xdr:from>
    <xdr:to>
      <xdr:col>7</xdr:col>
      <xdr:colOff>276840</xdr:colOff>
      <xdr:row>435</xdr:row>
      <xdr:rowOff>17280</xdr:rowOff>
    </xdr:to>
    <xdr:graphicFrame>
      <xdr:nvGraphicFramePr>
        <xdr:cNvPr id="27" name=""/>
        <xdr:cNvGraphicFramePr/>
      </xdr:nvGraphicFramePr>
      <xdr:xfrm>
        <a:off x="811080" y="57230280"/>
        <a:ext cx="9140040" cy="14626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1800</xdr:colOff>
      <xdr:row>479</xdr:row>
      <xdr:rowOff>46080</xdr:rowOff>
    </xdr:from>
    <xdr:to>
      <xdr:col>7</xdr:col>
      <xdr:colOff>280440</xdr:colOff>
      <xdr:row>569</xdr:row>
      <xdr:rowOff>42120</xdr:rowOff>
    </xdr:to>
    <xdr:graphicFrame>
      <xdr:nvGraphicFramePr>
        <xdr:cNvPr id="28" name=""/>
        <xdr:cNvGraphicFramePr/>
      </xdr:nvGraphicFramePr>
      <xdr:xfrm>
        <a:off x="814680" y="79463160"/>
        <a:ext cx="9140040" cy="14626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804960</xdr:colOff>
      <xdr:row>613</xdr:row>
      <xdr:rowOff>2520</xdr:rowOff>
    </xdr:from>
    <xdr:to>
      <xdr:col>7</xdr:col>
      <xdr:colOff>270720</xdr:colOff>
      <xdr:row>702</xdr:row>
      <xdr:rowOff>161280</xdr:rowOff>
    </xdr:to>
    <xdr:graphicFrame>
      <xdr:nvGraphicFramePr>
        <xdr:cNvPr id="29" name=""/>
        <xdr:cNvGraphicFramePr/>
      </xdr:nvGraphicFramePr>
      <xdr:xfrm>
        <a:off x="804960" y="101627280"/>
        <a:ext cx="9140040" cy="146264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1440</xdr:colOff>
      <xdr:row>747</xdr:row>
      <xdr:rowOff>36000</xdr:rowOff>
    </xdr:from>
    <xdr:to>
      <xdr:col>7</xdr:col>
      <xdr:colOff>280080</xdr:colOff>
      <xdr:row>837</xdr:row>
      <xdr:rowOff>32040</xdr:rowOff>
    </xdr:to>
    <xdr:graphicFrame>
      <xdr:nvGraphicFramePr>
        <xdr:cNvPr id="30" name=""/>
        <xdr:cNvGraphicFramePr/>
      </xdr:nvGraphicFramePr>
      <xdr:xfrm>
        <a:off x="814320" y="123726240"/>
        <a:ext cx="9140040" cy="146264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360</xdr:colOff>
      <xdr:row>881</xdr:row>
      <xdr:rowOff>25560</xdr:rowOff>
    </xdr:from>
    <xdr:to>
      <xdr:col>7</xdr:col>
      <xdr:colOff>279000</xdr:colOff>
      <xdr:row>971</xdr:row>
      <xdr:rowOff>21600</xdr:rowOff>
    </xdr:to>
    <xdr:graphicFrame>
      <xdr:nvGraphicFramePr>
        <xdr:cNvPr id="31" name=""/>
        <xdr:cNvGraphicFramePr/>
      </xdr:nvGraphicFramePr>
      <xdr:xfrm>
        <a:off x="813240" y="145923840"/>
        <a:ext cx="9140040" cy="146264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4320</xdr:colOff>
      <xdr:row>1015</xdr:row>
      <xdr:rowOff>23400</xdr:rowOff>
    </xdr:from>
    <xdr:to>
      <xdr:col>7</xdr:col>
      <xdr:colOff>282960</xdr:colOff>
      <xdr:row>1105</xdr:row>
      <xdr:rowOff>19440</xdr:rowOff>
    </xdr:to>
    <xdr:graphicFrame>
      <xdr:nvGraphicFramePr>
        <xdr:cNvPr id="32" name=""/>
        <xdr:cNvGraphicFramePr/>
      </xdr:nvGraphicFramePr>
      <xdr:xfrm>
        <a:off x="817200" y="168129360"/>
        <a:ext cx="9140040" cy="146264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4320</xdr:colOff>
      <xdr:row>1149</xdr:row>
      <xdr:rowOff>10080</xdr:rowOff>
    </xdr:from>
    <xdr:to>
      <xdr:col>7</xdr:col>
      <xdr:colOff>282960</xdr:colOff>
      <xdr:row>1239</xdr:row>
      <xdr:rowOff>6120</xdr:rowOff>
    </xdr:to>
    <xdr:graphicFrame>
      <xdr:nvGraphicFramePr>
        <xdr:cNvPr id="33" name=""/>
        <xdr:cNvGraphicFramePr/>
      </xdr:nvGraphicFramePr>
      <xdr:xfrm>
        <a:off x="817200" y="190173600"/>
        <a:ext cx="9140040" cy="146264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4320</xdr:colOff>
      <xdr:row>1283</xdr:row>
      <xdr:rowOff>1800</xdr:rowOff>
    </xdr:from>
    <xdr:to>
      <xdr:col>7</xdr:col>
      <xdr:colOff>282960</xdr:colOff>
      <xdr:row>1372</xdr:row>
      <xdr:rowOff>160200</xdr:rowOff>
    </xdr:to>
    <xdr:graphicFrame>
      <xdr:nvGraphicFramePr>
        <xdr:cNvPr id="34" name=""/>
        <xdr:cNvGraphicFramePr/>
      </xdr:nvGraphicFramePr>
      <xdr:xfrm>
        <a:off x="817200" y="212230800"/>
        <a:ext cx="9140040" cy="146264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4320</xdr:colOff>
      <xdr:row>1416</xdr:row>
      <xdr:rowOff>156240</xdr:rowOff>
    </xdr:from>
    <xdr:to>
      <xdr:col>7</xdr:col>
      <xdr:colOff>282960</xdr:colOff>
      <xdr:row>1506</xdr:row>
      <xdr:rowOff>152280</xdr:rowOff>
    </xdr:to>
    <xdr:graphicFrame>
      <xdr:nvGraphicFramePr>
        <xdr:cNvPr id="35" name=""/>
        <xdr:cNvGraphicFramePr/>
      </xdr:nvGraphicFramePr>
      <xdr:xfrm>
        <a:off x="817200" y="234288360"/>
        <a:ext cx="9140040" cy="146264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1550</xdr:row>
      <xdr:rowOff>2880</xdr:rowOff>
    </xdr:from>
    <xdr:to>
      <xdr:col>7</xdr:col>
      <xdr:colOff>270720</xdr:colOff>
      <xdr:row>1639</xdr:row>
      <xdr:rowOff>161280</xdr:rowOff>
    </xdr:to>
    <xdr:graphicFrame>
      <xdr:nvGraphicFramePr>
        <xdr:cNvPr id="36" name=""/>
        <xdr:cNvGraphicFramePr/>
      </xdr:nvGraphicFramePr>
      <xdr:xfrm>
        <a:off x="804960" y="256200480"/>
        <a:ext cx="9140040" cy="146264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E30"/>
  <sheetViews>
    <sheetView showFormulas="false" showGridLines="true" showRowColHeaders="true" showZeros="true" rightToLeft="false" tabSelected="false" showOutlineSymbols="true" defaultGridColor="true" view="normal" topLeftCell="A28" colorId="64" zoomScale="90" zoomScaleNormal="90" zoomScalePageLayoutView="100" workbookViewId="0">
      <selection pane="topLeft" activeCell="C30" activeCellId="0" sqref="C30"/>
    </sheetView>
  </sheetViews>
  <sheetFormatPr defaultColWidth="11.53515625" defaultRowHeight="12.8" customHeight="false" zeroHeight="false" outlineLevelRow="0" outlineLevelCol="0"/>
  <cols>
    <col collapsed="false" customWidth="true" hidden="false" outlineLevel="0" max="3" min="2" style="1" width="34.59"/>
    <col collapsed="false" customWidth="true" hidden="false" outlineLevel="0" max="4" min="4" style="1" width="23.07"/>
  </cols>
  <sheetData>
    <row r="1" customFormat="false" ht="12.8" hidden="false" customHeight="false" outlineLevel="0" collapsed="false">
      <c r="A1" s="2" t="s">
        <v>0</v>
      </c>
      <c r="B1" s="2"/>
      <c r="C1" s="2"/>
    </row>
    <row r="2" customFormat="false" ht="12.8" hidden="false" customHeight="false" outlineLevel="0" collapsed="false">
      <c r="A2" s="3" t="s">
        <v>1</v>
      </c>
      <c r="B2" s="4" t="s">
        <v>2</v>
      </c>
      <c r="C2" s="4"/>
    </row>
    <row r="3" customFormat="false" ht="12.8" hidden="false" customHeight="false" outlineLevel="0" collapsed="false">
      <c r="A3" s="5" t="s">
        <v>3</v>
      </c>
      <c r="B3" s="5" t="s">
        <v>4</v>
      </c>
      <c r="C3" s="5" t="s">
        <v>5</v>
      </c>
    </row>
    <row r="4" customFormat="false" ht="12.8" hidden="false" customHeight="false" outlineLevel="0" collapsed="false">
      <c r="A4" s="1" t="n">
        <v>0</v>
      </c>
      <c r="B4" s="6" t="s">
        <v>6</v>
      </c>
      <c r="C4" s="6" t="s">
        <v>7</v>
      </c>
    </row>
    <row r="5" customFormat="false" ht="12.8" hidden="false" customHeight="false" outlineLevel="0" collapsed="false">
      <c r="A5" s="1" t="n">
        <v>0</v>
      </c>
      <c r="B5" s="6" t="s">
        <v>8</v>
      </c>
      <c r="C5" s="6" t="s">
        <v>9</v>
      </c>
    </row>
    <row r="6" customFormat="false" ht="12.8" hidden="false" customHeight="false" outlineLevel="0" collapsed="false">
      <c r="A6" s="7" t="n">
        <v>0</v>
      </c>
      <c r="B6" s="7" t="s">
        <v>10</v>
      </c>
      <c r="C6" s="6"/>
    </row>
    <row r="7" customFormat="false" ht="12.8" hidden="false" customHeight="false" outlineLevel="0" collapsed="false">
      <c r="A7" s="7" t="n">
        <v>0</v>
      </c>
      <c r="B7" s="7" t="s">
        <v>11</v>
      </c>
      <c r="C7" s="6"/>
    </row>
    <row r="8" customFormat="false" ht="12.8" hidden="false" customHeight="false" outlineLevel="0" collapsed="false">
      <c r="A8" s="7" t="n">
        <v>0</v>
      </c>
      <c r="B8" s="7" t="s">
        <v>12</v>
      </c>
      <c r="C8" s="6"/>
    </row>
    <row r="9" customFormat="false" ht="12.8" hidden="false" customHeight="false" outlineLevel="0" collapsed="false">
      <c r="A9" s="7" t="n">
        <v>0</v>
      </c>
      <c r="B9" s="7" t="s">
        <v>13</v>
      </c>
      <c r="C9" s="6"/>
    </row>
    <row r="10" customFormat="false" ht="12.8" hidden="false" customHeight="false" outlineLevel="0" collapsed="false">
      <c r="A10" s="7" t="n">
        <v>0</v>
      </c>
      <c r="B10" s="7" t="s">
        <v>14</v>
      </c>
      <c r="C10" s="6"/>
    </row>
    <row r="11" customFormat="false" ht="12.8" hidden="false" customHeight="false" outlineLevel="0" collapsed="false">
      <c r="A11" s="7" t="n">
        <v>0</v>
      </c>
      <c r="B11" s="7" t="s">
        <v>15</v>
      </c>
      <c r="C11" s="6"/>
    </row>
    <row r="12" customFormat="false" ht="12.8" hidden="false" customHeight="false" outlineLevel="0" collapsed="false">
      <c r="A12" s="7" t="n">
        <v>0</v>
      </c>
      <c r="B12" s="7" t="s">
        <v>16</v>
      </c>
      <c r="C12" s="6"/>
    </row>
    <row r="13" customFormat="false" ht="12.8" hidden="false" customHeight="false" outlineLevel="0" collapsed="false">
      <c r="A13" s="7" t="n">
        <v>0</v>
      </c>
      <c r="B13" s="7" t="s">
        <v>17</v>
      </c>
      <c r="C13" s="6"/>
    </row>
    <row r="14" customFormat="false" ht="12.8" hidden="false" customHeight="false" outlineLevel="0" collapsed="false">
      <c r="A14" s="7" t="n">
        <v>0</v>
      </c>
      <c r="B14" s="7" t="s">
        <v>18</v>
      </c>
      <c r="C14" s="6"/>
    </row>
    <row r="15" customFormat="false" ht="12.8" hidden="false" customHeight="false" outlineLevel="0" collapsed="false">
      <c r="A15" s="7" t="n">
        <v>0</v>
      </c>
      <c r="B15" s="7" t="s">
        <v>19</v>
      </c>
      <c r="C15" s="6"/>
    </row>
    <row r="16" customFormat="false" ht="12.8" hidden="false" customHeight="false" outlineLevel="0" collapsed="false">
      <c r="A16" s="1"/>
      <c r="B16" s="6"/>
      <c r="C16" s="6"/>
    </row>
    <row r="18" customFormat="false" ht="12.8" hidden="false" customHeight="false" outlineLevel="0" collapsed="false">
      <c r="A18" s="5" t="s">
        <v>20</v>
      </c>
      <c r="B18" s="5" t="s">
        <v>21</v>
      </c>
    </row>
    <row r="19" customFormat="false" ht="12.8" hidden="false" customHeight="false" outlineLevel="0" collapsed="false">
      <c r="A19" s="5" t="s">
        <v>22</v>
      </c>
      <c r="B19" s="5" t="s">
        <v>3</v>
      </c>
      <c r="C19" s="5" t="s">
        <v>23</v>
      </c>
    </row>
    <row r="20" customFormat="false" ht="12.8" hidden="false" customHeight="false" outlineLevel="0" collapsed="false">
      <c r="A20" s="7" t="n">
        <v>0</v>
      </c>
      <c r="B20" s="7" t="s">
        <v>24</v>
      </c>
      <c r="C20" s="7" t="s">
        <v>25</v>
      </c>
    </row>
    <row r="21" customFormat="false" ht="12.8" hidden="false" customHeight="false" outlineLevel="0" collapsed="false">
      <c r="A21" s="7" t="n">
        <v>1</v>
      </c>
      <c r="B21" s="7" t="s">
        <v>26</v>
      </c>
      <c r="C21" s="7" t="s">
        <v>27</v>
      </c>
    </row>
    <row r="22" customFormat="false" ht="12.8" hidden="false" customHeight="false" outlineLevel="0" collapsed="false">
      <c r="A22" s="1" t="n">
        <v>2</v>
      </c>
      <c r="B22" s="1" t="s">
        <v>28</v>
      </c>
      <c r="C22" s="1" t="s">
        <v>29</v>
      </c>
    </row>
    <row r="23" customFormat="false" ht="12.8" hidden="false" customHeight="false" outlineLevel="0" collapsed="false">
      <c r="A23" s="1" t="n">
        <v>3</v>
      </c>
      <c r="B23" s="1" t="s">
        <v>3</v>
      </c>
      <c r="C23" s="1" t="s">
        <v>23</v>
      </c>
    </row>
    <row r="25" customFormat="false" ht="12.8" hidden="false" customHeight="false" outlineLevel="0" collapsed="false">
      <c r="A25" s="5" t="s">
        <v>30</v>
      </c>
      <c r="B25" s="5" t="s">
        <v>31</v>
      </c>
      <c r="E25" s="1"/>
    </row>
    <row r="26" customFormat="false" ht="12.8" hidden="false" customHeight="false" outlineLevel="0" collapsed="false">
      <c r="A26" s="5" t="s">
        <v>28</v>
      </c>
      <c r="B26" s="5" t="s">
        <v>5</v>
      </c>
      <c r="C26" s="5" t="s">
        <v>32</v>
      </c>
      <c r="D26" s="5" t="s">
        <v>33</v>
      </c>
      <c r="E26" s="1" t="s">
        <v>34</v>
      </c>
    </row>
    <row r="27" customFormat="false" ht="270.1" hidden="false" customHeight="false" outlineLevel="0" collapsed="false">
      <c r="A27" s="1" t="s">
        <v>35</v>
      </c>
      <c r="B27" s="1" t="s">
        <v>36</v>
      </c>
      <c r="C27" s="8" t="s">
        <v>37</v>
      </c>
      <c r="D27" s="7" t="s">
        <v>38</v>
      </c>
      <c r="E27" s="1" t="s">
        <v>39</v>
      </c>
    </row>
    <row r="28" customFormat="false" ht="270.1" hidden="false" customHeight="false" outlineLevel="0" collapsed="false">
      <c r="A28" s="1" t="s">
        <v>40</v>
      </c>
      <c r="B28" s="1" t="s">
        <v>41</v>
      </c>
      <c r="C28" s="8" t="s">
        <v>37</v>
      </c>
      <c r="D28" s="1" t="s">
        <v>42</v>
      </c>
      <c r="E28" s="1" t="s">
        <v>39</v>
      </c>
    </row>
    <row r="29" customFormat="false" ht="225.35" hidden="false" customHeight="false" outlineLevel="0" collapsed="false">
      <c r="A29" s="1" t="s">
        <v>43</v>
      </c>
      <c r="B29" s="1" t="s">
        <v>44</v>
      </c>
      <c r="C29" s="8" t="s">
        <v>45</v>
      </c>
      <c r="D29" s="7" t="s">
        <v>46</v>
      </c>
      <c r="E29" s="8" t="s">
        <v>47</v>
      </c>
    </row>
    <row r="30" customFormat="false" ht="35.05" hidden="false" customHeight="false" outlineLevel="0" collapsed="false">
      <c r="A30" s="1" t="s">
        <v>48</v>
      </c>
      <c r="B30" s="9" t="s">
        <v>49</v>
      </c>
      <c r="C30" s="1" t="s">
        <v>50</v>
      </c>
      <c r="D30" s="1" t="s">
        <v>51</v>
      </c>
      <c r="E30" s="8" t="s">
        <v>52</v>
      </c>
    </row>
  </sheetData>
  <mergeCells count="2">
    <mergeCell ref="A1:C1"/>
    <mergeCell ref="B2:C2"/>
  </mergeCells>
  <hyperlinks>
    <hyperlink ref="B4" location="AL!A1" display="AL"/>
    <hyperlink ref="C4" location="LSD.RID.0!AL" display="U.S. Labor Statistics (Alabama)"/>
    <hyperlink ref="B5" location="AR!A1" display="AR"/>
    <hyperlink ref="C5" location="LSD.RID.0!AR" display="U.S. Labor Statistics (Arkansa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BO150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32" activeCellId="0" sqref="B32"/>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0" t="s">
        <v>6</v>
      </c>
      <c r="B1" s="11" t="s">
        <v>7</v>
      </c>
    </row>
    <row r="2" customFormat="false" ht="45.75" hidden="false" customHeight="false" outlineLevel="0" collapsed="false">
      <c r="A2" s="12" t="s">
        <v>24</v>
      </c>
      <c r="B2" s="12" t="s">
        <v>53</v>
      </c>
      <c r="C2" s="12" t="s">
        <v>54</v>
      </c>
      <c r="D2" s="13" t="s">
        <v>55</v>
      </c>
      <c r="E2" s="13" t="s">
        <v>56</v>
      </c>
      <c r="F2" s="13" t="s">
        <v>57</v>
      </c>
      <c r="G2" s="13" t="s">
        <v>58</v>
      </c>
      <c r="H2" s="14" t="s">
        <v>59</v>
      </c>
      <c r="I2" s="15" t="s">
        <v>60</v>
      </c>
      <c r="J2" s="15" t="s">
        <v>61</v>
      </c>
      <c r="K2" s="15" t="s">
        <v>62</v>
      </c>
      <c r="L2" s="11" t="s">
        <v>63</v>
      </c>
      <c r="M2" s="11" t="s">
        <v>64</v>
      </c>
      <c r="N2" s="11" t="s">
        <v>65</v>
      </c>
      <c r="O2" s="11" t="s">
        <v>66</v>
      </c>
      <c r="P2" s="16" t="s">
        <v>67</v>
      </c>
      <c r="Q2" s="16" t="s">
        <v>68</v>
      </c>
      <c r="R2" s="16" t="s">
        <v>69</v>
      </c>
      <c r="S2" s="16" t="s">
        <v>70</v>
      </c>
      <c r="T2" s="16" t="s">
        <v>71</v>
      </c>
      <c r="U2" s="16" t="s">
        <v>72</v>
      </c>
      <c r="V2" s="16" t="s">
        <v>73</v>
      </c>
      <c r="W2" s="16" t="s">
        <v>74</v>
      </c>
      <c r="X2" s="16" t="s">
        <v>75</v>
      </c>
      <c r="Y2" s="16" t="s">
        <v>76</v>
      </c>
      <c r="Z2" s="16" t="s">
        <v>77</v>
      </c>
      <c r="AA2" s="17" t="s">
        <v>78</v>
      </c>
      <c r="AB2" s="17" t="s">
        <v>79</v>
      </c>
      <c r="AC2" s="17" t="s">
        <v>80</v>
      </c>
      <c r="AD2" s="18" t="s">
        <v>81</v>
      </c>
      <c r="AE2" s="18" t="s">
        <v>82</v>
      </c>
      <c r="AF2" s="18" t="s">
        <v>83</v>
      </c>
      <c r="AG2" s="17" t="s">
        <v>84</v>
      </c>
      <c r="AH2" s="17" t="s">
        <v>85</v>
      </c>
      <c r="AI2" s="17" t="s">
        <v>86</v>
      </c>
      <c r="AJ2" s="18" t="s">
        <v>87</v>
      </c>
      <c r="AK2" s="18" t="s">
        <v>88</v>
      </c>
      <c r="AL2" s="18" t="s">
        <v>89</v>
      </c>
      <c r="AM2" s="17" t="s">
        <v>90</v>
      </c>
      <c r="AN2" s="17" t="s">
        <v>91</v>
      </c>
      <c r="AO2" s="17" t="s">
        <v>92</v>
      </c>
      <c r="AP2" s="18" t="s">
        <v>93</v>
      </c>
      <c r="AQ2" s="18" t="s">
        <v>94</v>
      </c>
      <c r="AR2" s="18" t="s">
        <v>95</v>
      </c>
      <c r="AS2" s="17" t="s">
        <v>96</v>
      </c>
      <c r="AT2" s="17" t="s">
        <v>97</v>
      </c>
      <c r="AU2" s="17" t="s">
        <v>98</v>
      </c>
      <c r="AV2" s="17" t="s">
        <v>99</v>
      </c>
      <c r="AW2" s="17" t="s">
        <v>100</v>
      </c>
      <c r="AX2" s="17" t="s">
        <v>101</v>
      </c>
      <c r="AY2" s="17" t="s">
        <v>102</v>
      </c>
      <c r="AZ2" s="17" t="s">
        <v>103</v>
      </c>
      <c r="BA2" s="17" t="s">
        <v>104</v>
      </c>
      <c r="BB2" s="17" t="s">
        <v>105</v>
      </c>
      <c r="BC2" s="17" t="s">
        <v>106</v>
      </c>
      <c r="BD2" s="11" t="s">
        <v>107</v>
      </c>
      <c r="BE2" s="11" t="s">
        <v>108</v>
      </c>
      <c r="BF2" s="11" t="s">
        <v>109</v>
      </c>
      <c r="BG2" s="11" t="s">
        <v>110</v>
      </c>
      <c r="BH2" s="11" t="s">
        <v>111</v>
      </c>
      <c r="BI2" s="11" t="s">
        <v>112</v>
      </c>
      <c r="BJ2" s="11" t="s">
        <v>113</v>
      </c>
      <c r="BK2" s="11" t="s">
        <v>114</v>
      </c>
      <c r="BL2" s="11" t="s">
        <v>115</v>
      </c>
      <c r="BM2" s="11" t="s">
        <v>116</v>
      </c>
      <c r="BN2" s="11" t="s">
        <v>117</v>
      </c>
      <c r="BO2" s="11" t="s">
        <v>118</v>
      </c>
    </row>
    <row r="3" customFormat="false" ht="23.85" hidden="false" customHeight="false" outlineLevel="0" collapsed="false">
      <c r="A3" s="11" t="n">
        <v>0</v>
      </c>
      <c r="B3" s="11" t="s">
        <v>119</v>
      </c>
      <c r="C3" s="11" t="s">
        <v>120</v>
      </c>
      <c r="D3" s="19" t="n">
        <v>2381400</v>
      </c>
      <c r="E3" s="19" t="n">
        <v>78000</v>
      </c>
      <c r="F3" s="19" t="n">
        <v>47000</v>
      </c>
      <c r="G3" s="19" t="n">
        <v>2254400</v>
      </c>
      <c r="H3" s="14" t="n">
        <v>0.973</v>
      </c>
      <c r="I3" s="14" t="n">
        <v>0.96</v>
      </c>
      <c r="J3" s="14" t="n">
        <v>0.935</v>
      </c>
      <c r="K3" s="14" t="n">
        <v>0.976</v>
      </c>
      <c r="L3" s="14" t="n">
        <v>0.577</v>
      </c>
      <c r="M3" s="14" t="n">
        <v>0.65</v>
      </c>
      <c r="N3" s="14" t="n">
        <v>0.72</v>
      </c>
      <c r="O3" s="14" t="n">
        <v>0.575</v>
      </c>
      <c r="P3" s="14" t="n">
        <v>0.027</v>
      </c>
      <c r="Q3" s="14" t="n">
        <v>0.04</v>
      </c>
      <c r="R3" s="14" t="n">
        <v>0.065</v>
      </c>
      <c r="S3" s="14" t="n">
        <v>0.024</v>
      </c>
      <c r="T3" s="14" t="n">
        <v>0.054</v>
      </c>
      <c r="U3" s="14" t="n">
        <v>0.06</v>
      </c>
      <c r="V3" s="14" t="n">
        <v>0.09</v>
      </c>
      <c r="W3" s="14" t="n">
        <v>0.05</v>
      </c>
      <c r="X3" s="20" t="n">
        <v>24.2</v>
      </c>
      <c r="Y3" s="20" t="n">
        <v>15.8</v>
      </c>
      <c r="Z3" s="20" t="n">
        <v>38</v>
      </c>
      <c r="AA3" s="21" t="n">
        <v>50336</v>
      </c>
      <c r="AB3" s="21" t="n">
        <v>32800</v>
      </c>
      <c r="AC3" s="21" t="n">
        <v>79040</v>
      </c>
      <c r="AD3" s="22" t="n">
        <v>23.5</v>
      </c>
      <c r="AE3" s="22" t="n">
        <v>15.3</v>
      </c>
      <c r="AF3" s="22" t="n">
        <v>37.2</v>
      </c>
      <c r="AG3" s="21" t="n">
        <v>48880</v>
      </c>
      <c r="AH3" s="21" t="n">
        <v>31824</v>
      </c>
      <c r="AI3" s="21" t="n">
        <v>77440</v>
      </c>
      <c r="AJ3" s="22" t="n">
        <v>20.5</v>
      </c>
      <c r="AK3" s="22" t="n">
        <v>13.4</v>
      </c>
      <c r="AL3" s="22" t="n">
        <v>31.5</v>
      </c>
      <c r="AM3" s="21" t="n">
        <v>42640</v>
      </c>
      <c r="AN3" s="21" t="n">
        <v>27840</v>
      </c>
      <c r="AO3" s="21" t="n">
        <v>65520</v>
      </c>
      <c r="AP3" s="22" t="n">
        <v>24.6</v>
      </c>
      <c r="AQ3" s="22" t="n">
        <v>16.1</v>
      </c>
      <c r="AR3" s="22" t="n">
        <v>39.5</v>
      </c>
      <c r="AS3" s="21" t="n">
        <v>51168</v>
      </c>
      <c r="AT3" s="21" t="n">
        <v>33376</v>
      </c>
      <c r="AU3" s="21" t="n">
        <v>82144</v>
      </c>
      <c r="AV3" s="21" t="n">
        <v>950000000</v>
      </c>
      <c r="AW3" s="21" t="n">
        <v>33000000</v>
      </c>
      <c r="AX3" s="21" t="n">
        <v>85000000</v>
      </c>
      <c r="AY3" s="21" t="n">
        <v>832000000</v>
      </c>
      <c r="AZ3" s="21" t="n">
        <v>475000000</v>
      </c>
      <c r="BA3" s="21" t="n">
        <v>16500000</v>
      </c>
      <c r="BB3" s="21" t="n">
        <v>42500000</v>
      </c>
      <c r="BC3" s="21" t="n">
        <v>416000000</v>
      </c>
      <c r="BD3" s="23" t="n">
        <v>240000000</v>
      </c>
      <c r="BE3" s="23" t="n">
        <v>65000000</v>
      </c>
      <c r="BF3" s="23" t="n">
        <v>0</v>
      </c>
      <c r="BG3" s="23" t="n">
        <v>175000000</v>
      </c>
      <c r="BH3" s="23" t="n">
        <v>120000000</v>
      </c>
      <c r="BI3" s="23" t="n">
        <v>30000000</v>
      </c>
      <c r="BJ3" s="23" t="n">
        <v>12000000</v>
      </c>
      <c r="BK3" s="23" t="n">
        <v>90000000</v>
      </c>
      <c r="BL3" s="23" t="n">
        <v>125000000</v>
      </c>
      <c r="BM3" s="23" t="n">
        <v>32000000</v>
      </c>
      <c r="BN3" s="23" t="n">
        <v>16500000</v>
      </c>
      <c r="BO3" s="23" t="n">
        <v>95000000</v>
      </c>
    </row>
    <row r="4" customFormat="false" ht="12.8" hidden="false" customHeight="false" outlineLevel="0" collapsed="false">
      <c r="A4" s="11" t="n">
        <v>1</v>
      </c>
      <c r="B4" s="11" t="s">
        <v>121</v>
      </c>
      <c r="C4" s="11" t="s">
        <v>122</v>
      </c>
      <c r="D4" s="19" t="n">
        <v>15000</v>
      </c>
      <c r="E4" s="19" t="n">
        <v>495</v>
      </c>
      <c r="F4" s="19" t="n">
        <v>315</v>
      </c>
      <c r="G4" s="19" t="n">
        <v>14190</v>
      </c>
      <c r="H4" s="14" t="n">
        <v>0.952</v>
      </c>
      <c r="I4" s="14" t="n">
        <v>0.93</v>
      </c>
      <c r="J4" s="14" t="n">
        <v>0.89</v>
      </c>
      <c r="K4" s="14" t="n">
        <v>0.955</v>
      </c>
      <c r="L4" s="14" t="n">
        <v>0.62</v>
      </c>
      <c r="M4" s="14" t="n">
        <v>0.68</v>
      </c>
      <c r="N4" s="14" t="n">
        <v>0.78</v>
      </c>
      <c r="O4" s="14" t="n">
        <v>0.6</v>
      </c>
      <c r="P4" s="14" t="n">
        <v>0.048</v>
      </c>
      <c r="Q4" s="14" t="n">
        <v>0.07</v>
      </c>
      <c r="R4" s="14" t="n">
        <v>0.11</v>
      </c>
      <c r="S4" s="14" t="n">
        <v>0.045</v>
      </c>
      <c r="T4" s="14" t="n">
        <v>0.095</v>
      </c>
      <c r="U4" s="14" t="n">
        <v>0.11</v>
      </c>
      <c r="V4" s="14" t="n">
        <v>0.17</v>
      </c>
      <c r="W4" s="14" t="n">
        <v>0.086</v>
      </c>
      <c r="X4" s="20" t="n">
        <v>18</v>
      </c>
      <c r="Y4" s="20" t="n">
        <v>12</v>
      </c>
      <c r="Z4" s="20" t="n">
        <v>28</v>
      </c>
      <c r="AA4" s="21" t="n">
        <v>37440</v>
      </c>
      <c r="AB4" s="21" t="n">
        <v>24960</v>
      </c>
      <c r="AC4" s="21" t="n">
        <v>58240</v>
      </c>
      <c r="AD4" s="22" t="n">
        <v>17.4</v>
      </c>
      <c r="AE4" s="22" t="n">
        <v>11.6</v>
      </c>
      <c r="AF4" s="22" t="n">
        <v>27</v>
      </c>
      <c r="AG4" s="21" t="n">
        <v>36192</v>
      </c>
      <c r="AH4" s="21" t="n">
        <v>24128</v>
      </c>
      <c r="AI4" s="21" t="n">
        <v>56160</v>
      </c>
      <c r="AJ4" s="22" t="n">
        <v>15.3</v>
      </c>
      <c r="AK4" s="22" t="n">
        <v>10.2</v>
      </c>
      <c r="AL4" s="22" t="n">
        <v>23.8</v>
      </c>
      <c r="AM4" s="21" t="n">
        <v>31824</v>
      </c>
      <c r="AN4" s="21" t="n">
        <v>21216</v>
      </c>
      <c r="AO4" s="21" t="n">
        <v>49504</v>
      </c>
      <c r="AP4" s="22" t="n">
        <v>18.3</v>
      </c>
      <c r="AQ4" s="22" t="n">
        <v>12.2</v>
      </c>
      <c r="AR4" s="22" t="n">
        <v>28.5</v>
      </c>
      <c r="AS4" s="21" t="n">
        <v>38064</v>
      </c>
      <c r="AT4" s="21" t="n">
        <v>25376</v>
      </c>
      <c r="AU4" s="21" t="n">
        <v>59280</v>
      </c>
      <c r="AV4" s="21" t="n">
        <v>1250000</v>
      </c>
      <c r="AW4" s="21" t="n">
        <v>41000</v>
      </c>
      <c r="AX4" s="21" t="n">
        <v>125000</v>
      </c>
      <c r="AY4" s="21" t="n">
        <v>1085000</v>
      </c>
      <c r="AZ4" s="21" t="n">
        <v>625000</v>
      </c>
      <c r="BA4" s="21" t="n">
        <v>20500</v>
      </c>
      <c r="BB4" s="21" t="n">
        <v>62500</v>
      </c>
      <c r="BC4" s="21" t="n">
        <v>542000</v>
      </c>
      <c r="BD4" s="23" t="n">
        <v>78000</v>
      </c>
      <c r="BE4" s="23" t="n">
        <v>15600</v>
      </c>
      <c r="BF4" s="23" t="n">
        <v>0</v>
      </c>
      <c r="BG4" s="23" t="n">
        <v>62400</v>
      </c>
      <c r="BH4" s="23" t="n">
        <v>31200</v>
      </c>
      <c r="BI4" s="23" t="n">
        <v>7800</v>
      </c>
      <c r="BJ4" s="23" t="n">
        <v>3120</v>
      </c>
      <c r="BK4" s="23" t="n">
        <v>23400</v>
      </c>
      <c r="BL4" s="23" t="n">
        <v>15600</v>
      </c>
      <c r="BM4" s="23" t="n">
        <v>3120</v>
      </c>
      <c r="BN4" s="23" t="n">
        <v>1560</v>
      </c>
      <c r="BO4" s="23" t="n">
        <v>11700</v>
      </c>
    </row>
    <row r="5" customFormat="false" ht="12.8" hidden="false" customHeight="false" outlineLevel="0" collapsed="false">
      <c r="A5" s="11" t="n">
        <v>2</v>
      </c>
      <c r="B5" s="11" t="s">
        <v>121</v>
      </c>
      <c r="C5" s="11" t="s">
        <v>123</v>
      </c>
      <c r="D5" s="19" t="n">
        <v>7500</v>
      </c>
      <c r="E5" s="19" t="n">
        <v>248</v>
      </c>
      <c r="F5" s="19" t="n">
        <v>158</v>
      </c>
      <c r="G5" s="19" t="n">
        <v>7095</v>
      </c>
      <c r="H5" s="14" t="n">
        <v>0.952</v>
      </c>
      <c r="I5" s="14" t="n">
        <v>0.93</v>
      </c>
      <c r="J5" s="14" t="n">
        <v>0.89</v>
      </c>
      <c r="K5" s="14" t="n">
        <v>0.955</v>
      </c>
      <c r="L5" s="14" t="n">
        <v>0.589</v>
      </c>
      <c r="M5" s="14" t="n">
        <v>0.646</v>
      </c>
      <c r="N5" s="14" t="n">
        <v>0.741</v>
      </c>
      <c r="O5" s="14" t="n">
        <v>0.57</v>
      </c>
      <c r="P5" s="14" t="n">
        <v>0.048</v>
      </c>
      <c r="Q5" s="14" t="n">
        <v>0.07</v>
      </c>
      <c r="R5" s="14" t="n">
        <v>0.11</v>
      </c>
      <c r="S5" s="14" t="n">
        <v>0.045</v>
      </c>
      <c r="T5" s="14" t="n">
        <v>0.095</v>
      </c>
      <c r="U5" s="14" t="n">
        <v>0.11</v>
      </c>
      <c r="V5" s="14" t="n">
        <v>0.17</v>
      </c>
      <c r="W5" s="14" t="n">
        <v>0.086</v>
      </c>
      <c r="X5" s="20" t="n">
        <v>15.3</v>
      </c>
      <c r="Y5" s="20" t="n">
        <v>10.2</v>
      </c>
      <c r="Z5" s="20" t="n">
        <v>23.8</v>
      </c>
      <c r="AA5" s="21" t="n">
        <v>31824</v>
      </c>
      <c r="AB5" s="21" t="n">
        <v>21216</v>
      </c>
      <c r="AC5" s="21" t="n">
        <v>49504</v>
      </c>
      <c r="AD5" s="22" t="n">
        <v>14.8</v>
      </c>
      <c r="AE5" s="22" t="n">
        <v>9.87</v>
      </c>
      <c r="AF5" s="22" t="n">
        <v>22.95</v>
      </c>
      <c r="AG5" s="21" t="n">
        <v>30784</v>
      </c>
      <c r="AH5" s="21" t="n">
        <v>20523</v>
      </c>
      <c r="AI5" s="21" t="n">
        <v>47736</v>
      </c>
      <c r="AJ5" s="22" t="n">
        <v>13</v>
      </c>
      <c r="AK5" s="22" t="n">
        <v>8.67</v>
      </c>
      <c r="AL5" s="22" t="n">
        <v>20.2</v>
      </c>
      <c r="AM5" s="21" t="n">
        <v>27040</v>
      </c>
      <c r="AN5" s="21" t="n">
        <v>18027</v>
      </c>
      <c r="AO5" s="21" t="n">
        <v>42016</v>
      </c>
      <c r="AP5" s="22" t="n">
        <v>15.6</v>
      </c>
      <c r="AQ5" s="22" t="n">
        <v>10.4</v>
      </c>
      <c r="AR5" s="22" t="n">
        <v>24.3</v>
      </c>
      <c r="AS5" s="21" t="n">
        <v>32448</v>
      </c>
      <c r="AT5" s="21" t="n">
        <v>21632</v>
      </c>
      <c r="AU5" s="21" t="n">
        <v>50544</v>
      </c>
      <c r="AV5" s="21" t="n">
        <v>625000</v>
      </c>
      <c r="AW5" s="21" t="n">
        <v>20500</v>
      </c>
      <c r="AX5" s="21" t="n">
        <v>62500</v>
      </c>
      <c r="AY5" s="21" t="n">
        <v>542500</v>
      </c>
      <c r="AZ5" s="21" t="n">
        <v>312500</v>
      </c>
      <c r="BA5" s="21" t="n">
        <v>10250</v>
      </c>
      <c r="BB5" s="21" t="n">
        <v>31250</v>
      </c>
      <c r="BC5" s="21" t="n">
        <v>271000</v>
      </c>
      <c r="BD5" s="23" t="n">
        <v>39000</v>
      </c>
      <c r="BE5" s="23" t="n">
        <v>7800</v>
      </c>
      <c r="BF5" s="23" t="n">
        <v>0</v>
      </c>
      <c r="BG5" s="23" t="n">
        <v>31200</v>
      </c>
      <c r="BH5" s="23" t="n">
        <v>15600</v>
      </c>
      <c r="BI5" s="23" t="n">
        <v>3900</v>
      </c>
      <c r="BJ5" s="23" t="n">
        <v>1560</v>
      </c>
      <c r="BK5" s="23" t="n">
        <v>11700</v>
      </c>
      <c r="BL5" s="23" t="n">
        <v>7800</v>
      </c>
      <c r="BM5" s="23" t="n">
        <v>1560</v>
      </c>
      <c r="BN5" s="23" t="n">
        <v>780</v>
      </c>
      <c r="BO5" s="23" t="n">
        <v>5850</v>
      </c>
    </row>
    <row r="6" customFormat="false" ht="12.8" hidden="false" customHeight="false" outlineLevel="0" collapsed="false">
      <c r="A6" s="11" t="n">
        <v>3</v>
      </c>
      <c r="B6" s="11" t="s">
        <v>124</v>
      </c>
      <c r="C6" s="11" t="s">
        <v>122</v>
      </c>
      <c r="D6" s="19" t="n">
        <v>112100</v>
      </c>
      <c r="E6" s="19" t="n">
        <v>3699</v>
      </c>
      <c r="F6" s="19" t="n">
        <v>2354</v>
      </c>
      <c r="G6" s="19" t="n">
        <v>105047</v>
      </c>
      <c r="H6" s="14" t="n">
        <v>0.967</v>
      </c>
      <c r="I6" s="14" t="n">
        <v>0.94</v>
      </c>
      <c r="J6" s="14" t="n">
        <v>0.9</v>
      </c>
      <c r="K6" s="14" t="n">
        <v>0.97</v>
      </c>
      <c r="L6" s="14" t="n">
        <v>0.61</v>
      </c>
      <c r="M6" s="14" t="n">
        <v>0.67</v>
      </c>
      <c r="N6" s="14" t="n">
        <v>0.76</v>
      </c>
      <c r="O6" s="14" t="n">
        <v>0.59</v>
      </c>
      <c r="P6" s="14" t="n">
        <v>0.033</v>
      </c>
      <c r="Q6" s="14" t="n">
        <v>0.06</v>
      </c>
      <c r="R6" s="14" t="n">
        <v>0.1</v>
      </c>
      <c r="S6" s="14" t="n">
        <v>0.03</v>
      </c>
      <c r="T6" s="14" t="n">
        <v>0.07</v>
      </c>
      <c r="U6" s="14" t="n">
        <v>0.08</v>
      </c>
      <c r="V6" s="14" t="n">
        <v>0.14</v>
      </c>
      <c r="W6" s="14" t="n">
        <v>0.064</v>
      </c>
      <c r="X6" s="20" t="n">
        <v>28</v>
      </c>
      <c r="Y6" s="20" t="n">
        <v>18</v>
      </c>
      <c r="Z6" s="20" t="n">
        <v>42</v>
      </c>
      <c r="AA6" s="21" t="n">
        <v>58240</v>
      </c>
      <c r="AB6" s="21" t="n">
        <v>37440</v>
      </c>
      <c r="AC6" s="21" t="n">
        <v>87360</v>
      </c>
      <c r="AD6" s="22" t="n">
        <v>27.1</v>
      </c>
      <c r="AE6" s="22" t="n">
        <v>17.4</v>
      </c>
      <c r="AF6" s="22" t="n">
        <v>41</v>
      </c>
      <c r="AG6" s="21" t="n">
        <v>56368</v>
      </c>
      <c r="AH6" s="21" t="n">
        <v>36224</v>
      </c>
      <c r="AI6" s="21" t="n">
        <v>85280</v>
      </c>
      <c r="AJ6" s="22" t="n">
        <v>24</v>
      </c>
      <c r="AK6" s="22" t="n">
        <v>15.4</v>
      </c>
      <c r="AL6" s="22" t="n">
        <v>36</v>
      </c>
      <c r="AM6" s="21" t="n">
        <v>49920</v>
      </c>
      <c r="AN6" s="21" t="n">
        <v>33280</v>
      </c>
      <c r="AO6" s="21" t="n">
        <v>74880</v>
      </c>
      <c r="AP6" s="22" t="n">
        <v>28.4</v>
      </c>
      <c r="AQ6" s="22" t="n">
        <v>18.3</v>
      </c>
      <c r="AR6" s="22" t="n">
        <v>44.2</v>
      </c>
      <c r="AS6" s="21" t="n">
        <v>59152</v>
      </c>
      <c r="AT6" s="21" t="n">
        <v>38064</v>
      </c>
      <c r="AU6" s="21" t="n">
        <v>91856</v>
      </c>
      <c r="AV6" s="21" t="n">
        <v>21000000</v>
      </c>
      <c r="AW6" s="21" t="n">
        <v>700000</v>
      </c>
      <c r="AX6" s="21" t="n">
        <v>2100000</v>
      </c>
      <c r="AY6" s="21" t="n">
        <v>18200000</v>
      </c>
      <c r="AZ6" s="21" t="n">
        <v>10500000</v>
      </c>
      <c r="BA6" s="21" t="n">
        <v>350000</v>
      </c>
      <c r="BB6" s="21" t="n">
        <v>1050000</v>
      </c>
      <c r="BC6" s="21" t="n">
        <v>9100000</v>
      </c>
      <c r="BD6" s="23" t="n">
        <v>2800000</v>
      </c>
      <c r="BE6" s="23" t="n">
        <v>560000</v>
      </c>
      <c r="BF6" s="23" t="n">
        <v>0</v>
      </c>
      <c r="BG6" s="23" t="n">
        <v>2240000</v>
      </c>
      <c r="BH6" s="23" t="n">
        <v>1120000</v>
      </c>
      <c r="BI6" s="23" t="n">
        <v>280000</v>
      </c>
      <c r="BJ6" s="23" t="n">
        <v>112000</v>
      </c>
      <c r="BK6" s="23" t="n">
        <v>840000</v>
      </c>
      <c r="BL6" s="23" t="n">
        <v>420000</v>
      </c>
      <c r="BM6" s="23" t="n">
        <v>84000</v>
      </c>
      <c r="BN6" s="23" t="n">
        <v>42000</v>
      </c>
      <c r="BO6" s="23" t="n">
        <v>315000</v>
      </c>
    </row>
    <row r="7" customFormat="false" ht="12.8" hidden="false" customHeight="false" outlineLevel="0" collapsed="false">
      <c r="A7" s="11" t="n">
        <v>4</v>
      </c>
      <c r="B7" s="11" t="s">
        <v>124</v>
      </c>
      <c r="C7" s="11" t="s">
        <v>123</v>
      </c>
      <c r="D7" s="19" t="n">
        <v>45000</v>
      </c>
      <c r="E7" s="19" t="n">
        <v>1485</v>
      </c>
      <c r="F7" s="19" t="n">
        <v>945</v>
      </c>
      <c r="G7" s="19" t="n">
        <v>42170</v>
      </c>
      <c r="H7" s="14" t="n">
        <v>0.967</v>
      </c>
      <c r="I7" s="14" t="n">
        <v>0.94</v>
      </c>
      <c r="J7" s="14" t="n">
        <v>0.9</v>
      </c>
      <c r="K7" s="14" t="n">
        <v>0.97</v>
      </c>
      <c r="L7" s="14" t="n">
        <v>0.579</v>
      </c>
      <c r="M7" s="14" t="n">
        <v>0.637</v>
      </c>
      <c r="N7" s="14" t="n">
        <v>0.722</v>
      </c>
      <c r="O7" s="14" t="n">
        <v>0.56</v>
      </c>
      <c r="P7" s="14" t="n">
        <v>0.033</v>
      </c>
      <c r="Q7" s="14" t="n">
        <v>0.06</v>
      </c>
      <c r="R7" s="14" t="n">
        <v>0.1</v>
      </c>
      <c r="S7" s="14" t="n">
        <v>0.03</v>
      </c>
      <c r="T7" s="14" t="n">
        <v>0.07</v>
      </c>
      <c r="U7" s="14" t="n">
        <v>0.08</v>
      </c>
      <c r="V7" s="14" t="n">
        <v>0.14</v>
      </c>
      <c r="W7" s="14" t="n">
        <v>0.064</v>
      </c>
      <c r="X7" s="20" t="n">
        <v>23</v>
      </c>
      <c r="Y7" s="20" t="n">
        <v>15</v>
      </c>
      <c r="Z7" s="20" t="n">
        <v>35</v>
      </c>
      <c r="AA7" s="21" t="n">
        <v>47840</v>
      </c>
      <c r="AB7" s="21" t="n">
        <v>31200</v>
      </c>
      <c r="AC7" s="21" t="n">
        <v>72800</v>
      </c>
      <c r="AD7" s="22" t="n">
        <v>22.3</v>
      </c>
      <c r="AE7" s="22" t="n">
        <v>14.5</v>
      </c>
      <c r="AF7" s="22" t="n">
        <v>33.9</v>
      </c>
      <c r="AG7" s="21" t="n">
        <v>46384</v>
      </c>
      <c r="AH7" s="21" t="n">
        <v>30128</v>
      </c>
      <c r="AI7" s="21" t="n">
        <v>70472</v>
      </c>
      <c r="AJ7" s="22" t="n">
        <v>19.7</v>
      </c>
      <c r="AK7" s="22" t="n">
        <v>12.8</v>
      </c>
      <c r="AL7" s="22" t="n">
        <v>29.8</v>
      </c>
      <c r="AM7" s="21" t="n">
        <v>40976</v>
      </c>
      <c r="AN7" s="21" t="n">
        <v>26624</v>
      </c>
      <c r="AO7" s="21" t="n">
        <v>61984</v>
      </c>
      <c r="AP7" s="22" t="n">
        <v>23.3</v>
      </c>
      <c r="AQ7" s="22" t="n">
        <v>15.2</v>
      </c>
      <c r="AR7" s="22" t="n">
        <v>36.3</v>
      </c>
      <c r="AS7" s="21" t="n">
        <v>48464</v>
      </c>
      <c r="AT7" s="21" t="n">
        <v>31616</v>
      </c>
      <c r="AU7" s="21" t="n">
        <v>75424</v>
      </c>
      <c r="AV7" s="21" t="n">
        <v>8400000</v>
      </c>
      <c r="AW7" s="21" t="n">
        <v>280000</v>
      </c>
      <c r="AX7" s="21" t="n">
        <v>840000</v>
      </c>
      <c r="AY7" s="21" t="n">
        <v>7280000</v>
      </c>
      <c r="AZ7" s="21" t="n">
        <v>4200000</v>
      </c>
      <c r="BA7" s="21" t="n">
        <v>140000</v>
      </c>
      <c r="BB7" s="21" t="n">
        <v>420000</v>
      </c>
      <c r="BC7" s="21" t="n">
        <v>3640000</v>
      </c>
      <c r="BD7" s="23" t="n">
        <v>1120000</v>
      </c>
      <c r="BE7" s="23" t="n">
        <v>224000</v>
      </c>
      <c r="BF7" s="23" t="n">
        <v>0</v>
      </c>
      <c r="BG7" s="23" t="n">
        <v>896000</v>
      </c>
      <c r="BH7" s="23" t="n">
        <v>448000</v>
      </c>
      <c r="BI7" s="23" t="n">
        <v>112000</v>
      </c>
      <c r="BJ7" s="23" t="n">
        <v>44800</v>
      </c>
      <c r="BK7" s="23" t="n">
        <v>336000</v>
      </c>
      <c r="BL7" s="23" t="n">
        <v>168000</v>
      </c>
      <c r="BM7" s="23" t="n">
        <v>33600</v>
      </c>
      <c r="BN7" s="23" t="n">
        <v>16800</v>
      </c>
      <c r="BO7" s="23" t="n">
        <v>126000</v>
      </c>
    </row>
    <row r="8" customFormat="false" ht="12.8" hidden="false" customHeight="false" outlineLevel="0" collapsed="false">
      <c r="A8" s="11" t="n">
        <v>5</v>
      </c>
      <c r="B8" s="11" t="s">
        <v>125</v>
      </c>
      <c r="C8" s="11" t="s">
        <v>122</v>
      </c>
      <c r="D8" s="19" t="n">
        <v>217300</v>
      </c>
      <c r="E8" s="19" t="n">
        <v>7171</v>
      </c>
      <c r="F8" s="19" t="n">
        <v>4563</v>
      </c>
      <c r="G8" s="19" t="n">
        <v>205566</v>
      </c>
      <c r="H8" s="14" t="n">
        <v>0.96</v>
      </c>
      <c r="I8" s="14" t="n">
        <v>0.93</v>
      </c>
      <c r="J8" s="14" t="n">
        <v>0.88</v>
      </c>
      <c r="K8" s="14" t="n">
        <v>0.963</v>
      </c>
      <c r="L8" s="14" t="n">
        <v>0.58</v>
      </c>
      <c r="M8" s="14" t="n">
        <v>0.64</v>
      </c>
      <c r="N8" s="14" t="n">
        <v>0.71</v>
      </c>
      <c r="O8" s="14" t="n">
        <v>0.57</v>
      </c>
      <c r="P8" s="14" t="n">
        <v>0.04</v>
      </c>
      <c r="Q8" s="14" t="n">
        <v>0.07</v>
      </c>
      <c r="R8" s="14" t="n">
        <v>0.12</v>
      </c>
      <c r="S8" s="14" t="n">
        <v>0.037</v>
      </c>
      <c r="T8" s="14" t="n">
        <v>0.085</v>
      </c>
      <c r="U8" s="14" t="n">
        <v>0.1</v>
      </c>
      <c r="V8" s="14" t="n">
        <v>0.18</v>
      </c>
      <c r="W8" s="14" t="n">
        <v>0.077</v>
      </c>
      <c r="X8" s="20" t="n">
        <v>16.5</v>
      </c>
      <c r="Y8" s="20" t="n">
        <v>11</v>
      </c>
      <c r="Z8" s="20" t="n">
        <v>25</v>
      </c>
      <c r="AA8" s="21" t="n">
        <v>34320</v>
      </c>
      <c r="AB8" s="21" t="n">
        <v>22880</v>
      </c>
      <c r="AC8" s="21" t="n">
        <v>52000</v>
      </c>
      <c r="AD8" s="22" t="n">
        <v>16</v>
      </c>
      <c r="AE8" s="22" t="n">
        <v>10.6</v>
      </c>
      <c r="AF8" s="22" t="n">
        <v>24.8</v>
      </c>
      <c r="AG8" s="21" t="n">
        <v>33280</v>
      </c>
      <c r="AH8" s="21" t="n">
        <v>22144</v>
      </c>
      <c r="AI8" s="21" t="n">
        <v>51584</v>
      </c>
      <c r="AJ8" s="22" t="n">
        <v>14</v>
      </c>
      <c r="AK8" s="22" t="n">
        <v>9.3</v>
      </c>
      <c r="AL8" s="22" t="n">
        <v>21.7</v>
      </c>
      <c r="AM8" s="21" t="n">
        <v>29120</v>
      </c>
      <c r="AN8" s="21" t="n">
        <v>19344</v>
      </c>
      <c r="AO8" s="21" t="n">
        <v>45136</v>
      </c>
      <c r="AP8" s="22" t="n">
        <v>16.8</v>
      </c>
      <c r="AQ8" s="22" t="n">
        <v>11.2</v>
      </c>
      <c r="AR8" s="22" t="n">
        <v>26.1</v>
      </c>
      <c r="AS8" s="21" t="n">
        <v>34944</v>
      </c>
      <c r="AT8" s="21" t="n">
        <v>23296</v>
      </c>
      <c r="AU8" s="21" t="n">
        <v>54288</v>
      </c>
      <c r="AV8" s="21" t="n">
        <v>18500000</v>
      </c>
      <c r="AW8" s="21" t="n">
        <v>610000</v>
      </c>
      <c r="AX8" s="21" t="n">
        <v>1830000</v>
      </c>
      <c r="AY8" s="21" t="n">
        <v>16060000</v>
      </c>
      <c r="AZ8" s="21" t="n">
        <v>9250000</v>
      </c>
      <c r="BA8" s="21" t="n">
        <v>305000</v>
      </c>
      <c r="BB8" s="21" t="n">
        <v>915000</v>
      </c>
      <c r="BC8" s="21" t="n">
        <v>8030000</v>
      </c>
      <c r="BD8" s="23" t="n">
        <v>3600000</v>
      </c>
      <c r="BE8" s="23" t="n">
        <v>720000</v>
      </c>
      <c r="BF8" s="23" t="n">
        <v>0</v>
      </c>
      <c r="BG8" s="23" t="n">
        <v>2880000</v>
      </c>
      <c r="BH8" s="23" t="n">
        <v>1440000</v>
      </c>
      <c r="BI8" s="23" t="n">
        <v>360000</v>
      </c>
      <c r="BJ8" s="23" t="n">
        <v>144000</v>
      </c>
      <c r="BK8" s="23" t="n">
        <v>1080000</v>
      </c>
      <c r="BL8" s="23" t="n">
        <v>720000</v>
      </c>
      <c r="BM8" s="23" t="n">
        <v>144000</v>
      </c>
      <c r="BN8" s="23" t="n">
        <v>72000</v>
      </c>
      <c r="BO8" s="23" t="n">
        <v>540000</v>
      </c>
    </row>
    <row r="9" customFormat="false" ht="12.8" hidden="false" customHeight="false" outlineLevel="0" collapsed="false">
      <c r="A9" s="11" t="n">
        <v>6</v>
      </c>
      <c r="B9" s="11" t="s">
        <v>125</v>
      </c>
      <c r="C9" s="11" t="s">
        <v>123</v>
      </c>
      <c r="D9" s="19" t="n">
        <v>87000</v>
      </c>
      <c r="E9" s="19" t="n">
        <v>2871</v>
      </c>
      <c r="F9" s="19" t="n">
        <v>1825</v>
      </c>
      <c r="G9" s="19" t="n">
        <v>82204</v>
      </c>
      <c r="H9" s="14" t="n">
        <v>0.96</v>
      </c>
      <c r="I9" s="14" t="n">
        <v>0.93</v>
      </c>
      <c r="J9" s="14" t="n">
        <v>0.88</v>
      </c>
      <c r="K9" s="14" t="n">
        <v>0.963</v>
      </c>
      <c r="L9" s="14" t="n">
        <v>0.551</v>
      </c>
      <c r="M9" s="14" t="n">
        <v>0.608</v>
      </c>
      <c r="N9" s="14" t="n">
        <v>0.674</v>
      </c>
      <c r="O9" s="14" t="n">
        <v>0.542</v>
      </c>
      <c r="P9" s="14" t="n">
        <v>0.04</v>
      </c>
      <c r="Q9" s="14" t="n">
        <v>0.07</v>
      </c>
      <c r="R9" s="14" t="n">
        <v>0.12</v>
      </c>
      <c r="S9" s="14" t="n">
        <v>0.037</v>
      </c>
      <c r="T9" s="14" t="n">
        <v>0.085</v>
      </c>
      <c r="U9" s="14" t="n">
        <v>0.1</v>
      </c>
      <c r="V9" s="14" t="n">
        <v>0.18</v>
      </c>
      <c r="W9" s="14" t="n">
        <v>0.077</v>
      </c>
      <c r="X9" s="20" t="n">
        <v>13.2</v>
      </c>
      <c r="Y9" s="20" t="n">
        <v>8.8</v>
      </c>
      <c r="Z9" s="20" t="n">
        <v>20</v>
      </c>
      <c r="AA9" s="21" t="n">
        <v>27456</v>
      </c>
      <c r="AB9" s="21" t="n">
        <v>18304</v>
      </c>
      <c r="AC9" s="21" t="n">
        <v>41600</v>
      </c>
      <c r="AD9" s="22" t="n">
        <v>12.8</v>
      </c>
      <c r="AE9" s="22" t="n">
        <v>8.5</v>
      </c>
      <c r="AF9" s="22" t="n">
        <v>19.8</v>
      </c>
      <c r="AG9" s="21" t="n">
        <v>26624</v>
      </c>
      <c r="AH9" s="21" t="n">
        <v>17728</v>
      </c>
      <c r="AI9" s="21" t="n">
        <v>41184</v>
      </c>
      <c r="AJ9" s="22" t="n">
        <v>11.2</v>
      </c>
      <c r="AK9" s="22" t="n">
        <v>7.5</v>
      </c>
      <c r="AL9" s="22" t="n">
        <v>17.4</v>
      </c>
      <c r="AM9" s="21" t="n">
        <v>23304</v>
      </c>
      <c r="AN9" s="21" t="n">
        <v>15520</v>
      </c>
      <c r="AO9" s="21" t="n">
        <v>36112</v>
      </c>
      <c r="AP9" s="22" t="n">
        <v>13.4</v>
      </c>
      <c r="AQ9" s="22" t="n">
        <v>8.9</v>
      </c>
      <c r="AR9" s="22" t="n">
        <v>20.8</v>
      </c>
      <c r="AS9" s="21" t="n">
        <v>27872</v>
      </c>
      <c r="AT9" s="21" t="n">
        <v>18581</v>
      </c>
      <c r="AU9" s="21" t="n">
        <v>43264</v>
      </c>
      <c r="AV9" s="21" t="n">
        <v>9300000</v>
      </c>
      <c r="AW9" s="21" t="n">
        <v>310000</v>
      </c>
      <c r="AX9" s="21" t="n">
        <v>930000</v>
      </c>
      <c r="AY9" s="21" t="n">
        <v>8060000</v>
      </c>
      <c r="AZ9" s="21" t="n">
        <v>4650000</v>
      </c>
      <c r="BA9" s="21" t="n">
        <v>155000</v>
      </c>
      <c r="BB9" s="21" t="n">
        <v>465000</v>
      </c>
      <c r="BC9" s="21" t="n">
        <v>4030000</v>
      </c>
      <c r="BD9" s="23" t="n">
        <v>1800000</v>
      </c>
      <c r="BE9" s="23" t="n">
        <v>360000</v>
      </c>
      <c r="BF9" s="23" t="n">
        <v>0</v>
      </c>
      <c r="BG9" s="23" t="n">
        <v>1440000</v>
      </c>
      <c r="BH9" s="23" t="n">
        <v>720000</v>
      </c>
      <c r="BI9" s="23" t="n">
        <v>180000</v>
      </c>
      <c r="BJ9" s="23" t="n">
        <v>72000</v>
      </c>
      <c r="BK9" s="23" t="n">
        <v>540000</v>
      </c>
      <c r="BL9" s="23" t="n">
        <v>360000</v>
      </c>
      <c r="BM9" s="23" t="n">
        <v>72000</v>
      </c>
      <c r="BN9" s="23" t="n">
        <v>36000</v>
      </c>
      <c r="BO9" s="23" t="n">
        <v>270000</v>
      </c>
    </row>
    <row r="10" customFormat="false" ht="12.8" hidden="false" customHeight="false" outlineLevel="0" collapsed="false">
      <c r="A10" s="11" t="n">
        <v>7</v>
      </c>
      <c r="B10" s="11" t="s">
        <v>126</v>
      </c>
      <c r="C10" s="11" t="s">
        <v>122</v>
      </c>
      <c r="D10" s="19" t="n">
        <v>45000</v>
      </c>
      <c r="E10" s="19" t="n">
        <v>1485</v>
      </c>
      <c r="F10" s="19" t="n">
        <v>945</v>
      </c>
      <c r="G10" s="19" t="n">
        <v>42170</v>
      </c>
      <c r="H10" s="14" t="n">
        <v>0.957</v>
      </c>
      <c r="I10" s="14" t="n">
        <v>0.92</v>
      </c>
      <c r="J10" s="14" t="n">
        <v>0.87</v>
      </c>
      <c r="K10" s="14" t="n">
        <v>0.96</v>
      </c>
      <c r="L10" s="14" t="n">
        <v>0.595</v>
      </c>
      <c r="M10" s="14" t="n">
        <v>0.655</v>
      </c>
      <c r="N10" s="14" t="n">
        <v>0.74</v>
      </c>
      <c r="O10" s="14" t="n">
        <v>0.58</v>
      </c>
      <c r="P10" s="14" t="n">
        <v>0.043</v>
      </c>
      <c r="Q10" s="14" t="n">
        <v>0.08</v>
      </c>
      <c r="R10" s="14" t="n">
        <v>0.13</v>
      </c>
      <c r="S10" s="14" t="n">
        <v>0.04</v>
      </c>
      <c r="T10" s="14" t="n">
        <v>0.09</v>
      </c>
      <c r="U10" s="14" t="n">
        <v>0.105</v>
      </c>
      <c r="V10" s="14" t="n">
        <v>0.19</v>
      </c>
      <c r="W10" s="14" t="n">
        <v>0.081</v>
      </c>
      <c r="X10" s="20" t="n">
        <v>14.5</v>
      </c>
      <c r="Y10" s="20" t="n">
        <v>9.7</v>
      </c>
      <c r="Z10" s="20" t="n">
        <v>22</v>
      </c>
      <c r="AA10" s="21" t="n">
        <v>30160</v>
      </c>
      <c r="AB10" s="21" t="n">
        <v>20160</v>
      </c>
      <c r="AC10" s="21" t="n">
        <v>45760</v>
      </c>
      <c r="AD10" s="22" t="n">
        <v>14</v>
      </c>
      <c r="AE10" s="22" t="n">
        <v>9.3</v>
      </c>
      <c r="AF10" s="22" t="n">
        <v>21.7</v>
      </c>
      <c r="AG10" s="21" t="n">
        <v>29120</v>
      </c>
      <c r="AH10" s="21" t="n">
        <v>19424</v>
      </c>
      <c r="AI10" s="21" t="n">
        <v>45136</v>
      </c>
      <c r="AJ10" s="22" t="n">
        <v>12.3</v>
      </c>
      <c r="AK10" s="22" t="n">
        <v>8.2</v>
      </c>
      <c r="AL10" s="22" t="n">
        <v>19.1</v>
      </c>
      <c r="AM10" s="21" t="n">
        <v>25584</v>
      </c>
      <c r="AN10" s="21" t="n">
        <v>17056</v>
      </c>
      <c r="AO10" s="21" t="n">
        <v>39728</v>
      </c>
      <c r="AP10" s="22" t="n">
        <v>14.7</v>
      </c>
      <c r="AQ10" s="22" t="n">
        <v>9.8</v>
      </c>
      <c r="AR10" s="22" t="n">
        <v>22.9</v>
      </c>
      <c r="AS10" s="21" t="n">
        <v>30576</v>
      </c>
      <c r="AT10" s="21" t="n">
        <v>20384</v>
      </c>
      <c r="AU10" s="21" t="n">
        <v>47632</v>
      </c>
      <c r="AV10" s="21" t="n">
        <v>3600000</v>
      </c>
      <c r="AW10" s="21" t="n">
        <v>120000</v>
      </c>
      <c r="AX10" s="21" t="n">
        <v>360000</v>
      </c>
      <c r="AY10" s="21" t="n">
        <v>3120000</v>
      </c>
      <c r="AZ10" s="21" t="n">
        <v>1800000</v>
      </c>
      <c r="BA10" s="21" t="n">
        <v>60000</v>
      </c>
      <c r="BB10" s="21" t="n">
        <v>180000</v>
      </c>
      <c r="BC10" s="21" t="n">
        <v>1560000</v>
      </c>
      <c r="BD10" s="23" t="n">
        <v>750000</v>
      </c>
      <c r="BE10" s="23" t="n">
        <v>150000</v>
      </c>
      <c r="BF10" s="23" t="n">
        <v>0</v>
      </c>
      <c r="BG10" s="23" t="n">
        <v>600000</v>
      </c>
      <c r="BH10" s="23" t="n">
        <v>300000</v>
      </c>
      <c r="BI10" s="23" t="n">
        <v>75000</v>
      </c>
      <c r="BJ10" s="23" t="n">
        <v>30000</v>
      </c>
      <c r="BK10" s="23" t="n">
        <v>225000</v>
      </c>
      <c r="BL10" s="23" t="n">
        <v>150000</v>
      </c>
      <c r="BM10" s="23" t="n">
        <v>30000</v>
      </c>
      <c r="BN10" s="23" t="n">
        <v>15000</v>
      </c>
      <c r="BO10" s="23" t="n">
        <v>112500</v>
      </c>
    </row>
    <row r="11" customFormat="false" ht="12.8" hidden="false" customHeight="false" outlineLevel="0" collapsed="false">
      <c r="A11" s="11" t="n">
        <v>8</v>
      </c>
      <c r="B11" s="11" t="s">
        <v>126</v>
      </c>
      <c r="C11" s="11" t="s">
        <v>123</v>
      </c>
      <c r="D11" s="19" t="n">
        <v>22500</v>
      </c>
      <c r="E11" s="19" t="n">
        <v>743</v>
      </c>
      <c r="F11" s="19" t="n">
        <v>473</v>
      </c>
      <c r="G11" s="19" t="n">
        <v>21085</v>
      </c>
      <c r="H11" s="14" t="n">
        <v>0.957</v>
      </c>
      <c r="I11" s="14" t="n">
        <v>0.92</v>
      </c>
      <c r="J11" s="14" t="n">
        <v>0.87</v>
      </c>
      <c r="K11" s="14" t="n">
        <v>0.96</v>
      </c>
      <c r="L11" s="14" t="n">
        <v>0.565</v>
      </c>
      <c r="M11" s="14" t="n">
        <v>0.622</v>
      </c>
      <c r="N11" s="14" t="n">
        <v>0.703</v>
      </c>
      <c r="O11" s="14" t="n">
        <v>0.551</v>
      </c>
      <c r="P11" s="14" t="n">
        <v>0.043</v>
      </c>
      <c r="Q11" s="14" t="n">
        <v>0.08</v>
      </c>
      <c r="R11" s="14" t="n">
        <v>0.13</v>
      </c>
      <c r="S11" s="14" t="n">
        <v>0.04</v>
      </c>
      <c r="T11" s="14" t="n">
        <v>0.09</v>
      </c>
      <c r="U11" s="14" t="n">
        <v>0.105</v>
      </c>
      <c r="V11" s="14" t="n">
        <v>0.19</v>
      </c>
      <c r="W11" s="14" t="n">
        <v>0.081</v>
      </c>
      <c r="X11" s="20" t="n">
        <v>11.3</v>
      </c>
      <c r="Y11" s="20" t="n">
        <v>7.5</v>
      </c>
      <c r="Z11" s="20" t="n">
        <v>17.1</v>
      </c>
      <c r="AA11" s="21" t="n">
        <v>23504</v>
      </c>
      <c r="AB11" s="21" t="n">
        <v>15680</v>
      </c>
      <c r="AC11" s="21" t="n">
        <v>35584</v>
      </c>
      <c r="AD11" s="22" t="n">
        <v>10.9</v>
      </c>
      <c r="AE11" s="22" t="n">
        <v>7.3</v>
      </c>
      <c r="AF11" s="22" t="n">
        <v>17</v>
      </c>
      <c r="AG11" s="21" t="n">
        <v>22672</v>
      </c>
      <c r="AH11" s="21" t="n">
        <v>15125</v>
      </c>
      <c r="AI11" s="21" t="n">
        <v>35360</v>
      </c>
      <c r="AJ11" s="22" t="n">
        <v>9.6</v>
      </c>
      <c r="AK11" s="22" t="n">
        <v>6.4</v>
      </c>
      <c r="AL11" s="22" t="n">
        <v>14.9</v>
      </c>
      <c r="AM11" s="21" t="n">
        <v>19968</v>
      </c>
      <c r="AN11" s="21" t="n">
        <v>13312</v>
      </c>
      <c r="AO11" s="21" t="n">
        <v>31008</v>
      </c>
      <c r="AP11" s="22" t="n">
        <v>11.5</v>
      </c>
      <c r="AQ11" s="22" t="n">
        <v>7.7</v>
      </c>
      <c r="AR11" s="22" t="n">
        <v>17.9</v>
      </c>
      <c r="AS11" s="21" t="n">
        <v>23920</v>
      </c>
      <c r="AT11" s="21" t="n">
        <v>15947</v>
      </c>
      <c r="AU11" s="21" t="n">
        <v>37232</v>
      </c>
      <c r="AV11" s="21" t="n">
        <v>1800000</v>
      </c>
      <c r="AW11" s="21" t="n">
        <v>60000</v>
      </c>
      <c r="AX11" s="21" t="n">
        <v>180000</v>
      </c>
      <c r="AY11" s="21" t="n">
        <v>1560000</v>
      </c>
      <c r="AZ11" s="21" t="n">
        <v>900000</v>
      </c>
      <c r="BA11" s="21" t="n">
        <v>30000</v>
      </c>
      <c r="BB11" s="21" t="n">
        <v>90000</v>
      </c>
      <c r="BC11" s="21" t="n">
        <v>780000</v>
      </c>
      <c r="BD11" s="23" t="n">
        <v>375000</v>
      </c>
      <c r="BE11" s="23" t="n">
        <v>75000</v>
      </c>
      <c r="BF11" s="23" t="n">
        <v>0</v>
      </c>
      <c r="BG11" s="23" t="n">
        <v>300000</v>
      </c>
      <c r="BH11" s="23" t="n">
        <v>150000</v>
      </c>
      <c r="BI11" s="23" t="n">
        <v>37500</v>
      </c>
      <c r="BJ11" s="23" t="n">
        <v>15000</v>
      </c>
      <c r="BK11" s="23" t="n">
        <v>112500</v>
      </c>
      <c r="BL11" s="23" t="n">
        <v>75000</v>
      </c>
      <c r="BM11" s="23" t="n">
        <v>15000</v>
      </c>
      <c r="BN11" s="23" t="n">
        <v>7500</v>
      </c>
      <c r="BO11" s="23" t="n">
        <v>56250</v>
      </c>
    </row>
    <row r="12" customFormat="false" ht="12.8" hidden="false" customHeight="false" outlineLevel="0" collapsed="false">
      <c r="A12" s="11" t="n">
        <v>9</v>
      </c>
      <c r="B12" s="11" t="s">
        <v>127</v>
      </c>
      <c r="C12" s="11" t="s">
        <v>122</v>
      </c>
      <c r="D12" s="19" t="n">
        <v>287100</v>
      </c>
      <c r="E12" s="19" t="n">
        <v>9474</v>
      </c>
      <c r="F12" s="19" t="n">
        <v>6029</v>
      </c>
      <c r="G12" s="19" t="n">
        <v>271597</v>
      </c>
      <c r="H12" s="14" t="n">
        <v>0.98</v>
      </c>
      <c r="I12" s="14" t="n">
        <v>0.96</v>
      </c>
      <c r="J12" s="14" t="n">
        <v>0.93</v>
      </c>
      <c r="K12" s="14" t="n">
        <v>0.982</v>
      </c>
      <c r="L12" s="14" t="n">
        <v>0.605</v>
      </c>
      <c r="M12" s="14" t="n">
        <v>0.665</v>
      </c>
      <c r="N12" s="14" t="n">
        <v>0.74</v>
      </c>
      <c r="O12" s="14" t="n">
        <v>0.59</v>
      </c>
      <c r="P12" s="14" t="n">
        <v>0.02</v>
      </c>
      <c r="Q12" s="14" t="n">
        <v>0.04</v>
      </c>
      <c r="R12" s="14" t="n">
        <v>0.07</v>
      </c>
      <c r="S12" s="14" t="n">
        <v>0.018</v>
      </c>
      <c r="T12" s="14" t="n">
        <v>0.045</v>
      </c>
      <c r="U12" s="14" t="n">
        <v>0.052</v>
      </c>
      <c r="V12" s="14" t="n">
        <v>0.094</v>
      </c>
      <c r="W12" s="14" t="n">
        <v>0.041</v>
      </c>
      <c r="X12" s="20" t="n">
        <v>26.5</v>
      </c>
      <c r="Y12" s="20" t="n">
        <v>17</v>
      </c>
      <c r="Z12" s="20" t="n">
        <v>40</v>
      </c>
      <c r="AA12" s="21" t="n">
        <v>55120</v>
      </c>
      <c r="AB12" s="21" t="n">
        <v>35360</v>
      </c>
      <c r="AC12" s="21" t="n">
        <v>83200</v>
      </c>
      <c r="AD12" s="22" t="n">
        <v>25.7</v>
      </c>
      <c r="AE12" s="22" t="n">
        <v>16.5</v>
      </c>
      <c r="AF12" s="22" t="n">
        <v>38.8</v>
      </c>
      <c r="AG12" s="21" t="n">
        <v>53456</v>
      </c>
      <c r="AH12" s="21" t="n">
        <v>34304</v>
      </c>
      <c r="AI12" s="21" t="n">
        <v>80624</v>
      </c>
      <c r="AJ12" s="22" t="n">
        <v>23</v>
      </c>
      <c r="AK12" s="22" t="n">
        <v>14.8</v>
      </c>
      <c r="AL12" s="22" t="n">
        <v>34.5</v>
      </c>
      <c r="AM12" s="21" t="n">
        <v>47840</v>
      </c>
      <c r="AN12" s="21" t="n">
        <v>30720</v>
      </c>
      <c r="AO12" s="21" t="n">
        <v>71680</v>
      </c>
      <c r="AP12" s="22" t="n">
        <v>26.9</v>
      </c>
      <c r="AQ12" s="22" t="n">
        <v>17.3</v>
      </c>
      <c r="AR12" s="22" t="n">
        <v>41.8</v>
      </c>
      <c r="AS12" s="21" t="n">
        <v>55952</v>
      </c>
      <c r="AT12" s="21" t="n">
        <v>35936</v>
      </c>
      <c r="AU12" s="21" t="n">
        <v>86864</v>
      </c>
      <c r="AV12" s="21" t="n">
        <v>46000000</v>
      </c>
      <c r="AW12" s="21" t="n">
        <v>1520000</v>
      </c>
      <c r="AX12" s="21" t="n">
        <v>4600000</v>
      </c>
      <c r="AY12" s="21" t="n">
        <v>39880000</v>
      </c>
      <c r="AZ12" s="21" t="n">
        <v>23000000</v>
      </c>
      <c r="BA12" s="21" t="n">
        <v>760000</v>
      </c>
      <c r="BB12" s="21" t="n">
        <v>2300000</v>
      </c>
      <c r="BC12" s="21" t="n">
        <v>19940000</v>
      </c>
      <c r="BD12" s="23" t="n">
        <v>5200000</v>
      </c>
      <c r="BE12" s="23" t="n">
        <v>1040000</v>
      </c>
      <c r="BF12" s="23" t="n">
        <v>0</v>
      </c>
      <c r="BG12" s="23" t="n">
        <v>4160000</v>
      </c>
      <c r="BH12" s="23" t="n">
        <v>2080000</v>
      </c>
      <c r="BI12" s="23" t="n">
        <v>520000</v>
      </c>
      <c r="BJ12" s="23" t="n">
        <v>208000</v>
      </c>
      <c r="BK12" s="23" t="n">
        <v>1560000</v>
      </c>
      <c r="BL12" s="23" t="n">
        <v>1040000</v>
      </c>
      <c r="BM12" s="23" t="n">
        <v>208000</v>
      </c>
      <c r="BN12" s="23" t="n">
        <v>104000</v>
      </c>
      <c r="BO12" s="23" t="n">
        <v>780000</v>
      </c>
    </row>
    <row r="13" customFormat="false" ht="12.8" hidden="false" customHeight="false" outlineLevel="0" collapsed="false">
      <c r="A13" s="11" t="n">
        <v>10</v>
      </c>
      <c r="B13" s="11" t="s">
        <v>127</v>
      </c>
      <c r="C13" s="11" t="s">
        <v>123</v>
      </c>
      <c r="D13" s="19" t="n">
        <v>115000</v>
      </c>
      <c r="E13" s="19" t="n">
        <v>3795</v>
      </c>
      <c r="F13" s="19" t="n">
        <v>2415</v>
      </c>
      <c r="G13" s="19" t="n">
        <v>108790</v>
      </c>
      <c r="H13" s="14" t="n">
        <v>0.98</v>
      </c>
      <c r="I13" s="14" t="n">
        <v>0.96</v>
      </c>
      <c r="J13" s="14" t="n">
        <v>0.93</v>
      </c>
      <c r="K13" s="14" t="n">
        <v>0.982</v>
      </c>
      <c r="L13" s="14" t="n">
        <v>0.575</v>
      </c>
      <c r="M13" s="14" t="n">
        <v>0.632</v>
      </c>
      <c r="N13" s="14" t="n">
        <v>0.703</v>
      </c>
      <c r="O13" s="14" t="n">
        <v>0.56</v>
      </c>
      <c r="P13" s="14" t="n">
        <v>0.02</v>
      </c>
      <c r="Q13" s="14" t="n">
        <v>0.04</v>
      </c>
      <c r="R13" s="14" t="n">
        <v>0.07</v>
      </c>
      <c r="S13" s="14" t="n">
        <v>0.018</v>
      </c>
      <c r="T13" s="14" t="n">
        <v>0.045</v>
      </c>
      <c r="U13" s="14" t="n">
        <v>0.052</v>
      </c>
      <c r="V13" s="14" t="n">
        <v>0.094</v>
      </c>
      <c r="W13" s="14" t="n">
        <v>0.041</v>
      </c>
      <c r="X13" s="20" t="n">
        <v>24.4</v>
      </c>
      <c r="Y13" s="20" t="n">
        <v>15.7</v>
      </c>
      <c r="Z13" s="20" t="n">
        <v>37</v>
      </c>
      <c r="AA13" s="21" t="n">
        <v>50752</v>
      </c>
      <c r="AB13" s="21" t="n">
        <v>32608</v>
      </c>
      <c r="AC13" s="21" t="n">
        <v>76960</v>
      </c>
      <c r="AD13" s="22" t="n">
        <v>23.7</v>
      </c>
      <c r="AE13" s="22" t="n">
        <v>15.2</v>
      </c>
      <c r="AF13" s="22" t="n">
        <v>35.7</v>
      </c>
      <c r="AG13" s="21" t="n">
        <v>49296</v>
      </c>
      <c r="AH13" s="21" t="n">
        <v>31680</v>
      </c>
      <c r="AI13" s="21" t="n">
        <v>74256</v>
      </c>
      <c r="AJ13" s="22" t="n">
        <v>21.2</v>
      </c>
      <c r="AK13" s="22" t="n">
        <v>13.6</v>
      </c>
      <c r="AL13" s="22" t="n">
        <v>31.7</v>
      </c>
      <c r="AM13" s="21" t="n">
        <v>44100</v>
      </c>
      <c r="AN13" s="21" t="n">
        <v>28320</v>
      </c>
      <c r="AO13" s="21" t="n">
        <v>65936</v>
      </c>
      <c r="AP13" s="22" t="n">
        <v>24.8</v>
      </c>
      <c r="AQ13" s="22" t="n">
        <v>15.9</v>
      </c>
      <c r="AR13" s="22" t="n">
        <v>38.5</v>
      </c>
      <c r="AS13" s="21" t="n">
        <v>51584</v>
      </c>
      <c r="AT13" s="21" t="n">
        <v>33152</v>
      </c>
      <c r="AU13" s="21" t="n">
        <v>80048</v>
      </c>
      <c r="AV13" s="21" t="n">
        <v>19500000</v>
      </c>
      <c r="AW13" s="21" t="n">
        <v>650000</v>
      </c>
      <c r="AX13" s="21" t="n">
        <v>1950000</v>
      </c>
      <c r="AY13" s="21" t="n">
        <v>16895000</v>
      </c>
      <c r="AZ13" s="21" t="n">
        <v>9750000</v>
      </c>
      <c r="BA13" s="21" t="n">
        <v>325000</v>
      </c>
      <c r="BB13" s="21" t="n">
        <v>975000</v>
      </c>
      <c r="BC13" s="21" t="n">
        <v>8452500</v>
      </c>
      <c r="BD13" s="23" t="n">
        <v>2100000</v>
      </c>
      <c r="BE13" s="23" t="n">
        <v>420000</v>
      </c>
      <c r="BF13" s="23" t="n">
        <v>0</v>
      </c>
      <c r="BG13" s="23" t="n">
        <v>1680000</v>
      </c>
      <c r="BH13" s="23" t="n">
        <v>840000</v>
      </c>
      <c r="BI13" s="23" t="n">
        <v>210000</v>
      </c>
      <c r="BJ13" s="23" t="n">
        <v>84000</v>
      </c>
      <c r="BK13" s="23" t="n">
        <v>630000</v>
      </c>
      <c r="BL13" s="23" t="n">
        <v>420000</v>
      </c>
      <c r="BM13" s="23" t="n">
        <v>84000</v>
      </c>
      <c r="BN13" s="23" t="n">
        <v>42000</v>
      </c>
      <c r="BO13" s="23" t="n">
        <v>315000</v>
      </c>
    </row>
    <row r="14" customFormat="false" ht="12.8" hidden="false" customHeight="false" outlineLevel="0" collapsed="false">
      <c r="A14" s="11" t="n">
        <v>11</v>
      </c>
      <c r="B14" s="11" t="s">
        <v>128</v>
      </c>
      <c r="C14" s="11" t="s">
        <v>122</v>
      </c>
      <c r="D14" s="19" t="n">
        <v>75000</v>
      </c>
      <c r="E14" s="19" t="n">
        <v>2475</v>
      </c>
      <c r="F14" s="19" t="n">
        <v>1575</v>
      </c>
      <c r="G14" s="19" t="n">
        <v>70950</v>
      </c>
      <c r="H14" s="14" t="n">
        <v>0.976</v>
      </c>
      <c r="I14" s="14" t="n">
        <v>0.95</v>
      </c>
      <c r="J14" s="14" t="n">
        <v>0.92</v>
      </c>
      <c r="K14" s="14" t="n">
        <v>0.978</v>
      </c>
      <c r="L14" s="14" t="n">
        <v>0.6</v>
      </c>
      <c r="M14" s="14" t="n">
        <v>0.66</v>
      </c>
      <c r="N14" s="14" t="n">
        <v>0.75</v>
      </c>
      <c r="O14" s="14" t="n">
        <v>0.58</v>
      </c>
      <c r="P14" s="14" t="n">
        <v>0.024</v>
      </c>
      <c r="Q14" s="14" t="n">
        <v>0.05</v>
      </c>
      <c r="R14" s="14" t="n">
        <v>0.08</v>
      </c>
      <c r="S14" s="14" t="n">
        <v>0.022</v>
      </c>
      <c r="T14" s="14" t="n">
        <v>0.05</v>
      </c>
      <c r="U14" s="14" t="n">
        <v>0.058</v>
      </c>
      <c r="V14" s="14" t="n">
        <v>0.105</v>
      </c>
      <c r="W14" s="14" t="n">
        <v>0.045</v>
      </c>
      <c r="X14" s="20" t="n">
        <v>25</v>
      </c>
      <c r="Y14" s="20" t="n">
        <v>16</v>
      </c>
      <c r="Z14" s="20" t="n">
        <v>38</v>
      </c>
      <c r="AA14" s="21" t="n">
        <v>52000</v>
      </c>
      <c r="AB14" s="21" t="n">
        <v>33280</v>
      </c>
      <c r="AC14" s="21" t="n">
        <v>79040</v>
      </c>
      <c r="AD14" s="22" t="n">
        <v>24.2</v>
      </c>
      <c r="AE14" s="22" t="n">
        <v>15.5</v>
      </c>
      <c r="AF14" s="22" t="n">
        <v>36.7</v>
      </c>
      <c r="AG14" s="21" t="n">
        <v>50336</v>
      </c>
      <c r="AH14" s="21" t="n">
        <v>32256</v>
      </c>
      <c r="AI14" s="21" t="n">
        <v>76304</v>
      </c>
      <c r="AJ14" s="22" t="n">
        <v>21.7</v>
      </c>
      <c r="AK14" s="22" t="n">
        <v>13.9</v>
      </c>
      <c r="AL14" s="22" t="n">
        <v>32.8</v>
      </c>
      <c r="AM14" s="21" t="n">
        <v>45136</v>
      </c>
      <c r="AN14" s="21" t="n">
        <v>30090</v>
      </c>
      <c r="AO14" s="21" t="n">
        <v>68224</v>
      </c>
      <c r="AP14" s="22" t="n">
        <v>25.4</v>
      </c>
      <c r="AQ14" s="22" t="n">
        <v>16.3</v>
      </c>
      <c r="AR14" s="22" t="n">
        <v>39.5</v>
      </c>
      <c r="AS14" s="21" t="n">
        <v>52832</v>
      </c>
      <c r="AT14" s="21" t="n">
        <v>33984</v>
      </c>
      <c r="AU14" s="21" t="n">
        <v>82160</v>
      </c>
      <c r="AV14" s="21" t="n">
        <v>39000000</v>
      </c>
      <c r="AW14" s="21" t="n">
        <v>1300000</v>
      </c>
      <c r="AX14" s="21" t="n">
        <v>3900000</v>
      </c>
      <c r="AY14" s="21" t="n">
        <v>33800000</v>
      </c>
      <c r="AZ14" s="21" t="n">
        <v>19500000</v>
      </c>
      <c r="BA14" s="21" t="n">
        <v>650000</v>
      </c>
      <c r="BB14" s="21" t="n">
        <v>1950000</v>
      </c>
      <c r="BC14" s="21" t="n">
        <v>16900000</v>
      </c>
      <c r="BD14" s="23" t="n">
        <v>4600000</v>
      </c>
      <c r="BE14" s="23" t="n">
        <v>920000</v>
      </c>
      <c r="BF14" s="23" t="n">
        <v>0</v>
      </c>
      <c r="BG14" s="23" t="n">
        <v>3680000</v>
      </c>
      <c r="BH14" s="23" t="n">
        <v>1840000</v>
      </c>
      <c r="BI14" s="23" t="n">
        <v>460000</v>
      </c>
      <c r="BJ14" s="23" t="n">
        <v>184000</v>
      </c>
      <c r="BK14" s="23" t="n">
        <v>1380000</v>
      </c>
      <c r="BL14" s="23" t="n">
        <v>920000</v>
      </c>
      <c r="BM14" s="23" t="n">
        <v>184000</v>
      </c>
      <c r="BN14" s="23" t="n">
        <v>92000</v>
      </c>
      <c r="BO14" s="23" t="n">
        <v>690000</v>
      </c>
    </row>
    <row r="15" customFormat="false" ht="12.8" hidden="false" customHeight="false" outlineLevel="0" collapsed="false">
      <c r="A15" s="11" t="n">
        <v>12</v>
      </c>
      <c r="B15" s="11" t="s">
        <v>128</v>
      </c>
      <c r="C15" s="11" t="s">
        <v>123</v>
      </c>
      <c r="D15" s="19" t="n">
        <v>30000</v>
      </c>
      <c r="E15" s="19" t="n">
        <v>990</v>
      </c>
      <c r="F15" s="19" t="n">
        <v>630</v>
      </c>
      <c r="G15" s="19" t="n">
        <v>28380</v>
      </c>
      <c r="H15" s="14" t="n">
        <v>0.976</v>
      </c>
      <c r="I15" s="14" t="n">
        <v>0.95</v>
      </c>
      <c r="J15" s="14" t="n">
        <v>0.92</v>
      </c>
      <c r="K15" s="14" t="n">
        <v>0.978</v>
      </c>
      <c r="L15" s="14" t="n">
        <v>0.57</v>
      </c>
      <c r="M15" s="14" t="n">
        <v>0.627</v>
      </c>
      <c r="N15" s="14" t="n">
        <v>0.712</v>
      </c>
      <c r="O15" s="14" t="n">
        <v>0.55</v>
      </c>
      <c r="P15" s="14" t="n">
        <v>0.024</v>
      </c>
      <c r="Q15" s="14" t="n">
        <v>0.05</v>
      </c>
      <c r="R15" s="14" t="n">
        <v>0.08</v>
      </c>
      <c r="S15" s="14" t="n">
        <v>0.022</v>
      </c>
      <c r="T15" s="14" t="n">
        <v>0.05</v>
      </c>
      <c r="U15" s="14" t="n">
        <v>0.058</v>
      </c>
      <c r="V15" s="14" t="n">
        <v>0.105</v>
      </c>
      <c r="W15" s="14" t="n">
        <v>0.045</v>
      </c>
      <c r="X15" s="20" t="n">
        <v>22.5</v>
      </c>
      <c r="Y15" s="20" t="n">
        <v>14.5</v>
      </c>
      <c r="Z15" s="20" t="n">
        <v>34</v>
      </c>
      <c r="AA15" s="21" t="n">
        <v>46800</v>
      </c>
      <c r="AB15" s="21" t="n">
        <v>30160</v>
      </c>
      <c r="AC15" s="21" t="n">
        <v>70720</v>
      </c>
      <c r="AD15" s="22" t="n">
        <v>21.8</v>
      </c>
      <c r="AE15" s="22" t="n">
        <v>14</v>
      </c>
      <c r="AF15" s="22" t="n">
        <v>33</v>
      </c>
      <c r="AG15" s="21" t="n">
        <v>45344</v>
      </c>
      <c r="AH15" s="21" t="n">
        <v>29120</v>
      </c>
      <c r="AI15" s="21" t="n">
        <v>68640</v>
      </c>
      <c r="AJ15" s="22" t="n">
        <v>19.5</v>
      </c>
      <c r="AK15" s="22" t="n">
        <v>12.5</v>
      </c>
      <c r="AL15" s="22" t="n">
        <v>29.5</v>
      </c>
      <c r="AM15" s="21" t="n">
        <v>40560</v>
      </c>
      <c r="AN15" s="21" t="n">
        <v>26000</v>
      </c>
      <c r="AO15" s="21" t="n">
        <v>61360</v>
      </c>
      <c r="AP15" s="22" t="n">
        <v>22.8</v>
      </c>
      <c r="AQ15" s="22" t="n">
        <v>14.7</v>
      </c>
      <c r="AR15" s="22" t="n">
        <v>35.4</v>
      </c>
      <c r="AS15" s="21" t="n">
        <v>47424</v>
      </c>
      <c r="AT15" s="21" t="n">
        <v>30528</v>
      </c>
      <c r="AU15" s="21" t="n">
        <v>73632</v>
      </c>
      <c r="AV15" s="21" t="n">
        <v>15600000</v>
      </c>
      <c r="AW15" s="21" t="n">
        <v>520000</v>
      </c>
      <c r="AX15" s="21" t="n">
        <v>1560000</v>
      </c>
      <c r="AY15" s="21" t="n">
        <v>13528000</v>
      </c>
      <c r="AZ15" s="21" t="n">
        <v>7800000</v>
      </c>
      <c r="BA15" s="21" t="n">
        <v>260000</v>
      </c>
      <c r="BB15" s="21" t="n">
        <v>780000</v>
      </c>
      <c r="BC15" s="21" t="n">
        <v>6760000</v>
      </c>
      <c r="BD15" s="23" t="n">
        <v>1840000</v>
      </c>
      <c r="BE15" s="23" t="n">
        <v>368000</v>
      </c>
      <c r="BF15" s="23" t="n">
        <v>0</v>
      </c>
      <c r="BG15" s="23" t="n">
        <v>1472000</v>
      </c>
      <c r="BH15" s="23" t="n">
        <v>736000</v>
      </c>
      <c r="BI15" s="23" t="n">
        <v>184000</v>
      </c>
      <c r="BJ15" s="23" t="n">
        <v>73600</v>
      </c>
      <c r="BK15" s="23" t="n">
        <v>552000</v>
      </c>
      <c r="BL15" s="23" t="n">
        <v>368000</v>
      </c>
      <c r="BM15" s="23" t="n">
        <v>73600</v>
      </c>
      <c r="BN15" s="23" t="n">
        <v>36800</v>
      </c>
      <c r="BO15" s="23" t="n">
        <v>276000</v>
      </c>
    </row>
    <row r="16" customFormat="false" ht="12.8" hidden="false" customHeight="false" outlineLevel="0" collapsed="false">
      <c r="A16" s="11" t="n">
        <v>13</v>
      </c>
      <c r="B16" s="11" t="s">
        <v>129</v>
      </c>
      <c r="C16" s="11" t="s">
        <v>122</v>
      </c>
      <c r="D16" s="19" t="n">
        <v>200000</v>
      </c>
      <c r="E16" s="19" t="n">
        <v>6600</v>
      </c>
      <c r="F16" s="19" t="n">
        <v>4200</v>
      </c>
      <c r="G16" s="19" t="n">
        <v>189200</v>
      </c>
      <c r="H16" s="14" t="n">
        <v>0.96</v>
      </c>
      <c r="I16" s="14" t="n">
        <v>0.93</v>
      </c>
      <c r="J16" s="14" t="n">
        <v>0.88</v>
      </c>
      <c r="K16" s="14" t="n">
        <v>0.963</v>
      </c>
      <c r="L16" s="14" t="n">
        <v>0.58</v>
      </c>
      <c r="M16" s="14" t="n">
        <v>0.64</v>
      </c>
      <c r="N16" s="14" t="n">
        <v>0.71</v>
      </c>
      <c r="O16" s="14" t="n">
        <v>0.57</v>
      </c>
      <c r="P16" s="14" t="n">
        <v>0.04</v>
      </c>
      <c r="Q16" s="14" t="n">
        <v>0.07</v>
      </c>
      <c r="R16" s="14" t="n">
        <v>0.12</v>
      </c>
      <c r="S16" s="14" t="n">
        <v>0.037</v>
      </c>
      <c r="T16" s="14" t="n">
        <v>0.085</v>
      </c>
      <c r="U16" s="14" t="n">
        <v>0.1</v>
      </c>
      <c r="V16" s="14" t="n">
        <v>0.18</v>
      </c>
      <c r="W16" s="14" t="n">
        <v>0.077</v>
      </c>
      <c r="X16" s="20" t="n">
        <v>18.5</v>
      </c>
      <c r="Y16" s="20" t="n">
        <v>12</v>
      </c>
      <c r="Z16" s="20" t="n">
        <v>28</v>
      </c>
      <c r="AA16" s="21" t="n">
        <v>38480</v>
      </c>
      <c r="AB16" s="21" t="n">
        <v>24960</v>
      </c>
      <c r="AC16" s="21" t="n">
        <v>58240</v>
      </c>
      <c r="AD16" s="22" t="n">
        <v>17.9</v>
      </c>
      <c r="AE16" s="22" t="n">
        <v>11.6</v>
      </c>
      <c r="AF16" s="22" t="n">
        <v>27</v>
      </c>
      <c r="AG16" s="21" t="n">
        <v>37232</v>
      </c>
      <c r="AH16" s="21" t="n">
        <v>24128</v>
      </c>
      <c r="AI16" s="21" t="n">
        <v>56160</v>
      </c>
      <c r="AJ16" s="22" t="n">
        <v>15.7</v>
      </c>
      <c r="AK16" s="22" t="n">
        <v>10.2</v>
      </c>
      <c r="AL16" s="22" t="n">
        <v>23.8</v>
      </c>
      <c r="AM16" s="21" t="n">
        <v>32656</v>
      </c>
      <c r="AN16" s="21" t="n">
        <v>21744</v>
      </c>
      <c r="AO16" s="21" t="n">
        <v>49472</v>
      </c>
      <c r="AP16" s="22" t="n">
        <v>18.8</v>
      </c>
      <c r="AQ16" s="22" t="n">
        <v>12.3</v>
      </c>
      <c r="AR16" s="22" t="n">
        <v>29.5</v>
      </c>
      <c r="AS16" s="21" t="n">
        <v>39104</v>
      </c>
      <c r="AT16" s="21" t="n">
        <v>25472</v>
      </c>
      <c r="AU16" s="21" t="n">
        <v>61312</v>
      </c>
      <c r="AV16" s="21" t="n">
        <v>18500000</v>
      </c>
      <c r="AW16" s="21" t="n">
        <v>610000</v>
      </c>
      <c r="AX16" s="21" t="n">
        <v>1830000</v>
      </c>
      <c r="AY16" s="21" t="n">
        <v>16060000</v>
      </c>
      <c r="AZ16" s="21" t="n">
        <v>9250000</v>
      </c>
      <c r="BA16" s="21" t="n">
        <v>305000</v>
      </c>
      <c r="BB16" s="21" t="n">
        <v>915000</v>
      </c>
      <c r="BC16" s="21" t="n">
        <v>8030000</v>
      </c>
      <c r="BD16" s="23" t="n">
        <v>3600000</v>
      </c>
      <c r="BE16" s="23" t="n">
        <v>720000</v>
      </c>
      <c r="BF16" s="23" t="n">
        <v>0</v>
      </c>
      <c r="BG16" s="23" t="n">
        <v>2880000</v>
      </c>
      <c r="BH16" s="23" t="n">
        <v>1440000</v>
      </c>
      <c r="BI16" s="23" t="n">
        <v>360000</v>
      </c>
      <c r="BJ16" s="23" t="n">
        <v>144000</v>
      </c>
      <c r="BK16" s="23" t="n">
        <v>1080000</v>
      </c>
      <c r="BL16" s="23" t="n">
        <v>720000</v>
      </c>
      <c r="BM16" s="23" t="n">
        <v>144000</v>
      </c>
      <c r="BN16" s="23" t="n">
        <v>72000</v>
      </c>
      <c r="BO16" s="23" t="n">
        <v>540000</v>
      </c>
    </row>
    <row r="17" customFormat="false" ht="12.8" hidden="false" customHeight="false" outlineLevel="0" collapsed="false">
      <c r="A17" s="11" t="n">
        <v>14</v>
      </c>
      <c r="B17" s="11" t="s">
        <v>129</v>
      </c>
      <c r="C17" s="11" t="s">
        <v>123</v>
      </c>
      <c r="D17" s="19" t="n">
        <v>100000</v>
      </c>
      <c r="E17" s="19" t="n">
        <v>3300</v>
      </c>
      <c r="F17" s="19" t="n">
        <v>2100</v>
      </c>
      <c r="G17" s="19" t="n">
        <v>94600</v>
      </c>
      <c r="H17" s="14" t="n">
        <v>0.96</v>
      </c>
      <c r="I17" s="14" t="n">
        <v>0.93</v>
      </c>
      <c r="J17" s="14" t="n">
        <v>0.88</v>
      </c>
      <c r="K17" s="14" t="n">
        <v>0.963</v>
      </c>
      <c r="L17" s="14" t="n">
        <v>0.551</v>
      </c>
      <c r="M17" s="14" t="n">
        <v>0.608</v>
      </c>
      <c r="N17" s="14" t="n">
        <v>0.674</v>
      </c>
      <c r="O17" s="14" t="n">
        <v>0.542</v>
      </c>
      <c r="P17" s="14" t="n">
        <v>0.04</v>
      </c>
      <c r="Q17" s="14" t="n">
        <v>0.07</v>
      </c>
      <c r="R17" s="14" t="n">
        <v>0.12</v>
      </c>
      <c r="S17" s="14" t="n">
        <v>0.037</v>
      </c>
      <c r="T17" s="14" t="n">
        <v>0.085</v>
      </c>
      <c r="U17" s="14" t="n">
        <v>0.1</v>
      </c>
      <c r="V17" s="14" t="n">
        <v>0.18</v>
      </c>
      <c r="W17" s="14" t="n">
        <v>0.077</v>
      </c>
      <c r="X17" s="20" t="n">
        <v>14.8</v>
      </c>
      <c r="Y17" s="20" t="n">
        <v>9.9</v>
      </c>
      <c r="Z17" s="20" t="n">
        <v>22.5</v>
      </c>
      <c r="AA17" s="21" t="n">
        <v>30784</v>
      </c>
      <c r="AB17" s="21" t="n">
        <v>20523</v>
      </c>
      <c r="AC17" s="21" t="n">
        <v>46800</v>
      </c>
      <c r="AD17" s="22" t="n">
        <v>14.3</v>
      </c>
      <c r="AE17" s="22" t="n">
        <v>9.5</v>
      </c>
      <c r="AF17" s="22" t="n">
        <v>21.8</v>
      </c>
      <c r="AG17" s="21" t="n">
        <v>29744</v>
      </c>
      <c r="AH17" s="21" t="n">
        <v>19808</v>
      </c>
      <c r="AI17" s="21" t="n">
        <v>45296</v>
      </c>
      <c r="AJ17" s="22" t="n">
        <v>12.6</v>
      </c>
      <c r="AK17" s="22" t="n">
        <v>8.4</v>
      </c>
      <c r="AL17" s="22" t="n">
        <v>19.6</v>
      </c>
      <c r="AM17" s="21" t="n">
        <v>26208</v>
      </c>
      <c r="AN17" s="21" t="n">
        <v>17472</v>
      </c>
      <c r="AO17" s="21" t="n">
        <v>40832</v>
      </c>
      <c r="AP17" s="22" t="n">
        <v>15.1</v>
      </c>
      <c r="AQ17" s="22" t="n">
        <v>10.1</v>
      </c>
      <c r="AR17" s="22" t="n">
        <v>24.5</v>
      </c>
      <c r="AS17" s="21" t="n">
        <v>31408</v>
      </c>
      <c r="AT17" s="21" t="n">
        <v>20944</v>
      </c>
      <c r="AU17" s="21" t="n">
        <v>51008</v>
      </c>
      <c r="AV17" s="21" t="n">
        <v>9300000</v>
      </c>
      <c r="AW17" s="21" t="n">
        <v>310000</v>
      </c>
      <c r="AX17" s="21" t="n">
        <v>930000</v>
      </c>
      <c r="AY17" s="21" t="n">
        <v>8060000</v>
      </c>
      <c r="AZ17" s="21" t="n">
        <v>4650000</v>
      </c>
      <c r="BA17" s="21" t="n">
        <v>155000</v>
      </c>
      <c r="BB17" s="21" t="n">
        <v>465000</v>
      </c>
      <c r="BC17" s="21" t="n">
        <v>4030000</v>
      </c>
      <c r="BD17" s="23" t="n">
        <v>1800000</v>
      </c>
      <c r="BE17" s="23" t="n">
        <v>360000</v>
      </c>
      <c r="BF17" s="23" t="n">
        <v>0</v>
      </c>
      <c r="BG17" s="23" t="n">
        <v>1440000</v>
      </c>
      <c r="BH17" s="23" t="n">
        <v>720000</v>
      </c>
      <c r="BI17" s="23" t="n">
        <v>180000</v>
      </c>
      <c r="BJ17" s="23" t="n">
        <v>72000</v>
      </c>
      <c r="BK17" s="23" t="n">
        <v>540000</v>
      </c>
      <c r="BL17" s="23" t="n">
        <v>360000</v>
      </c>
      <c r="BM17" s="23" t="n">
        <v>72000</v>
      </c>
      <c r="BN17" s="23" t="n">
        <v>36000</v>
      </c>
      <c r="BO17" s="23" t="n">
        <v>270000</v>
      </c>
    </row>
    <row r="18" customFormat="false" ht="12.8" hidden="false" customHeight="false" outlineLevel="0" collapsed="false">
      <c r="A18" s="11" t="n">
        <v>15</v>
      </c>
      <c r="B18" s="11" t="s">
        <v>130</v>
      </c>
      <c r="C18" s="11" t="s">
        <v>122</v>
      </c>
      <c r="D18" s="19" t="n">
        <v>23000</v>
      </c>
      <c r="E18" s="19" t="n">
        <v>759</v>
      </c>
      <c r="F18" s="19" t="n">
        <v>483</v>
      </c>
      <c r="G18" s="19" t="n">
        <v>21758</v>
      </c>
      <c r="H18" s="14" t="n">
        <v>0.952</v>
      </c>
      <c r="I18" s="14" t="n">
        <v>0.93</v>
      </c>
      <c r="J18" s="14" t="n">
        <v>0.89</v>
      </c>
      <c r="K18" s="14" t="n">
        <v>0.955</v>
      </c>
      <c r="L18" s="14" t="n">
        <v>0.62</v>
      </c>
      <c r="M18" s="14" t="n">
        <v>0.68</v>
      </c>
      <c r="N18" s="14" t="n">
        <v>0.78</v>
      </c>
      <c r="O18" s="14" t="n">
        <v>0.6</v>
      </c>
      <c r="P18" s="14" t="n">
        <v>0.048</v>
      </c>
      <c r="Q18" s="14" t="n">
        <v>0.07</v>
      </c>
      <c r="R18" s="14" t="n">
        <v>0.11</v>
      </c>
      <c r="S18" s="14" t="n">
        <v>0.045</v>
      </c>
      <c r="T18" s="14" t="n">
        <v>0.095</v>
      </c>
      <c r="U18" s="14" t="n">
        <v>0.11</v>
      </c>
      <c r="V18" s="14" t="n">
        <v>0.17</v>
      </c>
      <c r="W18" s="14" t="n">
        <v>0.086</v>
      </c>
      <c r="X18" s="20" t="n">
        <v>18</v>
      </c>
      <c r="Y18" s="20" t="n">
        <v>12</v>
      </c>
      <c r="Z18" s="20" t="n">
        <v>28</v>
      </c>
      <c r="AA18" s="21" t="n">
        <v>37440</v>
      </c>
      <c r="AB18" s="21" t="n">
        <v>24960</v>
      </c>
      <c r="AC18" s="21" t="n">
        <v>58240</v>
      </c>
      <c r="AD18" s="22" t="n">
        <v>17.4</v>
      </c>
      <c r="AE18" s="22" t="n">
        <v>11.6</v>
      </c>
      <c r="AF18" s="22" t="n">
        <v>27</v>
      </c>
      <c r="AG18" s="21" t="n">
        <v>36192</v>
      </c>
      <c r="AH18" s="21" t="n">
        <v>24128</v>
      </c>
      <c r="AI18" s="21" t="n">
        <v>56160</v>
      </c>
      <c r="AJ18" s="22" t="n">
        <v>15.3</v>
      </c>
      <c r="AK18" s="22" t="n">
        <v>10.2</v>
      </c>
      <c r="AL18" s="22" t="n">
        <v>23.8</v>
      </c>
      <c r="AM18" s="21" t="n">
        <v>31824</v>
      </c>
      <c r="AN18" s="21" t="n">
        <v>21216</v>
      </c>
      <c r="AO18" s="21" t="n">
        <v>49504</v>
      </c>
      <c r="AP18" s="22" t="n">
        <v>18.3</v>
      </c>
      <c r="AQ18" s="22" t="n">
        <v>12.2</v>
      </c>
      <c r="AR18" s="22" t="n">
        <v>28.5</v>
      </c>
      <c r="AS18" s="21" t="n">
        <v>38064</v>
      </c>
      <c r="AT18" s="21" t="n">
        <v>25376</v>
      </c>
      <c r="AU18" s="21" t="n">
        <v>59280</v>
      </c>
      <c r="AV18" s="21" t="n">
        <v>1500000</v>
      </c>
      <c r="AW18" s="21" t="n">
        <v>50000</v>
      </c>
      <c r="AX18" s="21" t="n">
        <v>150000</v>
      </c>
      <c r="AY18" s="21" t="n">
        <v>1300000</v>
      </c>
      <c r="AZ18" s="21" t="n">
        <v>750000</v>
      </c>
      <c r="BA18" s="21" t="n">
        <v>25000</v>
      </c>
      <c r="BB18" s="21" t="n">
        <v>75000</v>
      </c>
      <c r="BC18" s="21" t="n">
        <v>650000</v>
      </c>
      <c r="BD18" s="23" t="n">
        <v>195000</v>
      </c>
      <c r="BE18" s="23" t="n">
        <v>39000</v>
      </c>
      <c r="BF18" s="23" t="n">
        <v>0</v>
      </c>
      <c r="BG18" s="23" t="n">
        <v>156000</v>
      </c>
      <c r="BH18" s="23" t="n">
        <v>78000</v>
      </c>
      <c r="BI18" s="23" t="n">
        <v>19500</v>
      </c>
      <c r="BJ18" s="23" t="n">
        <v>19500</v>
      </c>
      <c r="BK18" s="23" t="n">
        <v>146250</v>
      </c>
      <c r="BL18" s="23" t="n">
        <v>97500</v>
      </c>
      <c r="BM18" s="23" t="n">
        <v>19500</v>
      </c>
      <c r="BN18" s="23" t="n">
        <v>9750</v>
      </c>
      <c r="BO18" s="23" t="n">
        <v>73125</v>
      </c>
    </row>
    <row r="19" customFormat="false" ht="12.8" hidden="false" customHeight="false" outlineLevel="0" collapsed="false">
      <c r="A19" s="11" t="n">
        <v>16</v>
      </c>
      <c r="B19" s="11" t="s">
        <v>130</v>
      </c>
      <c r="C19" s="11" t="s">
        <v>123</v>
      </c>
      <c r="D19" s="19" t="n">
        <v>11500</v>
      </c>
      <c r="E19" s="19" t="n">
        <v>380</v>
      </c>
      <c r="F19" s="19" t="n">
        <v>242</v>
      </c>
      <c r="G19" s="19" t="n">
        <v>10879</v>
      </c>
      <c r="H19" s="14" t="n">
        <v>0.952</v>
      </c>
      <c r="I19" s="14" t="n">
        <v>0.93</v>
      </c>
      <c r="J19" s="14" t="n">
        <v>0.89</v>
      </c>
      <c r="K19" s="14" t="n">
        <v>0.955</v>
      </c>
      <c r="L19" s="14" t="n">
        <v>0.589</v>
      </c>
      <c r="M19" s="14" t="n">
        <v>0.646</v>
      </c>
      <c r="N19" s="14" t="n">
        <v>0.741</v>
      </c>
      <c r="O19" s="14" t="n">
        <v>0.57</v>
      </c>
      <c r="P19" s="14" t="n">
        <v>0.048</v>
      </c>
      <c r="Q19" s="14" t="n">
        <v>0.07</v>
      </c>
      <c r="R19" s="14" t="n">
        <v>0.11</v>
      </c>
      <c r="S19" s="14" t="n">
        <v>0.045</v>
      </c>
      <c r="T19" s="14" t="n">
        <v>0.095</v>
      </c>
      <c r="U19" s="14" t="n">
        <v>0.11</v>
      </c>
      <c r="V19" s="14" t="n">
        <v>0.17</v>
      </c>
      <c r="W19" s="14" t="n">
        <v>0.086</v>
      </c>
      <c r="X19" s="20" t="n">
        <v>15.3</v>
      </c>
      <c r="Y19" s="20" t="n">
        <v>10.2</v>
      </c>
      <c r="Z19" s="20" t="n">
        <v>23.8</v>
      </c>
      <c r="AA19" s="21" t="n">
        <v>31824</v>
      </c>
      <c r="AB19" s="21" t="n">
        <v>21216</v>
      </c>
      <c r="AC19" s="21" t="n">
        <v>49504</v>
      </c>
      <c r="AD19" s="22" t="n">
        <v>14.8</v>
      </c>
      <c r="AE19" s="22" t="n">
        <v>9.87</v>
      </c>
      <c r="AF19" s="22" t="n">
        <v>22.95</v>
      </c>
      <c r="AG19" s="21" t="n">
        <v>30784</v>
      </c>
      <c r="AH19" s="21" t="n">
        <v>20523</v>
      </c>
      <c r="AI19" s="21" t="n">
        <v>47736</v>
      </c>
      <c r="AJ19" s="22" t="n">
        <v>13</v>
      </c>
      <c r="AK19" s="22" t="n">
        <v>8.67</v>
      </c>
      <c r="AL19" s="22" t="n">
        <v>20.2</v>
      </c>
      <c r="AM19" s="21" t="n">
        <v>27040</v>
      </c>
      <c r="AN19" s="21" t="n">
        <v>18027</v>
      </c>
      <c r="AO19" s="21" t="n">
        <v>42016</v>
      </c>
      <c r="AP19" s="22" t="n">
        <v>15.6</v>
      </c>
      <c r="AQ19" s="22" t="n">
        <v>10.4</v>
      </c>
      <c r="AR19" s="22" t="n">
        <v>24.3</v>
      </c>
      <c r="AS19" s="21" t="n">
        <v>32448</v>
      </c>
      <c r="AT19" s="21" t="n">
        <v>21632</v>
      </c>
      <c r="AU19" s="21" t="n">
        <v>50544</v>
      </c>
      <c r="AV19" s="21" t="n">
        <v>750000</v>
      </c>
      <c r="AW19" s="21" t="n">
        <v>25000</v>
      </c>
      <c r="AX19" s="21" t="n">
        <v>75000</v>
      </c>
      <c r="AY19" s="21" t="n">
        <v>650000</v>
      </c>
      <c r="AZ19" s="21" t="n">
        <v>375000</v>
      </c>
      <c r="BA19" s="21" t="n">
        <v>12500</v>
      </c>
      <c r="BB19" s="21" t="n">
        <v>37500</v>
      </c>
      <c r="BC19" s="21" t="n">
        <v>325000</v>
      </c>
      <c r="BD19" s="23" t="n">
        <v>97500</v>
      </c>
      <c r="BE19" s="23" t="n">
        <v>19500</v>
      </c>
      <c r="BF19" s="23" t="n">
        <v>0</v>
      </c>
      <c r="BG19" s="23" t="n">
        <v>78000</v>
      </c>
      <c r="BH19" s="23" t="n">
        <v>39000</v>
      </c>
      <c r="BI19" s="23" t="n">
        <v>9750</v>
      </c>
      <c r="BJ19" s="23" t="n">
        <v>9750</v>
      </c>
      <c r="BK19" s="23" t="n">
        <v>73125</v>
      </c>
      <c r="BL19" s="23" t="n">
        <v>48750</v>
      </c>
      <c r="BM19" s="23" t="n">
        <v>9750</v>
      </c>
      <c r="BN19" s="23" t="n">
        <v>4875</v>
      </c>
      <c r="BO19" s="23" t="n">
        <v>36562.5</v>
      </c>
    </row>
    <row r="20" customFormat="false" ht="12.8" hidden="false" customHeight="false" outlineLevel="0" collapsed="false">
      <c r="A20" s="11" t="n">
        <v>17</v>
      </c>
      <c r="B20" s="11" t="s">
        <v>131</v>
      </c>
      <c r="C20" s="11" t="s">
        <v>122</v>
      </c>
      <c r="D20" s="19" t="n">
        <v>15000</v>
      </c>
      <c r="E20" s="19" t="n">
        <v>495</v>
      </c>
      <c r="F20" s="19" t="n">
        <v>315</v>
      </c>
      <c r="G20" s="19" t="n">
        <v>14190</v>
      </c>
      <c r="H20" s="14" t="n">
        <v>0.967</v>
      </c>
      <c r="I20" s="14" t="n">
        <v>0.94</v>
      </c>
      <c r="J20" s="14" t="n">
        <v>0.9</v>
      </c>
      <c r="K20" s="14" t="n">
        <v>0.97</v>
      </c>
      <c r="L20" s="14" t="n">
        <v>0.61</v>
      </c>
      <c r="M20" s="14" t="n">
        <v>0.67</v>
      </c>
      <c r="N20" s="14" t="n">
        <v>0.76</v>
      </c>
      <c r="O20" s="14" t="n">
        <v>0.59</v>
      </c>
      <c r="P20" s="14" t="n">
        <v>0.033</v>
      </c>
      <c r="Q20" s="14" t="n">
        <v>0.06</v>
      </c>
      <c r="R20" s="14" t="n">
        <v>0.1</v>
      </c>
      <c r="S20" s="14" t="n">
        <v>0.03</v>
      </c>
      <c r="T20" s="14" t="n">
        <v>0.07</v>
      </c>
      <c r="U20" s="14" t="n">
        <v>0.08</v>
      </c>
      <c r="V20" s="14" t="n">
        <v>0.14</v>
      </c>
      <c r="W20" s="14" t="n">
        <v>0.064</v>
      </c>
      <c r="X20" s="20" t="n">
        <v>24</v>
      </c>
      <c r="Y20" s="20" t="n">
        <v>16</v>
      </c>
      <c r="Z20" s="20" t="n">
        <v>36</v>
      </c>
      <c r="AA20" s="21" t="n">
        <v>49920</v>
      </c>
      <c r="AB20" s="21" t="n">
        <v>33280</v>
      </c>
      <c r="AC20" s="21" t="n">
        <v>74880</v>
      </c>
      <c r="AD20" s="22" t="n">
        <v>23.2</v>
      </c>
      <c r="AE20" s="22" t="n">
        <v>15.5</v>
      </c>
      <c r="AF20" s="22" t="n">
        <v>36.2</v>
      </c>
      <c r="AG20" s="21" t="n">
        <v>48256</v>
      </c>
      <c r="AH20" s="21" t="n">
        <v>32256</v>
      </c>
      <c r="AI20" s="21" t="n">
        <v>75264</v>
      </c>
      <c r="AJ20" s="22" t="n">
        <v>20.5</v>
      </c>
      <c r="AK20" s="22" t="n">
        <v>13.7</v>
      </c>
      <c r="AL20" s="22" t="n">
        <v>32</v>
      </c>
      <c r="AM20" s="21" t="n">
        <v>42640</v>
      </c>
      <c r="AN20" s="21" t="n">
        <v>28416</v>
      </c>
      <c r="AO20" s="21" t="n">
        <v>66560</v>
      </c>
      <c r="AP20" s="22" t="n">
        <v>24.4</v>
      </c>
      <c r="AQ20" s="22" t="n">
        <v>16.3</v>
      </c>
      <c r="AR20" s="22" t="n">
        <v>39</v>
      </c>
      <c r="AS20" s="21" t="n">
        <v>50752</v>
      </c>
      <c r="AT20" s="21" t="n">
        <v>33280</v>
      </c>
      <c r="AU20" s="21" t="n">
        <v>81120</v>
      </c>
      <c r="AV20" s="21" t="n">
        <v>1250000</v>
      </c>
      <c r="AW20" s="21" t="n">
        <v>42000</v>
      </c>
      <c r="AX20" s="21" t="n">
        <v>126000</v>
      </c>
      <c r="AY20" s="21" t="n">
        <v>1082000</v>
      </c>
      <c r="AZ20" s="21" t="n">
        <v>625000</v>
      </c>
      <c r="BA20" s="21" t="n">
        <v>21000</v>
      </c>
      <c r="BB20" s="21" t="n">
        <v>63000</v>
      </c>
      <c r="BC20" s="21" t="n">
        <v>541000</v>
      </c>
      <c r="BD20" s="23" t="n">
        <v>165000</v>
      </c>
      <c r="BE20" s="23" t="n">
        <v>33000</v>
      </c>
      <c r="BF20" s="23" t="n">
        <v>0</v>
      </c>
      <c r="BG20" s="23" t="n">
        <v>132000</v>
      </c>
      <c r="BH20" s="23" t="n">
        <v>66000</v>
      </c>
      <c r="BI20" s="23" t="n">
        <v>16500</v>
      </c>
      <c r="BJ20" s="23" t="n">
        <v>16500</v>
      </c>
      <c r="BK20" s="23" t="n">
        <v>123750</v>
      </c>
      <c r="BL20" s="23" t="n">
        <v>82500</v>
      </c>
      <c r="BM20" s="23" t="n">
        <v>16500</v>
      </c>
      <c r="BN20" s="23" t="n">
        <v>8250</v>
      </c>
      <c r="BO20" s="23" t="n">
        <v>61875</v>
      </c>
    </row>
    <row r="21" customFormat="false" ht="12.8" hidden="false" customHeight="false" outlineLevel="0" collapsed="false">
      <c r="A21" s="11" t="n">
        <v>18</v>
      </c>
      <c r="B21" s="11" t="s">
        <v>131</v>
      </c>
      <c r="C21" s="11" t="s">
        <v>123</v>
      </c>
      <c r="D21" s="19" t="n">
        <v>7500</v>
      </c>
      <c r="E21" s="19" t="n">
        <v>248</v>
      </c>
      <c r="F21" s="19" t="n">
        <v>158</v>
      </c>
      <c r="G21" s="19" t="n">
        <v>7095</v>
      </c>
      <c r="H21" s="14" t="n">
        <v>0.967</v>
      </c>
      <c r="I21" s="14" t="n">
        <v>0.94</v>
      </c>
      <c r="J21" s="14" t="n">
        <v>0.9</v>
      </c>
      <c r="K21" s="14" t="n">
        <v>0.97</v>
      </c>
      <c r="L21" s="14" t="n">
        <v>0.579</v>
      </c>
      <c r="M21" s="14" t="n">
        <v>0.637</v>
      </c>
      <c r="N21" s="14" t="n">
        <v>0.722</v>
      </c>
      <c r="O21" s="14" t="n">
        <v>0.56</v>
      </c>
      <c r="P21" s="14" t="n">
        <v>0.033</v>
      </c>
      <c r="Q21" s="14" t="n">
        <v>0.06</v>
      </c>
      <c r="R21" s="14" t="n">
        <v>0.1</v>
      </c>
      <c r="S21" s="14" t="n">
        <v>0.03</v>
      </c>
      <c r="T21" s="14" t="n">
        <v>0.07</v>
      </c>
      <c r="U21" s="14" t="n">
        <v>0.08</v>
      </c>
      <c r="V21" s="14" t="n">
        <v>0.14</v>
      </c>
      <c r="W21" s="14" t="n">
        <v>0.064</v>
      </c>
      <c r="X21" s="20" t="n">
        <v>19.2</v>
      </c>
      <c r="Y21" s="20" t="n">
        <v>12.8</v>
      </c>
      <c r="Z21" s="20" t="n">
        <v>28.8</v>
      </c>
      <c r="AA21" s="21" t="n">
        <v>39936</v>
      </c>
      <c r="AB21" s="21" t="n">
        <v>26624</v>
      </c>
      <c r="AC21" s="21" t="n">
        <v>59904</v>
      </c>
      <c r="AD21" s="22" t="n">
        <v>18.6</v>
      </c>
      <c r="AE21" s="22" t="n">
        <v>12.4</v>
      </c>
      <c r="AF21" s="22" t="n">
        <v>28.9</v>
      </c>
      <c r="AG21" s="21" t="n">
        <v>38688</v>
      </c>
      <c r="AH21" s="21" t="n">
        <v>25824</v>
      </c>
      <c r="AI21" s="21" t="n">
        <v>60192</v>
      </c>
      <c r="AJ21" s="22" t="n">
        <v>16.4</v>
      </c>
      <c r="AK21" s="22" t="n">
        <v>11</v>
      </c>
      <c r="AL21" s="22" t="n">
        <v>25.6</v>
      </c>
      <c r="AM21" s="21" t="n">
        <v>34112</v>
      </c>
      <c r="AN21" s="21" t="n">
        <v>22880</v>
      </c>
      <c r="AO21" s="21" t="n">
        <v>53248</v>
      </c>
      <c r="AP21" s="22" t="n">
        <v>19.5</v>
      </c>
      <c r="AQ21" s="22" t="n">
        <v>13</v>
      </c>
      <c r="AR21" s="22" t="n">
        <v>30.2</v>
      </c>
      <c r="AS21" s="21" t="n">
        <v>40560</v>
      </c>
      <c r="AT21" s="21" t="n">
        <v>27040</v>
      </c>
      <c r="AU21" s="21" t="n">
        <v>62784</v>
      </c>
      <c r="AV21" s="21" t="n">
        <v>625000</v>
      </c>
      <c r="AW21" s="21" t="n">
        <v>21000</v>
      </c>
      <c r="AX21" s="21" t="n">
        <v>63000</v>
      </c>
      <c r="AY21" s="21" t="n">
        <v>541000</v>
      </c>
      <c r="AZ21" s="21" t="n">
        <v>312500</v>
      </c>
      <c r="BA21" s="21" t="n">
        <v>10500</v>
      </c>
      <c r="BB21" s="21" t="n">
        <v>31500</v>
      </c>
      <c r="BC21" s="21" t="n">
        <v>270500</v>
      </c>
      <c r="BD21" s="23" t="n">
        <v>82500</v>
      </c>
      <c r="BE21" s="23" t="n">
        <v>16500</v>
      </c>
      <c r="BF21" s="23" t="n">
        <v>0</v>
      </c>
      <c r="BG21" s="23" t="n">
        <v>66000</v>
      </c>
      <c r="BH21" s="23" t="n">
        <v>33000</v>
      </c>
      <c r="BI21" s="23" t="n">
        <v>8250</v>
      </c>
      <c r="BJ21" s="23" t="n">
        <v>8250</v>
      </c>
      <c r="BK21" s="23" t="n">
        <v>61875</v>
      </c>
      <c r="BL21" s="23" t="n">
        <v>41250</v>
      </c>
      <c r="BM21" s="23" t="n">
        <v>8250</v>
      </c>
      <c r="BN21" s="23" t="n">
        <v>4125</v>
      </c>
      <c r="BO21" s="23" t="n">
        <v>30937.5</v>
      </c>
    </row>
    <row r="22" customFormat="false" ht="12.8" hidden="false" customHeight="false" outlineLevel="0" collapsed="false">
      <c r="A22" s="11" t="n">
        <v>19</v>
      </c>
      <c r="B22" s="11" t="s">
        <v>132</v>
      </c>
      <c r="C22" s="11" t="s">
        <v>122</v>
      </c>
      <c r="D22" s="19" t="n">
        <v>98600</v>
      </c>
      <c r="E22" s="19" t="n">
        <v>3254</v>
      </c>
      <c r="F22" s="19" t="n">
        <v>2071</v>
      </c>
      <c r="G22" s="19" t="n">
        <v>93075</v>
      </c>
      <c r="H22" s="14" t="n">
        <v>0.96</v>
      </c>
      <c r="I22" s="14" t="n">
        <v>0.93</v>
      </c>
      <c r="J22" s="14" t="n">
        <v>0.88</v>
      </c>
      <c r="K22" s="14" t="n">
        <v>0.963</v>
      </c>
      <c r="L22" s="14" t="n">
        <v>0.58</v>
      </c>
      <c r="M22" s="14" t="n">
        <v>0.64</v>
      </c>
      <c r="N22" s="14" t="n">
        <v>0.71</v>
      </c>
      <c r="O22" s="14" t="n">
        <v>0.57</v>
      </c>
      <c r="P22" s="14" t="n">
        <v>0.04</v>
      </c>
      <c r="Q22" s="14" t="n">
        <v>0.07</v>
      </c>
      <c r="R22" s="14" t="n">
        <v>0.12</v>
      </c>
      <c r="S22" s="14" t="n">
        <v>0.037</v>
      </c>
      <c r="T22" s="14" t="n">
        <v>0.085</v>
      </c>
      <c r="U22" s="14" t="n">
        <v>0.1</v>
      </c>
      <c r="V22" s="14" t="n">
        <v>0.18</v>
      </c>
      <c r="W22" s="14" t="n">
        <v>0.077</v>
      </c>
      <c r="X22" s="20" t="n">
        <v>20</v>
      </c>
      <c r="Y22" s="20" t="n">
        <v>13</v>
      </c>
      <c r="Z22" s="20" t="n">
        <v>31</v>
      </c>
      <c r="AA22" s="21" t="n">
        <v>41600</v>
      </c>
      <c r="AB22" s="21" t="n">
        <v>27040</v>
      </c>
      <c r="AC22" s="21" t="n">
        <v>64480</v>
      </c>
      <c r="AD22" s="22" t="n">
        <v>19.4</v>
      </c>
      <c r="AE22" s="22" t="n">
        <v>12.6</v>
      </c>
      <c r="AF22" s="22" t="n">
        <v>29.4</v>
      </c>
      <c r="AG22" s="21" t="n">
        <v>40352</v>
      </c>
      <c r="AH22" s="21" t="n">
        <v>26880</v>
      </c>
      <c r="AI22" s="21" t="n">
        <v>61152</v>
      </c>
      <c r="AJ22" s="22" t="n">
        <v>17</v>
      </c>
      <c r="AK22" s="22" t="n">
        <v>11.1</v>
      </c>
      <c r="AL22" s="22" t="n">
        <v>25.8</v>
      </c>
      <c r="AM22" s="21" t="n">
        <v>35360</v>
      </c>
      <c r="AN22" s="21" t="n">
        <v>23088</v>
      </c>
      <c r="AO22" s="21" t="n">
        <v>53664</v>
      </c>
      <c r="AP22" s="22" t="n">
        <v>20.4</v>
      </c>
      <c r="AQ22" s="22" t="n">
        <v>13.5</v>
      </c>
      <c r="AR22" s="22" t="n">
        <v>32.5</v>
      </c>
      <c r="AS22" s="21" t="n">
        <v>42432</v>
      </c>
      <c r="AT22" s="21" t="n">
        <v>28032</v>
      </c>
      <c r="AU22" s="21" t="n">
        <v>67600</v>
      </c>
      <c r="AV22" s="21" t="n">
        <v>9800000</v>
      </c>
      <c r="AW22" s="21" t="n">
        <v>325000</v>
      </c>
      <c r="AX22" s="21" t="n">
        <v>975000</v>
      </c>
      <c r="AY22" s="21" t="n">
        <v>8500000</v>
      </c>
      <c r="AZ22" s="21" t="n">
        <v>4900000</v>
      </c>
      <c r="BA22" s="21" t="n">
        <v>162500</v>
      </c>
      <c r="BB22" s="21" t="n">
        <v>487500</v>
      </c>
      <c r="BC22" s="21" t="n">
        <v>4252500</v>
      </c>
      <c r="BD22" s="23" t="n">
        <v>1900000</v>
      </c>
      <c r="BE22" s="23" t="n">
        <v>380000</v>
      </c>
      <c r="BF22" s="23" t="n">
        <v>0</v>
      </c>
      <c r="BG22" s="23" t="n">
        <v>1520000</v>
      </c>
      <c r="BH22" s="23" t="n">
        <v>760000</v>
      </c>
      <c r="BI22" s="23" t="n">
        <v>190000</v>
      </c>
      <c r="BJ22" s="23" t="n">
        <v>76000</v>
      </c>
      <c r="BK22" s="23" t="n">
        <v>570000</v>
      </c>
      <c r="BL22" s="23" t="n">
        <v>380000</v>
      </c>
      <c r="BM22" s="23" t="n">
        <v>76000</v>
      </c>
      <c r="BN22" s="23" t="n">
        <v>38000</v>
      </c>
      <c r="BO22" s="23" t="n">
        <v>285000</v>
      </c>
    </row>
    <row r="23" customFormat="false" ht="12.8" hidden="false" customHeight="false" outlineLevel="0" collapsed="false">
      <c r="A23" s="11" t="n">
        <v>20</v>
      </c>
      <c r="B23" s="11" t="s">
        <v>132</v>
      </c>
      <c r="C23" s="11" t="s">
        <v>123</v>
      </c>
      <c r="D23" s="19" t="n">
        <v>49300</v>
      </c>
      <c r="E23" s="19" t="n">
        <v>1627</v>
      </c>
      <c r="F23" s="19" t="n">
        <v>1036</v>
      </c>
      <c r="G23" s="19" t="n">
        <v>46538</v>
      </c>
      <c r="H23" s="14" t="n">
        <v>0.96</v>
      </c>
      <c r="I23" s="14" t="n">
        <v>0.93</v>
      </c>
      <c r="J23" s="14" t="n">
        <v>0.88</v>
      </c>
      <c r="K23" s="14" t="n">
        <v>0.963</v>
      </c>
      <c r="L23" s="14" t="n">
        <v>0.551</v>
      </c>
      <c r="M23" s="14" t="n">
        <v>0.608</v>
      </c>
      <c r="N23" s="14" t="n">
        <v>0.674</v>
      </c>
      <c r="O23" s="14" t="n">
        <v>0.542</v>
      </c>
      <c r="P23" s="14" t="n">
        <v>0.04</v>
      </c>
      <c r="Q23" s="14" t="n">
        <v>0.07</v>
      </c>
      <c r="R23" s="14" t="n">
        <v>0.12</v>
      </c>
      <c r="S23" s="14" t="n">
        <v>0.037</v>
      </c>
      <c r="T23" s="14" t="n">
        <v>0.085</v>
      </c>
      <c r="U23" s="14" t="n">
        <v>0.1</v>
      </c>
      <c r="V23" s="14" t="n">
        <v>0.18</v>
      </c>
      <c r="W23" s="14" t="n">
        <v>0.077</v>
      </c>
      <c r="X23" s="20" t="n">
        <v>16</v>
      </c>
      <c r="Y23" s="20" t="n">
        <v>10.7</v>
      </c>
      <c r="Z23" s="20" t="n">
        <v>24</v>
      </c>
      <c r="AA23" s="21" t="n">
        <v>33280</v>
      </c>
      <c r="AB23" s="21" t="n">
        <v>22256</v>
      </c>
      <c r="AC23" s="21" t="n">
        <v>49920</v>
      </c>
      <c r="AD23" s="22" t="n">
        <v>15.5</v>
      </c>
      <c r="AE23" s="22" t="n">
        <v>10.3</v>
      </c>
      <c r="AF23" s="22" t="n">
        <v>24.1</v>
      </c>
      <c r="AG23" s="21" t="n">
        <v>32240</v>
      </c>
      <c r="AH23" s="21" t="n">
        <v>21504</v>
      </c>
      <c r="AI23" s="21" t="n">
        <v>50112</v>
      </c>
      <c r="AJ23" s="22" t="n">
        <v>13.6</v>
      </c>
      <c r="AK23" s="22" t="n">
        <v>9.1</v>
      </c>
      <c r="AL23" s="22" t="n">
        <v>21.2</v>
      </c>
      <c r="AM23" s="21" t="n">
        <v>28288</v>
      </c>
      <c r="AN23" s="21" t="n">
        <v>18944</v>
      </c>
      <c r="AO23" s="21" t="n">
        <v>44096</v>
      </c>
      <c r="AP23" s="22" t="n">
        <v>16.3</v>
      </c>
      <c r="AQ23" s="22" t="n">
        <v>10.9</v>
      </c>
      <c r="AR23" s="22" t="n">
        <v>26.2</v>
      </c>
      <c r="AS23" s="21" t="n">
        <v>33904</v>
      </c>
      <c r="AT23" s="21" t="n">
        <v>22624</v>
      </c>
      <c r="AU23" s="21" t="n">
        <v>54496</v>
      </c>
      <c r="AV23" s="21" t="n">
        <v>4900000</v>
      </c>
      <c r="AW23" s="21" t="n">
        <v>163000</v>
      </c>
      <c r="AX23" s="21" t="n">
        <v>488000</v>
      </c>
      <c r="AY23" s="21" t="n">
        <v>4250000</v>
      </c>
      <c r="AZ23" s="21" t="n">
        <v>2450000</v>
      </c>
      <c r="BA23" s="21" t="n">
        <v>81250</v>
      </c>
      <c r="BB23" s="21" t="n">
        <v>244000</v>
      </c>
      <c r="BC23" s="21" t="n">
        <v>2125000</v>
      </c>
      <c r="BD23" s="23" t="n">
        <v>950000</v>
      </c>
      <c r="BE23" s="23" t="n">
        <v>190000</v>
      </c>
      <c r="BF23" s="23" t="n">
        <v>0</v>
      </c>
      <c r="BG23" s="23" t="n">
        <v>760000</v>
      </c>
      <c r="BH23" s="23" t="n">
        <v>380000</v>
      </c>
      <c r="BI23" s="23" t="n">
        <v>95000</v>
      </c>
      <c r="BJ23" s="23" t="n">
        <v>38000</v>
      </c>
      <c r="BK23" s="23" t="n">
        <v>285000</v>
      </c>
      <c r="BL23" s="23" t="n">
        <v>190000</v>
      </c>
      <c r="BM23" s="23" t="n">
        <v>38000</v>
      </c>
      <c r="BN23" s="23" t="n">
        <v>19000</v>
      </c>
      <c r="BO23" s="23" t="n">
        <v>142500</v>
      </c>
    </row>
    <row r="24" customFormat="false" ht="12.8" hidden="false" customHeight="false" outlineLevel="0" collapsed="false">
      <c r="A24" s="11" t="n">
        <v>21</v>
      </c>
      <c r="B24" s="11" t="s">
        <v>133</v>
      </c>
      <c r="C24" s="11" t="s">
        <v>122</v>
      </c>
      <c r="D24" s="19" t="n">
        <v>242600</v>
      </c>
      <c r="E24" s="19" t="n">
        <v>7996</v>
      </c>
      <c r="F24" s="19" t="n">
        <v>5090</v>
      </c>
      <c r="G24" s="19" t="n">
        <v>229514</v>
      </c>
      <c r="H24" s="14" t="n">
        <v>0.978</v>
      </c>
      <c r="I24" s="14" t="n">
        <v>0.97</v>
      </c>
      <c r="J24" s="14" t="n">
        <v>0.94</v>
      </c>
      <c r="K24" s="14" t="n">
        <v>0.98</v>
      </c>
      <c r="L24" s="14" t="n">
        <v>0.59</v>
      </c>
      <c r="M24" s="14" t="n">
        <v>0.66</v>
      </c>
      <c r="N24" s="14" t="n">
        <v>0.73</v>
      </c>
      <c r="O24" s="14" t="n">
        <v>0.585</v>
      </c>
      <c r="P24" s="14" t="n">
        <v>0.022</v>
      </c>
      <c r="Q24" s="14" t="n">
        <v>0.03</v>
      </c>
      <c r="R24" s="14" t="n">
        <v>0.06</v>
      </c>
      <c r="S24" s="14" t="n">
        <v>0.02</v>
      </c>
      <c r="T24" s="14" t="n">
        <v>0.062</v>
      </c>
      <c r="U24" s="14" t="n">
        <v>0.07</v>
      </c>
      <c r="V24" s="14" t="n">
        <v>0.105</v>
      </c>
      <c r="W24" s="14" t="n">
        <v>0.058</v>
      </c>
      <c r="X24" s="20" t="n">
        <v>27.5</v>
      </c>
      <c r="Y24" s="20" t="n">
        <v>18</v>
      </c>
      <c r="Z24" s="20" t="n">
        <v>42</v>
      </c>
      <c r="AA24" s="21" t="n">
        <v>57200</v>
      </c>
      <c r="AB24" s="21" t="n">
        <v>37440</v>
      </c>
      <c r="AC24" s="21" t="n">
        <v>87360</v>
      </c>
      <c r="AD24" s="22" t="n">
        <v>26.8</v>
      </c>
      <c r="AE24" s="22" t="n">
        <v>17.5</v>
      </c>
      <c r="AF24" s="22" t="n">
        <v>41</v>
      </c>
      <c r="AG24" s="21" t="n">
        <v>55744</v>
      </c>
      <c r="AH24" s="21" t="n">
        <v>36320</v>
      </c>
      <c r="AI24" s="21" t="n">
        <v>85280</v>
      </c>
      <c r="AJ24" s="22" t="n">
        <v>24.75</v>
      </c>
      <c r="AK24" s="22" t="n">
        <v>16.2</v>
      </c>
      <c r="AL24" s="22" t="n">
        <v>37.5</v>
      </c>
      <c r="AM24" s="21" t="n">
        <v>51480</v>
      </c>
      <c r="AN24" s="21" t="n">
        <v>33600</v>
      </c>
      <c r="AO24" s="21" t="n">
        <v>78000</v>
      </c>
      <c r="AP24" s="22" t="n">
        <v>27.9</v>
      </c>
      <c r="AQ24" s="22" t="n">
        <v>18.3</v>
      </c>
      <c r="AR24" s="22" t="n">
        <v>43.5</v>
      </c>
      <c r="AS24" s="21" t="n">
        <v>58032</v>
      </c>
      <c r="AT24" s="21" t="n">
        <v>37920</v>
      </c>
      <c r="AU24" s="21" t="n">
        <v>90560</v>
      </c>
      <c r="AV24" s="21" t="n">
        <v>38000000</v>
      </c>
      <c r="AW24" s="21" t="n">
        <v>1250000</v>
      </c>
      <c r="AX24" s="21" t="n">
        <v>1525000</v>
      </c>
      <c r="AY24" s="21" t="n">
        <v>35225000</v>
      </c>
      <c r="AZ24" s="21" t="n">
        <v>19000000</v>
      </c>
      <c r="BA24" s="21" t="n">
        <v>625000</v>
      </c>
      <c r="BB24" s="21" t="n">
        <v>762500</v>
      </c>
      <c r="BC24" s="21" t="n">
        <v>17656250</v>
      </c>
      <c r="BD24" s="23" t="n">
        <v>6000000</v>
      </c>
      <c r="BE24" s="23" t="n">
        <v>1500000</v>
      </c>
      <c r="BF24" s="23" t="n">
        <v>0</v>
      </c>
      <c r="BG24" s="23" t="n">
        <v>4500000</v>
      </c>
      <c r="BH24" s="23" t="n">
        <v>3000000</v>
      </c>
      <c r="BI24" s="23" t="n">
        <v>750000</v>
      </c>
      <c r="BJ24" s="23" t="n">
        <v>600000</v>
      </c>
      <c r="BK24" s="23" t="n">
        <v>4500000</v>
      </c>
      <c r="BL24" s="23" t="n">
        <v>6500000</v>
      </c>
      <c r="BM24" s="23" t="n">
        <v>1625000</v>
      </c>
      <c r="BN24" s="23" t="n">
        <v>812500</v>
      </c>
      <c r="BO24" s="23" t="n">
        <v>4875000</v>
      </c>
    </row>
    <row r="25" customFormat="false" ht="12.8" hidden="false" customHeight="false" outlineLevel="0" collapsed="false">
      <c r="A25" s="11" t="n">
        <v>22</v>
      </c>
      <c r="B25" s="11" t="s">
        <v>133</v>
      </c>
      <c r="C25" s="11" t="s">
        <v>123</v>
      </c>
      <c r="D25" s="19" t="n">
        <v>97000</v>
      </c>
      <c r="E25" s="19" t="n">
        <v>3199</v>
      </c>
      <c r="F25" s="19" t="n">
        <v>2037</v>
      </c>
      <c r="G25" s="19" t="n">
        <v>91764</v>
      </c>
      <c r="H25" s="14" t="n">
        <v>0.965</v>
      </c>
      <c r="I25" s="14" t="n">
        <v>0.95</v>
      </c>
      <c r="J25" s="14" t="n">
        <v>0.92</v>
      </c>
      <c r="K25" s="14" t="n">
        <v>0.968</v>
      </c>
      <c r="L25" s="14" t="n">
        <v>0.56</v>
      </c>
      <c r="M25" s="14" t="n">
        <v>0.63</v>
      </c>
      <c r="N25" s="14" t="n">
        <v>0.7</v>
      </c>
      <c r="O25" s="14" t="n">
        <v>0.555</v>
      </c>
      <c r="P25" s="14" t="n">
        <v>0.035</v>
      </c>
      <c r="Q25" s="14" t="n">
        <v>0.05</v>
      </c>
      <c r="R25" s="14" t="n">
        <v>0.08</v>
      </c>
      <c r="S25" s="14" t="n">
        <v>0.032</v>
      </c>
      <c r="T25" s="14" t="n">
        <v>0.085</v>
      </c>
      <c r="U25" s="14" t="n">
        <v>0.095</v>
      </c>
      <c r="V25" s="14" t="n">
        <v>0.14</v>
      </c>
      <c r="W25" s="14" t="n">
        <v>0.08</v>
      </c>
      <c r="X25" s="20" t="n">
        <v>18.2</v>
      </c>
      <c r="Y25" s="20" t="n">
        <v>12</v>
      </c>
      <c r="Z25" s="20" t="n">
        <v>28</v>
      </c>
      <c r="AA25" s="21" t="n">
        <v>37856</v>
      </c>
      <c r="AB25" s="21" t="n">
        <v>24960</v>
      </c>
      <c r="AC25" s="21" t="n">
        <v>58240</v>
      </c>
      <c r="AD25" s="22" t="n">
        <v>17.6</v>
      </c>
      <c r="AE25" s="22" t="n">
        <v>11.6</v>
      </c>
      <c r="AF25" s="22" t="n">
        <v>27</v>
      </c>
      <c r="AG25" s="21" t="n">
        <v>36608</v>
      </c>
      <c r="AH25" s="21" t="n">
        <v>24128</v>
      </c>
      <c r="AI25" s="21" t="n">
        <v>56160</v>
      </c>
      <c r="AJ25" s="22" t="n">
        <v>16</v>
      </c>
      <c r="AK25" s="22" t="n">
        <v>10.5</v>
      </c>
      <c r="AL25" s="22" t="n">
        <v>24.5</v>
      </c>
      <c r="AM25" s="21" t="n">
        <v>33280</v>
      </c>
      <c r="AN25" s="21" t="n">
        <v>21840</v>
      </c>
      <c r="AO25" s="21" t="n">
        <v>50960</v>
      </c>
      <c r="AP25" s="22" t="n">
        <v>18.5</v>
      </c>
      <c r="AQ25" s="22" t="n">
        <v>12.2</v>
      </c>
      <c r="AR25" s="22" t="n">
        <v>29</v>
      </c>
      <c r="AS25" s="21" t="n">
        <v>38480</v>
      </c>
      <c r="AT25" s="21" t="n">
        <v>25280</v>
      </c>
      <c r="AU25" s="21" t="n">
        <v>60320</v>
      </c>
      <c r="AV25" s="21" t="n">
        <v>15500000</v>
      </c>
      <c r="AW25" s="21" t="n">
        <v>510000</v>
      </c>
      <c r="AX25" s="21" t="n">
        <v>622500</v>
      </c>
      <c r="AY25" s="21" t="n">
        <v>14366250</v>
      </c>
      <c r="AZ25" s="21" t="n">
        <v>7750000</v>
      </c>
      <c r="BA25" s="21" t="n">
        <v>255000</v>
      </c>
      <c r="BB25" s="21" t="n">
        <v>311250</v>
      </c>
      <c r="BC25" s="21" t="n">
        <v>7190625</v>
      </c>
      <c r="BD25" s="23" t="n">
        <v>2500000</v>
      </c>
      <c r="BE25" s="23" t="n">
        <v>625000</v>
      </c>
      <c r="BF25" s="23" t="n">
        <v>0</v>
      </c>
      <c r="BG25" s="23" t="n">
        <v>1875000</v>
      </c>
      <c r="BH25" s="23" t="n">
        <v>1250000</v>
      </c>
      <c r="BI25" s="23" t="n">
        <v>312500</v>
      </c>
      <c r="BJ25" s="23" t="n">
        <v>250000</v>
      </c>
      <c r="BK25" s="23" t="n">
        <v>1875000</v>
      </c>
      <c r="BL25" s="23" t="n">
        <v>2600000</v>
      </c>
      <c r="BM25" s="23" t="n">
        <v>650000</v>
      </c>
      <c r="BN25" s="23" t="n">
        <v>325000</v>
      </c>
      <c r="BO25" s="23" t="n">
        <v>1950000</v>
      </c>
    </row>
    <row r="26" customFormat="false" ht="12.8" hidden="false" customHeight="false" outlineLevel="0" collapsed="false">
      <c r="A26" s="11" t="n">
        <v>23</v>
      </c>
      <c r="B26" s="11" t="s">
        <v>134</v>
      </c>
      <c r="C26" s="11" t="s">
        <v>122</v>
      </c>
      <c r="D26" s="19" t="n">
        <v>133100</v>
      </c>
      <c r="E26" s="19" t="n">
        <v>4392</v>
      </c>
      <c r="F26" s="19" t="n">
        <v>2797</v>
      </c>
      <c r="G26" s="19" t="n">
        <v>126911</v>
      </c>
      <c r="H26" s="14" t="n">
        <v>0.982</v>
      </c>
      <c r="I26" s="14" t="n">
        <v>0.975</v>
      </c>
      <c r="J26" s="14" t="n">
        <v>0.96</v>
      </c>
      <c r="K26" s="14" t="n">
        <v>0.984</v>
      </c>
      <c r="L26" s="14" t="n">
        <v>0.62</v>
      </c>
      <c r="M26" s="14" t="n">
        <v>0.69</v>
      </c>
      <c r="N26" s="14" t="n">
        <v>0.76</v>
      </c>
      <c r="O26" s="14" t="n">
        <v>0.615</v>
      </c>
      <c r="P26" s="14" t="n">
        <v>0.018</v>
      </c>
      <c r="Q26" s="14" t="n">
        <v>0.025</v>
      </c>
      <c r="R26" s="14" t="n">
        <v>0.04</v>
      </c>
      <c r="S26" s="14" t="n">
        <v>0.016</v>
      </c>
      <c r="T26" s="14" t="n">
        <v>0.04</v>
      </c>
      <c r="U26" s="14" t="n">
        <v>0.045</v>
      </c>
      <c r="V26" s="14" t="n">
        <v>0.07</v>
      </c>
      <c r="W26" s="14" t="n">
        <v>0.038</v>
      </c>
      <c r="X26" s="20" t="n">
        <v>38.5</v>
      </c>
      <c r="Y26" s="20" t="n">
        <v>25</v>
      </c>
      <c r="Z26" s="20" t="n">
        <v>58</v>
      </c>
      <c r="AA26" s="21" t="n">
        <v>80080</v>
      </c>
      <c r="AB26" s="21" t="n">
        <v>52000</v>
      </c>
      <c r="AC26" s="21" t="n">
        <v>120640</v>
      </c>
      <c r="AD26" s="22" t="n">
        <v>37.5</v>
      </c>
      <c r="AE26" s="22" t="n">
        <v>24.5</v>
      </c>
      <c r="AF26" s="22" t="n">
        <v>57</v>
      </c>
      <c r="AG26" s="21" t="n">
        <v>78000</v>
      </c>
      <c r="AH26" s="21" t="n">
        <v>50700</v>
      </c>
      <c r="AI26" s="21" t="n">
        <v>118560</v>
      </c>
      <c r="AJ26" s="22" t="n">
        <v>34</v>
      </c>
      <c r="AK26" s="22" t="n">
        <v>22</v>
      </c>
      <c r="AL26" s="22" t="n">
        <v>51</v>
      </c>
      <c r="AM26" s="21" t="n">
        <v>70720</v>
      </c>
      <c r="AN26" s="21" t="n">
        <v>45760</v>
      </c>
      <c r="AO26" s="21" t="n">
        <v>106144</v>
      </c>
      <c r="AP26" s="22" t="n">
        <v>39.2</v>
      </c>
      <c r="AQ26" s="22" t="n">
        <v>25.7</v>
      </c>
      <c r="AR26" s="22" t="n">
        <v>60</v>
      </c>
      <c r="AS26" s="21" t="n">
        <v>81536</v>
      </c>
      <c r="AT26" s="21" t="n">
        <v>53216</v>
      </c>
      <c r="AU26" s="21" t="n">
        <v>124800</v>
      </c>
      <c r="AV26" s="21" t="n">
        <v>33000000</v>
      </c>
      <c r="AW26" s="21" t="n">
        <v>1090000</v>
      </c>
      <c r="AX26" s="21" t="n">
        <v>1330000</v>
      </c>
      <c r="AY26" s="21" t="n">
        <v>30580000</v>
      </c>
      <c r="AZ26" s="21" t="n">
        <v>16500000</v>
      </c>
      <c r="BA26" s="21" t="n">
        <v>545000</v>
      </c>
      <c r="BB26" s="21" t="n">
        <v>665000</v>
      </c>
      <c r="BC26" s="21" t="n">
        <v>15295500</v>
      </c>
      <c r="BD26" s="23" t="n">
        <v>2700000</v>
      </c>
      <c r="BE26" s="23" t="n">
        <v>675000</v>
      </c>
      <c r="BF26" s="23" t="n">
        <v>0</v>
      </c>
      <c r="BG26" s="23" t="n">
        <v>2025000</v>
      </c>
      <c r="BH26" s="23" t="n">
        <v>1350000</v>
      </c>
      <c r="BI26" s="23" t="n">
        <v>337500</v>
      </c>
      <c r="BJ26" s="23" t="n">
        <v>270000</v>
      </c>
      <c r="BK26" s="23" t="n">
        <v>2025000</v>
      </c>
      <c r="BL26" s="23" t="n">
        <v>3500000</v>
      </c>
      <c r="BM26" s="23" t="n">
        <v>875000</v>
      </c>
      <c r="BN26" s="23" t="n">
        <v>437500</v>
      </c>
      <c r="BO26" s="23" t="n">
        <v>2625000</v>
      </c>
    </row>
    <row r="27" customFormat="false" ht="12.8" hidden="false" customHeight="false" outlineLevel="0" collapsed="false">
      <c r="A27" s="11" t="n">
        <v>24</v>
      </c>
      <c r="B27" s="11" t="s">
        <v>134</v>
      </c>
      <c r="C27" s="11" t="s">
        <v>123</v>
      </c>
      <c r="D27" s="19" t="n">
        <v>63600</v>
      </c>
      <c r="E27" s="19" t="n">
        <v>2099</v>
      </c>
      <c r="F27" s="19" t="n">
        <v>1337</v>
      </c>
      <c r="G27" s="19" t="n">
        <v>60164</v>
      </c>
      <c r="H27" s="14" t="n">
        <v>0.975</v>
      </c>
      <c r="I27" s="14" t="n">
        <v>0.965</v>
      </c>
      <c r="J27" s="14" t="n">
        <v>0.94</v>
      </c>
      <c r="K27" s="14" t="n">
        <v>0.978</v>
      </c>
      <c r="L27" s="14" t="n">
        <v>0.59</v>
      </c>
      <c r="M27" s="14" t="n">
        <v>0.66</v>
      </c>
      <c r="N27" s="14" t="n">
        <v>0.73</v>
      </c>
      <c r="O27" s="14" t="n">
        <v>0.585</v>
      </c>
      <c r="P27" s="14" t="n">
        <v>0.025</v>
      </c>
      <c r="Q27" s="14" t="n">
        <v>0.035</v>
      </c>
      <c r="R27" s="14" t="n">
        <v>0.06</v>
      </c>
      <c r="S27" s="14" t="n">
        <v>0.022</v>
      </c>
      <c r="T27" s="14" t="n">
        <v>0.055</v>
      </c>
      <c r="U27" s="14" t="n">
        <v>0.062</v>
      </c>
      <c r="V27" s="14" t="n">
        <v>0.095</v>
      </c>
      <c r="W27" s="14" t="n">
        <v>0.052</v>
      </c>
      <c r="X27" s="20" t="n">
        <v>28</v>
      </c>
      <c r="Y27" s="20" t="n">
        <v>18</v>
      </c>
      <c r="Z27" s="20" t="n">
        <v>43</v>
      </c>
      <c r="AA27" s="21" t="n">
        <v>58240</v>
      </c>
      <c r="AB27" s="21" t="n">
        <v>37440</v>
      </c>
      <c r="AC27" s="21" t="n">
        <v>89440</v>
      </c>
      <c r="AD27" s="22" t="n">
        <v>27.2</v>
      </c>
      <c r="AE27" s="22" t="n">
        <v>17.5</v>
      </c>
      <c r="AF27" s="22" t="n">
        <v>41.5</v>
      </c>
      <c r="AG27" s="21" t="n">
        <v>56576</v>
      </c>
      <c r="AH27" s="21" t="n">
        <v>36400</v>
      </c>
      <c r="AI27" s="21" t="n">
        <v>86320</v>
      </c>
      <c r="AJ27" s="22" t="n">
        <v>24.5</v>
      </c>
      <c r="AK27" s="22" t="n">
        <v>15.8</v>
      </c>
      <c r="AL27" s="22" t="n">
        <v>37</v>
      </c>
      <c r="AM27" s="21" t="n">
        <v>50960</v>
      </c>
      <c r="AN27" s="21" t="n">
        <v>32800</v>
      </c>
      <c r="AO27" s="21" t="n">
        <v>76960</v>
      </c>
      <c r="AP27" s="22" t="n">
        <v>28.5</v>
      </c>
      <c r="AQ27" s="22" t="n">
        <v>18.5</v>
      </c>
      <c r="AR27" s="22" t="n">
        <v>45</v>
      </c>
      <c r="AS27" s="21" t="n">
        <v>59280</v>
      </c>
      <c r="AT27" s="21" t="n">
        <v>38440</v>
      </c>
      <c r="AU27" s="21" t="n">
        <v>93600</v>
      </c>
      <c r="AV27" s="21" t="n">
        <v>15800000</v>
      </c>
      <c r="AW27" s="21" t="n">
        <v>520000</v>
      </c>
      <c r="AX27" s="21" t="n">
        <v>635000</v>
      </c>
      <c r="AY27" s="21" t="n">
        <v>14645000</v>
      </c>
      <c r="AZ27" s="21" t="n">
        <v>7900000</v>
      </c>
      <c r="BA27" s="21" t="n">
        <v>260000</v>
      </c>
      <c r="BB27" s="21" t="n">
        <v>317500</v>
      </c>
      <c r="BC27" s="21" t="n">
        <v>7322500</v>
      </c>
      <c r="BD27" s="23" t="n">
        <v>1300000</v>
      </c>
      <c r="BE27" s="23" t="n">
        <v>325000</v>
      </c>
      <c r="BF27" s="23" t="n">
        <v>0</v>
      </c>
      <c r="BG27" s="23" t="n">
        <v>975000</v>
      </c>
      <c r="BH27" s="23" t="n">
        <v>650000</v>
      </c>
      <c r="BI27" s="23" t="n">
        <v>162500</v>
      </c>
      <c r="BJ27" s="23" t="n">
        <v>130000</v>
      </c>
      <c r="BK27" s="23" t="n">
        <v>975000</v>
      </c>
      <c r="BL27" s="23" t="n">
        <v>1650000</v>
      </c>
      <c r="BM27" s="23" t="n">
        <v>412500</v>
      </c>
      <c r="BN27" s="23" t="n">
        <v>206250</v>
      </c>
      <c r="BO27" s="23" t="n">
        <v>1237500</v>
      </c>
    </row>
    <row r="28" customFormat="false" ht="12.8" hidden="false" customHeight="false" outlineLevel="0" collapsed="false">
      <c r="A28" s="11" t="n">
        <v>25</v>
      </c>
      <c r="B28" s="11" t="s">
        <v>135</v>
      </c>
      <c r="C28" s="11" t="s">
        <v>122</v>
      </c>
      <c r="D28" s="19" t="n">
        <v>30500</v>
      </c>
      <c r="E28" s="19" t="n">
        <v>1007</v>
      </c>
      <c r="F28" s="19" t="n">
        <v>641</v>
      </c>
      <c r="G28" s="19" t="n">
        <v>28852</v>
      </c>
      <c r="H28" s="14" t="n">
        <v>0.975</v>
      </c>
      <c r="I28" s="14" t="n">
        <v>0.96</v>
      </c>
      <c r="J28" s="14" t="n">
        <v>0.93</v>
      </c>
      <c r="K28" s="14" t="n">
        <v>0.978</v>
      </c>
      <c r="L28" s="14" t="n">
        <v>0.58</v>
      </c>
      <c r="M28" s="14" t="n">
        <v>0.65</v>
      </c>
      <c r="N28" s="14" t="n">
        <v>0.72</v>
      </c>
      <c r="O28" s="14" t="n">
        <v>0.575</v>
      </c>
      <c r="P28" s="14" t="n">
        <v>0.025</v>
      </c>
      <c r="Q28" s="14" t="n">
        <v>0.04</v>
      </c>
      <c r="R28" s="14" t="n">
        <v>0.07</v>
      </c>
      <c r="S28" s="14" t="n">
        <v>0.022</v>
      </c>
      <c r="T28" s="14" t="n">
        <v>0.07</v>
      </c>
      <c r="U28" s="14" t="n">
        <v>0.08</v>
      </c>
      <c r="V28" s="14" t="n">
        <v>0.12</v>
      </c>
      <c r="W28" s="14" t="n">
        <v>0.065</v>
      </c>
      <c r="X28" s="20" t="n">
        <v>30</v>
      </c>
      <c r="Y28" s="20" t="n">
        <v>20</v>
      </c>
      <c r="Z28" s="20" t="n">
        <v>45</v>
      </c>
      <c r="AA28" s="21" t="n">
        <v>62400</v>
      </c>
      <c r="AB28" s="21" t="n">
        <v>41600</v>
      </c>
      <c r="AC28" s="21" t="n">
        <v>93600</v>
      </c>
      <c r="AD28" s="22" t="n">
        <v>29</v>
      </c>
      <c r="AE28" s="22" t="n">
        <v>19.3</v>
      </c>
      <c r="AF28" s="22" t="n">
        <v>44</v>
      </c>
      <c r="AG28" s="21" t="n">
        <v>60320</v>
      </c>
      <c r="AH28" s="21" t="n">
        <v>40000</v>
      </c>
      <c r="AI28" s="21" t="n">
        <v>91520</v>
      </c>
      <c r="AJ28" s="22" t="n">
        <v>26</v>
      </c>
      <c r="AK28" s="22" t="n">
        <v>17.3</v>
      </c>
      <c r="AL28" s="22" t="n">
        <v>40.5</v>
      </c>
      <c r="AM28" s="21" t="n">
        <v>54080</v>
      </c>
      <c r="AN28" s="21" t="n">
        <v>35840</v>
      </c>
      <c r="AO28" s="21" t="n">
        <v>84240</v>
      </c>
      <c r="AP28" s="22" t="n">
        <v>30.5</v>
      </c>
      <c r="AQ28" s="22" t="n">
        <v>20.3</v>
      </c>
      <c r="AR28" s="22" t="n">
        <v>47</v>
      </c>
      <c r="AS28" s="21" t="n">
        <v>63440</v>
      </c>
      <c r="AT28" s="21" t="n">
        <v>41600</v>
      </c>
      <c r="AU28" s="21" t="n">
        <v>97760</v>
      </c>
      <c r="AV28" s="21" t="n">
        <v>3900000</v>
      </c>
      <c r="AW28" s="21" t="n">
        <v>130000</v>
      </c>
      <c r="AX28" s="21" t="n">
        <v>195000</v>
      </c>
      <c r="AY28" s="21" t="n">
        <v>3575000</v>
      </c>
      <c r="AZ28" s="21" t="n">
        <v>1950000</v>
      </c>
      <c r="BA28" s="21" t="n">
        <v>65000</v>
      </c>
      <c r="BB28" s="21" t="n">
        <v>97500</v>
      </c>
      <c r="BC28" s="21" t="n">
        <v>1787500</v>
      </c>
      <c r="BD28" s="23" t="n">
        <v>630000</v>
      </c>
      <c r="BE28" s="23" t="n">
        <v>157500</v>
      </c>
      <c r="BF28" s="23" t="n">
        <v>0</v>
      </c>
      <c r="BG28" s="23" t="n">
        <v>472500</v>
      </c>
      <c r="BH28" s="23" t="n">
        <v>315000</v>
      </c>
      <c r="BI28" s="23" t="n">
        <v>78750</v>
      </c>
      <c r="BJ28" s="23" t="n">
        <v>63000</v>
      </c>
      <c r="BK28" s="23" t="n">
        <v>472500</v>
      </c>
      <c r="BL28" s="23" t="n">
        <v>810000</v>
      </c>
      <c r="BM28" s="23" t="n">
        <v>202500</v>
      </c>
      <c r="BN28" s="23" t="n">
        <v>101250</v>
      </c>
      <c r="BO28" s="23" t="n">
        <v>607500</v>
      </c>
    </row>
    <row r="29" customFormat="false" ht="12.8" hidden="false" customHeight="false" outlineLevel="0" collapsed="false">
      <c r="A29" s="11" t="n">
        <v>26</v>
      </c>
      <c r="B29" s="11" t="s">
        <v>135</v>
      </c>
      <c r="C29" s="11" t="s">
        <v>123</v>
      </c>
      <c r="D29" s="19" t="n">
        <v>12200</v>
      </c>
      <c r="E29" s="19" t="n">
        <v>403</v>
      </c>
      <c r="F29" s="19" t="n">
        <v>256</v>
      </c>
      <c r="G29" s="19" t="n">
        <v>11541</v>
      </c>
      <c r="H29" s="14" t="n">
        <v>0.96</v>
      </c>
      <c r="I29" s="14" t="n">
        <v>0.94</v>
      </c>
      <c r="J29" s="14" t="n">
        <v>0.91</v>
      </c>
      <c r="K29" s="14" t="n">
        <v>0.963</v>
      </c>
      <c r="L29" s="14" t="n">
        <v>0.55</v>
      </c>
      <c r="M29" s="14" t="n">
        <v>0.62</v>
      </c>
      <c r="N29" s="14" t="n">
        <v>0.69</v>
      </c>
      <c r="O29" s="14" t="n">
        <v>0.545</v>
      </c>
      <c r="P29" s="14" t="n">
        <v>0.04</v>
      </c>
      <c r="Q29" s="14" t="n">
        <v>0.06</v>
      </c>
      <c r="R29" s="14" t="n">
        <v>0.09</v>
      </c>
      <c r="S29" s="14" t="n">
        <v>0.037</v>
      </c>
      <c r="T29" s="14" t="n">
        <v>0.09</v>
      </c>
      <c r="U29" s="14" t="n">
        <v>0.105</v>
      </c>
      <c r="V29" s="14" t="n">
        <v>0.15</v>
      </c>
      <c r="W29" s="14" t="n">
        <v>0.085</v>
      </c>
      <c r="X29" s="20" t="n">
        <v>22</v>
      </c>
      <c r="Y29" s="20" t="n">
        <v>14.5</v>
      </c>
      <c r="Z29" s="20" t="n">
        <v>34</v>
      </c>
      <c r="AA29" s="21" t="n">
        <v>45760</v>
      </c>
      <c r="AB29" s="21" t="n">
        <v>30160</v>
      </c>
      <c r="AC29" s="21" t="n">
        <v>70720</v>
      </c>
      <c r="AD29" s="22" t="n">
        <v>21</v>
      </c>
      <c r="AE29" s="22" t="n">
        <v>13.8</v>
      </c>
      <c r="AF29" s="22" t="n">
        <v>32.5</v>
      </c>
      <c r="AG29" s="21" t="n">
        <v>43680</v>
      </c>
      <c r="AH29" s="21" t="n">
        <v>28704</v>
      </c>
      <c r="AI29" s="21" t="n">
        <v>67600</v>
      </c>
      <c r="AJ29" s="22" t="n">
        <v>19</v>
      </c>
      <c r="AK29" s="22" t="n">
        <v>12.5</v>
      </c>
      <c r="AL29" s="22" t="n">
        <v>29</v>
      </c>
      <c r="AM29" s="21" t="n">
        <v>39520</v>
      </c>
      <c r="AN29" s="21" t="n">
        <v>26000</v>
      </c>
      <c r="AO29" s="21" t="n">
        <v>60320</v>
      </c>
      <c r="AP29" s="22" t="n">
        <v>22.5</v>
      </c>
      <c r="AQ29" s="22" t="n">
        <v>14.8</v>
      </c>
      <c r="AR29" s="22" t="n">
        <v>35.5</v>
      </c>
      <c r="AS29" s="21" t="n">
        <v>46800</v>
      </c>
      <c r="AT29" s="21" t="n">
        <v>30720</v>
      </c>
      <c r="AU29" s="21" t="n">
        <v>73920</v>
      </c>
      <c r="AV29" s="21" t="n">
        <v>1560000</v>
      </c>
      <c r="AW29" s="21" t="n">
        <v>52000</v>
      </c>
      <c r="AX29" s="21" t="n">
        <v>78000</v>
      </c>
      <c r="AY29" s="21" t="n">
        <v>1430000</v>
      </c>
      <c r="AZ29" s="21" t="n">
        <v>780000</v>
      </c>
      <c r="BA29" s="21" t="n">
        <v>26000</v>
      </c>
      <c r="BB29" s="21" t="n">
        <v>39000</v>
      </c>
      <c r="BC29" s="21" t="n">
        <v>715000</v>
      </c>
      <c r="BD29" s="23" t="n">
        <v>250000</v>
      </c>
      <c r="BE29" s="23" t="n">
        <v>62500</v>
      </c>
      <c r="BF29" s="23" t="n">
        <v>0</v>
      </c>
      <c r="BG29" s="23" t="n">
        <v>187500</v>
      </c>
      <c r="BH29" s="23" t="n">
        <v>125000</v>
      </c>
      <c r="BI29" s="23" t="n">
        <v>31250</v>
      </c>
      <c r="BJ29" s="23" t="n">
        <v>25000</v>
      </c>
      <c r="BK29" s="23" t="n">
        <v>187500</v>
      </c>
      <c r="BL29" s="23" t="n">
        <v>325000</v>
      </c>
      <c r="BM29" s="23" t="n">
        <v>81250</v>
      </c>
      <c r="BN29" s="23" t="n">
        <v>40625</v>
      </c>
      <c r="BO29" s="23" t="n">
        <v>243750</v>
      </c>
    </row>
    <row r="30" customFormat="false" ht="12.8" hidden="false" customHeight="false" outlineLevel="0" collapsed="false">
      <c r="A30" s="11" t="n">
        <v>27</v>
      </c>
      <c r="B30" s="11" t="s">
        <v>136</v>
      </c>
      <c r="C30" s="11" t="s">
        <v>122</v>
      </c>
      <c r="D30" s="19" t="n">
        <v>73300</v>
      </c>
      <c r="E30" s="19" t="n">
        <v>2419</v>
      </c>
      <c r="F30" s="19" t="n">
        <v>1540</v>
      </c>
      <c r="G30" s="19" t="n">
        <v>69341</v>
      </c>
      <c r="H30" s="14" t="n">
        <v>0.984</v>
      </c>
      <c r="I30" s="14" t="n">
        <v>0.98</v>
      </c>
      <c r="J30" s="14" t="n">
        <v>0.97</v>
      </c>
      <c r="K30" s="14" t="n">
        <v>0.986</v>
      </c>
      <c r="L30" s="14" t="n">
        <v>0.63</v>
      </c>
      <c r="M30" s="14" t="n">
        <v>0.7</v>
      </c>
      <c r="N30" s="14" t="n">
        <v>0.77</v>
      </c>
      <c r="O30" s="14" t="n">
        <v>0.625</v>
      </c>
      <c r="P30" s="14" t="n">
        <v>0.016</v>
      </c>
      <c r="Q30" s="14" t="n">
        <v>0.02</v>
      </c>
      <c r="R30" s="14" t="n">
        <v>0.03</v>
      </c>
      <c r="S30" s="14" t="n">
        <v>0.014</v>
      </c>
      <c r="T30" s="14" t="n">
        <v>0.035</v>
      </c>
      <c r="U30" s="14" t="n">
        <v>0.04</v>
      </c>
      <c r="V30" s="14" t="n">
        <v>0.06</v>
      </c>
      <c r="W30" s="14" t="n">
        <v>0.033</v>
      </c>
      <c r="X30" s="20" t="n">
        <v>33</v>
      </c>
      <c r="Y30" s="20" t="n">
        <v>22</v>
      </c>
      <c r="Z30" s="20" t="n">
        <v>50</v>
      </c>
      <c r="AA30" s="21" t="n">
        <v>68640</v>
      </c>
      <c r="AB30" s="21" t="n">
        <v>45760</v>
      </c>
      <c r="AC30" s="21" t="n">
        <v>104000</v>
      </c>
      <c r="AD30" s="22" t="n">
        <v>32</v>
      </c>
      <c r="AE30" s="22" t="n">
        <v>21.3</v>
      </c>
      <c r="AF30" s="22" t="n">
        <v>49</v>
      </c>
      <c r="AG30" s="21" t="n">
        <v>66560</v>
      </c>
      <c r="AH30" s="21" t="n">
        <v>43968</v>
      </c>
      <c r="AI30" s="21" t="n">
        <v>102960</v>
      </c>
      <c r="AJ30" s="22" t="n">
        <v>29</v>
      </c>
      <c r="AK30" s="22" t="n">
        <v>19.3</v>
      </c>
      <c r="AL30" s="22" t="n">
        <v>45</v>
      </c>
      <c r="AM30" s="21" t="n">
        <v>60320</v>
      </c>
      <c r="AN30" s="21" t="n">
        <v>39936</v>
      </c>
      <c r="AO30" s="21" t="n">
        <v>93600</v>
      </c>
      <c r="AP30" s="22" t="n">
        <v>33.5</v>
      </c>
      <c r="AQ30" s="22" t="n">
        <v>22.3</v>
      </c>
      <c r="AR30" s="22" t="n">
        <v>52</v>
      </c>
      <c r="AS30" s="21" t="n">
        <v>69680</v>
      </c>
      <c r="AT30" s="21" t="n">
        <v>45632</v>
      </c>
      <c r="AU30" s="21" t="n">
        <v>108160</v>
      </c>
      <c r="AV30" s="21" t="n">
        <v>22300000</v>
      </c>
      <c r="AW30" s="21" t="n">
        <v>735000</v>
      </c>
      <c r="AX30" s="21" t="n">
        <v>1470000</v>
      </c>
      <c r="AY30" s="21" t="n">
        <v>20115000</v>
      </c>
      <c r="AZ30" s="21" t="n">
        <v>11150000</v>
      </c>
      <c r="BA30" s="21" t="n">
        <v>367500</v>
      </c>
      <c r="BB30" s="21" t="n">
        <v>735000</v>
      </c>
      <c r="BC30" s="21" t="n">
        <v>10039500</v>
      </c>
      <c r="BD30" s="23" t="n">
        <v>1800000</v>
      </c>
      <c r="BE30" s="23" t="n">
        <v>450000</v>
      </c>
      <c r="BF30" s="23" t="n">
        <v>0</v>
      </c>
      <c r="BG30" s="23" t="n">
        <v>1350000</v>
      </c>
      <c r="BH30" s="23" t="n">
        <v>900000</v>
      </c>
      <c r="BI30" s="23" t="n">
        <v>225000</v>
      </c>
      <c r="BJ30" s="23" t="n">
        <v>180000</v>
      </c>
      <c r="BK30" s="23" t="n">
        <v>1350000</v>
      </c>
      <c r="BL30" s="23" t="n">
        <v>2300000</v>
      </c>
      <c r="BM30" s="23" t="n">
        <v>575000</v>
      </c>
      <c r="BN30" s="23" t="n">
        <v>287500</v>
      </c>
      <c r="BO30" s="23" t="n">
        <v>1725000</v>
      </c>
    </row>
    <row r="31" customFormat="false" ht="12.8" hidden="false" customHeight="false" outlineLevel="0" collapsed="false">
      <c r="A31" s="11" t="n">
        <v>28</v>
      </c>
      <c r="B31" s="11" t="s">
        <v>136</v>
      </c>
      <c r="C31" s="11" t="s">
        <v>123</v>
      </c>
      <c r="D31" s="19" t="n">
        <v>29300</v>
      </c>
      <c r="E31" s="19" t="n">
        <v>967</v>
      </c>
      <c r="F31" s="19" t="n">
        <v>615</v>
      </c>
      <c r="G31" s="19" t="n">
        <v>27718</v>
      </c>
      <c r="H31" s="14" t="n">
        <v>0.978</v>
      </c>
      <c r="I31" s="14" t="n">
        <v>0.97</v>
      </c>
      <c r="J31" s="14" t="n">
        <v>0.95</v>
      </c>
      <c r="K31" s="14" t="n">
        <v>0.98</v>
      </c>
      <c r="L31" s="14" t="n">
        <v>0.6</v>
      </c>
      <c r="M31" s="14" t="n">
        <v>0.67</v>
      </c>
      <c r="N31" s="14" t="n">
        <v>0.74</v>
      </c>
      <c r="O31" s="14" t="n">
        <v>0.595</v>
      </c>
      <c r="P31" s="14" t="n">
        <v>0.022</v>
      </c>
      <c r="Q31" s="14" t="n">
        <v>0.03</v>
      </c>
      <c r="R31" s="14" t="n">
        <v>0.05</v>
      </c>
      <c r="S31" s="14" t="n">
        <v>0.02</v>
      </c>
      <c r="T31" s="14" t="n">
        <v>0.05</v>
      </c>
      <c r="U31" s="14" t="n">
        <v>0.055</v>
      </c>
      <c r="V31" s="14" t="n">
        <v>0.085</v>
      </c>
      <c r="W31" s="14" t="n">
        <v>0.048</v>
      </c>
      <c r="X31" s="20" t="n">
        <v>24</v>
      </c>
      <c r="Y31" s="20" t="n">
        <v>16</v>
      </c>
      <c r="Z31" s="20" t="n">
        <v>37</v>
      </c>
      <c r="AA31" s="21" t="n">
        <v>49920</v>
      </c>
      <c r="AB31" s="21" t="n">
        <v>33280</v>
      </c>
      <c r="AC31" s="21" t="n">
        <v>76960</v>
      </c>
      <c r="AD31" s="22" t="n">
        <v>23</v>
      </c>
      <c r="AE31" s="22" t="n">
        <v>15.3</v>
      </c>
      <c r="AF31" s="22" t="n">
        <v>36</v>
      </c>
      <c r="AG31" s="21" t="n">
        <v>47840</v>
      </c>
      <c r="AH31" s="21" t="n">
        <v>31824</v>
      </c>
      <c r="AI31" s="21" t="n">
        <v>73920</v>
      </c>
      <c r="AJ31" s="22" t="n">
        <v>20.5</v>
      </c>
      <c r="AK31" s="22" t="n">
        <v>13.7</v>
      </c>
      <c r="AL31" s="22" t="n">
        <v>32</v>
      </c>
      <c r="AM31" s="21" t="n">
        <v>42640</v>
      </c>
      <c r="AN31" s="21" t="n">
        <v>28416</v>
      </c>
      <c r="AO31" s="21" t="n">
        <v>66560</v>
      </c>
      <c r="AP31" s="22" t="n">
        <v>24.5</v>
      </c>
      <c r="AQ31" s="22" t="n">
        <v>16.3</v>
      </c>
      <c r="AR31" s="22" t="n">
        <v>39</v>
      </c>
      <c r="AS31" s="21" t="n">
        <v>50960</v>
      </c>
      <c r="AT31" s="21" t="n">
        <v>33728</v>
      </c>
      <c r="AU31" s="21" t="n">
        <v>81120</v>
      </c>
      <c r="AV31" s="21" t="n">
        <v>8900000</v>
      </c>
      <c r="AW31" s="21" t="n">
        <v>295000</v>
      </c>
      <c r="AX31" s="21" t="n">
        <v>590000</v>
      </c>
      <c r="AY31" s="21" t="n">
        <v>8015000</v>
      </c>
      <c r="AZ31" s="21" t="n">
        <v>4450000</v>
      </c>
      <c r="BA31" s="21" t="n">
        <v>147500</v>
      </c>
      <c r="BB31" s="21" t="n">
        <v>295000</v>
      </c>
      <c r="BC31" s="21" t="n">
        <v>4007500</v>
      </c>
      <c r="BD31" s="23" t="n">
        <v>720000</v>
      </c>
      <c r="BE31" s="23" t="n">
        <v>180000</v>
      </c>
      <c r="BF31" s="23" t="n">
        <v>0</v>
      </c>
      <c r="BG31" s="23" t="n">
        <v>540000</v>
      </c>
      <c r="BH31" s="23" t="n">
        <v>360000</v>
      </c>
      <c r="BI31" s="23" t="n">
        <v>90000</v>
      </c>
      <c r="BJ31" s="23" t="n">
        <v>72000</v>
      </c>
      <c r="BK31" s="23" t="n">
        <v>540000</v>
      </c>
      <c r="BL31" s="23" t="n">
        <v>900000</v>
      </c>
      <c r="BM31" s="23" t="n">
        <v>225000</v>
      </c>
      <c r="BN31" s="23" t="n">
        <v>112500</v>
      </c>
      <c r="BO31" s="23" t="n">
        <v>675000</v>
      </c>
    </row>
    <row r="32" customFormat="false" ht="12.8" hidden="false" customHeight="false" outlineLevel="0" collapsed="false">
      <c r="A32" s="11"/>
      <c r="B32" s="11"/>
      <c r="C32" s="11"/>
      <c r="D32" s="19"/>
      <c r="E32" s="19"/>
      <c r="F32" s="19"/>
      <c r="G32" s="19"/>
      <c r="H32" s="14"/>
      <c r="I32" s="14"/>
      <c r="J32" s="14"/>
      <c r="K32" s="14"/>
      <c r="L32" s="14"/>
      <c r="M32" s="14"/>
      <c r="N32" s="14"/>
      <c r="O32" s="14"/>
      <c r="P32" s="14"/>
      <c r="Q32" s="14"/>
      <c r="R32" s="14"/>
      <c r="S32" s="14"/>
      <c r="T32" s="14"/>
      <c r="U32" s="14"/>
      <c r="V32" s="14"/>
      <c r="W32" s="14"/>
      <c r="X32" s="20"/>
      <c r="Y32" s="20"/>
      <c r="Z32" s="20"/>
      <c r="AA32" s="21"/>
      <c r="AB32" s="21"/>
      <c r="AC32" s="21"/>
      <c r="AD32" s="22"/>
      <c r="AE32" s="22"/>
      <c r="AF32" s="22"/>
      <c r="AG32" s="21"/>
      <c r="AH32" s="21"/>
      <c r="AI32" s="21"/>
      <c r="AJ32" s="22"/>
      <c r="AK32" s="22"/>
      <c r="AL32" s="22"/>
      <c r="AM32" s="21"/>
      <c r="AN32" s="21"/>
      <c r="AO32" s="21"/>
      <c r="AP32" s="22"/>
      <c r="AQ32" s="22"/>
      <c r="AR32" s="22"/>
      <c r="AS32" s="21"/>
      <c r="AT32" s="21"/>
      <c r="AU32" s="21"/>
      <c r="AV32" s="21"/>
      <c r="AW32" s="21"/>
      <c r="AX32" s="21"/>
      <c r="AY32" s="21"/>
      <c r="AZ32" s="21"/>
      <c r="BA32" s="21"/>
      <c r="BB32" s="21"/>
      <c r="BC32" s="21"/>
      <c r="BD32" s="23"/>
      <c r="BE32" s="23"/>
      <c r="BF32" s="23"/>
      <c r="BG32" s="23"/>
      <c r="BH32" s="23"/>
      <c r="BI32" s="23"/>
      <c r="BJ32" s="23"/>
      <c r="BK32" s="23"/>
      <c r="BL32" s="23"/>
      <c r="BM32" s="23"/>
      <c r="BN32" s="23"/>
      <c r="BO32" s="23"/>
    </row>
    <row r="33" customFormat="false" ht="12.8" hidden="false" customHeight="false" outlineLevel="0" collapsed="false">
      <c r="A33" s="11"/>
      <c r="B33" s="11"/>
      <c r="C33" s="11"/>
      <c r="D33" s="19"/>
      <c r="E33" s="19"/>
      <c r="F33" s="19"/>
      <c r="G33" s="19"/>
      <c r="H33" s="14"/>
      <c r="I33" s="14"/>
      <c r="J33" s="14"/>
      <c r="K33" s="14"/>
      <c r="L33" s="14"/>
      <c r="M33" s="14"/>
      <c r="N33" s="14"/>
      <c r="O33" s="14"/>
      <c r="P33" s="14"/>
      <c r="Q33" s="14"/>
      <c r="R33" s="14"/>
      <c r="S33" s="14"/>
      <c r="T33" s="14"/>
      <c r="U33" s="14"/>
      <c r="V33" s="14"/>
      <c r="W33" s="14"/>
      <c r="X33" s="20"/>
      <c r="Y33" s="20"/>
      <c r="Z33" s="20"/>
      <c r="AA33" s="21"/>
      <c r="AB33" s="21"/>
      <c r="AC33" s="21"/>
      <c r="AD33" s="22"/>
      <c r="AE33" s="22"/>
      <c r="AF33" s="22"/>
      <c r="AG33" s="21"/>
      <c r="AH33" s="21"/>
      <c r="AI33" s="21"/>
      <c r="AJ33" s="22"/>
      <c r="AK33" s="22"/>
      <c r="AL33" s="22"/>
      <c r="AM33" s="21"/>
      <c r="AN33" s="21"/>
      <c r="AO33" s="21"/>
      <c r="AP33" s="22"/>
      <c r="AQ33" s="22"/>
      <c r="AR33" s="22"/>
      <c r="AS33" s="21"/>
      <c r="AT33" s="21"/>
      <c r="AU33" s="21"/>
      <c r="AV33" s="21"/>
      <c r="AW33" s="21"/>
      <c r="AX33" s="21"/>
      <c r="AY33" s="21"/>
      <c r="AZ33" s="21"/>
      <c r="BA33" s="21"/>
      <c r="BB33" s="21"/>
      <c r="BC33" s="21"/>
      <c r="BD33" s="23"/>
      <c r="BE33" s="23"/>
      <c r="BF33" s="23"/>
      <c r="BG33" s="23"/>
      <c r="BH33" s="23"/>
      <c r="BI33" s="23"/>
      <c r="BJ33" s="23"/>
      <c r="BK33" s="23"/>
      <c r="BL33" s="23"/>
      <c r="BM33" s="23"/>
      <c r="BN33" s="23"/>
      <c r="BO33" s="23"/>
    </row>
    <row r="34" customFormat="false" ht="12.8" hidden="false" customHeight="false" outlineLevel="0" collapsed="false">
      <c r="A34" s="11"/>
      <c r="B34" s="11"/>
      <c r="C34" s="11"/>
      <c r="D34" s="19"/>
      <c r="E34" s="19"/>
      <c r="F34" s="19"/>
      <c r="G34" s="19"/>
      <c r="H34" s="14"/>
      <c r="I34" s="14"/>
      <c r="J34" s="14"/>
      <c r="K34" s="14"/>
      <c r="L34" s="14"/>
      <c r="M34" s="14"/>
      <c r="N34" s="14"/>
      <c r="O34" s="14"/>
      <c r="P34" s="14"/>
      <c r="Q34" s="14"/>
      <c r="R34" s="14"/>
      <c r="S34" s="14"/>
      <c r="T34" s="14"/>
      <c r="U34" s="14"/>
      <c r="V34" s="14"/>
      <c r="W34" s="14"/>
      <c r="X34" s="20"/>
      <c r="Y34" s="20"/>
      <c r="Z34" s="20"/>
      <c r="AA34" s="21"/>
      <c r="AB34" s="21"/>
      <c r="AC34" s="21"/>
      <c r="AD34" s="22"/>
      <c r="AE34" s="22"/>
      <c r="AF34" s="22"/>
      <c r="AG34" s="21"/>
      <c r="AH34" s="21"/>
      <c r="AI34" s="21"/>
      <c r="AJ34" s="22"/>
      <c r="AK34" s="22"/>
      <c r="AL34" s="22"/>
      <c r="AM34" s="21"/>
      <c r="AN34" s="21"/>
      <c r="AO34" s="21"/>
      <c r="AP34" s="22"/>
      <c r="AQ34" s="22"/>
      <c r="AR34" s="22"/>
      <c r="AS34" s="21"/>
      <c r="AT34" s="21"/>
      <c r="AU34" s="21"/>
      <c r="AV34" s="21"/>
      <c r="AW34" s="21"/>
      <c r="AX34" s="21"/>
      <c r="AY34" s="21"/>
      <c r="AZ34" s="21"/>
      <c r="BA34" s="21"/>
      <c r="BB34" s="21"/>
      <c r="BC34" s="21"/>
      <c r="BD34" s="23"/>
      <c r="BE34" s="23"/>
      <c r="BF34" s="23"/>
      <c r="BG34" s="23"/>
      <c r="BH34" s="23"/>
      <c r="BI34" s="23"/>
      <c r="BJ34" s="23"/>
      <c r="BK34" s="23"/>
      <c r="BL34" s="23"/>
      <c r="BM34" s="23"/>
      <c r="BN34" s="23"/>
      <c r="BO34" s="23"/>
    </row>
    <row r="35" customFormat="false" ht="12.8" hidden="false" customHeight="false" outlineLevel="0" collapsed="false">
      <c r="A35" s="11"/>
      <c r="B35" s="11"/>
      <c r="C35" s="11"/>
      <c r="D35" s="19"/>
      <c r="E35" s="19"/>
      <c r="F35" s="19"/>
      <c r="G35" s="19"/>
      <c r="H35" s="14"/>
      <c r="I35" s="14"/>
      <c r="J35" s="14"/>
      <c r="K35" s="14"/>
      <c r="L35" s="14"/>
      <c r="M35" s="14"/>
      <c r="N35" s="14"/>
      <c r="O35" s="14"/>
      <c r="P35" s="14"/>
      <c r="Q35" s="14"/>
      <c r="R35" s="14"/>
      <c r="S35" s="14"/>
      <c r="T35" s="14"/>
      <c r="U35" s="14"/>
      <c r="V35" s="14"/>
      <c r="W35" s="14"/>
      <c r="X35" s="20"/>
      <c r="Y35" s="20"/>
      <c r="Z35" s="20"/>
      <c r="AA35" s="21"/>
      <c r="AB35" s="21"/>
      <c r="AC35" s="21"/>
      <c r="AD35" s="22"/>
      <c r="AE35" s="22"/>
      <c r="AF35" s="22"/>
      <c r="AG35" s="21"/>
      <c r="AH35" s="21"/>
      <c r="AI35" s="21"/>
      <c r="AJ35" s="22"/>
      <c r="AK35" s="22"/>
      <c r="AL35" s="22"/>
      <c r="AM35" s="21"/>
      <c r="AN35" s="21"/>
      <c r="AO35" s="21"/>
      <c r="AP35" s="22"/>
      <c r="AQ35" s="22"/>
      <c r="AR35" s="22"/>
      <c r="AS35" s="21"/>
      <c r="AT35" s="21"/>
      <c r="AU35" s="21"/>
      <c r="AV35" s="21"/>
      <c r="AW35" s="21"/>
      <c r="AX35" s="21"/>
      <c r="AY35" s="21"/>
      <c r="AZ35" s="21"/>
      <c r="BA35" s="21"/>
      <c r="BB35" s="21"/>
      <c r="BC35" s="21"/>
      <c r="BD35" s="23"/>
      <c r="BE35" s="23"/>
      <c r="BF35" s="23"/>
      <c r="BG35" s="23"/>
      <c r="BH35" s="23"/>
      <c r="BI35" s="23"/>
      <c r="BJ35" s="23"/>
      <c r="BK35" s="23"/>
      <c r="BL35" s="23"/>
      <c r="BM35" s="23"/>
      <c r="BN35" s="23"/>
      <c r="BO35" s="23"/>
    </row>
    <row r="36" customFormat="false" ht="12.8" hidden="false" customHeight="false" outlineLevel="0" collapsed="false">
      <c r="A36" s="11" t="n">
        <v>29</v>
      </c>
      <c r="B36" s="11" t="s">
        <v>137</v>
      </c>
      <c r="C36" s="11" t="s">
        <v>122</v>
      </c>
      <c r="D36" s="19" t="n">
        <v>23000</v>
      </c>
      <c r="E36" s="19" t="n">
        <v>759</v>
      </c>
      <c r="F36" s="19" t="n">
        <v>483</v>
      </c>
      <c r="G36" s="19" t="n">
        <v>21758</v>
      </c>
      <c r="H36" s="14" t="n">
        <v>0.98</v>
      </c>
      <c r="I36" s="14" t="n">
        <v>0.975</v>
      </c>
      <c r="J36" s="14" t="n">
        <v>0.96</v>
      </c>
      <c r="K36" s="14" t="n">
        <v>0.982</v>
      </c>
      <c r="L36" s="14" t="n">
        <v>0.61</v>
      </c>
      <c r="M36" s="14" t="n">
        <v>0.68</v>
      </c>
      <c r="N36" s="14" t="n">
        <v>0.75</v>
      </c>
      <c r="O36" s="14" t="n">
        <v>0.605</v>
      </c>
      <c r="P36" s="14" t="n">
        <v>0.02</v>
      </c>
      <c r="Q36" s="14" t="n">
        <v>0.025</v>
      </c>
      <c r="R36" s="14" t="n">
        <v>0.04</v>
      </c>
      <c r="S36" s="14" t="n">
        <v>0.018</v>
      </c>
      <c r="T36" s="14" t="n">
        <v>0.045</v>
      </c>
      <c r="U36" s="14" t="n">
        <v>0.05</v>
      </c>
      <c r="V36" s="14" t="n">
        <v>0.075</v>
      </c>
      <c r="W36" s="14" t="n">
        <v>0.042</v>
      </c>
      <c r="X36" s="20" t="n">
        <v>28</v>
      </c>
      <c r="Y36" s="20" t="n">
        <v>18</v>
      </c>
      <c r="Z36" s="20" t="n">
        <v>43</v>
      </c>
      <c r="AA36" s="21" t="n">
        <v>58240</v>
      </c>
      <c r="AB36" s="21" t="n">
        <v>37440</v>
      </c>
      <c r="AC36" s="21" t="n">
        <v>89440</v>
      </c>
      <c r="AD36" s="22" t="n">
        <v>27</v>
      </c>
      <c r="AE36" s="22" t="n">
        <v>17.5</v>
      </c>
      <c r="AF36" s="22" t="n">
        <v>42.5</v>
      </c>
      <c r="AG36" s="21" t="n">
        <v>56160</v>
      </c>
      <c r="AH36" s="21" t="n">
        <v>36400</v>
      </c>
      <c r="AI36" s="21" t="n">
        <v>88400</v>
      </c>
      <c r="AJ36" s="22" t="n">
        <v>24.5</v>
      </c>
      <c r="AK36" s="22" t="n">
        <v>15.9</v>
      </c>
      <c r="AL36" s="22" t="n">
        <v>38.5</v>
      </c>
      <c r="AM36" s="21" t="n">
        <v>50960</v>
      </c>
      <c r="AN36" s="21" t="n">
        <v>33008</v>
      </c>
      <c r="AO36" s="21" t="n">
        <v>80080</v>
      </c>
      <c r="AP36" s="22" t="n">
        <v>28.5</v>
      </c>
      <c r="AQ36" s="22" t="n">
        <v>18.5</v>
      </c>
      <c r="AR36" s="22" t="n">
        <v>45</v>
      </c>
      <c r="AS36" s="21" t="n">
        <v>59280</v>
      </c>
      <c r="AT36" s="21" t="n">
        <v>38440</v>
      </c>
      <c r="AU36" s="21" t="n">
        <v>93600</v>
      </c>
      <c r="AV36" s="21" t="n">
        <v>7000000</v>
      </c>
      <c r="AW36" s="21" t="n">
        <v>230000</v>
      </c>
      <c r="AX36" s="21" t="n">
        <v>460000</v>
      </c>
      <c r="AY36" s="21" t="n">
        <v>6310000</v>
      </c>
      <c r="AZ36" s="21" t="n">
        <v>3500000</v>
      </c>
      <c r="BA36" s="21" t="n">
        <v>115000</v>
      </c>
      <c r="BB36" s="21" t="n">
        <v>230000</v>
      </c>
      <c r="BC36" s="21" t="n">
        <v>3155000</v>
      </c>
      <c r="BD36" s="23" t="n">
        <v>560000</v>
      </c>
      <c r="BE36" s="23" t="n">
        <v>140000</v>
      </c>
      <c r="BF36" s="23" t="n">
        <v>0</v>
      </c>
      <c r="BG36" s="23" t="n">
        <v>420000</v>
      </c>
      <c r="BH36" s="23" t="n">
        <v>280000</v>
      </c>
      <c r="BI36" s="23" t="n">
        <v>70000</v>
      </c>
      <c r="BJ36" s="23" t="n">
        <v>70000</v>
      </c>
      <c r="BK36" s="23" t="n">
        <v>525000</v>
      </c>
      <c r="BL36" s="23" t="n">
        <v>560000</v>
      </c>
      <c r="BM36" s="23" t="n">
        <v>140000</v>
      </c>
      <c r="BN36" s="23" t="n">
        <v>70000</v>
      </c>
      <c r="BO36" s="23" t="n">
        <v>420000</v>
      </c>
    </row>
    <row r="37" customFormat="false" ht="12.8" hidden="false" customHeight="false" outlineLevel="0" collapsed="false">
      <c r="A37" s="11" t="n">
        <v>30</v>
      </c>
      <c r="B37" s="11" t="s">
        <v>137</v>
      </c>
      <c r="C37" s="11" t="s">
        <v>123</v>
      </c>
      <c r="D37" s="19" t="n">
        <v>9200</v>
      </c>
      <c r="E37" s="19" t="n">
        <v>304</v>
      </c>
      <c r="F37" s="19" t="n">
        <v>193</v>
      </c>
      <c r="G37" s="19" t="n">
        <v>8703</v>
      </c>
      <c r="H37" s="14" t="n">
        <v>0.975</v>
      </c>
      <c r="I37" s="14" t="n">
        <v>0.965</v>
      </c>
      <c r="J37" s="14" t="n">
        <v>0.94</v>
      </c>
      <c r="K37" s="14" t="n">
        <v>0.978</v>
      </c>
      <c r="L37" s="14" t="n">
        <v>0.58</v>
      </c>
      <c r="M37" s="14" t="n">
        <v>0.65</v>
      </c>
      <c r="N37" s="14" t="n">
        <v>0.72</v>
      </c>
      <c r="O37" s="14" t="n">
        <v>0.575</v>
      </c>
      <c r="P37" s="14" t="n">
        <v>0.025</v>
      </c>
      <c r="Q37" s="14" t="n">
        <v>0.035</v>
      </c>
      <c r="R37" s="14" t="n">
        <v>0.06</v>
      </c>
      <c r="S37" s="14" t="n">
        <v>0.022</v>
      </c>
      <c r="T37" s="14" t="n">
        <v>0.06</v>
      </c>
      <c r="U37" s="14" t="n">
        <v>0.067</v>
      </c>
      <c r="V37" s="14" t="n">
        <v>0.1</v>
      </c>
      <c r="W37" s="14" t="n">
        <v>0.055</v>
      </c>
      <c r="X37" s="20" t="n">
        <v>20</v>
      </c>
      <c r="Y37" s="20" t="n">
        <v>13</v>
      </c>
      <c r="Z37" s="20" t="n">
        <v>31</v>
      </c>
      <c r="AA37" s="21" t="n">
        <v>41600</v>
      </c>
      <c r="AB37" s="21" t="n">
        <v>27040</v>
      </c>
      <c r="AC37" s="21" t="n">
        <v>64480</v>
      </c>
      <c r="AD37" s="22" t="n">
        <v>19</v>
      </c>
      <c r="AE37" s="22" t="n">
        <v>12.4</v>
      </c>
      <c r="AF37" s="22" t="n">
        <v>30.5</v>
      </c>
      <c r="AG37" s="21" t="n">
        <v>39520</v>
      </c>
      <c r="AH37" s="21" t="n">
        <v>25792</v>
      </c>
      <c r="AI37" s="21" t="n">
        <v>63440</v>
      </c>
      <c r="AJ37" s="22" t="n">
        <v>17</v>
      </c>
      <c r="AK37" s="22" t="n">
        <v>11.1</v>
      </c>
      <c r="AL37" s="22" t="n">
        <v>26.5</v>
      </c>
      <c r="AM37" s="21" t="n">
        <v>35360</v>
      </c>
      <c r="AN37" s="21" t="n">
        <v>23088</v>
      </c>
      <c r="AO37" s="21" t="n">
        <v>55120</v>
      </c>
      <c r="AP37" s="22" t="n">
        <v>20.5</v>
      </c>
      <c r="AQ37" s="22" t="n">
        <v>13.4</v>
      </c>
      <c r="AR37" s="22" t="n">
        <v>32.5</v>
      </c>
      <c r="AS37" s="21" t="n">
        <v>42640</v>
      </c>
      <c r="AT37" s="21" t="n">
        <v>27824</v>
      </c>
      <c r="AU37" s="21" t="n">
        <v>67600</v>
      </c>
      <c r="AV37" s="21" t="n">
        <v>2800000</v>
      </c>
      <c r="AW37" s="21" t="n">
        <v>92000</v>
      </c>
      <c r="AX37" s="21" t="n">
        <v>184000</v>
      </c>
      <c r="AY37" s="21" t="n">
        <v>2524000</v>
      </c>
      <c r="AZ37" s="21" t="n">
        <v>1400000</v>
      </c>
      <c r="BA37" s="21" t="n">
        <v>46000</v>
      </c>
      <c r="BB37" s="21" t="n">
        <v>92000</v>
      </c>
      <c r="BC37" s="21" t="n">
        <v>1262000</v>
      </c>
      <c r="BD37" s="23" t="n">
        <v>225000</v>
      </c>
      <c r="BE37" s="23" t="n">
        <v>56250</v>
      </c>
      <c r="BF37" s="23" t="n">
        <v>0</v>
      </c>
      <c r="BG37" s="23" t="n">
        <v>168750</v>
      </c>
      <c r="BH37" s="23" t="n">
        <v>112500</v>
      </c>
      <c r="BI37" s="23" t="n">
        <v>28125</v>
      </c>
      <c r="BJ37" s="23" t="n">
        <v>28000</v>
      </c>
      <c r="BK37" s="23" t="n">
        <v>210000</v>
      </c>
      <c r="BL37" s="23" t="n">
        <v>225000</v>
      </c>
      <c r="BM37" s="23" t="n">
        <v>56250</v>
      </c>
      <c r="BN37" s="23" t="n">
        <v>28125</v>
      </c>
      <c r="BO37" s="23" t="n">
        <v>168750</v>
      </c>
    </row>
    <row r="38" customFormat="false" ht="12.8" hidden="false" customHeight="false" outlineLevel="0" collapsed="false">
      <c r="A38" s="11"/>
      <c r="B38" s="11"/>
      <c r="C38" s="11"/>
      <c r="D38" s="11"/>
      <c r="E38" s="11"/>
      <c r="F38" s="11"/>
      <c r="G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row>
    <row r="39" customFormat="false" ht="12.8" hidden="false" customHeight="false" outlineLevel="0" collapsed="false">
      <c r="A39" s="5" t="s">
        <v>138</v>
      </c>
      <c r="B39" s="24" t="s">
        <v>7</v>
      </c>
      <c r="C39" s="25" t="s">
        <v>139</v>
      </c>
    </row>
    <row r="40" customFormat="false" ht="35.05" hidden="false" customHeight="false" outlineLevel="0" collapsed="false">
      <c r="A40" s="5" t="s">
        <v>26</v>
      </c>
      <c r="B40" s="26" t="s">
        <v>140</v>
      </c>
      <c r="C40" s="26" t="str">
        <f aca="false">D2</f>
        <v>Labor Force Population</v>
      </c>
      <c r="D40" s="26" t="str">
        <f aca="false">E2</f>
        <v>Authorized Labor Force Population</v>
      </c>
      <c r="E40" s="26" t="str">
        <f aca="false">F2</f>
        <v>Unauthorized Labor Force Population</v>
      </c>
      <c r="F40" s="26" t="str">
        <f aca="false">G2</f>
        <v>American Labor Force Population</v>
      </c>
    </row>
    <row r="41" customFormat="false" ht="12.8" hidden="false" customHeight="false" outlineLevel="0" collapsed="false">
      <c r="A41" s="7" t="str">
        <f aca="false">_xlfn.CONCAT($A$39, ".", $A3)</f>
        <v>AL.0.0</v>
      </c>
      <c r="B41" s="7" t="str">
        <f aca="false">_xlfn.CONCAT(B3, ": ", C3)</f>
        <v>All Industries: All Roles</v>
      </c>
      <c r="C41" s="19" t="n">
        <f aca="false">D3</f>
        <v>2381400</v>
      </c>
      <c r="D41" s="19" t="n">
        <f aca="false">E3</f>
        <v>78000</v>
      </c>
      <c r="E41" s="19" t="n">
        <f aca="false">F3</f>
        <v>47000</v>
      </c>
      <c r="F41" s="19" t="n">
        <f aca="false">G3</f>
        <v>2254400</v>
      </c>
    </row>
    <row r="42" customFormat="false" ht="12.8" hidden="false" customHeight="false" outlineLevel="0" collapsed="false">
      <c r="A42" s="7" t="str">
        <f aca="false">_xlfn.CONCAT($A$39, ".", $A4)</f>
        <v>AL.0.1</v>
      </c>
      <c r="B42" s="7" t="str">
        <f aca="false">_xlfn.CONCAT(B4, ": ", C4)</f>
        <v>Agriculture: Worker</v>
      </c>
      <c r="C42" s="19" t="n">
        <f aca="false">D4</f>
        <v>15000</v>
      </c>
      <c r="D42" s="19" t="n">
        <f aca="false">E4</f>
        <v>495</v>
      </c>
      <c r="E42" s="19" t="n">
        <f aca="false">F4</f>
        <v>315</v>
      </c>
      <c r="F42" s="19" t="n">
        <f aca="false">G4</f>
        <v>14190</v>
      </c>
    </row>
    <row r="43" customFormat="false" ht="12.8" hidden="false" customHeight="false" outlineLevel="0" collapsed="false">
      <c r="A43" s="7" t="str">
        <f aca="false">_xlfn.CONCAT($A$39, ".", $A5)</f>
        <v>AL.0.2</v>
      </c>
      <c r="B43" s="7" t="str">
        <f aca="false">_xlfn.CONCAT(B5, ": ", C5)</f>
        <v>Agriculture: Support</v>
      </c>
      <c r="C43" s="19" t="n">
        <f aca="false">D5</f>
        <v>7500</v>
      </c>
      <c r="D43" s="19" t="n">
        <f aca="false">E5</f>
        <v>248</v>
      </c>
      <c r="E43" s="19" t="n">
        <f aca="false">F5</f>
        <v>158</v>
      </c>
      <c r="F43" s="19" t="n">
        <f aca="false">G5</f>
        <v>7095</v>
      </c>
    </row>
    <row r="44" customFormat="false" ht="12.8" hidden="false" customHeight="false" outlineLevel="0" collapsed="false">
      <c r="A44" s="7" t="str">
        <f aca="false">_xlfn.CONCAT($A$39, ".", $A6)</f>
        <v>AL.0.3</v>
      </c>
      <c r="B44" s="7" t="str">
        <f aca="false">_xlfn.CONCAT(B6, ": ", C6)</f>
        <v>Construction: Worker</v>
      </c>
      <c r="C44" s="19" t="n">
        <f aca="false">D6</f>
        <v>112100</v>
      </c>
      <c r="D44" s="19" t="n">
        <f aca="false">E6</f>
        <v>3699</v>
      </c>
      <c r="E44" s="19" t="n">
        <f aca="false">F6</f>
        <v>2354</v>
      </c>
      <c r="F44" s="19" t="n">
        <f aca="false">G6</f>
        <v>105047</v>
      </c>
    </row>
    <row r="45" customFormat="false" ht="12.8" hidden="false" customHeight="false" outlineLevel="0" collapsed="false">
      <c r="A45" s="7" t="str">
        <f aca="false">_xlfn.CONCAT($A$39, ".", $A7)</f>
        <v>AL.0.4</v>
      </c>
      <c r="B45" s="7" t="str">
        <f aca="false">_xlfn.CONCAT(B7, ": ", C7)</f>
        <v>Construction: Support</v>
      </c>
      <c r="C45" s="19" t="n">
        <f aca="false">D7</f>
        <v>45000</v>
      </c>
      <c r="D45" s="19" t="n">
        <f aca="false">E7</f>
        <v>1485</v>
      </c>
      <c r="E45" s="19" t="n">
        <f aca="false">F7</f>
        <v>945</v>
      </c>
      <c r="F45" s="19" t="n">
        <f aca="false">G7</f>
        <v>42170</v>
      </c>
    </row>
    <row r="46" customFormat="false" ht="12.8" hidden="false" customHeight="false" outlineLevel="0" collapsed="false">
      <c r="A46" s="7" t="str">
        <f aca="false">_xlfn.CONCAT($A$39, ".", $A8)</f>
        <v>AL.0.5</v>
      </c>
      <c r="B46" s="7" t="str">
        <f aca="false">_xlfn.CONCAT(B8, ": ", C8)</f>
        <v>Hospitality: Worker</v>
      </c>
      <c r="C46" s="19" t="n">
        <f aca="false">D8</f>
        <v>217300</v>
      </c>
      <c r="D46" s="19" t="n">
        <f aca="false">E8</f>
        <v>7171</v>
      </c>
      <c r="E46" s="19" t="n">
        <f aca="false">F8</f>
        <v>4563</v>
      </c>
      <c r="F46" s="19" t="n">
        <f aca="false">G8</f>
        <v>205566</v>
      </c>
    </row>
    <row r="47" customFormat="false" ht="12.8" hidden="false" customHeight="false" outlineLevel="0" collapsed="false">
      <c r="A47" s="7" t="str">
        <f aca="false">_xlfn.CONCAT($A$39, ".", $A9)</f>
        <v>AL.0.6</v>
      </c>
      <c r="B47" s="7" t="str">
        <f aca="false">_xlfn.CONCAT(B9, ": ", C9)</f>
        <v>Hospitality: Support</v>
      </c>
      <c r="C47" s="19" t="n">
        <f aca="false">D9</f>
        <v>87000</v>
      </c>
      <c r="D47" s="19" t="n">
        <f aca="false">E9</f>
        <v>2871</v>
      </c>
      <c r="E47" s="19" t="n">
        <f aca="false">F9</f>
        <v>1825</v>
      </c>
      <c r="F47" s="19" t="n">
        <f aca="false">G9</f>
        <v>82204</v>
      </c>
    </row>
    <row r="48" customFormat="false" ht="12.8" hidden="false" customHeight="false" outlineLevel="0" collapsed="false">
      <c r="A48" s="7" t="str">
        <f aca="false">_xlfn.CONCAT($A$39, ".", $A10)</f>
        <v>AL.0.7</v>
      </c>
      <c r="B48" s="7" t="str">
        <f aca="false">_xlfn.CONCAT(B10, ": ", C10)</f>
        <v>Cleaning &amp; Maintenance: Worker</v>
      </c>
      <c r="C48" s="19" t="n">
        <f aca="false">D10</f>
        <v>45000</v>
      </c>
      <c r="D48" s="19" t="n">
        <f aca="false">E10</f>
        <v>1485</v>
      </c>
      <c r="E48" s="19" t="n">
        <f aca="false">F10</f>
        <v>945</v>
      </c>
      <c r="F48" s="19" t="n">
        <f aca="false">G10</f>
        <v>42170</v>
      </c>
    </row>
    <row r="49" customFormat="false" ht="12.8" hidden="false" customHeight="false" outlineLevel="0" collapsed="false">
      <c r="A49" s="7" t="str">
        <f aca="false">_xlfn.CONCAT($A$39, ".", $A11)</f>
        <v>AL.0.8</v>
      </c>
      <c r="B49" s="7" t="str">
        <f aca="false">_xlfn.CONCAT(B11, ": ", C11)</f>
        <v>Cleaning &amp; Maintenance: Support</v>
      </c>
      <c r="C49" s="19" t="n">
        <f aca="false">D11</f>
        <v>22500</v>
      </c>
      <c r="D49" s="19" t="n">
        <f aca="false">E11</f>
        <v>743</v>
      </c>
      <c r="E49" s="19" t="n">
        <f aca="false">F11</f>
        <v>473</v>
      </c>
      <c r="F49" s="19" t="n">
        <f aca="false">G11</f>
        <v>21085</v>
      </c>
    </row>
    <row r="50" customFormat="false" ht="12.8" hidden="false" customHeight="false" outlineLevel="0" collapsed="false">
      <c r="A50" s="7" t="str">
        <f aca="false">_xlfn.CONCAT($A$39, ".", $A12)</f>
        <v>AL.0.9</v>
      </c>
      <c r="B50" s="7" t="str">
        <f aca="false">_xlfn.CONCAT(B12, ": ", C12)</f>
        <v>Manufacturing: Worker</v>
      </c>
      <c r="C50" s="19" t="n">
        <f aca="false">D12</f>
        <v>287100</v>
      </c>
      <c r="D50" s="19" t="n">
        <f aca="false">E12</f>
        <v>9474</v>
      </c>
      <c r="E50" s="19" t="n">
        <f aca="false">F12</f>
        <v>6029</v>
      </c>
      <c r="F50" s="19" t="n">
        <f aca="false">G12</f>
        <v>271597</v>
      </c>
    </row>
    <row r="51" customFormat="false" ht="12.8" hidden="false" customHeight="false" outlineLevel="0" collapsed="false">
      <c r="A51" s="7" t="str">
        <f aca="false">_xlfn.CONCAT($A$39, ".", $A13)</f>
        <v>AL.0.10</v>
      </c>
      <c r="B51" s="7" t="str">
        <f aca="false">_xlfn.CONCAT(B13, ": ", C13)</f>
        <v>Manufacturing: Support</v>
      </c>
      <c r="C51" s="19" t="n">
        <f aca="false">D13</f>
        <v>115000</v>
      </c>
      <c r="D51" s="19" t="n">
        <f aca="false">E13</f>
        <v>3795</v>
      </c>
      <c r="E51" s="19" t="n">
        <f aca="false">F13</f>
        <v>2415</v>
      </c>
      <c r="F51" s="19" t="n">
        <f aca="false">G13</f>
        <v>108790</v>
      </c>
    </row>
    <row r="52" customFormat="false" ht="12.8" hidden="false" customHeight="false" outlineLevel="0" collapsed="false">
      <c r="A52" s="7" t="str">
        <f aca="false">_xlfn.CONCAT($A$39, ".", $A14)</f>
        <v>AL.0.11</v>
      </c>
      <c r="B52" s="7" t="str">
        <f aca="false">_xlfn.CONCAT(B14, ": ", C14)</f>
        <v>Transportation &amp; Warehousing: Worker</v>
      </c>
      <c r="C52" s="19" t="n">
        <f aca="false">D14</f>
        <v>75000</v>
      </c>
      <c r="D52" s="19" t="n">
        <f aca="false">E14</f>
        <v>2475</v>
      </c>
      <c r="E52" s="19" t="n">
        <f aca="false">F14</f>
        <v>1575</v>
      </c>
      <c r="F52" s="19" t="n">
        <f aca="false">G14</f>
        <v>70950</v>
      </c>
    </row>
    <row r="53" customFormat="false" ht="12.8" hidden="false" customHeight="false" outlineLevel="0" collapsed="false">
      <c r="A53" s="7" t="str">
        <f aca="false">_xlfn.CONCAT($A$39, ".", $A15)</f>
        <v>AL.0.12</v>
      </c>
      <c r="B53" s="7" t="str">
        <f aca="false">_xlfn.CONCAT(B15, ": ", C15)</f>
        <v>Transportation &amp; Warehousing: Support</v>
      </c>
      <c r="C53" s="19" t="n">
        <f aca="false">D15</f>
        <v>30000</v>
      </c>
      <c r="D53" s="19" t="n">
        <f aca="false">E15</f>
        <v>990</v>
      </c>
      <c r="E53" s="19" t="n">
        <f aca="false">F15</f>
        <v>630</v>
      </c>
      <c r="F53" s="19" t="n">
        <f aca="false">G15</f>
        <v>28380</v>
      </c>
    </row>
    <row r="54" customFormat="false" ht="12.8" hidden="false" customHeight="false" outlineLevel="0" collapsed="false">
      <c r="A54" s="7" t="str">
        <f aca="false">_xlfn.CONCAT($A$39, ".", $A16)</f>
        <v>AL.0.13</v>
      </c>
      <c r="B54" s="7" t="str">
        <f aca="false">_xlfn.CONCAT(B16, ": ", C16)</f>
        <v>Retail Trade: Worker</v>
      </c>
      <c r="C54" s="19" t="n">
        <f aca="false">D16</f>
        <v>200000</v>
      </c>
      <c r="D54" s="19" t="n">
        <f aca="false">E16</f>
        <v>6600</v>
      </c>
      <c r="E54" s="19" t="n">
        <f aca="false">F16</f>
        <v>4200</v>
      </c>
      <c r="F54" s="19" t="n">
        <f aca="false">G16</f>
        <v>189200</v>
      </c>
    </row>
    <row r="55" customFormat="false" ht="12.8" hidden="false" customHeight="false" outlineLevel="0" collapsed="false">
      <c r="A55" s="7" t="str">
        <f aca="false">_xlfn.CONCAT($A$39, ".", $A17)</f>
        <v>AL.0.14</v>
      </c>
      <c r="B55" s="7" t="str">
        <f aca="false">_xlfn.CONCAT(B17, ": ", C17)</f>
        <v>Retail Trade: Support</v>
      </c>
      <c r="C55" s="19" t="n">
        <f aca="false">D17</f>
        <v>100000</v>
      </c>
      <c r="D55" s="19" t="n">
        <f aca="false">E17</f>
        <v>3300</v>
      </c>
      <c r="E55" s="19" t="n">
        <f aca="false">F17</f>
        <v>2100</v>
      </c>
      <c r="F55" s="19" t="n">
        <f aca="false">G17</f>
        <v>94600</v>
      </c>
    </row>
    <row r="56" customFormat="false" ht="12.8" hidden="false" customHeight="false" outlineLevel="0" collapsed="false">
      <c r="A56" s="7" t="str">
        <f aca="false">_xlfn.CONCAT($A$39, ".", $A18)</f>
        <v>AL.0.15</v>
      </c>
      <c r="B56" s="7" t="str">
        <f aca="false">_xlfn.CONCAT(B18, ": ", C18)</f>
        <v>Landscaping / Groundskeeping: Worker</v>
      </c>
      <c r="C56" s="19" t="n">
        <f aca="false">D18</f>
        <v>23000</v>
      </c>
      <c r="D56" s="19" t="n">
        <f aca="false">E18</f>
        <v>759</v>
      </c>
      <c r="E56" s="19" t="n">
        <f aca="false">F18</f>
        <v>483</v>
      </c>
      <c r="F56" s="19" t="n">
        <f aca="false">G18</f>
        <v>21758</v>
      </c>
    </row>
    <row r="57" customFormat="false" ht="12.8" hidden="false" customHeight="false" outlineLevel="0" collapsed="false">
      <c r="A57" s="7" t="str">
        <f aca="false">_xlfn.CONCAT($A$39, ".", $A19)</f>
        <v>AL.0.16</v>
      </c>
      <c r="B57" s="7" t="str">
        <f aca="false">_xlfn.CONCAT(B19, ": ", C19)</f>
        <v>Landscaping / Groundskeeping: Support</v>
      </c>
      <c r="C57" s="19" t="n">
        <f aca="false">D19</f>
        <v>11500</v>
      </c>
      <c r="D57" s="19" t="n">
        <f aca="false">E19</f>
        <v>380</v>
      </c>
      <c r="E57" s="19" t="n">
        <f aca="false">F19</f>
        <v>242</v>
      </c>
      <c r="F57" s="19" t="n">
        <f aca="false">G19</f>
        <v>10879</v>
      </c>
    </row>
    <row r="58" customFormat="false" ht="12.8" hidden="false" customHeight="false" outlineLevel="0" collapsed="false">
      <c r="A58" s="7" t="str">
        <f aca="false">_xlfn.CONCAT($A$39, ".", $A20)</f>
        <v>AL.0.17</v>
      </c>
      <c r="B58" s="7" t="str">
        <f aca="false">_xlfn.CONCAT(B20, ": ", C20)</f>
        <v>Automotive &amp; Repair: Worker</v>
      </c>
      <c r="C58" s="19" t="n">
        <f aca="false">D20</f>
        <v>15000</v>
      </c>
      <c r="D58" s="19" t="n">
        <f aca="false">E20</f>
        <v>495</v>
      </c>
      <c r="E58" s="19" t="n">
        <f aca="false">F20</f>
        <v>315</v>
      </c>
      <c r="F58" s="19" t="n">
        <f aca="false">G20</f>
        <v>14190</v>
      </c>
    </row>
    <row r="59" customFormat="false" ht="12.8" hidden="false" customHeight="false" outlineLevel="0" collapsed="false">
      <c r="A59" s="7" t="str">
        <f aca="false">_xlfn.CONCAT($A$39, ".", $A21)</f>
        <v>AL.0.18</v>
      </c>
      <c r="B59" s="7" t="str">
        <f aca="false">_xlfn.CONCAT(B21, ": ", C21)</f>
        <v>Automotive &amp; Repair: Support</v>
      </c>
      <c r="C59" s="19" t="n">
        <f aca="false">D21</f>
        <v>7500</v>
      </c>
      <c r="D59" s="19" t="n">
        <f aca="false">E21</f>
        <v>248</v>
      </c>
      <c r="E59" s="19" t="n">
        <f aca="false">F21</f>
        <v>158</v>
      </c>
      <c r="F59" s="19" t="n">
        <f aca="false">G21</f>
        <v>7095</v>
      </c>
    </row>
    <row r="60" customFormat="false" ht="12.8" hidden="false" customHeight="false" outlineLevel="0" collapsed="false">
      <c r="A60" s="7" t="str">
        <f aca="false">_xlfn.CONCAT($A$39, ".", $A22)</f>
        <v>AL.0.19</v>
      </c>
      <c r="B60" s="7" t="str">
        <f aca="false">_xlfn.CONCAT(B22, ": ", C22)</f>
        <v>Other Services: Worker</v>
      </c>
      <c r="C60" s="19" t="n">
        <f aca="false">D22</f>
        <v>98600</v>
      </c>
      <c r="D60" s="19" t="n">
        <f aca="false">E22</f>
        <v>3254</v>
      </c>
      <c r="E60" s="19" t="n">
        <f aca="false">F22</f>
        <v>2071</v>
      </c>
      <c r="F60" s="19" t="n">
        <f aca="false">G22</f>
        <v>93075</v>
      </c>
    </row>
    <row r="61" customFormat="false" ht="12.8" hidden="false" customHeight="false" outlineLevel="0" collapsed="false">
      <c r="A61" s="7" t="str">
        <f aca="false">_xlfn.CONCAT($A$39, ".", $A23)</f>
        <v>AL.0.20</v>
      </c>
      <c r="B61" s="7" t="str">
        <f aca="false">_xlfn.CONCAT(B23, ": ", C23)</f>
        <v>Other Services: Support</v>
      </c>
      <c r="C61" s="19" t="n">
        <f aca="false">D23</f>
        <v>49300</v>
      </c>
      <c r="D61" s="19" t="n">
        <f aca="false">E23</f>
        <v>1627</v>
      </c>
      <c r="E61" s="19" t="n">
        <f aca="false">F23</f>
        <v>1036</v>
      </c>
      <c r="F61" s="19" t="n">
        <f aca="false">G23</f>
        <v>46538</v>
      </c>
    </row>
    <row r="62" customFormat="false" ht="12.8" hidden="false" customHeight="false" outlineLevel="0" collapsed="false">
      <c r="A62" s="7" t="str">
        <f aca="false">_xlfn.CONCAT($A$39, ".", $A24)</f>
        <v>AL.0.21</v>
      </c>
      <c r="B62" s="7" t="str">
        <f aca="false">_xlfn.CONCAT(B24, ": ", C24)</f>
        <v>Healthcare &amp; Social Assistance: Worker</v>
      </c>
      <c r="C62" s="19" t="n">
        <f aca="false">D24</f>
        <v>242600</v>
      </c>
      <c r="D62" s="19" t="n">
        <f aca="false">E24</f>
        <v>7996</v>
      </c>
      <c r="E62" s="19" t="n">
        <f aca="false">F24</f>
        <v>5090</v>
      </c>
      <c r="F62" s="19" t="n">
        <f aca="false">G24</f>
        <v>229514</v>
      </c>
    </row>
    <row r="63" customFormat="false" ht="12.8" hidden="false" customHeight="false" outlineLevel="0" collapsed="false">
      <c r="A63" s="7" t="str">
        <f aca="false">_xlfn.CONCAT($A$39, ".", $A25)</f>
        <v>AL.0.22</v>
      </c>
      <c r="B63" s="7" t="str">
        <f aca="false">_xlfn.CONCAT(B25, ": ", C25)</f>
        <v>Healthcare &amp; Social Assistance: Support</v>
      </c>
      <c r="C63" s="19" t="n">
        <f aca="false">D25</f>
        <v>97000</v>
      </c>
      <c r="D63" s="19" t="n">
        <f aca="false">E25</f>
        <v>3199</v>
      </c>
      <c r="E63" s="19" t="n">
        <f aca="false">F25</f>
        <v>2037</v>
      </c>
      <c r="F63" s="19" t="n">
        <f aca="false">G25</f>
        <v>91764</v>
      </c>
    </row>
    <row r="64" customFormat="false" ht="12.8" hidden="false" customHeight="false" outlineLevel="0" collapsed="false">
      <c r="A64" s="7" t="str">
        <f aca="false">_xlfn.CONCAT($A$39, ".", $A26)</f>
        <v>AL.0.23</v>
      </c>
      <c r="B64" s="7" t="str">
        <f aca="false">_xlfn.CONCAT(B26, ": ", C26)</f>
        <v>Professional Services: Worker</v>
      </c>
      <c r="C64" s="19" t="n">
        <f aca="false">D26</f>
        <v>133100</v>
      </c>
      <c r="D64" s="19" t="n">
        <f aca="false">E26</f>
        <v>4392</v>
      </c>
      <c r="E64" s="19" t="n">
        <f aca="false">F26</f>
        <v>2797</v>
      </c>
      <c r="F64" s="19" t="n">
        <f aca="false">G26</f>
        <v>126911</v>
      </c>
    </row>
    <row r="65" customFormat="false" ht="12.8" hidden="false" customHeight="false" outlineLevel="0" collapsed="false">
      <c r="A65" s="7" t="str">
        <f aca="false">_xlfn.CONCAT($A$39, ".", $A27)</f>
        <v>AL.0.24</v>
      </c>
      <c r="B65" s="7" t="str">
        <f aca="false">_xlfn.CONCAT(B27, ": ", C27)</f>
        <v>Professional Services: Support</v>
      </c>
      <c r="C65" s="19" t="n">
        <f aca="false">D27</f>
        <v>63600</v>
      </c>
      <c r="D65" s="19" t="n">
        <f aca="false">E27</f>
        <v>2099</v>
      </c>
      <c r="E65" s="19" t="n">
        <f aca="false">F27</f>
        <v>1337</v>
      </c>
      <c r="F65" s="19" t="n">
        <f aca="false">G27</f>
        <v>60164</v>
      </c>
    </row>
    <row r="66" customFormat="false" ht="12.8" hidden="false" customHeight="false" outlineLevel="0" collapsed="false">
      <c r="A66" s="7" t="str">
        <f aca="false">_xlfn.CONCAT($A$39, ".", $A28)</f>
        <v>AL.0.25</v>
      </c>
      <c r="B66" s="7" t="str">
        <f aca="false">_xlfn.CONCAT(B28, ": ", C28)</f>
        <v>Educational Services: Worker</v>
      </c>
      <c r="C66" s="19" t="n">
        <f aca="false">D28</f>
        <v>30500</v>
      </c>
      <c r="D66" s="19" t="n">
        <f aca="false">E28</f>
        <v>1007</v>
      </c>
      <c r="E66" s="19" t="n">
        <f aca="false">F28</f>
        <v>641</v>
      </c>
      <c r="F66" s="19" t="n">
        <f aca="false">G28</f>
        <v>28852</v>
      </c>
    </row>
    <row r="67" customFormat="false" ht="12.8" hidden="false" customHeight="false" outlineLevel="0" collapsed="false">
      <c r="A67" s="7" t="str">
        <f aca="false">_xlfn.CONCAT($A$39, ".", $A29)</f>
        <v>AL.0.26</v>
      </c>
      <c r="B67" s="7" t="str">
        <f aca="false">_xlfn.CONCAT(B29, ": ", C29)</f>
        <v>Educational Services: Support</v>
      </c>
      <c r="C67" s="19" t="n">
        <f aca="false">D29</f>
        <v>12200</v>
      </c>
      <c r="D67" s="19" t="n">
        <f aca="false">E29</f>
        <v>403</v>
      </c>
      <c r="E67" s="19" t="n">
        <f aca="false">F29</f>
        <v>256</v>
      </c>
      <c r="F67" s="19" t="n">
        <f aca="false">G29</f>
        <v>11541</v>
      </c>
    </row>
    <row r="68" customFormat="false" ht="12.8" hidden="false" customHeight="false" outlineLevel="0" collapsed="false">
      <c r="A68" s="7" t="str">
        <f aca="false">_xlfn.CONCAT($A$39, ".", $A30)</f>
        <v>AL.0.27</v>
      </c>
      <c r="B68" s="7" t="str">
        <f aca="false">_xlfn.CONCAT(B30, ": ", C30)</f>
        <v>Finance &amp; Insurance: Worker</v>
      </c>
      <c r="C68" s="19" t="n">
        <f aca="false">D30</f>
        <v>73300</v>
      </c>
      <c r="D68" s="19" t="n">
        <f aca="false">E30</f>
        <v>2419</v>
      </c>
      <c r="E68" s="19" t="n">
        <f aca="false">F30</f>
        <v>1540</v>
      </c>
      <c r="F68" s="19" t="n">
        <f aca="false">G30</f>
        <v>69341</v>
      </c>
    </row>
    <row r="69" customFormat="false" ht="12.8" hidden="false" customHeight="false" outlineLevel="0" collapsed="false">
      <c r="A69" s="7" t="str">
        <f aca="false">_xlfn.CONCAT($A$39, ".", $A31)</f>
        <v>AL.0.28</v>
      </c>
      <c r="B69" s="7" t="str">
        <f aca="false">_xlfn.CONCAT(B31, ": ", C31)</f>
        <v>Finance &amp; Insurance: Support</v>
      </c>
      <c r="C69" s="19" t="n">
        <f aca="false">D31</f>
        <v>29300</v>
      </c>
      <c r="D69" s="19" t="n">
        <f aca="false">E31</f>
        <v>967</v>
      </c>
      <c r="E69" s="19" t="n">
        <f aca="false">F31</f>
        <v>615</v>
      </c>
      <c r="F69" s="19" t="n">
        <f aca="false">G31</f>
        <v>27718</v>
      </c>
    </row>
    <row r="70" customFormat="false" ht="12.8" hidden="false" customHeight="false" outlineLevel="0" collapsed="false">
      <c r="A70" s="7" t="str">
        <f aca="false">_xlfn.CONCAT($A$39, ".", $A36)</f>
        <v>AL.0.29</v>
      </c>
      <c r="B70" s="7" t="str">
        <f aca="false">_xlfn.CONCAT(B36, ": ", C36)</f>
        <v>Media and Information Technology: Worker</v>
      </c>
      <c r="C70" s="19" t="n">
        <f aca="false">D36</f>
        <v>23000</v>
      </c>
      <c r="D70" s="19" t="n">
        <f aca="false">E36</f>
        <v>759</v>
      </c>
      <c r="E70" s="19" t="n">
        <f aca="false">F36</f>
        <v>483</v>
      </c>
      <c r="F70" s="19" t="n">
        <f aca="false">G36</f>
        <v>21758</v>
      </c>
    </row>
    <row r="71" customFormat="false" ht="12.8" hidden="false" customHeight="false" outlineLevel="0" collapsed="false">
      <c r="A71" s="7" t="str">
        <f aca="false">_xlfn.CONCAT($A$39, ".", $A37)</f>
        <v>AL.0.30</v>
      </c>
      <c r="B71" s="7" t="str">
        <f aca="false">_xlfn.CONCAT(B37, ": ", C37)</f>
        <v>Media and Information Technology: Support</v>
      </c>
      <c r="C71" s="19" t="n">
        <f aca="false">D37</f>
        <v>9200</v>
      </c>
      <c r="D71" s="19" t="n">
        <f aca="false">E37</f>
        <v>304</v>
      </c>
      <c r="E71" s="19" t="n">
        <f aca="false">F37</f>
        <v>193</v>
      </c>
      <c r="F71" s="19" t="n">
        <f aca="false">G37</f>
        <v>8703</v>
      </c>
    </row>
    <row r="72" customFormat="false" ht="12.8" hidden="false" customHeight="false" outlineLevel="0" collapsed="false">
      <c r="A72" s="7"/>
      <c r="B72" s="7"/>
      <c r="C72" s="19"/>
      <c r="D72" s="19"/>
      <c r="E72" s="19"/>
      <c r="F72" s="19"/>
    </row>
    <row r="73" customFormat="false" ht="12.8" hidden="false" customHeight="false" outlineLevel="0" collapsed="false">
      <c r="A73" s="7"/>
      <c r="B73" s="7"/>
      <c r="C73" s="19"/>
      <c r="D73" s="19"/>
      <c r="E73" s="19"/>
      <c r="F73" s="19"/>
    </row>
    <row r="169" customFormat="false" ht="12.8" hidden="false" customHeight="false" outlineLevel="0" collapsed="false">
      <c r="A169" s="5" t="s">
        <v>141</v>
      </c>
      <c r="B169" s="24" t="s">
        <v>7</v>
      </c>
      <c r="C169" s="25" t="s">
        <v>142</v>
      </c>
    </row>
    <row r="170" customFormat="false" ht="45.75" hidden="false" customHeight="false" outlineLevel="0" collapsed="false">
      <c r="A170" s="5" t="s">
        <v>26</v>
      </c>
      <c r="B170" s="26" t="s">
        <v>140</v>
      </c>
      <c r="C170" s="27" t="str">
        <f aca="false">H2</f>
        <v>Employment-to-Population Ratio</v>
      </c>
      <c r="D170" s="27" t="str">
        <f aca="false">I2</f>
        <v>Authorized Immigrant Employment-to-Population Ratio</v>
      </c>
      <c r="E170" s="27" t="str">
        <f aca="false">J2</f>
        <v>Unauthorized Immigrant Employment-to-Population Ratio</v>
      </c>
      <c r="F170" s="27" t="str">
        <f aca="false">K2</f>
        <v>American Employment-to-Population Ratio</v>
      </c>
    </row>
    <row r="171" customFormat="false" ht="12.8" hidden="false" customHeight="false" outlineLevel="0" collapsed="false">
      <c r="A171" s="1" t="str">
        <f aca="false">_xlfn.CONCAT($A$169, ".", A3)</f>
        <v>AL.1.0</v>
      </c>
      <c r="B171" s="5" t="str">
        <f aca="false">_xlfn.CONCAT(B3, ": ", C3)</f>
        <v>All Industries: All Roles</v>
      </c>
      <c r="C171" s="27" t="n">
        <f aca="false">H3</f>
        <v>0.973</v>
      </c>
      <c r="D171" s="27" t="n">
        <f aca="false">I3</f>
        <v>0.96</v>
      </c>
      <c r="E171" s="27" t="n">
        <f aca="false">J3</f>
        <v>0.935</v>
      </c>
      <c r="F171" s="27" t="n">
        <f aca="false">K3</f>
        <v>0.976</v>
      </c>
    </row>
    <row r="172" customFormat="false" ht="12.8" hidden="false" customHeight="false" outlineLevel="0" collapsed="false">
      <c r="A172" s="1" t="str">
        <f aca="false">_xlfn.CONCAT($A$169, ".", A4)</f>
        <v>AL.1.1</v>
      </c>
      <c r="B172" s="5" t="str">
        <f aca="false">_xlfn.CONCAT(B4, ": ", C4)</f>
        <v>Agriculture: Worker</v>
      </c>
      <c r="C172" s="27" t="n">
        <f aca="false">H4</f>
        <v>0.952</v>
      </c>
      <c r="D172" s="27" t="n">
        <f aca="false">I4</f>
        <v>0.93</v>
      </c>
      <c r="E172" s="27" t="n">
        <f aca="false">J4</f>
        <v>0.89</v>
      </c>
      <c r="F172" s="27" t="n">
        <f aca="false">K4</f>
        <v>0.955</v>
      </c>
    </row>
    <row r="173" customFormat="false" ht="12.8" hidden="false" customHeight="false" outlineLevel="0" collapsed="false">
      <c r="A173" s="1" t="str">
        <f aca="false">_xlfn.CONCAT($A$169, ".", A5)</f>
        <v>AL.1.2</v>
      </c>
      <c r="B173" s="5" t="str">
        <f aca="false">_xlfn.CONCAT(B5, ": ", C5)</f>
        <v>Agriculture: Support</v>
      </c>
      <c r="C173" s="27" t="n">
        <f aca="false">H5</f>
        <v>0.952</v>
      </c>
      <c r="D173" s="27" t="n">
        <f aca="false">I5</f>
        <v>0.93</v>
      </c>
      <c r="E173" s="27" t="n">
        <f aca="false">J5</f>
        <v>0.89</v>
      </c>
      <c r="F173" s="27" t="n">
        <f aca="false">K5</f>
        <v>0.955</v>
      </c>
    </row>
    <row r="174" customFormat="false" ht="12.8" hidden="false" customHeight="false" outlineLevel="0" collapsed="false">
      <c r="A174" s="1" t="str">
        <f aca="false">_xlfn.CONCAT($A$169, ".", A6)</f>
        <v>AL.1.3</v>
      </c>
      <c r="B174" s="5" t="str">
        <f aca="false">_xlfn.CONCAT(B6, ": ", C6)</f>
        <v>Construction: Worker</v>
      </c>
      <c r="C174" s="27" t="n">
        <f aca="false">H6</f>
        <v>0.967</v>
      </c>
      <c r="D174" s="27" t="n">
        <f aca="false">I6</f>
        <v>0.94</v>
      </c>
      <c r="E174" s="27" t="n">
        <f aca="false">J6</f>
        <v>0.9</v>
      </c>
      <c r="F174" s="27" t="n">
        <f aca="false">K6</f>
        <v>0.97</v>
      </c>
    </row>
    <row r="175" customFormat="false" ht="12.8" hidden="false" customHeight="false" outlineLevel="0" collapsed="false">
      <c r="A175" s="1" t="str">
        <f aca="false">_xlfn.CONCAT($A$169, ".", A7)</f>
        <v>AL.1.4</v>
      </c>
      <c r="B175" s="5" t="str">
        <f aca="false">_xlfn.CONCAT(B7, ": ", C7)</f>
        <v>Construction: Support</v>
      </c>
      <c r="C175" s="27" t="n">
        <f aca="false">H7</f>
        <v>0.967</v>
      </c>
      <c r="D175" s="27" t="n">
        <f aca="false">I7</f>
        <v>0.94</v>
      </c>
      <c r="E175" s="27" t="n">
        <f aca="false">J7</f>
        <v>0.9</v>
      </c>
      <c r="F175" s="27" t="n">
        <f aca="false">K7</f>
        <v>0.97</v>
      </c>
    </row>
    <row r="176" customFormat="false" ht="12.8" hidden="false" customHeight="false" outlineLevel="0" collapsed="false">
      <c r="A176" s="1" t="str">
        <f aca="false">_xlfn.CONCAT($A$169, ".", A8)</f>
        <v>AL.1.5</v>
      </c>
      <c r="B176" s="5" t="str">
        <f aca="false">_xlfn.CONCAT(B8, ": ", C8)</f>
        <v>Hospitality: Worker</v>
      </c>
      <c r="C176" s="27" t="n">
        <f aca="false">H8</f>
        <v>0.96</v>
      </c>
      <c r="D176" s="27" t="n">
        <f aca="false">I8</f>
        <v>0.93</v>
      </c>
      <c r="E176" s="27" t="n">
        <f aca="false">J8</f>
        <v>0.88</v>
      </c>
      <c r="F176" s="27" t="n">
        <f aca="false">K8</f>
        <v>0.963</v>
      </c>
    </row>
    <row r="177" customFormat="false" ht="12.8" hidden="false" customHeight="false" outlineLevel="0" collapsed="false">
      <c r="A177" s="1" t="str">
        <f aca="false">_xlfn.CONCAT($A$169, ".", A9)</f>
        <v>AL.1.6</v>
      </c>
      <c r="B177" s="5" t="str">
        <f aca="false">_xlfn.CONCAT(B9, ": ", C9)</f>
        <v>Hospitality: Support</v>
      </c>
      <c r="C177" s="27" t="n">
        <f aca="false">H9</f>
        <v>0.96</v>
      </c>
      <c r="D177" s="27" t="n">
        <f aca="false">I9</f>
        <v>0.93</v>
      </c>
      <c r="E177" s="27" t="n">
        <f aca="false">J9</f>
        <v>0.88</v>
      </c>
      <c r="F177" s="27" t="n">
        <f aca="false">K9</f>
        <v>0.963</v>
      </c>
    </row>
    <row r="178" customFormat="false" ht="12.8" hidden="false" customHeight="false" outlineLevel="0" collapsed="false">
      <c r="A178" s="1" t="str">
        <f aca="false">_xlfn.CONCAT($A$169, ".", A10)</f>
        <v>AL.1.7</v>
      </c>
      <c r="B178" s="5" t="str">
        <f aca="false">_xlfn.CONCAT(B10, ": ", C10)</f>
        <v>Cleaning &amp; Maintenance: Worker</v>
      </c>
      <c r="C178" s="27" t="n">
        <f aca="false">H10</f>
        <v>0.957</v>
      </c>
      <c r="D178" s="27" t="n">
        <f aca="false">I10</f>
        <v>0.92</v>
      </c>
      <c r="E178" s="27" t="n">
        <f aca="false">J10</f>
        <v>0.87</v>
      </c>
      <c r="F178" s="27" t="n">
        <f aca="false">K10</f>
        <v>0.96</v>
      </c>
    </row>
    <row r="179" customFormat="false" ht="12.8" hidden="false" customHeight="false" outlineLevel="0" collapsed="false">
      <c r="A179" s="1" t="str">
        <f aca="false">_xlfn.CONCAT($A$169, ".", A11)</f>
        <v>AL.1.8</v>
      </c>
      <c r="B179" s="5" t="str">
        <f aca="false">_xlfn.CONCAT(B11, ": ", C11)</f>
        <v>Cleaning &amp; Maintenance: Support</v>
      </c>
      <c r="C179" s="27" t="n">
        <f aca="false">H11</f>
        <v>0.957</v>
      </c>
      <c r="D179" s="27" t="n">
        <f aca="false">I11</f>
        <v>0.92</v>
      </c>
      <c r="E179" s="27" t="n">
        <f aca="false">J11</f>
        <v>0.87</v>
      </c>
      <c r="F179" s="27" t="n">
        <f aca="false">K11</f>
        <v>0.96</v>
      </c>
    </row>
    <row r="180" customFormat="false" ht="12.8" hidden="false" customHeight="false" outlineLevel="0" collapsed="false">
      <c r="A180" s="1" t="str">
        <f aca="false">_xlfn.CONCAT($A$169, ".", A12)</f>
        <v>AL.1.9</v>
      </c>
      <c r="B180" s="5" t="str">
        <f aca="false">_xlfn.CONCAT(B12, ": ", C12)</f>
        <v>Manufacturing: Worker</v>
      </c>
      <c r="C180" s="27" t="n">
        <f aca="false">H12</f>
        <v>0.98</v>
      </c>
      <c r="D180" s="27" t="n">
        <f aca="false">I12</f>
        <v>0.96</v>
      </c>
      <c r="E180" s="27" t="n">
        <f aca="false">J12</f>
        <v>0.93</v>
      </c>
      <c r="F180" s="27" t="n">
        <f aca="false">K12</f>
        <v>0.982</v>
      </c>
    </row>
    <row r="181" customFormat="false" ht="12.8" hidden="false" customHeight="false" outlineLevel="0" collapsed="false">
      <c r="A181" s="1" t="str">
        <f aca="false">_xlfn.CONCAT($A$169, ".", A13)</f>
        <v>AL.1.10</v>
      </c>
      <c r="B181" s="5" t="str">
        <f aca="false">_xlfn.CONCAT(B13, ": ", C13)</f>
        <v>Manufacturing: Support</v>
      </c>
      <c r="C181" s="27" t="n">
        <f aca="false">H13</f>
        <v>0.98</v>
      </c>
      <c r="D181" s="27" t="n">
        <f aca="false">I13</f>
        <v>0.96</v>
      </c>
      <c r="E181" s="27" t="n">
        <f aca="false">J13</f>
        <v>0.93</v>
      </c>
      <c r="F181" s="27" t="n">
        <f aca="false">K13</f>
        <v>0.982</v>
      </c>
    </row>
    <row r="182" customFormat="false" ht="12.8" hidden="false" customHeight="false" outlineLevel="0" collapsed="false">
      <c r="A182" s="1" t="str">
        <f aca="false">_xlfn.CONCAT($A$169, ".", A14)</f>
        <v>AL.1.11</v>
      </c>
      <c r="B182" s="5" t="str">
        <f aca="false">_xlfn.CONCAT(B14, ": ", C14)</f>
        <v>Transportation &amp; Warehousing: Worker</v>
      </c>
      <c r="C182" s="27" t="n">
        <f aca="false">H14</f>
        <v>0.976</v>
      </c>
      <c r="D182" s="27" t="n">
        <f aca="false">I14</f>
        <v>0.95</v>
      </c>
      <c r="E182" s="27" t="n">
        <f aca="false">J14</f>
        <v>0.92</v>
      </c>
      <c r="F182" s="27" t="n">
        <f aca="false">K14</f>
        <v>0.978</v>
      </c>
    </row>
    <row r="183" customFormat="false" ht="12.8" hidden="false" customHeight="false" outlineLevel="0" collapsed="false">
      <c r="A183" s="1" t="str">
        <f aca="false">_xlfn.CONCAT($A$169, ".", A15)</f>
        <v>AL.1.12</v>
      </c>
      <c r="B183" s="5" t="str">
        <f aca="false">_xlfn.CONCAT(B15, ": ", C15)</f>
        <v>Transportation &amp; Warehousing: Support</v>
      </c>
      <c r="C183" s="27" t="n">
        <f aca="false">H15</f>
        <v>0.976</v>
      </c>
      <c r="D183" s="27" t="n">
        <f aca="false">I15</f>
        <v>0.95</v>
      </c>
      <c r="E183" s="27" t="n">
        <f aca="false">J15</f>
        <v>0.92</v>
      </c>
      <c r="F183" s="27" t="n">
        <f aca="false">K15</f>
        <v>0.978</v>
      </c>
    </row>
    <row r="184" customFormat="false" ht="12.8" hidden="false" customHeight="false" outlineLevel="0" collapsed="false">
      <c r="A184" s="1" t="str">
        <f aca="false">_xlfn.CONCAT($A$169, ".", A16)</f>
        <v>AL.1.13</v>
      </c>
      <c r="B184" s="5" t="str">
        <f aca="false">_xlfn.CONCAT(B16, ": ", C16)</f>
        <v>Retail Trade: Worker</v>
      </c>
      <c r="C184" s="27" t="n">
        <f aca="false">H16</f>
        <v>0.96</v>
      </c>
      <c r="D184" s="27" t="n">
        <f aca="false">I16</f>
        <v>0.93</v>
      </c>
      <c r="E184" s="27" t="n">
        <f aca="false">J16</f>
        <v>0.88</v>
      </c>
      <c r="F184" s="27" t="n">
        <f aca="false">K16</f>
        <v>0.963</v>
      </c>
    </row>
    <row r="185" customFormat="false" ht="12.8" hidden="false" customHeight="false" outlineLevel="0" collapsed="false">
      <c r="A185" s="1" t="str">
        <f aca="false">_xlfn.CONCAT($A$169, ".", A17)</f>
        <v>AL.1.14</v>
      </c>
      <c r="B185" s="5" t="str">
        <f aca="false">_xlfn.CONCAT(B17, ": ", C17)</f>
        <v>Retail Trade: Support</v>
      </c>
      <c r="C185" s="27" t="n">
        <f aca="false">H17</f>
        <v>0.96</v>
      </c>
      <c r="D185" s="27" t="n">
        <f aca="false">I17</f>
        <v>0.93</v>
      </c>
      <c r="E185" s="27" t="n">
        <f aca="false">J17</f>
        <v>0.88</v>
      </c>
      <c r="F185" s="27" t="n">
        <f aca="false">K17</f>
        <v>0.963</v>
      </c>
    </row>
    <row r="186" customFormat="false" ht="12.8" hidden="false" customHeight="false" outlineLevel="0" collapsed="false">
      <c r="A186" s="1" t="str">
        <f aca="false">_xlfn.CONCAT($A$169, ".", A18)</f>
        <v>AL.1.15</v>
      </c>
      <c r="B186" s="5" t="str">
        <f aca="false">_xlfn.CONCAT(B18, ": ", C18)</f>
        <v>Landscaping / Groundskeeping: Worker</v>
      </c>
      <c r="C186" s="27" t="n">
        <f aca="false">H18</f>
        <v>0.952</v>
      </c>
      <c r="D186" s="27" t="n">
        <f aca="false">I18</f>
        <v>0.93</v>
      </c>
      <c r="E186" s="27" t="n">
        <f aca="false">J18</f>
        <v>0.89</v>
      </c>
      <c r="F186" s="27" t="n">
        <f aca="false">K18</f>
        <v>0.955</v>
      </c>
    </row>
    <row r="187" customFormat="false" ht="12.8" hidden="false" customHeight="false" outlineLevel="0" collapsed="false">
      <c r="A187" s="1" t="str">
        <f aca="false">_xlfn.CONCAT($A$169, ".", A19)</f>
        <v>AL.1.16</v>
      </c>
      <c r="B187" s="5" t="str">
        <f aca="false">_xlfn.CONCAT(B19, ": ", C19)</f>
        <v>Landscaping / Groundskeeping: Support</v>
      </c>
      <c r="C187" s="27" t="n">
        <f aca="false">H19</f>
        <v>0.952</v>
      </c>
      <c r="D187" s="27" t="n">
        <f aca="false">I19</f>
        <v>0.93</v>
      </c>
      <c r="E187" s="27" t="n">
        <f aca="false">J19</f>
        <v>0.89</v>
      </c>
      <c r="F187" s="27" t="n">
        <f aca="false">K19</f>
        <v>0.955</v>
      </c>
    </row>
    <row r="188" customFormat="false" ht="12.8" hidden="false" customHeight="false" outlineLevel="0" collapsed="false">
      <c r="A188" s="1" t="str">
        <f aca="false">_xlfn.CONCAT($A$169, ".", A20)</f>
        <v>AL.1.17</v>
      </c>
      <c r="B188" s="5" t="str">
        <f aca="false">_xlfn.CONCAT(B20, ": ", C20)</f>
        <v>Automotive &amp; Repair: Worker</v>
      </c>
      <c r="C188" s="27" t="n">
        <f aca="false">H20</f>
        <v>0.967</v>
      </c>
      <c r="D188" s="27" t="n">
        <f aca="false">I20</f>
        <v>0.94</v>
      </c>
      <c r="E188" s="27" t="n">
        <f aca="false">J20</f>
        <v>0.9</v>
      </c>
      <c r="F188" s="27" t="n">
        <f aca="false">K20</f>
        <v>0.97</v>
      </c>
    </row>
    <row r="189" customFormat="false" ht="12.8" hidden="false" customHeight="false" outlineLevel="0" collapsed="false">
      <c r="A189" s="1" t="str">
        <f aca="false">_xlfn.CONCAT($A$169, ".", A21)</f>
        <v>AL.1.18</v>
      </c>
      <c r="B189" s="5" t="str">
        <f aca="false">_xlfn.CONCAT(B21, ": ", C21)</f>
        <v>Automotive &amp; Repair: Support</v>
      </c>
      <c r="C189" s="27" t="n">
        <f aca="false">H21</f>
        <v>0.967</v>
      </c>
      <c r="D189" s="27" t="n">
        <f aca="false">I21</f>
        <v>0.94</v>
      </c>
      <c r="E189" s="27" t="n">
        <f aca="false">J21</f>
        <v>0.9</v>
      </c>
      <c r="F189" s="27" t="n">
        <f aca="false">K21</f>
        <v>0.97</v>
      </c>
    </row>
    <row r="190" customFormat="false" ht="12.8" hidden="false" customHeight="false" outlineLevel="0" collapsed="false">
      <c r="A190" s="1" t="str">
        <f aca="false">_xlfn.CONCAT($A$169, ".", A22)</f>
        <v>AL.1.19</v>
      </c>
      <c r="B190" s="5" t="str">
        <f aca="false">_xlfn.CONCAT(B22, ": ", C22)</f>
        <v>Other Services: Worker</v>
      </c>
      <c r="C190" s="27" t="n">
        <f aca="false">H22</f>
        <v>0.96</v>
      </c>
      <c r="D190" s="27" t="n">
        <f aca="false">I22</f>
        <v>0.93</v>
      </c>
      <c r="E190" s="27" t="n">
        <f aca="false">J22</f>
        <v>0.88</v>
      </c>
      <c r="F190" s="27" t="n">
        <f aca="false">K22</f>
        <v>0.963</v>
      </c>
    </row>
    <row r="191" customFormat="false" ht="12.8" hidden="false" customHeight="false" outlineLevel="0" collapsed="false">
      <c r="A191" s="1" t="str">
        <f aca="false">_xlfn.CONCAT($A$169, ".", A23)</f>
        <v>AL.1.20</v>
      </c>
      <c r="B191" s="5" t="str">
        <f aca="false">_xlfn.CONCAT(B23, ": ", C23)</f>
        <v>Other Services: Support</v>
      </c>
      <c r="C191" s="27" t="n">
        <f aca="false">H23</f>
        <v>0.96</v>
      </c>
      <c r="D191" s="27" t="n">
        <f aca="false">I23</f>
        <v>0.93</v>
      </c>
      <c r="E191" s="27" t="n">
        <f aca="false">J23</f>
        <v>0.88</v>
      </c>
      <c r="F191" s="27" t="n">
        <f aca="false">K23</f>
        <v>0.963</v>
      </c>
    </row>
    <row r="192" customFormat="false" ht="12.8" hidden="false" customHeight="false" outlineLevel="0" collapsed="false">
      <c r="A192" s="1" t="str">
        <f aca="false">_xlfn.CONCAT($A$169, ".", A24)</f>
        <v>AL.1.21</v>
      </c>
      <c r="B192" s="5" t="str">
        <f aca="false">_xlfn.CONCAT(B24, ": ", C24)</f>
        <v>Healthcare &amp; Social Assistance: Worker</v>
      </c>
      <c r="C192" s="27" t="n">
        <f aca="false">H24</f>
        <v>0.978</v>
      </c>
      <c r="D192" s="27" t="n">
        <f aca="false">I24</f>
        <v>0.97</v>
      </c>
      <c r="E192" s="27" t="n">
        <f aca="false">J24</f>
        <v>0.94</v>
      </c>
      <c r="F192" s="27" t="n">
        <f aca="false">K24</f>
        <v>0.98</v>
      </c>
    </row>
    <row r="193" customFormat="false" ht="12.8" hidden="false" customHeight="false" outlineLevel="0" collapsed="false">
      <c r="A193" s="1" t="str">
        <f aca="false">_xlfn.CONCAT($A$169, ".", A25)</f>
        <v>AL.1.22</v>
      </c>
      <c r="B193" s="5" t="str">
        <f aca="false">_xlfn.CONCAT(B25, ": ", C25)</f>
        <v>Healthcare &amp; Social Assistance: Support</v>
      </c>
      <c r="C193" s="27" t="n">
        <f aca="false">H25</f>
        <v>0.965</v>
      </c>
      <c r="D193" s="27" t="n">
        <f aca="false">I25</f>
        <v>0.95</v>
      </c>
      <c r="E193" s="27" t="n">
        <f aca="false">J25</f>
        <v>0.92</v>
      </c>
      <c r="F193" s="27" t="n">
        <f aca="false">K25</f>
        <v>0.968</v>
      </c>
    </row>
    <row r="194" customFormat="false" ht="12.8" hidden="false" customHeight="false" outlineLevel="0" collapsed="false">
      <c r="A194" s="1" t="str">
        <f aca="false">_xlfn.CONCAT($A$169, ".", A26)</f>
        <v>AL.1.23</v>
      </c>
      <c r="B194" s="5" t="str">
        <f aca="false">_xlfn.CONCAT(B26, ": ", C26)</f>
        <v>Professional Services: Worker</v>
      </c>
      <c r="C194" s="27" t="n">
        <f aca="false">H26</f>
        <v>0.982</v>
      </c>
      <c r="D194" s="27" t="n">
        <f aca="false">I26</f>
        <v>0.975</v>
      </c>
      <c r="E194" s="27" t="n">
        <f aca="false">J26</f>
        <v>0.96</v>
      </c>
      <c r="F194" s="27" t="n">
        <f aca="false">K26</f>
        <v>0.984</v>
      </c>
    </row>
    <row r="195" customFormat="false" ht="12.8" hidden="false" customHeight="false" outlineLevel="0" collapsed="false">
      <c r="A195" s="1" t="str">
        <f aca="false">_xlfn.CONCAT($A$169, ".", A27)</f>
        <v>AL.1.24</v>
      </c>
      <c r="B195" s="5" t="str">
        <f aca="false">_xlfn.CONCAT(B27, ": ", C27)</f>
        <v>Professional Services: Support</v>
      </c>
      <c r="C195" s="27" t="n">
        <f aca="false">H27</f>
        <v>0.975</v>
      </c>
      <c r="D195" s="27" t="n">
        <f aca="false">I27</f>
        <v>0.965</v>
      </c>
      <c r="E195" s="27" t="n">
        <f aca="false">J27</f>
        <v>0.94</v>
      </c>
      <c r="F195" s="27" t="n">
        <f aca="false">K27</f>
        <v>0.978</v>
      </c>
    </row>
    <row r="196" customFormat="false" ht="12.8" hidden="false" customHeight="false" outlineLevel="0" collapsed="false">
      <c r="A196" s="1" t="str">
        <f aca="false">_xlfn.CONCAT($A$169, ".", A28)</f>
        <v>AL.1.25</v>
      </c>
      <c r="B196" s="5" t="str">
        <f aca="false">_xlfn.CONCAT(B28, ": ", C28)</f>
        <v>Educational Services: Worker</v>
      </c>
      <c r="C196" s="27" t="n">
        <f aca="false">H28</f>
        <v>0.975</v>
      </c>
      <c r="D196" s="27" t="n">
        <f aca="false">I28</f>
        <v>0.96</v>
      </c>
      <c r="E196" s="27" t="n">
        <f aca="false">J28</f>
        <v>0.93</v>
      </c>
      <c r="F196" s="27" t="n">
        <f aca="false">K28</f>
        <v>0.978</v>
      </c>
    </row>
    <row r="197" customFormat="false" ht="12.8" hidden="false" customHeight="false" outlineLevel="0" collapsed="false">
      <c r="A197" s="1" t="str">
        <f aca="false">_xlfn.CONCAT($A$169, ".", A29)</f>
        <v>AL.1.26</v>
      </c>
      <c r="B197" s="5" t="str">
        <f aca="false">_xlfn.CONCAT(B29, ": ", C29)</f>
        <v>Educational Services: Support</v>
      </c>
      <c r="C197" s="27" t="n">
        <f aca="false">H29</f>
        <v>0.96</v>
      </c>
      <c r="D197" s="27" t="n">
        <f aca="false">I29</f>
        <v>0.94</v>
      </c>
      <c r="E197" s="27" t="n">
        <f aca="false">J29</f>
        <v>0.91</v>
      </c>
      <c r="F197" s="27" t="n">
        <f aca="false">K29</f>
        <v>0.963</v>
      </c>
    </row>
    <row r="198" customFormat="false" ht="12.8" hidden="false" customHeight="false" outlineLevel="0" collapsed="false">
      <c r="A198" s="1" t="str">
        <f aca="false">_xlfn.CONCAT($A$169, ".", A30)</f>
        <v>AL.1.27</v>
      </c>
      <c r="B198" s="5" t="str">
        <f aca="false">_xlfn.CONCAT(B30, ": ", C30)</f>
        <v>Finance &amp; Insurance: Worker</v>
      </c>
      <c r="C198" s="27" t="n">
        <f aca="false">H30</f>
        <v>0.984</v>
      </c>
      <c r="D198" s="27" t="n">
        <f aca="false">I30</f>
        <v>0.98</v>
      </c>
      <c r="E198" s="27" t="n">
        <f aca="false">J30</f>
        <v>0.97</v>
      </c>
      <c r="F198" s="27" t="n">
        <f aca="false">K30</f>
        <v>0.986</v>
      </c>
    </row>
    <row r="199" customFormat="false" ht="12.8" hidden="false" customHeight="false" outlineLevel="0" collapsed="false">
      <c r="A199" s="1" t="str">
        <f aca="false">_xlfn.CONCAT($A$169, ".", A31)</f>
        <v>AL.1.28</v>
      </c>
      <c r="B199" s="5" t="str">
        <f aca="false">_xlfn.CONCAT(B31, ": ", C31)</f>
        <v>Finance &amp; Insurance: Support</v>
      </c>
      <c r="C199" s="27" t="n">
        <f aca="false">H31</f>
        <v>0.978</v>
      </c>
      <c r="D199" s="27" t="n">
        <f aca="false">I31</f>
        <v>0.97</v>
      </c>
      <c r="E199" s="27" t="n">
        <f aca="false">J31</f>
        <v>0.95</v>
      </c>
      <c r="F199" s="27" t="n">
        <f aca="false">K31</f>
        <v>0.98</v>
      </c>
    </row>
    <row r="200" customFormat="false" ht="12.8" hidden="false" customHeight="false" outlineLevel="0" collapsed="false">
      <c r="A200" s="1" t="str">
        <f aca="false">_xlfn.CONCAT($A$169, ".", A36)</f>
        <v>AL.1.29</v>
      </c>
      <c r="B200" s="5" t="str">
        <f aca="false">_xlfn.CONCAT(B36, ": ", C36)</f>
        <v>Media and Information Technology: Worker</v>
      </c>
      <c r="C200" s="27" t="n">
        <f aca="false">H36</f>
        <v>0.98</v>
      </c>
      <c r="D200" s="27" t="n">
        <f aca="false">I36</f>
        <v>0.975</v>
      </c>
      <c r="E200" s="27" t="n">
        <f aca="false">J36</f>
        <v>0.96</v>
      </c>
      <c r="F200" s="27" t="n">
        <f aca="false">K36</f>
        <v>0.982</v>
      </c>
    </row>
    <row r="201" customFormat="false" ht="12.8" hidden="false" customHeight="false" outlineLevel="0" collapsed="false">
      <c r="A201" s="1" t="str">
        <f aca="false">_xlfn.CONCAT($A$169, ".", A37)</f>
        <v>AL.1.30</v>
      </c>
      <c r="B201" s="5" t="str">
        <f aca="false">_xlfn.CONCAT(B37, ": ", C37)</f>
        <v>Media and Information Technology: Support</v>
      </c>
      <c r="C201" s="27" t="n">
        <f aca="false">H37</f>
        <v>0.975</v>
      </c>
      <c r="D201" s="27" t="n">
        <f aca="false">I37</f>
        <v>0.965</v>
      </c>
      <c r="E201" s="27" t="n">
        <f aca="false">J37</f>
        <v>0.94</v>
      </c>
      <c r="F201" s="27" t="n">
        <f aca="false">K37</f>
        <v>0.978</v>
      </c>
    </row>
    <row r="202" customFormat="false" ht="12.8" hidden="false" customHeight="false" outlineLevel="0" collapsed="false">
      <c r="A202" s="1"/>
      <c r="B202" s="7"/>
      <c r="C202" s="27"/>
      <c r="D202" s="27"/>
      <c r="E202" s="27"/>
      <c r="F202" s="27"/>
    </row>
    <row r="299" customFormat="false" ht="12.8" hidden="false" customHeight="false" outlineLevel="0" collapsed="false">
      <c r="A299" s="5" t="s">
        <v>143</v>
      </c>
      <c r="B299" s="24" t="s">
        <v>7</v>
      </c>
      <c r="C299" s="25" t="s">
        <v>144</v>
      </c>
    </row>
    <row r="300" customFormat="false" ht="46.25" hidden="false" customHeight="false" outlineLevel="0" collapsed="false">
      <c r="A300" s="5" t="s">
        <v>26</v>
      </c>
      <c r="B300" s="26" t="s">
        <v>140</v>
      </c>
      <c r="C300" s="27" t="str">
        <f aca="false">L2</f>
        <v>Labor Force Participation Rate (LFPR)</v>
      </c>
      <c r="D300" s="27" t="str">
        <f aca="false">M2</f>
        <v>Authorized Immigrant Labor Force Participation Rate (LFPR)</v>
      </c>
      <c r="E300" s="27" t="str">
        <f aca="false">N2</f>
        <v>Unauthorized Immigrant Labor Force Participation Rate (LFPR)</v>
      </c>
      <c r="F300" s="27" t="str">
        <f aca="false">O2</f>
        <v>American Labor Force Participation Rate (LFPR)</v>
      </c>
    </row>
    <row r="301" customFormat="false" ht="12.8" hidden="false" customHeight="false" outlineLevel="0" collapsed="false">
      <c r="A301" s="1" t="str">
        <f aca="false">_xlfn.CONCAT($A$299, ".", A3)</f>
        <v>AL.2.0</v>
      </c>
      <c r="B301" s="5" t="str">
        <f aca="false">_xlfn.CONCAT(B3, ": ", C3)</f>
        <v>All Industries: All Roles</v>
      </c>
      <c r="C301" s="27" t="n">
        <f aca="false">L3</f>
        <v>0.577</v>
      </c>
      <c r="D301" s="27" t="n">
        <f aca="false">M3</f>
        <v>0.65</v>
      </c>
      <c r="E301" s="27" t="n">
        <f aca="false">N3</f>
        <v>0.72</v>
      </c>
      <c r="F301" s="27" t="n">
        <f aca="false">O3</f>
        <v>0.575</v>
      </c>
    </row>
    <row r="302" customFormat="false" ht="12.8" hidden="false" customHeight="false" outlineLevel="0" collapsed="false">
      <c r="A302" s="1" t="str">
        <f aca="false">_xlfn.CONCAT($A$299, ".", A4)</f>
        <v>AL.2.1</v>
      </c>
      <c r="B302" s="5" t="str">
        <f aca="false">_xlfn.CONCAT(B4, ": ", C4)</f>
        <v>Agriculture: Worker</v>
      </c>
      <c r="C302" s="27" t="n">
        <f aca="false">L4</f>
        <v>0.62</v>
      </c>
      <c r="D302" s="27" t="n">
        <f aca="false">M4</f>
        <v>0.68</v>
      </c>
      <c r="E302" s="27" t="n">
        <f aca="false">N4</f>
        <v>0.78</v>
      </c>
      <c r="F302" s="27" t="n">
        <f aca="false">O4</f>
        <v>0.6</v>
      </c>
    </row>
    <row r="303" customFormat="false" ht="12.8" hidden="false" customHeight="false" outlineLevel="0" collapsed="false">
      <c r="A303" s="1" t="str">
        <f aca="false">_xlfn.CONCAT($A$299, ".", A5)</f>
        <v>AL.2.2</v>
      </c>
      <c r="B303" s="5" t="str">
        <f aca="false">_xlfn.CONCAT(B5, ": ", C5)</f>
        <v>Agriculture: Support</v>
      </c>
      <c r="C303" s="27" t="n">
        <f aca="false">L5</f>
        <v>0.589</v>
      </c>
      <c r="D303" s="27" t="n">
        <f aca="false">M5</f>
        <v>0.646</v>
      </c>
      <c r="E303" s="27" t="n">
        <f aca="false">N5</f>
        <v>0.741</v>
      </c>
      <c r="F303" s="27" t="n">
        <f aca="false">O5</f>
        <v>0.57</v>
      </c>
    </row>
    <row r="304" customFormat="false" ht="12.8" hidden="false" customHeight="false" outlineLevel="0" collapsed="false">
      <c r="A304" s="1" t="str">
        <f aca="false">_xlfn.CONCAT($A$299, ".", A6)</f>
        <v>AL.2.3</v>
      </c>
      <c r="B304" s="5" t="str">
        <f aca="false">_xlfn.CONCAT(B6, ": ", C6)</f>
        <v>Construction: Worker</v>
      </c>
      <c r="C304" s="27" t="n">
        <f aca="false">L6</f>
        <v>0.61</v>
      </c>
      <c r="D304" s="27" t="n">
        <f aca="false">M6</f>
        <v>0.67</v>
      </c>
      <c r="E304" s="27" t="n">
        <f aca="false">N6</f>
        <v>0.76</v>
      </c>
      <c r="F304" s="27" t="n">
        <f aca="false">O6</f>
        <v>0.59</v>
      </c>
    </row>
    <row r="305" customFormat="false" ht="12.8" hidden="false" customHeight="false" outlineLevel="0" collapsed="false">
      <c r="A305" s="1" t="str">
        <f aca="false">_xlfn.CONCAT($A$299, ".", A7)</f>
        <v>AL.2.4</v>
      </c>
      <c r="B305" s="5" t="str">
        <f aca="false">_xlfn.CONCAT(B7, ": ", C7)</f>
        <v>Construction: Support</v>
      </c>
      <c r="C305" s="27" t="n">
        <f aca="false">L7</f>
        <v>0.579</v>
      </c>
      <c r="D305" s="27" t="n">
        <f aca="false">M7</f>
        <v>0.637</v>
      </c>
      <c r="E305" s="27" t="n">
        <f aca="false">N7</f>
        <v>0.722</v>
      </c>
      <c r="F305" s="27" t="n">
        <f aca="false">O7</f>
        <v>0.56</v>
      </c>
    </row>
    <row r="306" customFormat="false" ht="12.8" hidden="false" customHeight="false" outlineLevel="0" collapsed="false">
      <c r="A306" s="1" t="str">
        <f aca="false">_xlfn.CONCAT($A$299, ".", A8)</f>
        <v>AL.2.5</v>
      </c>
      <c r="B306" s="5" t="str">
        <f aca="false">_xlfn.CONCAT(B8, ": ", C8)</f>
        <v>Hospitality: Worker</v>
      </c>
      <c r="C306" s="27" t="n">
        <f aca="false">L8</f>
        <v>0.58</v>
      </c>
      <c r="D306" s="27" t="n">
        <f aca="false">M8</f>
        <v>0.64</v>
      </c>
      <c r="E306" s="27" t="n">
        <f aca="false">N8</f>
        <v>0.71</v>
      </c>
      <c r="F306" s="27" t="n">
        <f aca="false">O8</f>
        <v>0.57</v>
      </c>
    </row>
    <row r="307" customFormat="false" ht="12.8" hidden="false" customHeight="false" outlineLevel="0" collapsed="false">
      <c r="A307" s="1" t="str">
        <f aca="false">_xlfn.CONCAT($A$299, ".", A9)</f>
        <v>AL.2.6</v>
      </c>
      <c r="B307" s="5" t="str">
        <f aca="false">_xlfn.CONCAT(B9, ": ", C9)</f>
        <v>Hospitality: Support</v>
      </c>
      <c r="C307" s="27" t="n">
        <f aca="false">L9</f>
        <v>0.551</v>
      </c>
      <c r="D307" s="27" t="n">
        <f aca="false">M9</f>
        <v>0.608</v>
      </c>
      <c r="E307" s="27" t="n">
        <f aca="false">N9</f>
        <v>0.674</v>
      </c>
      <c r="F307" s="27" t="n">
        <f aca="false">O9</f>
        <v>0.542</v>
      </c>
    </row>
    <row r="308" customFormat="false" ht="12.8" hidden="false" customHeight="false" outlineLevel="0" collapsed="false">
      <c r="A308" s="1" t="str">
        <f aca="false">_xlfn.CONCAT($A$299, ".", A10)</f>
        <v>AL.2.7</v>
      </c>
      <c r="B308" s="5" t="str">
        <f aca="false">_xlfn.CONCAT(B10, ": ", C10)</f>
        <v>Cleaning &amp; Maintenance: Worker</v>
      </c>
      <c r="C308" s="27" t="n">
        <f aca="false">L10</f>
        <v>0.595</v>
      </c>
      <c r="D308" s="27" t="n">
        <f aca="false">M10</f>
        <v>0.655</v>
      </c>
      <c r="E308" s="27" t="n">
        <f aca="false">N10</f>
        <v>0.74</v>
      </c>
      <c r="F308" s="27" t="n">
        <f aca="false">O10</f>
        <v>0.58</v>
      </c>
    </row>
    <row r="309" customFormat="false" ht="12.8" hidden="false" customHeight="false" outlineLevel="0" collapsed="false">
      <c r="A309" s="1" t="str">
        <f aca="false">_xlfn.CONCAT($A$299, ".", A11)</f>
        <v>AL.2.8</v>
      </c>
      <c r="B309" s="5" t="str">
        <f aca="false">_xlfn.CONCAT(B11, ": ", C11)</f>
        <v>Cleaning &amp; Maintenance: Support</v>
      </c>
      <c r="C309" s="27" t="n">
        <f aca="false">L11</f>
        <v>0.565</v>
      </c>
      <c r="D309" s="27" t="n">
        <f aca="false">M11</f>
        <v>0.622</v>
      </c>
      <c r="E309" s="27" t="n">
        <f aca="false">N11</f>
        <v>0.703</v>
      </c>
      <c r="F309" s="27" t="n">
        <f aca="false">O11</f>
        <v>0.551</v>
      </c>
    </row>
    <row r="310" customFormat="false" ht="12.8" hidden="false" customHeight="false" outlineLevel="0" collapsed="false">
      <c r="A310" s="1" t="str">
        <f aca="false">_xlfn.CONCAT($A$299, ".", A12)</f>
        <v>AL.2.9</v>
      </c>
      <c r="B310" s="5" t="str">
        <f aca="false">_xlfn.CONCAT(B12, ": ", C12)</f>
        <v>Manufacturing: Worker</v>
      </c>
      <c r="C310" s="27" t="n">
        <f aca="false">L12</f>
        <v>0.605</v>
      </c>
      <c r="D310" s="27" t="n">
        <f aca="false">M12</f>
        <v>0.665</v>
      </c>
      <c r="E310" s="27" t="n">
        <f aca="false">N12</f>
        <v>0.74</v>
      </c>
      <c r="F310" s="27" t="n">
        <f aca="false">O12</f>
        <v>0.59</v>
      </c>
    </row>
    <row r="311" customFormat="false" ht="12.8" hidden="false" customHeight="false" outlineLevel="0" collapsed="false">
      <c r="A311" s="1" t="str">
        <f aca="false">_xlfn.CONCAT($A$299, ".", A13)</f>
        <v>AL.2.10</v>
      </c>
      <c r="B311" s="5" t="str">
        <f aca="false">_xlfn.CONCAT(B13, ": ", C13)</f>
        <v>Manufacturing: Support</v>
      </c>
      <c r="C311" s="27" t="n">
        <f aca="false">L13</f>
        <v>0.575</v>
      </c>
      <c r="D311" s="27" t="n">
        <f aca="false">M13</f>
        <v>0.632</v>
      </c>
      <c r="E311" s="27" t="n">
        <f aca="false">N13</f>
        <v>0.703</v>
      </c>
      <c r="F311" s="27" t="n">
        <f aca="false">O13</f>
        <v>0.56</v>
      </c>
    </row>
    <row r="312" customFormat="false" ht="12.8" hidden="false" customHeight="false" outlineLevel="0" collapsed="false">
      <c r="A312" s="1" t="str">
        <f aca="false">_xlfn.CONCAT($A$299, ".", A14)</f>
        <v>AL.2.11</v>
      </c>
      <c r="B312" s="5" t="str">
        <f aca="false">_xlfn.CONCAT(B14, ": ", C14)</f>
        <v>Transportation &amp; Warehousing: Worker</v>
      </c>
      <c r="C312" s="27" t="n">
        <f aca="false">L14</f>
        <v>0.6</v>
      </c>
      <c r="D312" s="27" t="n">
        <f aca="false">M14</f>
        <v>0.66</v>
      </c>
      <c r="E312" s="27" t="n">
        <f aca="false">N14</f>
        <v>0.75</v>
      </c>
      <c r="F312" s="27" t="n">
        <f aca="false">O14</f>
        <v>0.58</v>
      </c>
    </row>
    <row r="313" customFormat="false" ht="12.8" hidden="false" customHeight="false" outlineLevel="0" collapsed="false">
      <c r="A313" s="1" t="str">
        <f aca="false">_xlfn.CONCAT($A$299, ".", A15)</f>
        <v>AL.2.12</v>
      </c>
      <c r="B313" s="5" t="str">
        <f aca="false">_xlfn.CONCAT(B15, ": ", C15)</f>
        <v>Transportation &amp; Warehousing: Support</v>
      </c>
      <c r="C313" s="27" t="n">
        <f aca="false">L15</f>
        <v>0.57</v>
      </c>
      <c r="D313" s="27" t="n">
        <f aca="false">M15</f>
        <v>0.627</v>
      </c>
      <c r="E313" s="27" t="n">
        <f aca="false">N15</f>
        <v>0.712</v>
      </c>
      <c r="F313" s="27" t="n">
        <f aca="false">O15</f>
        <v>0.55</v>
      </c>
    </row>
    <row r="314" customFormat="false" ht="12.8" hidden="false" customHeight="false" outlineLevel="0" collapsed="false">
      <c r="A314" s="1" t="str">
        <f aca="false">_xlfn.CONCAT($A$299, ".", A16)</f>
        <v>AL.2.13</v>
      </c>
      <c r="B314" s="5" t="str">
        <f aca="false">_xlfn.CONCAT(B16, ": ", C16)</f>
        <v>Retail Trade: Worker</v>
      </c>
      <c r="C314" s="27" t="n">
        <f aca="false">L16</f>
        <v>0.58</v>
      </c>
      <c r="D314" s="27" t="n">
        <f aca="false">M16</f>
        <v>0.64</v>
      </c>
      <c r="E314" s="27" t="n">
        <f aca="false">N16</f>
        <v>0.71</v>
      </c>
      <c r="F314" s="27" t="n">
        <f aca="false">O16</f>
        <v>0.57</v>
      </c>
    </row>
    <row r="315" customFormat="false" ht="12.8" hidden="false" customHeight="false" outlineLevel="0" collapsed="false">
      <c r="A315" s="1" t="str">
        <f aca="false">_xlfn.CONCAT($A$299, ".", A17)</f>
        <v>AL.2.14</v>
      </c>
      <c r="B315" s="5" t="str">
        <f aca="false">_xlfn.CONCAT(B17, ": ", C17)</f>
        <v>Retail Trade: Support</v>
      </c>
      <c r="C315" s="27" t="n">
        <f aca="false">L17</f>
        <v>0.551</v>
      </c>
      <c r="D315" s="27" t="n">
        <f aca="false">M17</f>
        <v>0.608</v>
      </c>
      <c r="E315" s="27" t="n">
        <f aca="false">N17</f>
        <v>0.674</v>
      </c>
      <c r="F315" s="27" t="n">
        <f aca="false">O17</f>
        <v>0.542</v>
      </c>
    </row>
    <row r="316" customFormat="false" ht="12.8" hidden="false" customHeight="false" outlineLevel="0" collapsed="false">
      <c r="A316" s="1" t="str">
        <f aca="false">_xlfn.CONCAT($A$299, ".", A18)</f>
        <v>AL.2.15</v>
      </c>
      <c r="B316" s="5" t="str">
        <f aca="false">_xlfn.CONCAT(B18, ": ", C18)</f>
        <v>Landscaping / Groundskeeping: Worker</v>
      </c>
      <c r="C316" s="27" t="n">
        <f aca="false">L18</f>
        <v>0.62</v>
      </c>
      <c r="D316" s="27" t="n">
        <f aca="false">M18</f>
        <v>0.68</v>
      </c>
      <c r="E316" s="27" t="n">
        <f aca="false">N18</f>
        <v>0.78</v>
      </c>
      <c r="F316" s="27" t="n">
        <f aca="false">O18</f>
        <v>0.6</v>
      </c>
    </row>
    <row r="317" customFormat="false" ht="12.8" hidden="false" customHeight="false" outlineLevel="0" collapsed="false">
      <c r="A317" s="1" t="str">
        <f aca="false">_xlfn.CONCAT($A$299, ".", A19)</f>
        <v>AL.2.16</v>
      </c>
      <c r="B317" s="5" t="str">
        <f aca="false">_xlfn.CONCAT(B19, ": ", C19)</f>
        <v>Landscaping / Groundskeeping: Support</v>
      </c>
      <c r="C317" s="27" t="n">
        <f aca="false">L19</f>
        <v>0.589</v>
      </c>
      <c r="D317" s="27" t="n">
        <f aca="false">M19</f>
        <v>0.646</v>
      </c>
      <c r="E317" s="27" t="n">
        <f aca="false">N19</f>
        <v>0.741</v>
      </c>
      <c r="F317" s="27" t="n">
        <f aca="false">O19</f>
        <v>0.57</v>
      </c>
    </row>
    <row r="318" customFormat="false" ht="12.8" hidden="false" customHeight="false" outlineLevel="0" collapsed="false">
      <c r="A318" s="1" t="str">
        <f aca="false">_xlfn.CONCAT($A$299, ".", A20)</f>
        <v>AL.2.17</v>
      </c>
      <c r="B318" s="5" t="str">
        <f aca="false">_xlfn.CONCAT(B20, ": ", C20)</f>
        <v>Automotive &amp; Repair: Worker</v>
      </c>
      <c r="C318" s="27" t="n">
        <f aca="false">L20</f>
        <v>0.61</v>
      </c>
      <c r="D318" s="27" t="n">
        <f aca="false">M20</f>
        <v>0.67</v>
      </c>
      <c r="E318" s="27" t="n">
        <f aca="false">N20</f>
        <v>0.76</v>
      </c>
      <c r="F318" s="27" t="n">
        <f aca="false">O20</f>
        <v>0.59</v>
      </c>
    </row>
    <row r="319" customFormat="false" ht="12.8" hidden="false" customHeight="false" outlineLevel="0" collapsed="false">
      <c r="A319" s="1" t="str">
        <f aca="false">_xlfn.CONCAT($A$299, ".", A21)</f>
        <v>AL.2.18</v>
      </c>
      <c r="B319" s="5" t="str">
        <f aca="false">_xlfn.CONCAT(B21, ": ", C21)</f>
        <v>Automotive &amp; Repair: Support</v>
      </c>
      <c r="C319" s="27" t="n">
        <f aca="false">L21</f>
        <v>0.579</v>
      </c>
      <c r="D319" s="27" t="n">
        <f aca="false">M21</f>
        <v>0.637</v>
      </c>
      <c r="E319" s="27" t="n">
        <f aca="false">N21</f>
        <v>0.722</v>
      </c>
      <c r="F319" s="27" t="n">
        <f aca="false">O21</f>
        <v>0.56</v>
      </c>
    </row>
    <row r="320" customFormat="false" ht="12.8" hidden="false" customHeight="false" outlineLevel="0" collapsed="false">
      <c r="A320" s="1" t="str">
        <f aca="false">_xlfn.CONCAT($A$299, ".", A22)</f>
        <v>AL.2.19</v>
      </c>
      <c r="B320" s="5" t="str">
        <f aca="false">_xlfn.CONCAT(B22, ": ", C22)</f>
        <v>Other Services: Worker</v>
      </c>
      <c r="C320" s="27" t="n">
        <f aca="false">L22</f>
        <v>0.58</v>
      </c>
      <c r="D320" s="27" t="n">
        <f aca="false">M22</f>
        <v>0.64</v>
      </c>
      <c r="E320" s="27" t="n">
        <f aca="false">N22</f>
        <v>0.71</v>
      </c>
      <c r="F320" s="27" t="n">
        <f aca="false">O22</f>
        <v>0.57</v>
      </c>
    </row>
    <row r="321" customFormat="false" ht="12.8" hidden="false" customHeight="false" outlineLevel="0" collapsed="false">
      <c r="A321" s="1" t="str">
        <f aca="false">_xlfn.CONCAT($A$299, ".", A23)</f>
        <v>AL.2.20</v>
      </c>
      <c r="B321" s="5" t="str">
        <f aca="false">_xlfn.CONCAT(B23, ": ", C23)</f>
        <v>Other Services: Support</v>
      </c>
      <c r="C321" s="27" t="n">
        <f aca="false">L23</f>
        <v>0.551</v>
      </c>
      <c r="D321" s="27" t="n">
        <f aca="false">M23</f>
        <v>0.608</v>
      </c>
      <c r="E321" s="27" t="n">
        <f aca="false">N23</f>
        <v>0.674</v>
      </c>
      <c r="F321" s="27" t="n">
        <f aca="false">O23</f>
        <v>0.542</v>
      </c>
    </row>
    <row r="322" customFormat="false" ht="12.8" hidden="false" customHeight="false" outlineLevel="0" collapsed="false">
      <c r="A322" s="1" t="str">
        <f aca="false">_xlfn.CONCAT($A$299, ".", A24)</f>
        <v>AL.2.21</v>
      </c>
      <c r="B322" s="5" t="str">
        <f aca="false">_xlfn.CONCAT(B24, ": ", C24)</f>
        <v>Healthcare &amp; Social Assistance: Worker</v>
      </c>
      <c r="C322" s="27" t="n">
        <f aca="false">L24</f>
        <v>0.59</v>
      </c>
      <c r="D322" s="27" t="n">
        <f aca="false">M24</f>
        <v>0.66</v>
      </c>
      <c r="E322" s="27" t="n">
        <f aca="false">N24</f>
        <v>0.73</v>
      </c>
      <c r="F322" s="27" t="n">
        <f aca="false">O24</f>
        <v>0.585</v>
      </c>
    </row>
    <row r="323" customFormat="false" ht="12.8" hidden="false" customHeight="false" outlineLevel="0" collapsed="false">
      <c r="A323" s="1" t="str">
        <f aca="false">_xlfn.CONCAT($A$299, ".", A25)</f>
        <v>AL.2.22</v>
      </c>
      <c r="B323" s="5" t="str">
        <f aca="false">_xlfn.CONCAT(B25, ": ", C25)</f>
        <v>Healthcare &amp; Social Assistance: Support</v>
      </c>
      <c r="C323" s="27" t="n">
        <f aca="false">L25</f>
        <v>0.56</v>
      </c>
      <c r="D323" s="27" t="n">
        <f aca="false">M25</f>
        <v>0.63</v>
      </c>
      <c r="E323" s="27" t="n">
        <f aca="false">N25</f>
        <v>0.7</v>
      </c>
      <c r="F323" s="27" t="n">
        <f aca="false">O25</f>
        <v>0.555</v>
      </c>
    </row>
    <row r="324" customFormat="false" ht="12.8" hidden="false" customHeight="false" outlineLevel="0" collapsed="false">
      <c r="A324" s="1" t="str">
        <f aca="false">_xlfn.CONCAT($A$299, ".", A26)</f>
        <v>AL.2.23</v>
      </c>
      <c r="B324" s="5" t="str">
        <f aca="false">_xlfn.CONCAT(B26, ": ", C26)</f>
        <v>Professional Services: Worker</v>
      </c>
      <c r="C324" s="27" t="n">
        <f aca="false">L26</f>
        <v>0.62</v>
      </c>
      <c r="D324" s="27" t="n">
        <f aca="false">M26</f>
        <v>0.69</v>
      </c>
      <c r="E324" s="27" t="n">
        <f aca="false">N26</f>
        <v>0.76</v>
      </c>
      <c r="F324" s="27" t="n">
        <f aca="false">O26</f>
        <v>0.615</v>
      </c>
    </row>
    <row r="325" customFormat="false" ht="12.8" hidden="false" customHeight="false" outlineLevel="0" collapsed="false">
      <c r="A325" s="1" t="str">
        <f aca="false">_xlfn.CONCAT($A$299, ".", A27)</f>
        <v>AL.2.24</v>
      </c>
      <c r="B325" s="5" t="str">
        <f aca="false">_xlfn.CONCAT(B27, ": ", C27)</f>
        <v>Professional Services: Support</v>
      </c>
      <c r="C325" s="27" t="n">
        <f aca="false">L27</f>
        <v>0.59</v>
      </c>
      <c r="D325" s="27" t="n">
        <f aca="false">M27</f>
        <v>0.66</v>
      </c>
      <c r="E325" s="27" t="n">
        <f aca="false">N27</f>
        <v>0.73</v>
      </c>
      <c r="F325" s="27" t="n">
        <f aca="false">O27</f>
        <v>0.585</v>
      </c>
    </row>
    <row r="326" customFormat="false" ht="12.8" hidden="false" customHeight="false" outlineLevel="0" collapsed="false">
      <c r="A326" s="1" t="str">
        <f aca="false">_xlfn.CONCAT($A$299, ".", A28)</f>
        <v>AL.2.25</v>
      </c>
      <c r="B326" s="5" t="str">
        <f aca="false">_xlfn.CONCAT(B28, ": ", C28)</f>
        <v>Educational Services: Worker</v>
      </c>
      <c r="C326" s="27" t="n">
        <f aca="false">L28</f>
        <v>0.58</v>
      </c>
      <c r="D326" s="27" t="n">
        <f aca="false">M28</f>
        <v>0.65</v>
      </c>
      <c r="E326" s="27" t="n">
        <f aca="false">N28</f>
        <v>0.72</v>
      </c>
      <c r="F326" s="27" t="n">
        <f aca="false">O28</f>
        <v>0.575</v>
      </c>
    </row>
    <row r="327" customFormat="false" ht="12.8" hidden="false" customHeight="false" outlineLevel="0" collapsed="false">
      <c r="A327" s="1" t="str">
        <f aca="false">_xlfn.CONCAT($A$299, ".", A29)</f>
        <v>AL.2.26</v>
      </c>
      <c r="B327" s="5" t="str">
        <f aca="false">_xlfn.CONCAT(B29, ": ", C29)</f>
        <v>Educational Services: Support</v>
      </c>
      <c r="C327" s="27" t="n">
        <f aca="false">L29</f>
        <v>0.55</v>
      </c>
      <c r="D327" s="27" t="n">
        <f aca="false">M29</f>
        <v>0.62</v>
      </c>
      <c r="E327" s="27" t="n">
        <f aca="false">N29</f>
        <v>0.69</v>
      </c>
      <c r="F327" s="27" t="n">
        <f aca="false">O29</f>
        <v>0.545</v>
      </c>
    </row>
    <row r="328" customFormat="false" ht="12.8" hidden="false" customHeight="false" outlineLevel="0" collapsed="false">
      <c r="A328" s="1" t="str">
        <f aca="false">_xlfn.CONCAT($A$299, ".", A30)</f>
        <v>AL.2.27</v>
      </c>
      <c r="B328" s="5" t="str">
        <f aca="false">_xlfn.CONCAT(B30, ": ", C30)</f>
        <v>Finance &amp; Insurance: Worker</v>
      </c>
      <c r="C328" s="27" t="n">
        <f aca="false">L30</f>
        <v>0.63</v>
      </c>
      <c r="D328" s="27" t="n">
        <f aca="false">M30</f>
        <v>0.7</v>
      </c>
      <c r="E328" s="27" t="n">
        <f aca="false">N30</f>
        <v>0.77</v>
      </c>
      <c r="F328" s="27" t="n">
        <f aca="false">O30</f>
        <v>0.625</v>
      </c>
    </row>
    <row r="329" customFormat="false" ht="12.8" hidden="false" customHeight="false" outlineLevel="0" collapsed="false">
      <c r="A329" s="1" t="str">
        <f aca="false">_xlfn.CONCAT($A$299, ".", A31)</f>
        <v>AL.2.28</v>
      </c>
      <c r="B329" s="5" t="str">
        <f aca="false">_xlfn.CONCAT(B31, ": ", C31)</f>
        <v>Finance &amp; Insurance: Support</v>
      </c>
      <c r="C329" s="27" t="n">
        <f aca="false">L31</f>
        <v>0.6</v>
      </c>
      <c r="D329" s="27" t="n">
        <f aca="false">M31</f>
        <v>0.67</v>
      </c>
      <c r="E329" s="27" t="n">
        <f aca="false">N31</f>
        <v>0.74</v>
      </c>
      <c r="F329" s="27" t="n">
        <f aca="false">O31</f>
        <v>0.595</v>
      </c>
    </row>
    <row r="330" customFormat="false" ht="12.8" hidden="false" customHeight="false" outlineLevel="0" collapsed="false">
      <c r="A330" s="1" t="str">
        <f aca="false">_xlfn.CONCAT($A$299, ".", A36)</f>
        <v>AL.2.29</v>
      </c>
      <c r="B330" s="5" t="str">
        <f aca="false">_xlfn.CONCAT(B36, ": ", C36)</f>
        <v>Media and Information Technology: Worker</v>
      </c>
      <c r="C330" s="27" t="n">
        <f aca="false">L36</f>
        <v>0.61</v>
      </c>
      <c r="D330" s="27" t="n">
        <f aca="false">M36</f>
        <v>0.68</v>
      </c>
      <c r="E330" s="27" t="n">
        <f aca="false">N36</f>
        <v>0.75</v>
      </c>
      <c r="F330" s="27" t="n">
        <f aca="false">O36</f>
        <v>0.605</v>
      </c>
    </row>
    <row r="331" customFormat="false" ht="12.8" hidden="false" customHeight="false" outlineLevel="0" collapsed="false">
      <c r="A331" s="1" t="str">
        <f aca="false">_xlfn.CONCAT($A$299, ".", A37)</f>
        <v>AL.2.30</v>
      </c>
      <c r="B331" s="5" t="str">
        <f aca="false">_xlfn.CONCAT(B37, ": ", C37)</f>
        <v>Media and Information Technology: Support</v>
      </c>
      <c r="C331" s="27" t="n">
        <f aca="false">L37</f>
        <v>0.58</v>
      </c>
      <c r="D331" s="27" t="n">
        <f aca="false">M37</f>
        <v>0.65</v>
      </c>
      <c r="E331" s="27" t="n">
        <f aca="false">N37</f>
        <v>0.72</v>
      </c>
      <c r="F331" s="27" t="n">
        <f aca="false">O37</f>
        <v>0.575</v>
      </c>
    </row>
    <row r="332" customFormat="false" ht="12.8" hidden="false" customHeight="false" outlineLevel="0" collapsed="false">
      <c r="A332" s="1"/>
      <c r="B332" s="5"/>
      <c r="C332" s="27"/>
      <c r="D332" s="27"/>
      <c r="E332" s="27"/>
      <c r="F332" s="27"/>
    </row>
    <row r="429" customFormat="false" ht="12.8" hidden="false" customHeight="false" outlineLevel="0" collapsed="false">
      <c r="A429" s="5" t="s">
        <v>145</v>
      </c>
      <c r="B429" s="24" t="s">
        <v>7</v>
      </c>
      <c r="C429" s="25" t="s">
        <v>146</v>
      </c>
    </row>
    <row r="430" customFormat="false" ht="46.25" hidden="false" customHeight="false" outlineLevel="0" collapsed="false">
      <c r="A430" s="5" t="s">
        <v>26</v>
      </c>
      <c r="B430" s="26" t="s">
        <v>140</v>
      </c>
      <c r="C430" s="27" t="str">
        <f aca="false">P2</f>
        <v>Unemployment Rate</v>
      </c>
      <c r="D430" s="27" t="str">
        <f aca="false">Q2</f>
        <v>Authorized Immigrant Unemployment Rate</v>
      </c>
      <c r="E430" s="27" t="str">
        <f aca="false">R2</f>
        <v>Unauthorized Immigrant Unemployment Rate</v>
      </c>
      <c r="F430" s="27" t="str">
        <f aca="false">S2</f>
        <v>American Unemployment Rate</v>
      </c>
    </row>
    <row r="431" customFormat="false" ht="12.8" hidden="false" customHeight="false" outlineLevel="0" collapsed="false">
      <c r="A431" s="5" t="str">
        <f aca="false">_xlfn.CONCAT($A$429, ".", A3)</f>
        <v>AL.3.0</v>
      </c>
      <c r="B431" s="5" t="str">
        <f aca="false">_xlfn.CONCAT(B3, ": ", C3)</f>
        <v>All Industries: All Roles</v>
      </c>
      <c r="C431" s="27" t="n">
        <f aca="false">P3</f>
        <v>0.027</v>
      </c>
      <c r="D431" s="27" t="n">
        <f aca="false">Q3</f>
        <v>0.04</v>
      </c>
      <c r="E431" s="27" t="n">
        <f aca="false">R3</f>
        <v>0.065</v>
      </c>
      <c r="F431" s="27" t="n">
        <f aca="false">S3</f>
        <v>0.024</v>
      </c>
    </row>
    <row r="432" customFormat="false" ht="12.8" hidden="false" customHeight="false" outlineLevel="0" collapsed="false">
      <c r="A432" s="7" t="str">
        <f aca="false">_xlfn.CONCAT($A$429, ".", A4)</f>
        <v>AL.3.1</v>
      </c>
      <c r="B432" s="7" t="str">
        <f aca="false">_xlfn.CONCAT(B4, ": ", C4)</f>
        <v>Agriculture: Worker</v>
      </c>
      <c r="C432" s="16" t="n">
        <f aca="false">P4</f>
        <v>0.048</v>
      </c>
      <c r="D432" s="16" t="n">
        <f aca="false">Q4</f>
        <v>0.07</v>
      </c>
      <c r="E432" s="16" t="n">
        <f aca="false">R4</f>
        <v>0.11</v>
      </c>
      <c r="F432" s="16" t="n">
        <f aca="false">S4</f>
        <v>0.045</v>
      </c>
    </row>
    <row r="433" customFormat="false" ht="12.8" hidden="false" customHeight="false" outlineLevel="0" collapsed="false">
      <c r="A433" s="7" t="str">
        <f aca="false">_xlfn.CONCAT($A$429, ".", A5)</f>
        <v>AL.3.2</v>
      </c>
      <c r="B433" s="7" t="str">
        <f aca="false">_xlfn.CONCAT(B5, ": ", C5)</f>
        <v>Agriculture: Support</v>
      </c>
      <c r="C433" s="16" t="n">
        <f aca="false">P5</f>
        <v>0.048</v>
      </c>
      <c r="D433" s="16" t="n">
        <f aca="false">Q5</f>
        <v>0.07</v>
      </c>
      <c r="E433" s="16" t="n">
        <f aca="false">R5</f>
        <v>0.11</v>
      </c>
      <c r="F433" s="16" t="n">
        <f aca="false">S5</f>
        <v>0.045</v>
      </c>
    </row>
    <row r="434" customFormat="false" ht="12.8" hidden="false" customHeight="false" outlineLevel="0" collapsed="false">
      <c r="A434" s="7" t="str">
        <f aca="false">_xlfn.CONCAT($A$429, ".", A6)</f>
        <v>AL.3.3</v>
      </c>
      <c r="B434" s="7" t="str">
        <f aca="false">_xlfn.CONCAT(B6, ": ", C6)</f>
        <v>Construction: Worker</v>
      </c>
      <c r="C434" s="16" t="n">
        <f aca="false">P6</f>
        <v>0.033</v>
      </c>
      <c r="D434" s="16" t="n">
        <f aca="false">Q6</f>
        <v>0.06</v>
      </c>
      <c r="E434" s="16" t="n">
        <f aca="false">R6</f>
        <v>0.1</v>
      </c>
      <c r="F434" s="16" t="n">
        <f aca="false">S6</f>
        <v>0.03</v>
      </c>
    </row>
    <row r="435" customFormat="false" ht="12.8" hidden="false" customHeight="false" outlineLevel="0" collapsed="false">
      <c r="A435" s="7" t="str">
        <f aca="false">_xlfn.CONCAT($A$429, ".", A7)</f>
        <v>AL.3.4</v>
      </c>
      <c r="B435" s="7" t="str">
        <f aca="false">_xlfn.CONCAT(B7, ": ", C7)</f>
        <v>Construction: Support</v>
      </c>
      <c r="C435" s="16" t="n">
        <f aca="false">P7</f>
        <v>0.033</v>
      </c>
      <c r="D435" s="16" t="n">
        <f aca="false">Q7</f>
        <v>0.06</v>
      </c>
      <c r="E435" s="16" t="n">
        <f aca="false">R7</f>
        <v>0.1</v>
      </c>
      <c r="F435" s="16" t="n">
        <f aca="false">S7</f>
        <v>0.03</v>
      </c>
    </row>
    <row r="436" customFormat="false" ht="12.8" hidden="false" customHeight="false" outlineLevel="0" collapsed="false">
      <c r="A436" s="7" t="str">
        <f aca="false">_xlfn.CONCAT($A$429, ".", A8)</f>
        <v>AL.3.5</v>
      </c>
      <c r="B436" s="7" t="str">
        <f aca="false">_xlfn.CONCAT(B8, ": ", C8)</f>
        <v>Hospitality: Worker</v>
      </c>
      <c r="C436" s="16" t="n">
        <f aca="false">P8</f>
        <v>0.04</v>
      </c>
      <c r="D436" s="16" t="n">
        <f aca="false">Q8</f>
        <v>0.07</v>
      </c>
      <c r="E436" s="16" t="n">
        <f aca="false">R8</f>
        <v>0.12</v>
      </c>
      <c r="F436" s="16" t="n">
        <f aca="false">S8</f>
        <v>0.037</v>
      </c>
    </row>
    <row r="437" customFormat="false" ht="12.8" hidden="false" customHeight="false" outlineLevel="0" collapsed="false">
      <c r="A437" s="7" t="str">
        <f aca="false">_xlfn.CONCAT($A$429, ".", A9)</f>
        <v>AL.3.6</v>
      </c>
      <c r="B437" s="7" t="str">
        <f aca="false">_xlfn.CONCAT(B9, ": ", C9)</f>
        <v>Hospitality: Support</v>
      </c>
      <c r="C437" s="16" t="n">
        <f aca="false">P9</f>
        <v>0.04</v>
      </c>
      <c r="D437" s="16" t="n">
        <f aca="false">Q9</f>
        <v>0.07</v>
      </c>
      <c r="E437" s="16" t="n">
        <f aca="false">R9</f>
        <v>0.12</v>
      </c>
      <c r="F437" s="16" t="n">
        <f aca="false">S9</f>
        <v>0.037</v>
      </c>
    </row>
    <row r="438" customFormat="false" ht="12.8" hidden="false" customHeight="false" outlineLevel="0" collapsed="false">
      <c r="A438" s="7" t="str">
        <f aca="false">_xlfn.CONCAT($A$429, ".", A10)</f>
        <v>AL.3.7</v>
      </c>
      <c r="B438" s="7" t="str">
        <f aca="false">_xlfn.CONCAT(B10, ": ", C10)</f>
        <v>Cleaning &amp; Maintenance: Worker</v>
      </c>
      <c r="C438" s="16" t="n">
        <f aca="false">P10</f>
        <v>0.043</v>
      </c>
      <c r="D438" s="16" t="n">
        <f aca="false">Q10</f>
        <v>0.08</v>
      </c>
      <c r="E438" s="16" t="n">
        <f aca="false">R10</f>
        <v>0.13</v>
      </c>
      <c r="F438" s="16" t="n">
        <f aca="false">S10</f>
        <v>0.04</v>
      </c>
    </row>
    <row r="439" customFormat="false" ht="12.8" hidden="false" customHeight="false" outlineLevel="0" collapsed="false">
      <c r="A439" s="7" t="str">
        <f aca="false">_xlfn.CONCAT($A$429, ".", A11)</f>
        <v>AL.3.8</v>
      </c>
      <c r="B439" s="7" t="str">
        <f aca="false">_xlfn.CONCAT(B11, ": ", C11)</f>
        <v>Cleaning &amp; Maintenance: Support</v>
      </c>
      <c r="C439" s="16" t="n">
        <f aca="false">P11</f>
        <v>0.043</v>
      </c>
      <c r="D439" s="16" t="n">
        <f aca="false">Q11</f>
        <v>0.08</v>
      </c>
      <c r="E439" s="16" t="n">
        <f aca="false">R11</f>
        <v>0.13</v>
      </c>
      <c r="F439" s="16" t="n">
        <f aca="false">S11</f>
        <v>0.04</v>
      </c>
    </row>
    <row r="440" customFormat="false" ht="12.8" hidden="false" customHeight="false" outlineLevel="0" collapsed="false">
      <c r="A440" s="7" t="str">
        <f aca="false">_xlfn.CONCAT($A$429, ".", A12)</f>
        <v>AL.3.9</v>
      </c>
      <c r="B440" s="7" t="str">
        <f aca="false">_xlfn.CONCAT(B12, ": ", C12)</f>
        <v>Manufacturing: Worker</v>
      </c>
      <c r="C440" s="16" t="n">
        <f aca="false">P12</f>
        <v>0.02</v>
      </c>
      <c r="D440" s="16" t="n">
        <f aca="false">Q12</f>
        <v>0.04</v>
      </c>
      <c r="E440" s="16" t="n">
        <f aca="false">R12</f>
        <v>0.07</v>
      </c>
      <c r="F440" s="16" t="n">
        <f aca="false">S12</f>
        <v>0.018</v>
      </c>
    </row>
    <row r="441" customFormat="false" ht="12.8" hidden="false" customHeight="false" outlineLevel="0" collapsed="false">
      <c r="A441" s="7" t="str">
        <f aca="false">_xlfn.CONCAT($A$429, ".", A13)</f>
        <v>AL.3.10</v>
      </c>
      <c r="B441" s="7" t="str">
        <f aca="false">_xlfn.CONCAT(B13, ": ", C13)</f>
        <v>Manufacturing: Support</v>
      </c>
      <c r="C441" s="16" t="n">
        <f aca="false">P13</f>
        <v>0.02</v>
      </c>
      <c r="D441" s="16" t="n">
        <f aca="false">Q13</f>
        <v>0.04</v>
      </c>
      <c r="E441" s="16" t="n">
        <f aca="false">R13</f>
        <v>0.07</v>
      </c>
      <c r="F441" s="16" t="n">
        <f aca="false">S13</f>
        <v>0.018</v>
      </c>
    </row>
    <row r="442" customFormat="false" ht="12.8" hidden="false" customHeight="false" outlineLevel="0" collapsed="false">
      <c r="A442" s="7" t="str">
        <f aca="false">_xlfn.CONCAT($A$429, ".", A14)</f>
        <v>AL.3.11</v>
      </c>
      <c r="B442" s="7" t="str">
        <f aca="false">_xlfn.CONCAT(B14, ": ", C14)</f>
        <v>Transportation &amp; Warehousing: Worker</v>
      </c>
      <c r="C442" s="16" t="n">
        <f aca="false">P14</f>
        <v>0.024</v>
      </c>
      <c r="D442" s="16" t="n">
        <f aca="false">Q14</f>
        <v>0.05</v>
      </c>
      <c r="E442" s="16" t="n">
        <f aca="false">R14</f>
        <v>0.08</v>
      </c>
      <c r="F442" s="16" t="n">
        <f aca="false">S14</f>
        <v>0.022</v>
      </c>
    </row>
    <row r="443" customFormat="false" ht="12.8" hidden="false" customHeight="false" outlineLevel="0" collapsed="false">
      <c r="A443" s="7" t="str">
        <f aca="false">_xlfn.CONCAT($A$429, ".", A15)</f>
        <v>AL.3.12</v>
      </c>
      <c r="B443" s="7" t="str">
        <f aca="false">_xlfn.CONCAT(B15, ": ", C15)</f>
        <v>Transportation &amp; Warehousing: Support</v>
      </c>
      <c r="C443" s="16" t="n">
        <f aca="false">P15</f>
        <v>0.024</v>
      </c>
      <c r="D443" s="16" t="n">
        <f aca="false">Q15</f>
        <v>0.05</v>
      </c>
      <c r="E443" s="16" t="n">
        <f aca="false">R15</f>
        <v>0.08</v>
      </c>
      <c r="F443" s="16" t="n">
        <f aca="false">S15</f>
        <v>0.022</v>
      </c>
    </row>
    <row r="444" customFormat="false" ht="12.8" hidden="false" customHeight="false" outlineLevel="0" collapsed="false">
      <c r="A444" s="7" t="str">
        <f aca="false">_xlfn.CONCAT($A$429, ".", A16)</f>
        <v>AL.3.13</v>
      </c>
      <c r="B444" s="7" t="str">
        <f aca="false">_xlfn.CONCAT(B16, ": ", C16)</f>
        <v>Retail Trade: Worker</v>
      </c>
      <c r="C444" s="16" t="n">
        <f aca="false">P16</f>
        <v>0.04</v>
      </c>
      <c r="D444" s="16" t="n">
        <f aca="false">Q16</f>
        <v>0.07</v>
      </c>
      <c r="E444" s="16" t="n">
        <f aca="false">R16</f>
        <v>0.12</v>
      </c>
      <c r="F444" s="16" t="n">
        <f aca="false">S16</f>
        <v>0.037</v>
      </c>
    </row>
    <row r="445" customFormat="false" ht="12.8" hidden="false" customHeight="false" outlineLevel="0" collapsed="false">
      <c r="A445" s="7" t="str">
        <f aca="false">_xlfn.CONCAT($A$429, ".", A17)</f>
        <v>AL.3.14</v>
      </c>
      <c r="B445" s="7" t="str">
        <f aca="false">_xlfn.CONCAT(B17, ": ", C17)</f>
        <v>Retail Trade: Support</v>
      </c>
      <c r="C445" s="16" t="n">
        <f aca="false">P17</f>
        <v>0.04</v>
      </c>
      <c r="D445" s="16" t="n">
        <f aca="false">Q17</f>
        <v>0.07</v>
      </c>
      <c r="E445" s="16" t="n">
        <f aca="false">R17</f>
        <v>0.12</v>
      </c>
      <c r="F445" s="16" t="n">
        <f aca="false">S17</f>
        <v>0.037</v>
      </c>
    </row>
    <row r="446" customFormat="false" ht="12.8" hidden="false" customHeight="false" outlineLevel="0" collapsed="false">
      <c r="A446" s="7" t="str">
        <f aca="false">_xlfn.CONCAT($A$429, ".", A18)</f>
        <v>AL.3.15</v>
      </c>
      <c r="B446" s="7" t="str">
        <f aca="false">_xlfn.CONCAT(B18, ": ", C18)</f>
        <v>Landscaping / Groundskeeping: Worker</v>
      </c>
      <c r="C446" s="16" t="n">
        <f aca="false">P18</f>
        <v>0.048</v>
      </c>
      <c r="D446" s="16" t="n">
        <f aca="false">Q18</f>
        <v>0.07</v>
      </c>
      <c r="E446" s="16" t="n">
        <f aca="false">R18</f>
        <v>0.11</v>
      </c>
      <c r="F446" s="16" t="n">
        <f aca="false">S18</f>
        <v>0.045</v>
      </c>
    </row>
    <row r="447" customFormat="false" ht="12.8" hidden="false" customHeight="false" outlineLevel="0" collapsed="false">
      <c r="A447" s="7" t="str">
        <f aca="false">_xlfn.CONCAT($A$429, ".", A19)</f>
        <v>AL.3.16</v>
      </c>
      <c r="B447" s="7" t="str">
        <f aca="false">_xlfn.CONCAT(B19, ": ", C19)</f>
        <v>Landscaping / Groundskeeping: Support</v>
      </c>
      <c r="C447" s="16" t="n">
        <f aca="false">P19</f>
        <v>0.048</v>
      </c>
      <c r="D447" s="16" t="n">
        <f aca="false">Q19</f>
        <v>0.07</v>
      </c>
      <c r="E447" s="16" t="n">
        <f aca="false">R19</f>
        <v>0.11</v>
      </c>
      <c r="F447" s="16" t="n">
        <f aca="false">S19</f>
        <v>0.045</v>
      </c>
    </row>
    <row r="448" customFormat="false" ht="12.8" hidden="false" customHeight="false" outlineLevel="0" collapsed="false">
      <c r="A448" s="7" t="str">
        <f aca="false">_xlfn.CONCAT($A$429, ".", A20)</f>
        <v>AL.3.17</v>
      </c>
      <c r="B448" s="7" t="str">
        <f aca="false">_xlfn.CONCAT(B20, ": ", C20)</f>
        <v>Automotive &amp; Repair: Worker</v>
      </c>
      <c r="C448" s="16" t="n">
        <f aca="false">P20</f>
        <v>0.033</v>
      </c>
      <c r="D448" s="16" t="n">
        <f aca="false">Q20</f>
        <v>0.06</v>
      </c>
      <c r="E448" s="16" t="n">
        <f aca="false">R20</f>
        <v>0.1</v>
      </c>
      <c r="F448" s="16" t="n">
        <f aca="false">S20</f>
        <v>0.03</v>
      </c>
    </row>
    <row r="449" customFormat="false" ht="12.8" hidden="false" customHeight="false" outlineLevel="0" collapsed="false">
      <c r="A449" s="7" t="str">
        <f aca="false">_xlfn.CONCAT($A$429, ".", A21)</f>
        <v>AL.3.18</v>
      </c>
      <c r="B449" s="7" t="str">
        <f aca="false">_xlfn.CONCAT(B21, ": ", C21)</f>
        <v>Automotive &amp; Repair: Support</v>
      </c>
      <c r="C449" s="16" t="n">
        <f aca="false">P21</f>
        <v>0.033</v>
      </c>
      <c r="D449" s="16" t="n">
        <f aca="false">Q21</f>
        <v>0.06</v>
      </c>
      <c r="E449" s="16" t="n">
        <f aca="false">R21</f>
        <v>0.1</v>
      </c>
      <c r="F449" s="16" t="n">
        <f aca="false">S21</f>
        <v>0.03</v>
      </c>
    </row>
    <row r="450" customFormat="false" ht="12.8" hidden="false" customHeight="false" outlineLevel="0" collapsed="false">
      <c r="A450" s="7" t="str">
        <f aca="false">_xlfn.CONCAT($A$429, ".", A22)</f>
        <v>AL.3.19</v>
      </c>
      <c r="B450" s="7" t="str">
        <f aca="false">_xlfn.CONCAT(B22, ": ", C22)</f>
        <v>Other Services: Worker</v>
      </c>
      <c r="C450" s="16" t="n">
        <f aca="false">P22</f>
        <v>0.04</v>
      </c>
      <c r="D450" s="16" t="n">
        <f aca="false">Q22</f>
        <v>0.07</v>
      </c>
      <c r="E450" s="16" t="n">
        <f aca="false">R22</f>
        <v>0.12</v>
      </c>
      <c r="F450" s="16" t="n">
        <f aca="false">S22</f>
        <v>0.037</v>
      </c>
    </row>
    <row r="451" customFormat="false" ht="12.8" hidden="false" customHeight="false" outlineLevel="0" collapsed="false">
      <c r="A451" s="7" t="str">
        <f aca="false">_xlfn.CONCAT($A$429, ".", A23)</f>
        <v>AL.3.20</v>
      </c>
      <c r="B451" s="7" t="str">
        <f aca="false">_xlfn.CONCAT(B23, ": ", C23)</f>
        <v>Other Services: Support</v>
      </c>
      <c r="C451" s="16" t="n">
        <f aca="false">P23</f>
        <v>0.04</v>
      </c>
      <c r="D451" s="16" t="n">
        <f aca="false">Q23</f>
        <v>0.07</v>
      </c>
      <c r="E451" s="16" t="n">
        <f aca="false">R23</f>
        <v>0.12</v>
      </c>
      <c r="F451" s="16" t="n">
        <f aca="false">S23</f>
        <v>0.037</v>
      </c>
    </row>
    <row r="452" customFormat="false" ht="12.8" hidden="false" customHeight="false" outlineLevel="0" collapsed="false">
      <c r="A452" s="7" t="str">
        <f aca="false">_xlfn.CONCAT($A$429, ".", A24)</f>
        <v>AL.3.21</v>
      </c>
      <c r="B452" s="7" t="str">
        <f aca="false">_xlfn.CONCAT(B24, ": ", C24)</f>
        <v>Healthcare &amp; Social Assistance: Worker</v>
      </c>
      <c r="C452" s="16" t="n">
        <f aca="false">P24</f>
        <v>0.022</v>
      </c>
      <c r="D452" s="16" t="n">
        <f aca="false">Q24</f>
        <v>0.03</v>
      </c>
      <c r="E452" s="16" t="n">
        <f aca="false">R24</f>
        <v>0.06</v>
      </c>
      <c r="F452" s="16" t="n">
        <f aca="false">S24</f>
        <v>0.02</v>
      </c>
    </row>
    <row r="453" customFormat="false" ht="12.8" hidden="false" customHeight="false" outlineLevel="0" collapsed="false">
      <c r="A453" s="7" t="str">
        <f aca="false">_xlfn.CONCAT($A$429, ".", A25)</f>
        <v>AL.3.22</v>
      </c>
      <c r="B453" s="7" t="str">
        <f aca="false">_xlfn.CONCAT(B25, ": ", C25)</f>
        <v>Healthcare &amp; Social Assistance: Support</v>
      </c>
      <c r="C453" s="16" t="n">
        <f aca="false">P25</f>
        <v>0.035</v>
      </c>
      <c r="D453" s="16" t="n">
        <f aca="false">Q25</f>
        <v>0.05</v>
      </c>
      <c r="E453" s="16" t="n">
        <f aca="false">R25</f>
        <v>0.08</v>
      </c>
      <c r="F453" s="16" t="n">
        <f aca="false">S25</f>
        <v>0.032</v>
      </c>
    </row>
    <row r="454" customFormat="false" ht="12.8" hidden="false" customHeight="false" outlineLevel="0" collapsed="false">
      <c r="A454" s="7" t="str">
        <f aca="false">_xlfn.CONCAT($A$429, ".", A26)</f>
        <v>AL.3.23</v>
      </c>
      <c r="B454" s="7" t="str">
        <f aca="false">_xlfn.CONCAT(B26, ": ", C26)</f>
        <v>Professional Services: Worker</v>
      </c>
      <c r="C454" s="16" t="n">
        <f aca="false">P26</f>
        <v>0.018</v>
      </c>
      <c r="D454" s="16" t="n">
        <f aca="false">Q26</f>
        <v>0.025</v>
      </c>
      <c r="E454" s="16" t="n">
        <f aca="false">R26</f>
        <v>0.04</v>
      </c>
      <c r="F454" s="16" t="n">
        <f aca="false">S26</f>
        <v>0.016</v>
      </c>
    </row>
    <row r="455" customFormat="false" ht="12.8" hidden="false" customHeight="false" outlineLevel="0" collapsed="false">
      <c r="A455" s="7" t="str">
        <f aca="false">_xlfn.CONCAT($A$429, ".", A27)</f>
        <v>AL.3.24</v>
      </c>
      <c r="B455" s="7" t="str">
        <f aca="false">_xlfn.CONCAT(B27, ": ", C27)</f>
        <v>Professional Services: Support</v>
      </c>
      <c r="C455" s="16" t="n">
        <f aca="false">P27</f>
        <v>0.025</v>
      </c>
      <c r="D455" s="16" t="n">
        <f aca="false">Q27</f>
        <v>0.035</v>
      </c>
      <c r="E455" s="16" t="n">
        <f aca="false">R27</f>
        <v>0.06</v>
      </c>
      <c r="F455" s="16" t="n">
        <f aca="false">S27</f>
        <v>0.022</v>
      </c>
    </row>
    <row r="456" customFormat="false" ht="12.8" hidden="false" customHeight="false" outlineLevel="0" collapsed="false">
      <c r="A456" s="7" t="str">
        <f aca="false">_xlfn.CONCAT($A$429, ".", A28)</f>
        <v>AL.3.25</v>
      </c>
      <c r="B456" s="7" t="str">
        <f aca="false">_xlfn.CONCAT(B28, ": ", C28)</f>
        <v>Educational Services: Worker</v>
      </c>
      <c r="C456" s="16" t="n">
        <f aca="false">P28</f>
        <v>0.025</v>
      </c>
      <c r="D456" s="16" t="n">
        <f aca="false">Q28</f>
        <v>0.04</v>
      </c>
      <c r="E456" s="16" t="n">
        <f aca="false">R28</f>
        <v>0.07</v>
      </c>
      <c r="F456" s="16" t="n">
        <f aca="false">S28</f>
        <v>0.022</v>
      </c>
    </row>
    <row r="457" customFormat="false" ht="12.8" hidden="false" customHeight="false" outlineLevel="0" collapsed="false">
      <c r="A457" s="7" t="str">
        <f aca="false">_xlfn.CONCAT($A$429, ".", A29)</f>
        <v>AL.3.26</v>
      </c>
      <c r="B457" s="7" t="str">
        <f aca="false">_xlfn.CONCAT(B29, ": ", C29)</f>
        <v>Educational Services: Support</v>
      </c>
      <c r="C457" s="16" t="n">
        <f aca="false">P29</f>
        <v>0.04</v>
      </c>
      <c r="D457" s="16" t="n">
        <f aca="false">Q29</f>
        <v>0.06</v>
      </c>
      <c r="E457" s="16" t="n">
        <f aca="false">R29</f>
        <v>0.09</v>
      </c>
      <c r="F457" s="16" t="n">
        <f aca="false">S29</f>
        <v>0.037</v>
      </c>
    </row>
    <row r="458" customFormat="false" ht="12.8" hidden="false" customHeight="false" outlineLevel="0" collapsed="false">
      <c r="A458" s="7" t="str">
        <f aca="false">_xlfn.CONCAT($A$429, ".", A30)</f>
        <v>AL.3.27</v>
      </c>
      <c r="B458" s="7" t="str">
        <f aca="false">_xlfn.CONCAT(B30, ": ", C30)</f>
        <v>Finance &amp; Insurance: Worker</v>
      </c>
      <c r="C458" s="16" t="n">
        <f aca="false">P30</f>
        <v>0.016</v>
      </c>
      <c r="D458" s="16" t="n">
        <f aca="false">Q30</f>
        <v>0.02</v>
      </c>
      <c r="E458" s="16" t="n">
        <f aca="false">R30</f>
        <v>0.03</v>
      </c>
      <c r="F458" s="16" t="n">
        <f aca="false">S30</f>
        <v>0.014</v>
      </c>
    </row>
    <row r="459" customFormat="false" ht="12.8" hidden="false" customHeight="false" outlineLevel="0" collapsed="false">
      <c r="A459" s="7" t="str">
        <f aca="false">_xlfn.CONCAT($A$429, ".", A31)</f>
        <v>AL.3.28</v>
      </c>
      <c r="B459" s="7" t="str">
        <f aca="false">_xlfn.CONCAT(B31, ": ", C31)</f>
        <v>Finance &amp; Insurance: Support</v>
      </c>
      <c r="C459" s="16" t="n">
        <f aca="false">P31</f>
        <v>0.022</v>
      </c>
      <c r="D459" s="16" t="n">
        <f aca="false">Q31</f>
        <v>0.03</v>
      </c>
      <c r="E459" s="16" t="n">
        <f aca="false">R31</f>
        <v>0.05</v>
      </c>
      <c r="F459" s="16" t="n">
        <f aca="false">S31</f>
        <v>0.02</v>
      </c>
    </row>
    <row r="460" customFormat="false" ht="12.8" hidden="false" customHeight="false" outlineLevel="0" collapsed="false">
      <c r="A460" s="7" t="str">
        <f aca="false">_xlfn.CONCAT($A$429, ".", A36)</f>
        <v>AL.3.29</v>
      </c>
      <c r="B460" s="7" t="str">
        <f aca="false">_xlfn.CONCAT(B36, ": ", C36)</f>
        <v>Media and Information Technology: Worker</v>
      </c>
      <c r="C460" s="16" t="n">
        <f aca="false">P36</f>
        <v>0.02</v>
      </c>
      <c r="D460" s="16" t="n">
        <f aca="false">Q36</f>
        <v>0.025</v>
      </c>
      <c r="E460" s="16" t="n">
        <f aca="false">R36</f>
        <v>0.04</v>
      </c>
      <c r="F460" s="16" t="n">
        <f aca="false">S36</f>
        <v>0.018</v>
      </c>
    </row>
    <row r="461" customFormat="false" ht="12.8" hidden="false" customHeight="false" outlineLevel="0" collapsed="false">
      <c r="A461" s="7" t="str">
        <f aca="false">_xlfn.CONCAT($A$429, ".", A37)</f>
        <v>AL.3.30</v>
      </c>
      <c r="B461" s="7" t="str">
        <f aca="false">_xlfn.CONCAT(B37, ": ", C37)</f>
        <v>Media and Information Technology: Support</v>
      </c>
      <c r="C461" s="16" t="n">
        <f aca="false">P37</f>
        <v>0.025</v>
      </c>
      <c r="D461" s="16" t="n">
        <f aca="false">Q37</f>
        <v>0.035</v>
      </c>
      <c r="E461" s="16" t="n">
        <f aca="false">R37</f>
        <v>0.06</v>
      </c>
      <c r="F461" s="16" t="n">
        <f aca="false">S37</f>
        <v>0.022</v>
      </c>
    </row>
    <row r="559" customFormat="false" ht="12.8" hidden="false" customHeight="false" outlineLevel="0" collapsed="false">
      <c r="A559" s="5" t="s">
        <v>147</v>
      </c>
      <c r="B559" s="24" t="s">
        <v>7</v>
      </c>
      <c r="C559" s="25" t="s">
        <v>148</v>
      </c>
    </row>
    <row r="560" customFormat="false" ht="46.25" hidden="false" customHeight="false" outlineLevel="0" collapsed="false">
      <c r="A560" s="5" t="s">
        <v>26</v>
      </c>
      <c r="B560" s="26" t="s">
        <v>140</v>
      </c>
      <c r="C560" s="27" t="str">
        <f aca="false">T2</f>
        <v>Underemployment Rate</v>
      </c>
      <c r="D560" s="27" t="str">
        <f aca="false">U2</f>
        <v>Authorized Immigrant Underemployment Rate</v>
      </c>
      <c r="E560" s="27" t="str">
        <f aca="false">V2</f>
        <v>Unauthorized Immigrant Underemployment Rate</v>
      </c>
      <c r="F560" s="27" t="str">
        <f aca="false">W2</f>
        <v>American Underemployment Rate</v>
      </c>
    </row>
    <row r="561" customFormat="false" ht="12.8" hidden="false" customHeight="false" outlineLevel="0" collapsed="false">
      <c r="A561" s="1" t="str">
        <f aca="false">_xlfn.CONCAT($A$559, ".", A3)</f>
        <v>AL.4.0</v>
      </c>
      <c r="B561" s="5" t="str">
        <f aca="false">_xlfn.CONCAT(B3, ": ", C3)</f>
        <v>All Industries: All Roles</v>
      </c>
      <c r="C561" s="16" t="n">
        <f aca="false">T3</f>
        <v>0.054</v>
      </c>
      <c r="D561" s="16" t="n">
        <f aca="false">U3</f>
        <v>0.06</v>
      </c>
      <c r="E561" s="16" t="n">
        <f aca="false">V3</f>
        <v>0.09</v>
      </c>
      <c r="F561" s="16" t="n">
        <f aca="false">W3</f>
        <v>0.05</v>
      </c>
    </row>
    <row r="562" customFormat="false" ht="12.8" hidden="false" customHeight="false" outlineLevel="0" collapsed="false">
      <c r="A562" s="1" t="str">
        <f aca="false">_xlfn.CONCAT($A$559, ".", A4)</f>
        <v>AL.4.1</v>
      </c>
      <c r="B562" s="7" t="str">
        <f aca="false">_xlfn.CONCAT(B4, ": ", C4)</f>
        <v>Agriculture: Worker</v>
      </c>
      <c r="C562" s="16" t="n">
        <f aca="false">T4</f>
        <v>0.095</v>
      </c>
      <c r="D562" s="16" t="n">
        <f aca="false">U4</f>
        <v>0.11</v>
      </c>
      <c r="E562" s="16" t="n">
        <f aca="false">V4</f>
        <v>0.17</v>
      </c>
      <c r="F562" s="16" t="n">
        <f aca="false">W4</f>
        <v>0.086</v>
      </c>
    </row>
    <row r="563" customFormat="false" ht="12.8" hidden="false" customHeight="false" outlineLevel="0" collapsed="false">
      <c r="A563" s="1" t="str">
        <f aca="false">_xlfn.CONCAT($A$559, ".", A5)</f>
        <v>AL.4.2</v>
      </c>
      <c r="B563" s="7" t="str">
        <f aca="false">_xlfn.CONCAT(B5, ": ", C5)</f>
        <v>Agriculture: Support</v>
      </c>
      <c r="C563" s="16" t="n">
        <f aca="false">T5</f>
        <v>0.095</v>
      </c>
      <c r="D563" s="16" t="n">
        <f aca="false">U5</f>
        <v>0.11</v>
      </c>
      <c r="E563" s="16" t="n">
        <f aca="false">V5</f>
        <v>0.17</v>
      </c>
      <c r="F563" s="16" t="n">
        <f aca="false">W5</f>
        <v>0.086</v>
      </c>
    </row>
    <row r="564" customFormat="false" ht="12.8" hidden="false" customHeight="false" outlineLevel="0" collapsed="false">
      <c r="A564" s="1" t="str">
        <f aca="false">_xlfn.CONCAT($A$559, ".", A6)</f>
        <v>AL.4.3</v>
      </c>
      <c r="B564" s="7" t="str">
        <f aca="false">_xlfn.CONCAT(B6, ": ", C6)</f>
        <v>Construction: Worker</v>
      </c>
      <c r="C564" s="16" t="n">
        <f aca="false">T6</f>
        <v>0.07</v>
      </c>
      <c r="D564" s="16" t="n">
        <f aca="false">U6</f>
        <v>0.08</v>
      </c>
      <c r="E564" s="16" t="n">
        <f aca="false">V6</f>
        <v>0.14</v>
      </c>
      <c r="F564" s="16" t="n">
        <f aca="false">W6</f>
        <v>0.064</v>
      </c>
    </row>
    <row r="565" customFormat="false" ht="12.8" hidden="false" customHeight="false" outlineLevel="0" collapsed="false">
      <c r="A565" s="1" t="str">
        <f aca="false">_xlfn.CONCAT($A$559, ".", A7)</f>
        <v>AL.4.4</v>
      </c>
      <c r="B565" s="7" t="str">
        <f aca="false">_xlfn.CONCAT(B7, ": ", C7)</f>
        <v>Construction: Support</v>
      </c>
      <c r="C565" s="16" t="n">
        <f aca="false">T7</f>
        <v>0.07</v>
      </c>
      <c r="D565" s="16" t="n">
        <f aca="false">U7</f>
        <v>0.08</v>
      </c>
      <c r="E565" s="16" t="n">
        <f aca="false">V7</f>
        <v>0.14</v>
      </c>
      <c r="F565" s="16" t="n">
        <f aca="false">W7</f>
        <v>0.064</v>
      </c>
    </row>
    <row r="566" customFormat="false" ht="12.8" hidden="false" customHeight="false" outlineLevel="0" collapsed="false">
      <c r="A566" s="1" t="str">
        <f aca="false">_xlfn.CONCAT($A$559, ".", A8)</f>
        <v>AL.4.5</v>
      </c>
      <c r="B566" s="7" t="str">
        <f aca="false">_xlfn.CONCAT(B8, ": ", C8)</f>
        <v>Hospitality: Worker</v>
      </c>
      <c r="C566" s="16" t="n">
        <f aca="false">T8</f>
        <v>0.085</v>
      </c>
      <c r="D566" s="16" t="n">
        <f aca="false">U8</f>
        <v>0.1</v>
      </c>
      <c r="E566" s="16" t="n">
        <f aca="false">V8</f>
        <v>0.18</v>
      </c>
      <c r="F566" s="16" t="n">
        <f aca="false">W8</f>
        <v>0.077</v>
      </c>
    </row>
    <row r="567" customFormat="false" ht="12.8" hidden="false" customHeight="false" outlineLevel="0" collapsed="false">
      <c r="A567" s="1" t="str">
        <f aca="false">_xlfn.CONCAT($A$559, ".", A9)</f>
        <v>AL.4.6</v>
      </c>
      <c r="B567" s="7" t="str">
        <f aca="false">_xlfn.CONCAT(B9, ": ", C9)</f>
        <v>Hospitality: Support</v>
      </c>
      <c r="C567" s="16" t="n">
        <f aca="false">T9</f>
        <v>0.085</v>
      </c>
      <c r="D567" s="16" t="n">
        <f aca="false">U9</f>
        <v>0.1</v>
      </c>
      <c r="E567" s="16" t="n">
        <f aca="false">V9</f>
        <v>0.18</v>
      </c>
      <c r="F567" s="16" t="n">
        <f aca="false">W9</f>
        <v>0.077</v>
      </c>
    </row>
    <row r="568" customFormat="false" ht="12.8" hidden="false" customHeight="false" outlineLevel="0" collapsed="false">
      <c r="A568" s="1" t="str">
        <f aca="false">_xlfn.CONCAT($A$559, ".", A10)</f>
        <v>AL.4.7</v>
      </c>
      <c r="B568" s="7" t="str">
        <f aca="false">_xlfn.CONCAT(B10, ": ", C10)</f>
        <v>Cleaning &amp; Maintenance: Worker</v>
      </c>
      <c r="C568" s="16" t="n">
        <f aca="false">T10</f>
        <v>0.09</v>
      </c>
      <c r="D568" s="16" t="n">
        <f aca="false">U10</f>
        <v>0.105</v>
      </c>
      <c r="E568" s="16" t="n">
        <f aca="false">V10</f>
        <v>0.19</v>
      </c>
      <c r="F568" s="16" t="n">
        <f aca="false">W10</f>
        <v>0.081</v>
      </c>
    </row>
    <row r="569" customFormat="false" ht="12.8" hidden="false" customHeight="false" outlineLevel="0" collapsed="false">
      <c r="A569" s="1" t="str">
        <f aca="false">_xlfn.CONCAT($A$559, ".", A11)</f>
        <v>AL.4.8</v>
      </c>
      <c r="B569" s="7" t="str">
        <f aca="false">_xlfn.CONCAT(B11, ": ", C11)</f>
        <v>Cleaning &amp; Maintenance: Support</v>
      </c>
      <c r="C569" s="16" t="n">
        <f aca="false">T11</f>
        <v>0.09</v>
      </c>
      <c r="D569" s="16" t="n">
        <f aca="false">U11</f>
        <v>0.105</v>
      </c>
      <c r="E569" s="16" t="n">
        <f aca="false">V11</f>
        <v>0.19</v>
      </c>
      <c r="F569" s="16" t="n">
        <f aca="false">W11</f>
        <v>0.081</v>
      </c>
    </row>
    <row r="570" customFormat="false" ht="12.8" hidden="false" customHeight="false" outlineLevel="0" collapsed="false">
      <c r="A570" s="1" t="str">
        <f aca="false">_xlfn.CONCAT($A$559, ".", A12)</f>
        <v>AL.4.9</v>
      </c>
      <c r="B570" s="7" t="str">
        <f aca="false">_xlfn.CONCAT(B12, ": ", C12)</f>
        <v>Manufacturing: Worker</v>
      </c>
      <c r="C570" s="16" t="n">
        <f aca="false">T12</f>
        <v>0.045</v>
      </c>
      <c r="D570" s="16" t="n">
        <f aca="false">U12</f>
        <v>0.052</v>
      </c>
      <c r="E570" s="16" t="n">
        <f aca="false">V12</f>
        <v>0.094</v>
      </c>
      <c r="F570" s="16" t="n">
        <f aca="false">W12</f>
        <v>0.041</v>
      </c>
    </row>
    <row r="571" customFormat="false" ht="12.8" hidden="false" customHeight="false" outlineLevel="0" collapsed="false">
      <c r="A571" s="1" t="str">
        <f aca="false">_xlfn.CONCAT($A$559, ".", A13)</f>
        <v>AL.4.10</v>
      </c>
      <c r="B571" s="7" t="str">
        <f aca="false">_xlfn.CONCAT(B13, ": ", C13)</f>
        <v>Manufacturing: Support</v>
      </c>
      <c r="C571" s="16" t="n">
        <f aca="false">T13</f>
        <v>0.045</v>
      </c>
      <c r="D571" s="16" t="n">
        <f aca="false">U13</f>
        <v>0.052</v>
      </c>
      <c r="E571" s="16" t="n">
        <f aca="false">V13</f>
        <v>0.094</v>
      </c>
      <c r="F571" s="16" t="n">
        <f aca="false">W13</f>
        <v>0.041</v>
      </c>
    </row>
    <row r="572" customFormat="false" ht="12.8" hidden="false" customHeight="false" outlineLevel="0" collapsed="false">
      <c r="A572" s="1" t="str">
        <f aca="false">_xlfn.CONCAT($A$559, ".", A14)</f>
        <v>AL.4.11</v>
      </c>
      <c r="B572" s="7" t="str">
        <f aca="false">_xlfn.CONCAT(B14, ": ", C14)</f>
        <v>Transportation &amp; Warehousing: Worker</v>
      </c>
      <c r="C572" s="16" t="n">
        <f aca="false">T14</f>
        <v>0.05</v>
      </c>
      <c r="D572" s="16" t="n">
        <f aca="false">U14</f>
        <v>0.058</v>
      </c>
      <c r="E572" s="16" t="n">
        <f aca="false">V14</f>
        <v>0.105</v>
      </c>
      <c r="F572" s="16" t="n">
        <f aca="false">W14</f>
        <v>0.045</v>
      </c>
    </row>
    <row r="573" customFormat="false" ht="12.8" hidden="false" customHeight="false" outlineLevel="0" collapsed="false">
      <c r="A573" s="1" t="str">
        <f aca="false">_xlfn.CONCAT($A$559, ".", A15)</f>
        <v>AL.4.12</v>
      </c>
      <c r="B573" s="7" t="str">
        <f aca="false">_xlfn.CONCAT(B15, ": ", C15)</f>
        <v>Transportation &amp; Warehousing: Support</v>
      </c>
      <c r="C573" s="16" t="n">
        <f aca="false">T15</f>
        <v>0.05</v>
      </c>
      <c r="D573" s="16" t="n">
        <f aca="false">U15</f>
        <v>0.058</v>
      </c>
      <c r="E573" s="16" t="n">
        <f aca="false">V15</f>
        <v>0.105</v>
      </c>
      <c r="F573" s="16" t="n">
        <f aca="false">W15</f>
        <v>0.045</v>
      </c>
    </row>
    <row r="574" customFormat="false" ht="12.8" hidden="false" customHeight="false" outlineLevel="0" collapsed="false">
      <c r="A574" s="1" t="str">
        <f aca="false">_xlfn.CONCAT($A$559, ".", A16)</f>
        <v>AL.4.13</v>
      </c>
      <c r="B574" s="7" t="str">
        <f aca="false">_xlfn.CONCAT(B16, ": ", C16)</f>
        <v>Retail Trade: Worker</v>
      </c>
      <c r="C574" s="16" t="n">
        <f aca="false">T16</f>
        <v>0.085</v>
      </c>
      <c r="D574" s="16" t="n">
        <f aca="false">U16</f>
        <v>0.1</v>
      </c>
      <c r="E574" s="16" t="n">
        <f aca="false">V16</f>
        <v>0.18</v>
      </c>
      <c r="F574" s="16" t="n">
        <f aca="false">W16</f>
        <v>0.077</v>
      </c>
    </row>
    <row r="575" customFormat="false" ht="12.8" hidden="false" customHeight="false" outlineLevel="0" collapsed="false">
      <c r="A575" s="1" t="str">
        <f aca="false">_xlfn.CONCAT($A$559, ".", A17)</f>
        <v>AL.4.14</v>
      </c>
      <c r="B575" s="7" t="str">
        <f aca="false">_xlfn.CONCAT(B17, ": ", C17)</f>
        <v>Retail Trade: Support</v>
      </c>
      <c r="C575" s="16" t="n">
        <f aca="false">T17</f>
        <v>0.085</v>
      </c>
      <c r="D575" s="16" t="n">
        <f aca="false">U17</f>
        <v>0.1</v>
      </c>
      <c r="E575" s="16" t="n">
        <f aca="false">V17</f>
        <v>0.18</v>
      </c>
      <c r="F575" s="16" t="n">
        <f aca="false">W17</f>
        <v>0.077</v>
      </c>
    </row>
    <row r="576" customFormat="false" ht="12.8" hidden="false" customHeight="false" outlineLevel="0" collapsed="false">
      <c r="A576" s="1" t="str">
        <f aca="false">_xlfn.CONCAT($A$559, ".", A18)</f>
        <v>AL.4.15</v>
      </c>
      <c r="B576" s="7" t="str">
        <f aca="false">_xlfn.CONCAT(B18, ": ", C18)</f>
        <v>Landscaping / Groundskeeping: Worker</v>
      </c>
      <c r="C576" s="16" t="n">
        <f aca="false">T18</f>
        <v>0.095</v>
      </c>
      <c r="D576" s="16" t="n">
        <f aca="false">U18</f>
        <v>0.11</v>
      </c>
      <c r="E576" s="16" t="n">
        <f aca="false">V18</f>
        <v>0.17</v>
      </c>
      <c r="F576" s="16" t="n">
        <f aca="false">W18</f>
        <v>0.086</v>
      </c>
    </row>
    <row r="577" customFormat="false" ht="12.8" hidden="false" customHeight="false" outlineLevel="0" collapsed="false">
      <c r="A577" s="1" t="str">
        <f aca="false">_xlfn.CONCAT($A$559, ".", A19)</f>
        <v>AL.4.16</v>
      </c>
      <c r="B577" s="7" t="str">
        <f aca="false">_xlfn.CONCAT(B19, ": ", C19)</f>
        <v>Landscaping / Groundskeeping: Support</v>
      </c>
      <c r="C577" s="16" t="n">
        <f aca="false">T19</f>
        <v>0.095</v>
      </c>
      <c r="D577" s="16" t="n">
        <f aca="false">U19</f>
        <v>0.11</v>
      </c>
      <c r="E577" s="16" t="n">
        <f aca="false">V19</f>
        <v>0.17</v>
      </c>
      <c r="F577" s="16" t="n">
        <f aca="false">W19</f>
        <v>0.086</v>
      </c>
    </row>
    <row r="578" customFormat="false" ht="12.8" hidden="false" customHeight="false" outlineLevel="0" collapsed="false">
      <c r="A578" s="1" t="str">
        <f aca="false">_xlfn.CONCAT($A$559, ".", A20)</f>
        <v>AL.4.17</v>
      </c>
      <c r="B578" s="7" t="str">
        <f aca="false">_xlfn.CONCAT(B20, ": ", C20)</f>
        <v>Automotive &amp; Repair: Worker</v>
      </c>
      <c r="C578" s="16" t="n">
        <f aca="false">T20</f>
        <v>0.07</v>
      </c>
      <c r="D578" s="16" t="n">
        <f aca="false">U20</f>
        <v>0.08</v>
      </c>
      <c r="E578" s="16" t="n">
        <f aca="false">V20</f>
        <v>0.14</v>
      </c>
      <c r="F578" s="16" t="n">
        <f aca="false">W20</f>
        <v>0.064</v>
      </c>
    </row>
    <row r="579" customFormat="false" ht="12.8" hidden="false" customHeight="false" outlineLevel="0" collapsed="false">
      <c r="A579" s="1" t="str">
        <f aca="false">_xlfn.CONCAT($A$559, ".", A21)</f>
        <v>AL.4.18</v>
      </c>
      <c r="B579" s="7" t="str">
        <f aca="false">_xlfn.CONCAT(B21, ": ", C21)</f>
        <v>Automotive &amp; Repair: Support</v>
      </c>
      <c r="C579" s="16" t="n">
        <f aca="false">T21</f>
        <v>0.07</v>
      </c>
      <c r="D579" s="16" t="n">
        <f aca="false">U21</f>
        <v>0.08</v>
      </c>
      <c r="E579" s="16" t="n">
        <f aca="false">V21</f>
        <v>0.14</v>
      </c>
      <c r="F579" s="16" t="n">
        <f aca="false">W21</f>
        <v>0.064</v>
      </c>
    </row>
    <row r="580" customFormat="false" ht="12.8" hidden="false" customHeight="false" outlineLevel="0" collapsed="false">
      <c r="A580" s="1" t="str">
        <f aca="false">_xlfn.CONCAT($A$559, ".", A22)</f>
        <v>AL.4.19</v>
      </c>
      <c r="B580" s="7" t="str">
        <f aca="false">_xlfn.CONCAT(B22, ": ", C22)</f>
        <v>Other Services: Worker</v>
      </c>
      <c r="C580" s="16" t="n">
        <f aca="false">T22</f>
        <v>0.085</v>
      </c>
      <c r="D580" s="16" t="n">
        <f aca="false">U22</f>
        <v>0.1</v>
      </c>
      <c r="E580" s="16" t="n">
        <f aca="false">V22</f>
        <v>0.18</v>
      </c>
      <c r="F580" s="16" t="n">
        <f aca="false">W22</f>
        <v>0.077</v>
      </c>
    </row>
    <row r="581" customFormat="false" ht="12.8" hidden="false" customHeight="false" outlineLevel="0" collapsed="false">
      <c r="A581" s="1" t="str">
        <f aca="false">_xlfn.CONCAT($A$559, ".", A23)</f>
        <v>AL.4.20</v>
      </c>
      <c r="B581" s="7" t="str">
        <f aca="false">_xlfn.CONCAT(B23, ": ", C23)</f>
        <v>Other Services: Support</v>
      </c>
      <c r="C581" s="16" t="n">
        <f aca="false">T23</f>
        <v>0.085</v>
      </c>
      <c r="D581" s="16" t="n">
        <f aca="false">U23</f>
        <v>0.1</v>
      </c>
      <c r="E581" s="16" t="n">
        <f aca="false">V23</f>
        <v>0.18</v>
      </c>
      <c r="F581" s="16" t="n">
        <f aca="false">W23</f>
        <v>0.077</v>
      </c>
    </row>
    <row r="582" customFormat="false" ht="12.8" hidden="false" customHeight="false" outlineLevel="0" collapsed="false">
      <c r="A582" s="1" t="str">
        <f aca="false">_xlfn.CONCAT($A$559, ".", A24)</f>
        <v>AL.4.21</v>
      </c>
      <c r="B582" s="7" t="str">
        <f aca="false">_xlfn.CONCAT(B24, ": ", C24)</f>
        <v>Healthcare &amp; Social Assistance: Worker</v>
      </c>
      <c r="C582" s="16" t="n">
        <f aca="false">T24</f>
        <v>0.062</v>
      </c>
      <c r="D582" s="16" t="n">
        <f aca="false">U24</f>
        <v>0.07</v>
      </c>
      <c r="E582" s="16" t="n">
        <f aca="false">V24</f>
        <v>0.105</v>
      </c>
      <c r="F582" s="16" t="n">
        <f aca="false">W24</f>
        <v>0.058</v>
      </c>
    </row>
    <row r="583" customFormat="false" ht="12.8" hidden="false" customHeight="false" outlineLevel="0" collapsed="false">
      <c r="A583" s="1" t="str">
        <f aca="false">_xlfn.CONCAT($A$559, ".", A25)</f>
        <v>AL.4.22</v>
      </c>
      <c r="B583" s="7" t="str">
        <f aca="false">_xlfn.CONCAT(B25, ": ", C25)</f>
        <v>Healthcare &amp; Social Assistance: Support</v>
      </c>
      <c r="C583" s="16" t="n">
        <f aca="false">T25</f>
        <v>0.085</v>
      </c>
      <c r="D583" s="16" t="n">
        <f aca="false">U25</f>
        <v>0.095</v>
      </c>
      <c r="E583" s="16" t="n">
        <f aca="false">V25</f>
        <v>0.14</v>
      </c>
      <c r="F583" s="16" t="n">
        <f aca="false">W25</f>
        <v>0.08</v>
      </c>
    </row>
    <row r="584" customFormat="false" ht="12.8" hidden="false" customHeight="false" outlineLevel="0" collapsed="false">
      <c r="A584" s="1" t="str">
        <f aca="false">_xlfn.CONCAT($A$559, ".", A26)</f>
        <v>AL.4.23</v>
      </c>
      <c r="B584" s="7" t="str">
        <f aca="false">_xlfn.CONCAT(B26, ": ", C26)</f>
        <v>Professional Services: Worker</v>
      </c>
      <c r="C584" s="16" t="n">
        <f aca="false">T26</f>
        <v>0.04</v>
      </c>
      <c r="D584" s="16" t="n">
        <f aca="false">U26</f>
        <v>0.045</v>
      </c>
      <c r="E584" s="16" t="n">
        <f aca="false">V26</f>
        <v>0.07</v>
      </c>
      <c r="F584" s="16" t="n">
        <f aca="false">W26</f>
        <v>0.038</v>
      </c>
    </row>
    <row r="585" customFormat="false" ht="12.8" hidden="false" customHeight="false" outlineLevel="0" collapsed="false">
      <c r="A585" s="1" t="str">
        <f aca="false">_xlfn.CONCAT($A$559, ".", A27)</f>
        <v>AL.4.24</v>
      </c>
      <c r="B585" s="7" t="str">
        <f aca="false">_xlfn.CONCAT(B27, ": ", C27)</f>
        <v>Professional Services: Support</v>
      </c>
      <c r="C585" s="16" t="n">
        <f aca="false">T27</f>
        <v>0.055</v>
      </c>
      <c r="D585" s="16" t="n">
        <f aca="false">U27</f>
        <v>0.062</v>
      </c>
      <c r="E585" s="16" t="n">
        <f aca="false">V27</f>
        <v>0.095</v>
      </c>
      <c r="F585" s="16" t="n">
        <f aca="false">W27</f>
        <v>0.052</v>
      </c>
    </row>
    <row r="586" customFormat="false" ht="12.8" hidden="false" customHeight="false" outlineLevel="0" collapsed="false">
      <c r="A586" s="1" t="str">
        <f aca="false">_xlfn.CONCAT($A$559, ".", A28)</f>
        <v>AL.4.25</v>
      </c>
      <c r="B586" s="7" t="str">
        <f aca="false">_xlfn.CONCAT(B28, ": ", C28)</f>
        <v>Educational Services: Worker</v>
      </c>
      <c r="C586" s="16" t="n">
        <f aca="false">T28</f>
        <v>0.07</v>
      </c>
      <c r="D586" s="16" t="n">
        <f aca="false">U28</f>
        <v>0.08</v>
      </c>
      <c r="E586" s="16" t="n">
        <f aca="false">V28</f>
        <v>0.12</v>
      </c>
      <c r="F586" s="16" t="n">
        <f aca="false">W28</f>
        <v>0.065</v>
      </c>
    </row>
    <row r="587" customFormat="false" ht="12.8" hidden="false" customHeight="false" outlineLevel="0" collapsed="false">
      <c r="A587" s="1" t="str">
        <f aca="false">_xlfn.CONCAT($A$559, ".", A29)</f>
        <v>AL.4.26</v>
      </c>
      <c r="B587" s="7" t="str">
        <f aca="false">_xlfn.CONCAT(B29, ": ", C29)</f>
        <v>Educational Services: Support</v>
      </c>
      <c r="C587" s="16" t="n">
        <f aca="false">T29</f>
        <v>0.09</v>
      </c>
      <c r="D587" s="16" t="n">
        <f aca="false">U29</f>
        <v>0.105</v>
      </c>
      <c r="E587" s="16" t="n">
        <f aca="false">V29</f>
        <v>0.15</v>
      </c>
      <c r="F587" s="16" t="n">
        <f aca="false">W29</f>
        <v>0.085</v>
      </c>
    </row>
    <row r="588" customFormat="false" ht="12.8" hidden="false" customHeight="false" outlineLevel="0" collapsed="false">
      <c r="A588" s="1" t="str">
        <f aca="false">_xlfn.CONCAT($A$559, ".", A30)</f>
        <v>AL.4.27</v>
      </c>
      <c r="B588" s="7" t="str">
        <f aca="false">_xlfn.CONCAT(B30, ": ", C30)</f>
        <v>Finance &amp; Insurance: Worker</v>
      </c>
      <c r="C588" s="16" t="n">
        <f aca="false">T30</f>
        <v>0.035</v>
      </c>
      <c r="D588" s="16" t="n">
        <f aca="false">U30</f>
        <v>0.04</v>
      </c>
      <c r="E588" s="16" t="n">
        <f aca="false">V30</f>
        <v>0.06</v>
      </c>
      <c r="F588" s="16" t="n">
        <f aca="false">W30</f>
        <v>0.033</v>
      </c>
    </row>
    <row r="589" customFormat="false" ht="12.8" hidden="false" customHeight="false" outlineLevel="0" collapsed="false">
      <c r="A589" s="1" t="str">
        <f aca="false">_xlfn.CONCAT($A$559, ".", A31)</f>
        <v>AL.4.28</v>
      </c>
      <c r="B589" s="7" t="str">
        <f aca="false">_xlfn.CONCAT(B31, ": ", C31)</f>
        <v>Finance &amp; Insurance: Support</v>
      </c>
      <c r="C589" s="16" t="n">
        <f aca="false">T31</f>
        <v>0.05</v>
      </c>
      <c r="D589" s="16" t="n">
        <f aca="false">U31</f>
        <v>0.055</v>
      </c>
      <c r="E589" s="16" t="n">
        <f aca="false">V31</f>
        <v>0.085</v>
      </c>
      <c r="F589" s="16" t="n">
        <f aca="false">W31</f>
        <v>0.048</v>
      </c>
    </row>
    <row r="590" customFormat="false" ht="12.8" hidden="false" customHeight="false" outlineLevel="0" collapsed="false">
      <c r="A590" s="1" t="str">
        <f aca="false">_xlfn.CONCAT($A$559, ".", A36)</f>
        <v>AL.4.29</v>
      </c>
      <c r="B590" s="7" t="str">
        <f aca="false">_xlfn.CONCAT(B36, ": ", C36)</f>
        <v>Media and Information Technology: Worker</v>
      </c>
      <c r="C590" s="16" t="n">
        <f aca="false">T36</f>
        <v>0.045</v>
      </c>
      <c r="D590" s="16" t="n">
        <f aca="false">U36</f>
        <v>0.05</v>
      </c>
      <c r="E590" s="16" t="n">
        <f aca="false">V36</f>
        <v>0.075</v>
      </c>
      <c r="F590" s="16" t="n">
        <f aca="false">W36</f>
        <v>0.042</v>
      </c>
    </row>
    <row r="591" customFormat="false" ht="12.8" hidden="false" customHeight="false" outlineLevel="0" collapsed="false">
      <c r="A591" s="1" t="str">
        <f aca="false">_xlfn.CONCAT($A$559, ".", A37)</f>
        <v>AL.4.30</v>
      </c>
      <c r="B591" s="7" t="str">
        <f aca="false">_xlfn.CONCAT(B37, ": ", C37)</f>
        <v>Media and Information Technology: Support</v>
      </c>
      <c r="C591" s="16" t="n">
        <f aca="false">T37</f>
        <v>0.06</v>
      </c>
      <c r="D591" s="16" t="n">
        <f aca="false">U37</f>
        <v>0.067</v>
      </c>
      <c r="E591" s="16" t="n">
        <f aca="false">V37</f>
        <v>0.1</v>
      </c>
      <c r="F591" s="16" t="n">
        <f aca="false">W37</f>
        <v>0.055</v>
      </c>
    </row>
    <row r="592" customFormat="false" ht="12.8" hidden="false" customHeight="false" outlineLevel="0" collapsed="false">
      <c r="A592" s="1"/>
      <c r="B592" s="7"/>
      <c r="C592" s="16"/>
      <c r="D592" s="16"/>
      <c r="E592" s="16"/>
      <c r="F592" s="16"/>
    </row>
    <row r="593" customFormat="false" ht="12.8" hidden="false" customHeight="false" outlineLevel="0" collapsed="false">
      <c r="A593" s="1"/>
      <c r="B593" s="7"/>
      <c r="C593" s="16"/>
      <c r="D593" s="16"/>
      <c r="E593" s="16"/>
      <c r="F593" s="16"/>
    </row>
    <row r="594" customFormat="false" ht="12.8" hidden="false" customHeight="false" outlineLevel="0" collapsed="false">
      <c r="A594" s="1"/>
      <c r="B594" s="7"/>
      <c r="C594" s="16"/>
      <c r="D594" s="16"/>
      <c r="E594" s="16"/>
      <c r="F594" s="16"/>
    </row>
    <row r="595" customFormat="false" ht="12.8" hidden="false" customHeight="false" outlineLevel="0" collapsed="false">
      <c r="A595" s="1"/>
      <c r="B595" s="7"/>
      <c r="C595" s="16"/>
      <c r="D595" s="16"/>
      <c r="E595" s="16"/>
      <c r="F595" s="16"/>
    </row>
    <row r="596" customFormat="false" ht="12.8" hidden="false" customHeight="false" outlineLevel="0" collapsed="false">
      <c r="A596" s="1"/>
      <c r="B596" s="7"/>
      <c r="C596" s="16"/>
      <c r="D596" s="16"/>
      <c r="E596" s="16"/>
      <c r="F596" s="16"/>
    </row>
    <row r="597" customFormat="false" ht="12.8" hidden="false" customHeight="false" outlineLevel="0" collapsed="false">
      <c r="A597" s="1"/>
      <c r="B597" s="7"/>
      <c r="C597" s="16"/>
      <c r="D597" s="16"/>
      <c r="E597" s="16"/>
      <c r="F597" s="16"/>
    </row>
    <row r="598" customFormat="false" ht="12.8" hidden="false" customHeight="false" outlineLevel="0" collapsed="false">
      <c r="A598" s="1"/>
      <c r="B598" s="7"/>
      <c r="C598" s="16"/>
      <c r="D598" s="16"/>
      <c r="E598" s="16"/>
      <c r="F598" s="16"/>
    </row>
    <row r="599" customFormat="false" ht="12.8" hidden="false" customHeight="false" outlineLevel="0" collapsed="false">
      <c r="A599" s="1"/>
      <c r="B599" s="7"/>
      <c r="C599" s="16"/>
      <c r="D599" s="16"/>
      <c r="E599" s="16"/>
      <c r="F599" s="16"/>
    </row>
    <row r="600" customFormat="false" ht="12.8" hidden="false" customHeight="false" outlineLevel="0" collapsed="false">
      <c r="A600" s="1"/>
      <c r="B600" s="7"/>
      <c r="C600" s="16"/>
      <c r="D600" s="16"/>
      <c r="E600" s="16"/>
      <c r="F600" s="16"/>
    </row>
    <row r="601" customFormat="false" ht="12.8" hidden="false" customHeight="false" outlineLevel="0" collapsed="false">
      <c r="A601" s="1"/>
      <c r="B601" s="7"/>
      <c r="C601" s="16"/>
      <c r="D601" s="16"/>
      <c r="E601" s="16"/>
      <c r="F601" s="16"/>
    </row>
    <row r="602" customFormat="false" ht="12.8" hidden="false" customHeight="false" outlineLevel="0" collapsed="false">
      <c r="A602" s="1"/>
      <c r="B602" s="7"/>
      <c r="C602" s="16"/>
      <c r="D602" s="16"/>
      <c r="E602" s="16"/>
      <c r="F602" s="16"/>
    </row>
    <row r="603" customFormat="false" ht="12.8" hidden="false" customHeight="false" outlineLevel="0" collapsed="false">
      <c r="A603" s="1"/>
      <c r="B603" s="7"/>
      <c r="C603" s="16"/>
      <c r="D603" s="16"/>
      <c r="E603" s="16"/>
      <c r="F603" s="16"/>
    </row>
    <row r="604" customFormat="false" ht="12.8" hidden="false" customHeight="false" outlineLevel="0" collapsed="false">
      <c r="A604" s="1"/>
      <c r="B604" s="7"/>
      <c r="C604" s="16"/>
      <c r="D604" s="16"/>
      <c r="E604" s="16"/>
      <c r="F604" s="16"/>
    </row>
    <row r="605" customFormat="false" ht="12.8" hidden="false" customHeight="false" outlineLevel="0" collapsed="false">
      <c r="A605" s="1"/>
      <c r="B605" s="7"/>
      <c r="C605" s="16"/>
      <c r="D605" s="16"/>
      <c r="E605" s="16"/>
      <c r="F605" s="16"/>
    </row>
    <row r="606" customFormat="false" ht="12.8" hidden="false" customHeight="false" outlineLevel="0" collapsed="false">
      <c r="A606" s="1"/>
      <c r="B606" s="7"/>
      <c r="C606" s="16"/>
      <c r="D606" s="16"/>
      <c r="E606" s="16"/>
      <c r="F606" s="16"/>
    </row>
    <row r="607" customFormat="false" ht="12.8" hidden="false" customHeight="false" outlineLevel="0" collapsed="false">
      <c r="A607" s="1"/>
      <c r="B607" s="7"/>
      <c r="C607" s="16"/>
      <c r="D607" s="16"/>
      <c r="E607" s="16"/>
      <c r="F607" s="16"/>
    </row>
    <row r="608" customFormat="false" ht="12.8" hidden="false" customHeight="false" outlineLevel="0" collapsed="false">
      <c r="A608" s="1"/>
      <c r="B608" s="7"/>
      <c r="C608" s="16"/>
      <c r="D608" s="16"/>
      <c r="E608" s="16"/>
      <c r="F608" s="16"/>
    </row>
    <row r="609" customFormat="false" ht="12.8" hidden="false" customHeight="false" outlineLevel="0" collapsed="false">
      <c r="A609" s="1"/>
      <c r="B609" s="7"/>
      <c r="C609" s="16"/>
      <c r="D609" s="16"/>
      <c r="E609" s="16"/>
      <c r="F609" s="16"/>
    </row>
    <row r="610" customFormat="false" ht="12.8" hidden="false" customHeight="false" outlineLevel="0" collapsed="false">
      <c r="A610" s="1"/>
      <c r="B610" s="7"/>
      <c r="C610" s="16"/>
      <c r="D610" s="16"/>
      <c r="E610" s="16"/>
      <c r="F610" s="16"/>
    </row>
    <row r="689" customFormat="false" ht="12.8" hidden="false" customHeight="false" outlineLevel="0" collapsed="false">
      <c r="A689" s="5" t="s">
        <v>149</v>
      </c>
      <c r="B689" s="24" t="s">
        <v>7</v>
      </c>
      <c r="C689" s="25" t="s">
        <v>150</v>
      </c>
    </row>
    <row r="690" customFormat="false" ht="35.05" hidden="false" customHeight="false" outlineLevel="0" collapsed="false">
      <c r="A690" s="5" t="s">
        <v>26</v>
      </c>
      <c r="B690" s="5" t="str">
        <f aca="false">_xlfn.CONCAT(B2, ": ", C2)</f>
        <v>Industry: Role</v>
      </c>
      <c r="C690" s="26" t="str">
        <f aca="false">X2</f>
        <v>Wage Average ($/hr)</v>
      </c>
      <c r="D690" s="26" t="str">
        <f aca="false">AD2</f>
        <v>Authorized Immigrant Wage Average ($/hr)</v>
      </c>
      <c r="E690" s="26" t="str">
        <f aca="false">AJ2</f>
        <v>Unauthorized Immigrant Wage Average ($/hr)</v>
      </c>
      <c r="F690" s="26" t="str">
        <f aca="false">AP2</f>
        <v>American Wage Average ($/hr)</v>
      </c>
    </row>
    <row r="691" customFormat="false" ht="12.8" hidden="false" customHeight="false" outlineLevel="0" collapsed="false">
      <c r="A691" s="1" t="str">
        <f aca="false">_xlfn.CONCAT($A$689, ".", A3)</f>
        <v>AL.5.0</v>
      </c>
      <c r="B691" s="5" t="str">
        <f aca="false">_xlfn.CONCAT(B3, ": ", C3)</f>
        <v>All Industries: All Roles</v>
      </c>
      <c r="C691" s="28" t="n">
        <f aca="false">X3</f>
        <v>24.2</v>
      </c>
      <c r="D691" s="29" t="n">
        <f aca="false">AD3</f>
        <v>23.5</v>
      </c>
      <c r="E691" s="29" t="n">
        <f aca="false">AJ3</f>
        <v>20.5</v>
      </c>
      <c r="F691" s="29" t="n">
        <f aca="false">AP3</f>
        <v>24.6</v>
      </c>
    </row>
    <row r="692" customFormat="false" ht="12.8" hidden="false" customHeight="false" outlineLevel="0" collapsed="false">
      <c r="A692" s="7" t="str">
        <f aca="false">_xlfn.CONCAT($A$689, ".", A4)</f>
        <v>AL.5.1</v>
      </c>
      <c r="B692" s="7" t="str">
        <f aca="false">_xlfn.CONCAT(B4, ": ", C4)</f>
        <v>Agriculture: Worker</v>
      </c>
      <c r="C692" s="20" t="n">
        <f aca="false">X4</f>
        <v>18</v>
      </c>
      <c r="D692" s="22" t="n">
        <f aca="false">AD4</f>
        <v>17.4</v>
      </c>
      <c r="E692" s="22" t="n">
        <f aca="false">AJ4</f>
        <v>15.3</v>
      </c>
      <c r="F692" s="22" t="n">
        <f aca="false">AP4</f>
        <v>18.3</v>
      </c>
    </row>
    <row r="693" customFormat="false" ht="12.8" hidden="false" customHeight="false" outlineLevel="0" collapsed="false">
      <c r="A693" s="7" t="str">
        <f aca="false">_xlfn.CONCAT($A$689, ".", A5)</f>
        <v>AL.5.2</v>
      </c>
      <c r="B693" s="7" t="str">
        <f aca="false">_xlfn.CONCAT(B5, ": ", C5)</f>
        <v>Agriculture: Support</v>
      </c>
      <c r="C693" s="20" t="n">
        <f aca="false">X5</f>
        <v>15.3</v>
      </c>
      <c r="D693" s="22" t="n">
        <f aca="false">AD5</f>
        <v>14.8</v>
      </c>
      <c r="E693" s="22" t="n">
        <f aca="false">AJ5</f>
        <v>13</v>
      </c>
      <c r="F693" s="22" t="n">
        <f aca="false">AP5</f>
        <v>15.6</v>
      </c>
    </row>
    <row r="694" customFormat="false" ht="12.8" hidden="false" customHeight="false" outlineLevel="0" collapsed="false">
      <c r="A694" s="7" t="str">
        <f aca="false">_xlfn.CONCAT($A$689, ".", A6)</f>
        <v>AL.5.3</v>
      </c>
      <c r="B694" s="7" t="str">
        <f aca="false">_xlfn.CONCAT(B6, ": ", C6)</f>
        <v>Construction: Worker</v>
      </c>
      <c r="C694" s="20" t="n">
        <f aca="false">X6</f>
        <v>28</v>
      </c>
      <c r="D694" s="22" t="n">
        <f aca="false">AD6</f>
        <v>27.1</v>
      </c>
      <c r="E694" s="22" t="n">
        <f aca="false">AJ6</f>
        <v>24</v>
      </c>
      <c r="F694" s="22" t="n">
        <f aca="false">AP6</f>
        <v>28.4</v>
      </c>
    </row>
    <row r="695" customFormat="false" ht="12.8" hidden="false" customHeight="false" outlineLevel="0" collapsed="false">
      <c r="A695" s="7" t="str">
        <f aca="false">_xlfn.CONCAT($A$689, ".", A7)</f>
        <v>AL.5.4</v>
      </c>
      <c r="B695" s="7" t="str">
        <f aca="false">_xlfn.CONCAT(B7, ": ", C7)</f>
        <v>Construction: Support</v>
      </c>
      <c r="C695" s="20" t="n">
        <f aca="false">X7</f>
        <v>23</v>
      </c>
      <c r="D695" s="22" t="n">
        <f aca="false">AD7</f>
        <v>22.3</v>
      </c>
      <c r="E695" s="22" t="n">
        <f aca="false">AJ7</f>
        <v>19.7</v>
      </c>
      <c r="F695" s="22" t="n">
        <f aca="false">AP7</f>
        <v>23.3</v>
      </c>
    </row>
    <row r="696" customFormat="false" ht="12.8" hidden="false" customHeight="false" outlineLevel="0" collapsed="false">
      <c r="A696" s="7" t="str">
        <f aca="false">_xlfn.CONCAT($A$689, ".", A8)</f>
        <v>AL.5.5</v>
      </c>
      <c r="B696" s="7" t="str">
        <f aca="false">_xlfn.CONCAT(B8, ": ", C8)</f>
        <v>Hospitality: Worker</v>
      </c>
      <c r="C696" s="20" t="n">
        <f aca="false">X8</f>
        <v>16.5</v>
      </c>
      <c r="D696" s="22" t="n">
        <f aca="false">AD8</f>
        <v>16</v>
      </c>
      <c r="E696" s="22" t="n">
        <f aca="false">AJ8</f>
        <v>14</v>
      </c>
      <c r="F696" s="22" t="n">
        <f aca="false">AP8</f>
        <v>16.8</v>
      </c>
    </row>
    <row r="697" customFormat="false" ht="12.8" hidden="false" customHeight="false" outlineLevel="0" collapsed="false">
      <c r="A697" s="7" t="str">
        <f aca="false">_xlfn.CONCAT($A$689, ".", A9)</f>
        <v>AL.5.6</v>
      </c>
      <c r="B697" s="7" t="str">
        <f aca="false">_xlfn.CONCAT(B9, ": ", C9)</f>
        <v>Hospitality: Support</v>
      </c>
      <c r="C697" s="20" t="n">
        <f aca="false">X9</f>
        <v>13.2</v>
      </c>
      <c r="D697" s="22" t="n">
        <f aca="false">AD9</f>
        <v>12.8</v>
      </c>
      <c r="E697" s="22" t="n">
        <f aca="false">AJ9</f>
        <v>11.2</v>
      </c>
      <c r="F697" s="22" t="n">
        <f aca="false">AP9</f>
        <v>13.4</v>
      </c>
    </row>
    <row r="698" customFormat="false" ht="12.8" hidden="false" customHeight="false" outlineLevel="0" collapsed="false">
      <c r="A698" s="7" t="str">
        <f aca="false">_xlfn.CONCAT($A$689, ".", A10)</f>
        <v>AL.5.7</v>
      </c>
      <c r="B698" s="7" t="str">
        <f aca="false">_xlfn.CONCAT(B10, ": ", C10)</f>
        <v>Cleaning &amp; Maintenance: Worker</v>
      </c>
      <c r="C698" s="20" t="n">
        <f aca="false">X10</f>
        <v>14.5</v>
      </c>
      <c r="D698" s="22" t="n">
        <f aca="false">AD10</f>
        <v>14</v>
      </c>
      <c r="E698" s="22" t="n">
        <f aca="false">AJ10</f>
        <v>12.3</v>
      </c>
      <c r="F698" s="22" t="n">
        <f aca="false">AP10</f>
        <v>14.7</v>
      </c>
    </row>
    <row r="699" customFormat="false" ht="12.8" hidden="false" customHeight="false" outlineLevel="0" collapsed="false">
      <c r="A699" s="7" t="str">
        <f aca="false">_xlfn.CONCAT($A$689, ".", A11)</f>
        <v>AL.5.8</v>
      </c>
      <c r="B699" s="7" t="str">
        <f aca="false">_xlfn.CONCAT(B11, ": ", C11)</f>
        <v>Cleaning &amp; Maintenance: Support</v>
      </c>
      <c r="C699" s="20" t="n">
        <f aca="false">X11</f>
        <v>11.3</v>
      </c>
      <c r="D699" s="22" t="n">
        <f aca="false">AD11</f>
        <v>10.9</v>
      </c>
      <c r="E699" s="22" t="n">
        <f aca="false">AJ11</f>
        <v>9.6</v>
      </c>
      <c r="F699" s="22" t="n">
        <f aca="false">AP11</f>
        <v>11.5</v>
      </c>
    </row>
    <row r="700" customFormat="false" ht="12.8" hidden="false" customHeight="false" outlineLevel="0" collapsed="false">
      <c r="A700" s="7" t="str">
        <f aca="false">_xlfn.CONCAT($A$689, ".", A12)</f>
        <v>AL.5.9</v>
      </c>
      <c r="B700" s="7" t="str">
        <f aca="false">_xlfn.CONCAT(B12, ": ", C12)</f>
        <v>Manufacturing: Worker</v>
      </c>
      <c r="C700" s="20" t="n">
        <f aca="false">X12</f>
        <v>26.5</v>
      </c>
      <c r="D700" s="22" t="n">
        <f aca="false">AD12</f>
        <v>25.7</v>
      </c>
      <c r="E700" s="22" t="n">
        <f aca="false">AJ12</f>
        <v>23</v>
      </c>
      <c r="F700" s="22" t="n">
        <f aca="false">AP12</f>
        <v>26.9</v>
      </c>
    </row>
    <row r="701" customFormat="false" ht="12.8" hidden="false" customHeight="false" outlineLevel="0" collapsed="false">
      <c r="A701" s="7" t="str">
        <f aca="false">_xlfn.CONCAT($A$689, ".", A13)</f>
        <v>AL.5.10</v>
      </c>
      <c r="B701" s="7" t="str">
        <f aca="false">_xlfn.CONCAT(B13, ": ", C13)</f>
        <v>Manufacturing: Support</v>
      </c>
      <c r="C701" s="20" t="n">
        <f aca="false">X13</f>
        <v>24.4</v>
      </c>
      <c r="D701" s="22" t="n">
        <f aca="false">AD13</f>
        <v>23.7</v>
      </c>
      <c r="E701" s="22" t="n">
        <f aca="false">AJ13</f>
        <v>21.2</v>
      </c>
      <c r="F701" s="22" t="n">
        <f aca="false">AP13</f>
        <v>24.8</v>
      </c>
    </row>
    <row r="702" customFormat="false" ht="12.8" hidden="false" customHeight="false" outlineLevel="0" collapsed="false">
      <c r="A702" s="7" t="str">
        <f aca="false">_xlfn.CONCAT($A$689, ".", A14)</f>
        <v>AL.5.11</v>
      </c>
      <c r="B702" s="7" t="str">
        <f aca="false">_xlfn.CONCAT(B14, ": ", C14)</f>
        <v>Transportation &amp; Warehousing: Worker</v>
      </c>
      <c r="C702" s="20" t="n">
        <f aca="false">X14</f>
        <v>25</v>
      </c>
      <c r="D702" s="22" t="n">
        <f aca="false">AD14</f>
        <v>24.2</v>
      </c>
      <c r="E702" s="22" t="n">
        <f aca="false">AJ14</f>
        <v>21.7</v>
      </c>
      <c r="F702" s="22" t="n">
        <f aca="false">AP14</f>
        <v>25.4</v>
      </c>
    </row>
    <row r="703" customFormat="false" ht="12.8" hidden="false" customHeight="false" outlineLevel="0" collapsed="false">
      <c r="A703" s="7" t="str">
        <f aca="false">_xlfn.CONCAT($A$689, ".", A15)</f>
        <v>AL.5.12</v>
      </c>
      <c r="B703" s="7" t="str">
        <f aca="false">_xlfn.CONCAT(B15, ": ", C15)</f>
        <v>Transportation &amp; Warehousing: Support</v>
      </c>
      <c r="C703" s="20" t="n">
        <f aca="false">X15</f>
        <v>22.5</v>
      </c>
      <c r="D703" s="22" t="n">
        <f aca="false">AD15</f>
        <v>21.8</v>
      </c>
      <c r="E703" s="22" t="n">
        <f aca="false">AJ15</f>
        <v>19.5</v>
      </c>
      <c r="F703" s="22" t="n">
        <f aca="false">AP15</f>
        <v>22.8</v>
      </c>
    </row>
    <row r="704" customFormat="false" ht="12.8" hidden="false" customHeight="false" outlineLevel="0" collapsed="false">
      <c r="A704" s="7" t="str">
        <f aca="false">_xlfn.CONCAT($A$689, ".", A16)</f>
        <v>AL.5.13</v>
      </c>
      <c r="B704" s="7" t="str">
        <f aca="false">_xlfn.CONCAT(B16, ": ", C16)</f>
        <v>Retail Trade: Worker</v>
      </c>
      <c r="C704" s="20" t="n">
        <f aca="false">X16</f>
        <v>18.5</v>
      </c>
      <c r="D704" s="22" t="n">
        <f aca="false">AD16</f>
        <v>17.9</v>
      </c>
      <c r="E704" s="22" t="n">
        <f aca="false">AJ16</f>
        <v>15.7</v>
      </c>
      <c r="F704" s="22" t="n">
        <f aca="false">AP16</f>
        <v>18.8</v>
      </c>
    </row>
    <row r="705" customFormat="false" ht="12.8" hidden="false" customHeight="false" outlineLevel="0" collapsed="false">
      <c r="A705" s="7" t="str">
        <f aca="false">_xlfn.CONCAT($A$689, ".", A17)</f>
        <v>AL.5.14</v>
      </c>
      <c r="B705" s="7" t="str">
        <f aca="false">_xlfn.CONCAT(B17, ": ", C17)</f>
        <v>Retail Trade: Support</v>
      </c>
      <c r="C705" s="20" t="n">
        <f aca="false">X17</f>
        <v>14.8</v>
      </c>
      <c r="D705" s="22" t="n">
        <f aca="false">AD17</f>
        <v>14.3</v>
      </c>
      <c r="E705" s="22" t="n">
        <f aca="false">AJ17</f>
        <v>12.6</v>
      </c>
      <c r="F705" s="22" t="n">
        <f aca="false">AP17</f>
        <v>15.1</v>
      </c>
    </row>
    <row r="706" customFormat="false" ht="12.8" hidden="false" customHeight="false" outlineLevel="0" collapsed="false">
      <c r="A706" s="7" t="str">
        <f aca="false">_xlfn.CONCAT($A$689, ".", A18)</f>
        <v>AL.5.15</v>
      </c>
      <c r="B706" s="7" t="str">
        <f aca="false">_xlfn.CONCAT(B18, ": ", C18)</f>
        <v>Landscaping / Groundskeeping: Worker</v>
      </c>
      <c r="C706" s="20" t="n">
        <f aca="false">X18</f>
        <v>18</v>
      </c>
      <c r="D706" s="22" t="n">
        <f aca="false">AD18</f>
        <v>17.4</v>
      </c>
      <c r="E706" s="22" t="n">
        <f aca="false">AJ18</f>
        <v>15.3</v>
      </c>
      <c r="F706" s="22" t="n">
        <f aca="false">AP18</f>
        <v>18.3</v>
      </c>
    </row>
    <row r="707" customFormat="false" ht="12.8" hidden="false" customHeight="false" outlineLevel="0" collapsed="false">
      <c r="A707" s="7" t="str">
        <f aca="false">_xlfn.CONCAT($A$689, ".", A19)</f>
        <v>AL.5.16</v>
      </c>
      <c r="B707" s="7" t="str">
        <f aca="false">_xlfn.CONCAT(B19, ": ", C19)</f>
        <v>Landscaping / Groundskeeping: Support</v>
      </c>
      <c r="C707" s="20" t="n">
        <f aca="false">X19</f>
        <v>15.3</v>
      </c>
      <c r="D707" s="22" t="n">
        <f aca="false">AD19</f>
        <v>14.8</v>
      </c>
      <c r="E707" s="22" t="n">
        <f aca="false">AJ19</f>
        <v>13</v>
      </c>
      <c r="F707" s="22" t="n">
        <f aca="false">AP19</f>
        <v>15.6</v>
      </c>
    </row>
    <row r="708" customFormat="false" ht="12.8" hidden="false" customHeight="false" outlineLevel="0" collapsed="false">
      <c r="A708" s="7" t="str">
        <f aca="false">_xlfn.CONCAT($A$689, ".", A20)</f>
        <v>AL.5.17</v>
      </c>
      <c r="B708" s="7" t="str">
        <f aca="false">_xlfn.CONCAT(B20, ": ", C20)</f>
        <v>Automotive &amp; Repair: Worker</v>
      </c>
      <c r="C708" s="20" t="n">
        <f aca="false">X20</f>
        <v>24</v>
      </c>
      <c r="D708" s="22" t="n">
        <f aca="false">AD20</f>
        <v>23.2</v>
      </c>
      <c r="E708" s="22" t="n">
        <f aca="false">AJ20</f>
        <v>20.5</v>
      </c>
      <c r="F708" s="22" t="n">
        <f aca="false">AP20</f>
        <v>24.4</v>
      </c>
    </row>
    <row r="709" customFormat="false" ht="12.8" hidden="false" customHeight="false" outlineLevel="0" collapsed="false">
      <c r="A709" s="7" t="str">
        <f aca="false">_xlfn.CONCAT($A$689, ".", A21)</f>
        <v>AL.5.18</v>
      </c>
      <c r="B709" s="7" t="str">
        <f aca="false">_xlfn.CONCAT(B21, ": ", C21)</f>
        <v>Automotive &amp; Repair: Support</v>
      </c>
      <c r="C709" s="20" t="n">
        <f aca="false">X21</f>
        <v>19.2</v>
      </c>
      <c r="D709" s="22" t="n">
        <f aca="false">AD21</f>
        <v>18.6</v>
      </c>
      <c r="E709" s="22" t="n">
        <f aca="false">AJ21</f>
        <v>16.4</v>
      </c>
      <c r="F709" s="22" t="n">
        <f aca="false">AP21</f>
        <v>19.5</v>
      </c>
    </row>
    <row r="710" customFormat="false" ht="12.8" hidden="false" customHeight="false" outlineLevel="0" collapsed="false">
      <c r="A710" s="7" t="str">
        <f aca="false">_xlfn.CONCAT($A$689, ".", A22)</f>
        <v>AL.5.19</v>
      </c>
      <c r="B710" s="7" t="str">
        <f aca="false">_xlfn.CONCAT(B22, ": ", C22)</f>
        <v>Other Services: Worker</v>
      </c>
      <c r="C710" s="20" t="n">
        <f aca="false">X22</f>
        <v>20</v>
      </c>
      <c r="D710" s="22" t="n">
        <f aca="false">AD22</f>
        <v>19.4</v>
      </c>
      <c r="E710" s="22" t="n">
        <f aca="false">AJ22</f>
        <v>17</v>
      </c>
      <c r="F710" s="22" t="n">
        <f aca="false">AP22</f>
        <v>20.4</v>
      </c>
    </row>
    <row r="711" customFormat="false" ht="12.8" hidden="false" customHeight="false" outlineLevel="0" collapsed="false">
      <c r="A711" s="7" t="str">
        <f aca="false">_xlfn.CONCAT($A$689, ".", A23)</f>
        <v>AL.5.20</v>
      </c>
      <c r="B711" s="7" t="str">
        <f aca="false">_xlfn.CONCAT(B23, ": ", C23)</f>
        <v>Other Services: Support</v>
      </c>
      <c r="C711" s="20" t="n">
        <f aca="false">X23</f>
        <v>16</v>
      </c>
      <c r="D711" s="22" t="n">
        <f aca="false">AD23</f>
        <v>15.5</v>
      </c>
      <c r="E711" s="22" t="n">
        <f aca="false">AJ23</f>
        <v>13.6</v>
      </c>
      <c r="F711" s="22" t="n">
        <f aca="false">AP23</f>
        <v>16.3</v>
      </c>
    </row>
    <row r="712" customFormat="false" ht="12.8" hidden="false" customHeight="false" outlineLevel="0" collapsed="false">
      <c r="A712" s="7" t="str">
        <f aca="false">_xlfn.CONCAT($A$689, ".", A24)</f>
        <v>AL.5.21</v>
      </c>
      <c r="B712" s="7" t="str">
        <f aca="false">_xlfn.CONCAT(B24, ": ", C24)</f>
        <v>Healthcare &amp; Social Assistance: Worker</v>
      </c>
      <c r="C712" s="20" t="n">
        <f aca="false">X24</f>
        <v>27.5</v>
      </c>
      <c r="D712" s="22" t="n">
        <f aca="false">AD24</f>
        <v>26.8</v>
      </c>
      <c r="E712" s="22" t="n">
        <f aca="false">AJ24</f>
        <v>24.75</v>
      </c>
      <c r="F712" s="22" t="n">
        <f aca="false">AP24</f>
        <v>27.9</v>
      </c>
    </row>
    <row r="713" customFormat="false" ht="12.8" hidden="false" customHeight="false" outlineLevel="0" collapsed="false">
      <c r="A713" s="7" t="str">
        <f aca="false">_xlfn.CONCAT($A$689, ".", A25)</f>
        <v>AL.5.22</v>
      </c>
      <c r="B713" s="7" t="str">
        <f aca="false">_xlfn.CONCAT(B25, ": ", C25)</f>
        <v>Healthcare &amp; Social Assistance: Support</v>
      </c>
      <c r="C713" s="20" t="n">
        <f aca="false">X25</f>
        <v>18.2</v>
      </c>
      <c r="D713" s="22" t="n">
        <f aca="false">AD25</f>
        <v>17.6</v>
      </c>
      <c r="E713" s="22" t="n">
        <f aca="false">AJ25</f>
        <v>16</v>
      </c>
      <c r="F713" s="22" t="n">
        <f aca="false">AP25</f>
        <v>18.5</v>
      </c>
    </row>
    <row r="714" customFormat="false" ht="12.8" hidden="false" customHeight="false" outlineLevel="0" collapsed="false">
      <c r="A714" s="7" t="str">
        <f aca="false">_xlfn.CONCAT($A$689, ".", A26)</f>
        <v>AL.5.23</v>
      </c>
      <c r="B714" s="7" t="str">
        <f aca="false">_xlfn.CONCAT(B26, ": ", C26)</f>
        <v>Professional Services: Worker</v>
      </c>
      <c r="C714" s="20" t="n">
        <f aca="false">X26</f>
        <v>38.5</v>
      </c>
      <c r="D714" s="22" t="n">
        <f aca="false">AD26</f>
        <v>37.5</v>
      </c>
      <c r="E714" s="22" t="n">
        <f aca="false">AJ26</f>
        <v>34</v>
      </c>
      <c r="F714" s="22" t="n">
        <f aca="false">AP26</f>
        <v>39.2</v>
      </c>
    </row>
    <row r="715" customFormat="false" ht="12.8" hidden="false" customHeight="false" outlineLevel="0" collapsed="false">
      <c r="A715" s="7" t="str">
        <f aca="false">_xlfn.CONCAT($A$689, ".", A27)</f>
        <v>AL.5.24</v>
      </c>
      <c r="B715" s="7" t="str">
        <f aca="false">_xlfn.CONCAT(B27, ": ", C27)</f>
        <v>Professional Services: Support</v>
      </c>
      <c r="C715" s="20" t="n">
        <f aca="false">X27</f>
        <v>28</v>
      </c>
      <c r="D715" s="22" t="n">
        <f aca="false">AD27</f>
        <v>27.2</v>
      </c>
      <c r="E715" s="22" t="n">
        <f aca="false">AJ27</f>
        <v>24.5</v>
      </c>
      <c r="F715" s="22" t="n">
        <f aca="false">AP27</f>
        <v>28.5</v>
      </c>
    </row>
    <row r="716" customFormat="false" ht="12.8" hidden="false" customHeight="false" outlineLevel="0" collapsed="false">
      <c r="A716" s="7" t="str">
        <f aca="false">_xlfn.CONCAT($A$689, ".", A28)</f>
        <v>AL.5.25</v>
      </c>
      <c r="B716" s="7" t="str">
        <f aca="false">_xlfn.CONCAT(B28, ": ", C28)</f>
        <v>Educational Services: Worker</v>
      </c>
      <c r="C716" s="20" t="n">
        <f aca="false">X28</f>
        <v>30</v>
      </c>
      <c r="D716" s="22" t="n">
        <f aca="false">AD28</f>
        <v>29</v>
      </c>
      <c r="E716" s="22" t="n">
        <f aca="false">AJ28</f>
        <v>26</v>
      </c>
      <c r="F716" s="22" t="n">
        <f aca="false">AP28</f>
        <v>30.5</v>
      </c>
    </row>
    <row r="717" customFormat="false" ht="12.8" hidden="false" customHeight="false" outlineLevel="0" collapsed="false">
      <c r="A717" s="7" t="str">
        <f aca="false">_xlfn.CONCAT($A$689, ".", A29)</f>
        <v>AL.5.26</v>
      </c>
      <c r="B717" s="7" t="str">
        <f aca="false">_xlfn.CONCAT(B29, ": ", C29)</f>
        <v>Educational Services: Support</v>
      </c>
      <c r="C717" s="20" t="n">
        <f aca="false">X29</f>
        <v>22</v>
      </c>
      <c r="D717" s="22" t="n">
        <f aca="false">AD29</f>
        <v>21</v>
      </c>
      <c r="E717" s="22" t="n">
        <f aca="false">AJ29</f>
        <v>19</v>
      </c>
      <c r="F717" s="22" t="n">
        <f aca="false">AP29</f>
        <v>22.5</v>
      </c>
    </row>
    <row r="718" customFormat="false" ht="12.8" hidden="false" customHeight="false" outlineLevel="0" collapsed="false">
      <c r="A718" s="7" t="str">
        <f aca="false">_xlfn.CONCAT($A$689, ".", A30)</f>
        <v>AL.5.27</v>
      </c>
      <c r="B718" s="7" t="str">
        <f aca="false">_xlfn.CONCAT(B30, ": ", C30)</f>
        <v>Finance &amp; Insurance: Worker</v>
      </c>
      <c r="C718" s="20" t="n">
        <f aca="false">X30</f>
        <v>33</v>
      </c>
      <c r="D718" s="22" t="n">
        <f aca="false">AD30</f>
        <v>32</v>
      </c>
      <c r="E718" s="22" t="n">
        <f aca="false">AJ30</f>
        <v>29</v>
      </c>
      <c r="F718" s="22" t="n">
        <f aca="false">AP30</f>
        <v>33.5</v>
      </c>
    </row>
    <row r="719" customFormat="false" ht="12.8" hidden="false" customHeight="false" outlineLevel="0" collapsed="false">
      <c r="A719" s="7" t="str">
        <f aca="false">_xlfn.CONCAT($A$689, ".", A31)</f>
        <v>AL.5.28</v>
      </c>
      <c r="B719" s="7" t="str">
        <f aca="false">_xlfn.CONCAT(B31, ": ", C31)</f>
        <v>Finance &amp; Insurance: Support</v>
      </c>
      <c r="C719" s="20" t="n">
        <f aca="false">X31</f>
        <v>24</v>
      </c>
      <c r="D719" s="22" t="n">
        <f aca="false">AD31</f>
        <v>23</v>
      </c>
      <c r="E719" s="22" t="n">
        <f aca="false">AJ31</f>
        <v>20.5</v>
      </c>
      <c r="F719" s="22" t="n">
        <f aca="false">AP31</f>
        <v>24.5</v>
      </c>
    </row>
    <row r="720" customFormat="false" ht="12.8" hidden="false" customHeight="false" outlineLevel="0" collapsed="false">
      <c r="A720" s="7" t="str">
        <f aca="false">_xlfn.CONCAT($A$689, ".", A36)</f>
        <v>AL.5.29</v>
      </c>
      <c r="B720" s="7" t="str">
        <f aca="false">_xlfn.CONCAT(B36, ": ", C36)</f>
        <v>Media and Information Technology: Worker</v>
      </c>
      <c r="C720" s="20" t="n">
        <f aca="false">X36</f>
        <v>28</v>
      </c>
      <c r="D720" s="22" t="n">
        <f aca="false">AD36</f>
        <v>27</v>
      </c>
      <c r="E720" s="22" t="n">
        <f aca="false">AJ36</f>
        <v>24.5</v>
      </c>
      <c r="F720" s="22" t="n">
        <f aca="false">AP36</f>
        <v>28.5</v>
      </c>
    </row>
    <row r="721" customFormat="false" ht="12.8" hidden="false" customHeight="false" outlineLevel="0" collapsed="false">
      <c r="A721" s="7" t="str">
        <f aca="false">_xlfn.CONCAT($A$689, ".", A37)</f>
        <v>AL.5.30</v>
      </c>
      <c r="B721" s="7" t="str">
        <f aca="false">_xlfn.CONCAT(B37, ": ", C37)</f>
        <v>Media and Information Technology: Support</v>
      </c>
      <c r="C721" s="20" t="n">
        <f aca="false">X37</f>
        <v>20</v>
      </c>
      <c r="D721" s="22" t="n">
        <f aca="false">AD37</f>
        <v>19</v>
      </c>
      <c r="E721" s="22" t="n">
        <f aca="false">AJ37</f>
        <v>17</v>
      </c>
      <c r="F721" s="22" t="n">
        <f aca="false">AP37</f>
        <v>20.5</v>
      </c>
    </row>
    <row r="819" customFormat="false" ht="12.8" hidden="false" customHeight="false" outlineLevel="0" collapsed="false">
      <c r="A819" s="5" t="s">
        <v>151</v>
      </c>
      <c r="B819" s="24" t="s">
        <v>7</v>
      </c>
      <c r="C819" s="25" t="s">
        <v>152</v>
      </c>
    </row>
    <row r="820" customFormat="false" ht="46.25" hidden="false" customHeight="false" outlineLevel="0" collapsed="false">
      <c r="A820" s="5" t="s">
        <v>26</v>
      </c>
      <c r="B820" s="5" t="str">
        <f aca="false">_xlfn.CONCAT(B2, ": ", C2)</f>
        <v>Industry: Role</v>
      </c>
      <c r="C820" s="30" t="str">
        <f aca="false">AA2</f>
        <v>Annual Income ($)</v>
      </c>
      <c r="D820" s="30" t="str">
        <f aca="false">AG2</f>
        <v>Authorized Immigrant Annual Income Average ($)</v>
      </c>
      <c r="E820" s="30" t="str">
        <f aca="false">AM2</f>
        <v>Unauthorized Immigrant Annual Income Average ($)</v>
      </c>
      <c r="F820" s="30" t="str">
        <f aca="false">AS2</f>
        <v>American Annual Income Average ($)</v>
      </c>
    </row>
    <row r="821" customFormat="false" ht="12.8" hidden="false" customHeight="false" outlineLevel="0" collapsed="false">
      <c r="A821" s="1" t="str">
        <f aca="false">_xlfn.CONCAT($A$819, ".", A3)</f>
        <v>AL.6.0</v>
      </c>
      <c r="B821" s="5" t="str">
        <f aca="false">_xlfn.CONCAT(B3, ": ", C3)</f>
        <v>All Industries: All Roles</v>
      </c>
      <c r="C821" s="30" t="n">
        <f aca="false">AA3</f>
        <v>50336</v>
      </c>
      <c r="D821" s="30" t="n">
        <f aca="false">AG3</f>
        <v>48880</v>
      </c>
      <c r="E821" s="30" t="n">
        <f aca="false">AM3</f>
        <v>42640</v>
      </c>
      <c r="F821" s="30" t="n">
        <f aca="false">AS3</f>
        <v>51168</v>
      </c>
    </row>
    <row r="822" customFormat="false" ht="12.8" hidden="false" customHeight="false" outlineLevel="0" collapsed="false">
      <c r="A822" s="1" t="str">
        <f aca="false">_xlfn.CONCAT($A$819, ".", A4)</f>
        <v>AL.6.1</v>
      </c>
      <c r="B822" s="7" t="str">
        <f aca="false">_xlfn.CONCAT(B4, ": ", C4)</f>
        <v>Agriculture: Worker</v>
      </c>
      <c r="C822" s="30" t="n">
        <f aca="false">AA4</f>
        <v>37440</v>
      </c>
      <c r="D822" s="30" t="n">
        <f aca="false">AG4</f>
        <v>36192</v>
      </c>
      <c r="E822" s="30" t="n">
        <f aca="false">AM4</f>
        <v>31824</v>
      </c>
      <c r="F822" s="30" t="n">
        <f aca="false">AS4</f>
        <v>38064</v>
      </c>
    </row>
    <row r="823" customFormat="false" ht="12.8" hidden="false" customHeight="false" outlineLevel="0" collapsed="false">
      <c r="A823" s="1" t="str">
        <f aca="false">_xlfn.CONCAT($A$819, ".", A5)</f>
        <v>AL.6.2</v>
      </c>
      <c r="B823" s="7" t="str">
        <f aca="false">_xlfn.CONCAT(B5, ": ", C5)</f>
        <v>Agriculture: Support</v>
      </c>
      <c r="C823" s="30" t="n">
        <f aca="false">AA5</f>
        <v>31824</v>
      </c>
      <c r="D823" s="30" t="n">
        <f aca="false">AG5</f>
        <v>30784</v>
      </c>
      <c r="E823" s="30" t="n">
        <f aca="false">AM5</f>
        <v>27040</v>
      </c>
      <c r="F823" s="30" t="n">
        <f aca="false">AS5</f>
        <v>32448</v>
      </c>
    </row>
    <row r="824" customFormat="false" ht="12.8" hidden="false" customHeight="false" outlineLevel="0" collapsed="false">
      <c r="A824" s="1" t="str">
        <f aca="false">_xlfn.CONCAT($A$819, ".", A6)</f>
        <v>AL.6.3</v>
      </c>
      <c r="B824" s="7" t="str">
        <f aca="false">_xlfn.CONCAT(B6, ": ", C6)</f>
        <v>Construction: Worker</v>
      </c>
      <c r="C824" s="30" t="n">
        <f aca="false">AA6</f>
        <v>58240</v>
      </c>
      <c r="D824" s="30" t="n">
        <f aca="false">AG6</f>
        <v>56368</v>
      </c>
      <c r="E824" s="30" t="n">
        <f aca="false">AM6</f>
        <v>49920</v>
      </c>
      <c r="F824" s="30" t="n">
        <f aca="false">AS6</f>
        <v>59152</v>
      </c>
    </row>
    <row r="825" customFormat="false" ht="12.8" hidden="false" customHeight="false" outlineLevel="0" collapsed="false">
      <c r="A825" s="1" t="str">
        <f aca="false">_xlfn.CONCAT($A$819, ".", A7)</f>
        <v>AL.6.4</v>
      </c>
      <c r="B825" s="7" t="str">
        <f aca="false">_xlfn.CONCAT(B7, ": ", C7)</f>
        <v>Construction: Support</v>
      </c>
      <c r="C825" s="30" t="n">
        <f aca="false">AA7</f>
        <v>47840</v>
      </c>
      <c r="D825" s="30" t="n">
        <f aca="false">AG7</f>
        <v>46384</v>
      </c>
      <c r="E825" s="30" t="n">
        <f aca="false">AM7</f>
        <v>40976</v>
      </c>
      <c r="F825" s="30" t="n">
        <f aca="false">AS7</f>
        <v>48464</v>
      </c>
    </row>
    <row r="826" customFormat="false" ht="12.8" hidden="false" customHeight="false" outlineLevel="0" collapsed="false">
      <c r="A826" s="1" t="str">
        <f aca="false">_xlfn.CONCAT($A$819, ".", A8)</f>
        <v>AL.6.5</v>
      </c>
      <c r="B826" s="7" t="str">
        <f aca="false">_xlfn.CONCAT(B8, ": ", C8)</f>
        <v>Hospitality: Worker</v>
      </c>
      <c r="C826" s="30" t="n">
        <f aca="false">AA8</f>
        <v>34320</v>
      </c>
      <c r="D826" s="30" t="n">
        <f aca="false">AG8</f>
        <v>33280</v>
      </c>
      <c r="E826" s="30" t="n">
        <f aca="false">AM8</f>
        <v>29120</v>
      </c>
      <c r="F826" s="30" t="n">
        <f aca="false">AS8</f>
        <v>34944</v>
      </c>
    </row>
    <row r="827" customFormat="false" ht="12.8" hidden="false" customHeight="false" outlineLevel="0" collapsed="false">
      <c r="A827" s="1" t="str">
        <f aca="false">_xlfn.CONCAT($A$819, ".", A9)</f>
        <v>AL.6.6</v>
      </c>
      <c r="B827" s="7" t="str">
        <f aca="false">_xlfn.CONCAT(B9, ": ", C9)</f>
        <v>Hospitality: Support</v>
      </c>
      <c r="C827" s="30" t="n">
        <f aca="false">AA9</f>
        <v>27456</v>
      </c>
      <c r="D827" s="30" t="n">
        <f aca="false">AG9</f>
        <v>26624</v>
      </c>
      <c r="E827" s="30" t="n">
        <f aca="false">AM9</f>
        <v>23304</v>
      </c>
      <c r="F827" s="30" t="n">
        <f aca="false">AS9</f>
        <v>27872</v>
      </c>
    </row>
    <row r="828" customFormat="false" ht="12.8" hidden="false" customHeight="false" outlineLevel="0" collapsed="false">
      <c r="A828" s="1" t="str">
        <f aca="false">_xlfn.CONCAT($A$819, ".", A10)</f>
        <v>AL.6.7</v>
      </c>
      <c r="B828" s="7" t="str">
        <f aca="false">_xlfn.CONCAT(B10, ": ", C10)</f>
        <v>Cleaning &amp; Maintenance: Worker</v>
      </c>
      <c r="C828" s="30" t="n">
        <f aca="false">AA10</f>
        <v>30160</v>
      </c>
      <c r="D828" s="30" t="n">
        <f aca="false">AG10</f>
        <v>29120</v>
      </c>
      <c r="E828" s="30" t="n">
        <f aca="false">AM10</f>
        <v>25584</v>
      </c>
      <c r="F828" s="30" t="n">
        <f aca="false">AS10</f>
        <v>30576</v>
      </c>
    </row>
    <row r="829" customFormat="false" ht="12.8" hidden="false" customHeight="false" outlineLevel="0" collapsed="false">
      <c r="A829" s="1" t="str">
        <f aca="false">_xlfn.CONCAT($A$819, ".", A11)</f>
        <v>AL.6.8</v>
      </c>
      <c r="B829" s="7" t="str">
        <f aca="false">_xlfn.CONCAT(B11, ": ", C11)</f>
        <v>Cleaning &amp; Maintenance: Support</v>
      </c>
      <c r="C829" s="30" t="n">
        <f aca="false">AA11</f>
        <v>23504</v>
      </c>
      <c r="D829" s="30" t="n">
        <f aca="false">AG11</f>
        <v>22672</v>
      </c>
      <c r="E829" s="30" t="n">
        <f aca="false">AM11</f>
        <v>19968</v>
      </c>
      <c r="F829" s="30" t="n">
        <f aca="false">AS11</f>
        <v>23920</v>
      </c>
    </row>
    <row r="830" customFormat="false" ht="12.8" hidden="false" customHeight="false" outlineLevel="0" collapsed="false">
      <c r="A830" s="1" t="str">
        <f aca="false">_xlfn.CONCAT($A$819, ".", A12)</f>
        <v>AL.6.9</v>
      </c>
      <c r="B830" s="7" t="str">
        <f aca="false">_xlfn.CONCAT(B12, ": ", C12)</f>
        <v>Manufacturing: Worker</v>
      </c>
      <c r="C830" s="30" t="n">
        <f aca="false">AA12</f>
        <v>55120</v>
      </c>
      <c r="D830" s="30" t="n">
        <f aca="false">AG12</f>
        <v>53456</v>
      </c>
      <c r="E830" s="30" t="n">
        <f aca="false">AM12</f>
        <v>47840</v>
      </c>
      <c r="F830" s="30" t="n">
        <f aca="false">AS12</f>
        <v>55952</v>
      </c>
    </row>
    <row r="831" customFormat="false" ht="12.8" hidden="false" customHeight="false" outlineLevel="0" collapsed="false">
      <c r="A831" s="1" t="str">
        <f aca="false">_xlfn.CONCAT($A$819, ".", A13)</f>
        <v>AL.6.10</v>
      </c>
      <c r="B831" s="7" t="str">
        <f aca="false">_xlfn.CONCAT(B13, ": ", C13)</f>
        <v>Manufacturing: Support</v>
      </c>
      <c r="C831" s="30" t="n">
        <f aca="false">AA13</f>
        <v>50752</v>
      </c>
      <c r="D831" s="30" t="n">
        <f aca="false">AG13</f>
        <v>49296</v>
      </c>
      <c r="E831" s="30" t="n">
        <f aca="false">AM13</f>
        <v>44100</v>
      </c>
      <c r="F831" s="30" t="n">
        <f aca="false">AS13</f>
        <v>51584</v>
      </c>
    </row>
    <row r="832" customFormat="false" ht="12.8" hidden="false" customHeight="false" outlineLevel="0" collapsed="false">
      <c r="A832" s="1" t="str">
        <f aca="false">_xlfn.CONCAT($A$819, ".", A14)</f>
        <v>AL.6.11</v>
      </c>
      <c r="B832" s="7" t="str">
        <f aca="false">_xlfn.CONCAT(B14, ": ", C14)</f>
        <v>Transportation &amp; Warehousing: Worker</v>
      </c>
      <c r="C832" s="30" t="n">
        <f aca="false">AA14</f>
        <v>52000</v>
      </c>
      <c r="D832" s="30" t="n">
        <f aca="false">AG14</f>
        <v>50336</v>
      </c>
      <c r="E832" s="30" t="n">
        <f aca="false">AM14</f>
        <v>45136</v>
      </c>
      <c r="F832" s="30" t="n">
        <f aca="false">AS14</f>
        <v>52832</v>
      </c>
    </row>
    <row r="833" customFormat="false" ht="12.8" hidden="false" customHeight="false" outlineLevel="0" collapsed="false">
      <c r="A833" s="1" t="str">
        <f aca="false">_xlfn.CONCAT($A$819, ".", A15)</f>
        <v>AL.6.12</v>
      </c>
      <c r="B833" s="7" t="str">
        <f aca="false">_xlfn.CONCAT(B15, ": ", C15)</f>
        <v>Transportation &amp; Warehousing: Support</v>
      </c>
      <c r="C833" s="30" t="n">
        <f aca="false">AA15</f>
        <v>46800</v>
      </c>
      <c r="D833" s="30" t="n">
        <f aca="false">AG15</f>
        <v>45344</v>
      </c>
      <c r="E833" s="30" t="n">
        <f aca="false">AM15</f>
        <v>40560</v>
      </c>
      <c r="F833" s="30" t="n">
        <f aca="false">AS15</f>
        <v>47424</v>
      </c>
    </row>
    <row r="834" customFormat="false" ht="12.8" hidden="false" customHeight="false" outlineLevel="0" collapsed="false">
      <c r="A834" s="1" t="str">
        <f aca="false">_xlfn.CONCAT($A$819, ".", A16)</f>
        <v>AL.6.13</v>
      </c>
      <c r="B834" s="7" t="str">
        <f aca="false">_xlfn.CONCAT(B16, ": ", C16)</f>
        <v>Retail Trade: Worker</v>
      </c>
      <c r="C834" s="30" t="n">
        <f aca="false">AA16</f>
        <v>38480</v>
      </c>
      <c r="D834" s="30" t="n">
        <f aca="false">AG16</f>
        <v>37232</v>
      </c>
      <c r="E834" s="30" t="n">
        <f aca="false">AM16</f>
        <v>32656</v>
      </c>
      <c r="F834" s="30" t="n">
        <f aca="false">AS16</f>
        <v>39104</v>
      </c>
    </row>
    <row r="835" customFormat="false" ht="12.8" hidden="false" customHeight="false" outlineLevel="0" collapsed="false">
      <c r="A835" s="1" t="str">
        <f aca="false">_xlfn.CONCAT($A$819, ".", A17)</f>
        <v>AL.6.14</v>
      </c>
      <c r="B835" s="7" t="str">
        <f aca="false">_xlfn.CONCAT(B17, ": ", C17)</f>
        <v>Retail Trade: Support</v>
      </c>
      <c r="C835" s="30" t="n">
        <f aca="false">AA17</f>
        <v>30784</v>
      </c>
      <c r="D835" s="30" t="n">
        <f aca="false">AG17</f>
        <v>29744</v>
      </c>
      <c r="E835" s="30" t="n">
        <f aca="false">AM17</f>
        <v>26208</v>
      </c>
      <c r="F835" s="30" t="n">
        <f aca="false">AS17</f>
        <v>31408</v>
      </c>
    </row>
    <row r="836" customFormat="false" ht="12.8" hidden="false" customHeight="false" outlineLevel="0" collapsed="false">
      <c r="A836" s="1" t="str">
        <f aca="false">_xlfn.CONCAT($A$819, ".", A18)</f>
        <v>AL.6.15</v>
      </c>
      <c r="B836" s="7" t="str">
        <f aca="false">_xlfn.CONCAT(B18, ": ", C18)</f>
        <v>Landscaping / Groundskeeping: Worker</v>
      </c>
      <c r="C836" s="30" t="n">
        <f aca="false">AA18</f>
        <v>37440</v>
      </c>
      <c r="D836" s="30" t="n">
        <f aca="false">AG18</f>
        <v>36192</v>
      </c>
      <c r="E836" s="30" t="n">
        <f aca="false">AM18</f>
        <v>31824</v>
      </c>
      <c r="F836" s="30" t="n">
        <f aca="false">AS18</f>
        <v>38064</v>
      </c>
    </row>
    <row r="837" customFormat="false" ht="12.8" hidden="false" customHeight="false" outlineLevel="0" collapsed="false">
      <c r="A837" s="1" t="str">
        <f aca="false">_xlfn.CONCAT($A$819, ".", A19)</f>
        <v>AL.6.16</v>
      </c>
      <c r="B837" s="7" t="str">
        <f aca="false">_xlfn.CONCAT(B19, ": ", C19)</f>
        <v>Landscaping / Groundskeeping: Support</v>
      </c>
      <c r="C837" s="30" t="n">
        <f aca="false">AA19</f>
        <v>31824</v>
      </c>
      <c r="D837" s="30" t="n">
        <f aca="false">AG19</f>
        <v>30784</v>
      </c>
      <c r="E837" s="30" t="n">
        <f aca="false">AM19</f>
        <v>27040</v>
      </c>
      <c r="F837" s="30" t="n">
        <f aca="false">AS19</f>
        <v>32448</v>
      </c>
    </row>
    <row r="838" customFormat="false" ht="12.8" hidden="false" customHeight="false" outlineLevel="0" collapsed="false">
      <c r="A838" s="1" t="str">
        <f aca="false">_xlfn.CONCAT($A$819, ".", A20)</f>
        <v>AL.6.17</v>
      </c>
      <c r="B838" s="7" t="str">
        <f aca="false">_xlfn.CONCAT(B20, ": ", C20)</f>
        <v>Automotive &amp; Repair: Worker</v>
      </c>
      <c r="C838" s="30" t="n">
        <f aca="false">AA20</f>
        <v>49920</v>
      </c>
      <c r="D838" s="30" t="n">
        <f aca="false">AG20</f>
        <v>48256</v>
      </c>
      <c r="E838" s="30" t="n">
        <f aca="false">AM20</f>
        <v>42640</v>
      </c>
      <c r="F838" s="30" t="n">
        <f aca="false">AS20</f>
        <v>50752</v>
      </c>
    </row>
    <row r="839" customFormat="false" ht="12.8" hidden="false" customHeight="false" outlineLevel="0" collapsed="false">
      <c r="A839" s="1" t="str">
        <f aca="false">_xlfn.CONCAT($A$819, ".", A21)</f>
        <v>AL.6.18</v>
      </c>
      <c r="B839" s="7" t="str">
        <f aca="false">_xlfn.CONCAT(B21, ": ", C21)</f>
        <v>Automotive &amp; Repair: Support</v>
      </c>
      <c r="C839" s="30" t="n">
        <f aca="false">AA21</f>
        <v>39936</v>
      </c>
      <c r="D839" s="30" t="n">
        <f aca="false">AG21</f>
        <v>38688</v>
      </c>
      <c r="E839" s="30" t="n">
        <f aca="false">AM21</f>
        <v>34112</v>
      </c>
      <c r="F839" s="30" t="n">
        <f aca="false">AS21</f>
        <v>40560</v>
      </c>
    </row>
    <row r="840" customFormat="false" ht="12.8" hidden="false" customHeight="false" outlineLevel="0" collapsed="false">
      <c r="A840" s="1" t="str">
        <f aca="false">_xlfn.CONCAT($A$819, ".", A22)</f>
        <v>AL.6.19</v>
      </c>
      <c r="B840" s="7" t="str">
        <f aca="false">_xlfn.CONCAT(B22, ": ", C22)</f>
        <v>Other Services: Worker</v>
      </c>
      <c r="C840" s="30" t="n">
        <f aca="false">AA22</f>
        <v>41600</v>
      </c>
      <c r="D840" s="30" t="n">
        <f aca="false">AG22</f>
        <v>40352</v>
      </c>
      <c r="E840" s="30" t="n">
        <f aca="false">AM22</f>
        <v>35360</v>
      </c>
      <c r="F840" s="30" t="n">
        <f aca="false">AS22</f>
        <v>42432</v>
      </c>
    </row>
    <row r="841" customFormat="false" ht="12.8" hidden="false" customHeight="false" outlineLevel="0" collapsed="false">
      <c r="A841" s="1" t="str">
        <f aca="false">_xlfn.CONCAT($A$819, ".", A23)</f>
        <v>AL.6.20</v>
      </c>
      <c r="B841" s="7" t="str">
        <f aca="false">_xlfn.CONCAT(B23, ": ", C23)</f>
        <v>Other Services: Support</v>
      </c>
      <c r="C841" s="30" t="n">
        <f aca="false">AA23</f>
        <v>33280</v>
      </c>
      <c r="D841" s="30" t="n">
        <f aca="false">AG23</f>
        <v>32240</v>
      </c>
      <c r="E841" s="30" t="n">
        <f aca="false">AM23</f>
        <v>28288</v>
      </c>
      <c r="F841" s="30" t="n">
        <f aca="false">AS23</f>
        <v>33904</v>
      </c>
    </row>
    <row r="842" customFormat="false" ht="12.8" hidden="false" customHeight="false" outlineLevel="0" collapsed="false">
      <c r="A842" s="1" t="str">
        <f aca="false">_xlfn.CONCAT($A$819, ".", A24)</f>
        <v>AL.6.21</v>
      </c>
      <c r="B842" s="7" t="str">
        <f aca="false">_xlfn.CONCAT(B24, ": ", C24)</f>
        <v>Healthcare &amp; Social Assistance: Worker</v>
      </c>
      <c r="C842" s="30" t="n">
        <f aca="false">AA24</f>
        <v>57200</v>
      </c>
      <c r="D842" s="30" t="n">
        <f aca="false">AG24</f>
        <v>55744</v>
      </c>
      <c r="E842" s="30" t="n">
        <f aca="false">AM24</f>
        <v>51480</v>
      </c>
      <c r="F842" s="30" t="n">
        <f aca="false">AS24</f>
        <v>58032</v>
      </c>
    </row>
    <row r="843" customFormat="false" ht="12.8" hidden="false" customHeight="false" outlineLevel="0" collapsed="false">
      <c r="A843" s="1" t="str">
        <f aca="false">_xlfn.CONCAT($A$819, ".", A25)</f>
        <v>AL.6.22</v>
      </c>
      <c r="B843" s="7" t="str">
        <f aca="false">_xlfn.CONCAT(B25, ": ", C25)</f>
        <v>Healthcare &amp; Social Assistance: Support</v>
      </c>
      <c r="C843" s="30" t="n">
        <f aca="false">AA25</f>
        <v>37856</v>
      </c>
      <c r="D843" s="30" t="n">
        <f aca="false">AG25</f>
        <v>36608</v>
      </c>
      <c r="E843" s="30" t="n">
        <f aca="false">AM25</f>
        <v>33280</v>
      </c>
      <c r="F843" s="30" t="n">
        <f aca="false">AS25</f>
        <v>38480</v>
      </c>
    </row>
    <row r="844" customFormat="false" ht="12.8" hidden="false" customHeight="false" outlineLevel="0" collapsed="false">
      <c r="A844" s="1" t="str">
        <f aca="false">_xlfn.CONCAT($A$819, ".", A26)</f>
        <v>AL.6.23</v>
      </c>
      <c r="B844" s="7" t="str">
        <f aca="false">_xlfn.CONCAT(B26, ": ", C26)</f>
        <v>Professional Services: Worker</v>
      </c>
      <c r="C844" s="30" t="n">
        <f aca="false">AA26</f>
        <v>80080</v>
      </c>
      <c r="D844" s="30" t="n">
        <f aca="false">AG26</f>
        <v>78000</v>
      </c>
      <c r="E844" s="30" t="n">
        <f aca="false">AM26</f>
        <v>70720</v>
      </c>
      <c r="F844" s="30" t="n">
        <f aca="false">AS26</f>
        <v>81536</v>
      </c>
    </row>
    <row r="845" customFormat="false" ht="12.8" hidden="false" customHeight="false" outlineLevel="0" collapsed="false">
      <c r="A845" s="1" t="str">
        <f aca="false">_xlfn.CONCAT($A$819, ".", A27)</f>
        <v>AL.6.24</v>
      </c>
      <c r="B845" s="7" t="str">
        <f aca="false">_xlfn.CONCAT(B27, ": ", C27)</f>
        <v>Professional Services: Support</v>
      </c>
      <c r="C845" s="30" t="n">
        <f aca="false">AA27</f>
        <v>58240</v>
      </c>
      <c r="D845" s="30" t="n">
        <f aca="false">AG27</f>
        <v>56576</v>
      </c>
      <c r="E845" s="30" t="n">
        <f aca="false">AM27</f>
        <v>50960</v>
      </c>
      <c r="F845" s="30" t="n">
        <f aca="false">AS27</f>
        <v>59280</v>
      </c>
    </row>
    <row r="846" customFormat="false" ht="12.8" hidden="false" customHeight="false" outlineLevel="0" collapsed="false">
      <c r="A846" s="1" t="str">
        <f aca="false">_xlfn.CONCAT($A$819, ".", A28)</f>
        <v>AL.6.25</v>
      </c>
      <c r="B846" s="7" t="str">
        <f aca="false">_xlfn.CONCAT(B28, ": ", C28)</f>
        <v>Educational Services: Worker</v>
      </c>
      <c r="C846" s="30" t="n">
        <f aca="false">AA28</f>
        <v>62400</v>
      </c>
      <c r="D846" s="30" t="n">
        <f aca="false">AG28</f>
        <v>60320</v>
      </c>
      <c r="E846" s="30" t="n">
        <f aca="false">AM28</f>
        <v>54080</v>
      </c>
      <c r="F846" s="30" t="n">
        <f aca="false">AS28</f>
        <v>63440</v>
      </c>
    </row>
    <row r="847" customFormat="false" ht="12.8" hidden="false" customHeight="false" outlineLevel="0" collapsed="false">
      <c r="A847" s="1" t="str">
        <f aca="false">_xlfn.CONCAT($A$819, ".", A29)</f>
        <v>AL.6.26</v>
      </c>
      <c r="B847" s="7" t="str">
        <f aca="false">_xlfn.CONCAT(B29, ": ", C29)</f>
        <v>Educational Services: Support</v>
      </c>
      <c r="C847" s="30" t="n">
        <f aca="false">AA29</f>
        <v>45760</v>
      </c>
      <c r="D847" s="30" t="n">
        <f aca="false">AG29</f>
        <v>43680</v>
      </c>
      <c r="E847" s="30" t="n">
        <f aca="false">AM29</f>
        <v>39520</v>
      </c>
      <c r="F847" s="30" t="n">
        <f aca="false">AS29</f>
        <v>46800</v>
      </c>
    </row>
    <row r="848" customFormat="false" ht="12.8" hidden="false" customHeight="false" outlineLevel="0" collapsed="false">
      <c r="A848" s="1" t="str">
        <f aca="false">_xlfn.CONCAT($A$819, ".", A30)</f>
        <v>AL.6.27</v>
      </c>
      <c r="B848" s="7" t="str">
        <f aca="false">_xlfn.CONCAT(B30, ": ", C30)</f>
        <v>Finance &amp; Insurance: Worker</v>
      </c>
      <c r="C848" s="30" t="n">
        <f aca="false">AA30</f>
        <v>68640</v>
      </c>
      <c r="D848" s="30" t="n">
        <f aca="false">AG30</f>
        <v>66560</v>
      </c>
      <c r="E848" s="30" t="n">
        <f aca="false">AM30</f>
        <v>60320</v>
      </c>
      <c r="F848" s="30" t="n">
        <f aca="false">AS30</f>
        <v>69680</v>
      </c>
    </row>
    <row r="849" customFormat="false" ht="12.8" hidden="false" customHeight="false" outlineLevel="0" collapsed="false">
      <c r="A849" s="1" t="str">
        <f aca="false">_xlfn.CONCAT($A$819, ".", A31)</f>
        <v>AL.6.28</v>
      </c>
      <c r="B849" s="7" t="str">
        <f aca="false">_xlfn.CONCAT(B31, ": ", C31)</f>
        <v>Finance &amp; Insurance: Support</v>
      </c>
      <c r="C849" s="30" t="n">
        <f aca="false">AA31</f>
        <v>49920</v>
      </c>
      <c r="D849" s="30" t="n">
        <f aca="false">AG31</f>
        <v>47840</v>
      </c>
      <c r="E849" s="30" t="n">
        <f aca="false">AM31</f>
        <v>42640</v>
      </c>
      <c r="F849" s="30" t="n">
        <f aca="false">AS31</f>
        <v>50960</v>
      </c>
    </row>
    <row r="850" customFormat="false" ht="12.8" hidden="false" customHeight="false" outlineLevel="0" collapsed="false">
      <c r="A850" s="1" t="str">
        <f aca="false">_xlfn.CONCAT($A$819, ".", A36)</f>
        <v>AL.6.29</v>
      </c>
      <c r="B850" s="7" t="str">
        <f aca="false">_xlfn.CONCAT(B36, ": ", C36)</f>
        <v>Media and Information Technology: Worker</v>
      </c>
      <c r="C850" s="30" t="n">
        <f aca="false">AA36</f>
        <v>58240</v>
      </c>
      <c r="D850" s="30" t="n">
        <f aca="false">AG36</f>
        <v>56160</v>
      </c>
      <c r="E850" s="30" t="n">
        <f aca="false">AM36</f>
        <v>50960</v>
      </c>
      <c r="F850" s="30" t="n">
        <f aca="false">AS36</f>
        <v>59280</v>
      </c>
    </row>
    <row r="851" customFormat="false" ht="12.8" hidden="false" customHeight="false" outlineLevel="0" collapsed="false">
      <c r="A851" s="1" t="str">
        <f aca="false">_xlfn.CONCAT($A$819, ".", A37)</f>
        <v>AL.6.30</v>
      </c>
      <c r="B851" s="7" t="str">
        <f aca="false">_xlfn.CONCAT(B37, ": ", C37)</f>
        <v>Media and Information Technology: Support</v>
      </c>
      <c r="C851" s="30" t="n">
        <f aca="false">AA37</f>
        <v>41600</v>
      </c>
      <c r="D851" s="30" t="n">
        <f aca="false">AG37</f>
        <v>39520</v>
      </c>
      <c r="E851" s="30" t="n">
        <f aca="false">AM37</f>
        <v>35360</v>
      </c>
      <c r="F851" s="30" t="n">
        <f aca="false">AS37</f>
        <v>42640</v>
      </c>
    </row>
    <row r="852" customFormat="false" ht="12.8" hidden="false" customHeight="false" outlineLevel="0" collapsed="false">
      <c r="A852" s="1"/>
      <c r="B852" s="7"/>
      <c r="C852" s="30"/>
      <c r="D852" s="30"/>
      <c r="E852" s="30"/>
      <c r="F852" s="30"/>
    </row>
    <row r="853" customFormat="false" ht="12.8" hidden="false" customHeight="false" outlineLevel="0" collapsed="false">
      <c r="A853" s="1"/>
      <c r="B853" s="7"/>
      <c r="C853" s="30"/>
      <c r="D853" s="30"/>
      <c r="E853" s="30"/>
      <c r="F853" s="30"/>
    </row>
    <row r="949" customFormat="false" ht="12.8" hidden="false" customHeight="false" outlineLevel="0" collapsed="false">
      <c r="A949" s="5" t="s">
        <v>153</v>
      </c>
      <c r="B949" s="24" t="s">
        <v>7</v>
      </c>
      <c r="C949" s="25" t="s">
        <v>154</v>
      </c>
    </row>
    <row r="950" customFormat="false" ht="46.25" hidden="false" customHeight="false" outlineLevel="0" collapsed="false">
      <c r="A950" s="5" t="s">
        <v>26</v>
      </c>
      <c r="B950" s="5" t="str">
        <f aca="false">_xlfn.CONCAT(B2, ": ", C2)</f>
        <v>Industry: Role</v>
      </c>
      <c r="C950" s="31" t="str">
        <f aca="false">AV2</f>
        <v>Federal Personal Income Tax Revenue ($)</v>
      </c>
      <c r="D950" s="31" t="str">
        <f aca="false">AW2</f>
        <v>Authorized Immigrant Federal Personal Income Tax Revenue ($)</v>
      </c>
      <c r="E950" s="31" t="str">
        <f aca="false">AX2</f>
        <v>Unauthorized Immigrant Federal Personal Income Tax Revenue ($)</v>
      </c>
      <c r="F950" s="31" t="str">
        <f aca="false">AY2</f>
        <v>American Federal Personal Income Tax Revenue ($)</v>
      </c>
    </row>
    <row r="951" customFormat="false" ht="12.8" hidden="false" customHeight="false" outlineLevel="0" collapsed="false">
      <c r="A951" s="7" t="str">
        <f aca="false">_xlfn.CONCAT($A$949, ".", A3)</f>
        <v>AL.7.0</v>
      </c>
      <c r="B951" s="7" t="str">
        <f aca="false">_xlfn.CONCAT(B3, ": ", C3)</f>
        <v>All Industries: All Roles</v>
      </c>
      <c r="C951" s="31" t="n">
        <f aca="false">AV3</f>
        <v>950000000</v>
      </c>
      <c r="D951" s="31" t="n">
        <f aca="false">AW3</f>
        <v>33000000</v>
      </c>
      <c r="E951" s="31" t="n">
        <f aca="false">AX3</f>
        <v>85000000</v>
      </c>
      <c r="F951" s="31" t="n">
        <f aca="false">AY3</f>
        <v>832000000</v>
      </c>
    </row>
    <row r="952" customFormat="false" ht="12.8" hidden="false" customHeight="false" outlineLevel="0" collapsed="false">
      <c r="A952" s="7" t="str">
        <f aca="false">_xlfn.CONCAT($A$949, ".", A4)</f>
        <v>AL.7.1</v>
      </c>
      <c r="B952" s="7" t="str">
        <f aca="false">_xlfn.CONCAT(B4, ": ", C4)</f>
        <v>Agriculture: Worker</v>
      </c>
      <c r="C952" s="31" t="n">
        <f aca="false">AV4</f>
        <v>1250000</v>
      </c>
      <c r="D952" s="31" t="n">
        <f aca="false">AW4</f>
        <v>41000</v>
      </c>
      <c r="E952" s="31" t="n">
        <f aca="false">AX4</f>
        <v>125000</v>
      </c>
      <c r="F952" s="31" t="n">
        <f aca="false">AY4</f>
        <v>1085000</v>
      </c>
    </row>
    <row r="953" customFormat="false" ht="12.8" hidden="false" customHeight="false" outlineLevel="0" collapsed="false">
      <c r="A953" s="7" t="str">
        <f aca="false">_xlfn.CONCAT($A$949, ".", A5)</f>
        <v>AL.7.2</v>
      </c>
      <c r="B953" s="7" t="str">
        <f aca="false">_xlfn.CONCAT(B5, ": ", C5)</f>
        <v>Agriculture: Support</v>
      </c>
      <c r="C953" s="31" t="n">
        <f aca="false">AV5</f>
        <v>625000</v>
      </c>
      <c r="D953" s="31" t="n">
        <f aca="false">AW5</f>
        <v>20500</v>
      </c>
      <c r="E953" s="31" t="n">
        <f aca="false">AX5</f>
        <v>62500</v>
      </c>
      <c r="F953" s="31" t="n">
        <f aca="false">AY5</f>
        <v>542500</v>
      </c>
    </row>
    <row r="954" customFormat="false" ht="12.8" hidden="false" customHeight="false" outlineLevel="0" collapsed="false">
      <c r="A954" s="7" t="str">
        <f aca="false">_xlfn.CONCAT($A$949, ".", A6)</f>
        <v>AL.7.3</v>
      </c>
      <c r="B954" s="7" t="str">
        <f aca="false">_xlfn.CONCAT(B6, ": ", C6)</f>
        <v>Construction: Worker</v>
      </c>
      <c r="C954" s="31" t="n">
        <f aca="false">AV6</f>
        <v>21000000</v>
      </c>
      <c r="D954" s="31" t="n">
        <f aca="false">AW6</f>
        <v>700000</v>
      </c>
      <c r="E954" s="31" t="n">
        <f aca="false">AX6</f>
        <v>2100000</v>
      </c>
      <c r="F954" s="31" t="n">
        <f aca="false">AY6</f>
        <v>18200000</v>
      </c>
    </row>
    <row r="955" customFormat="false" ht="12.8" hidden="false" customHeight="false" outlineLevel="0" collapsed="false">
      <c r="A955" s="7" t="str">
        <f aca="false">_xlfn.CONCAT($A$949, ".", A7)</f>
        <v>AL.7.4</v>
      </c>
      <c r="B955" s="7" t="str">
        <f aca="false">_xlfn.CONCAT(B7, ": ", C7)</f>
        <v>Construction: Support</v>
      </c>
      <c r="C955" s="31" t="n">
        <f aca="false">AV7</f>
        <v>8400000</v>
      </c>
      <c r="D955" s="31" t="n">
        <f aca="false">AW7</f>
        <v>280000</v>
      </c>
      <c r="E955" s="31" t="n">
        <f aca="false">AX7</f>
        <v>840000</v>
      </c>
      <c r="F955" s="31" t="n">
        <f aca="false">AY7</f>
        <v>7280000</v>
      </c>
    </row>
    <row r="956" customFormat="false" ht="12.8" hidden="false" customHeight="false" outlineLevel="0" collapsed="false">
      <c r="A956" s="7" t="str">
        <f aca="false">_xlfn.CONCAT($A$949, ".", A8)</f>
        <v>AL.7.5</v>
      </c>
      <c r="B956" s="7" t="str">
        <f aca="false">_xlfn.CONCAT(B8, ": ", C8)</f>
        <v>Hospitality: Worker</v>
      </c>
      <c r="C956" s="31" t="n">
        <f aca="false">AV8</f>
        <v>18500000</v>
      </c>
      <c r="D956" s="31" t="n">
        <f aca="false">AW8</f>
        <v>610000</v>
      </c>
      <c r="E956" s="31" t="n">
        <f aca="false">AX8</f>
        <v>1830000</v>
      </c>
      <c r="F956" s="31" t="n">
        <f aca="false">AY8</f>
        <v>16060000</v>
      </c>
    </row>
    <row r="957" customFormat="false" ht="12.8" hidden="false" customHeight="false" outlineLevel="0" collapsed="false">
      <c r="A957" s="7" t="str">
        <f aca="false">_xlfn.CONCAT($A$949, ".", A9)</f>
        <v>AL.7.6</v>
      </c>
      <c r="B957" s="7" t="str">
        <f aca="false">_xlfn.CONCAT(B9, ": ", C9)</f>
        <v>Hospitality: Support</v>
      </c>
      <c r="C957" s="31" t="n">
        <f aca="false">AV9</f>
        <v>9300000</v>
      </c>
      <c r="D957" s="31" t="n">
        <f aca="false">AW9</f>
        <v>310000</v>
      </c>
      <c r="E957" s="31" t="n">
        <f aca="false">AX9</f>
        <v>930000</v>
      </c>
      <c r="F957" s="31" t="n">
        <f aca="false">AY9</f>
        <v>8060000</v>
      </c>
    </row>
    <row r="958" customFormat="false" ht="12.8" hidden="false" customHeight="false" outlineLevel="0" collapsed="false">
      <c r="A958" s="7" t="str">
        <f aca="false">_xlfn.CONCAT($A$949, ".", A10)</f>
        <v>AL.7.7</v>
      </c>
      <c r="B958" s="7" t="str">
        <f aca="false">_xlfn.CONCAT(B10, ": ", C10)</f>
        <v>Cleaning &amp; Maintenance: Worker</v>
      </c>
      <c r="C958" s="31" t="n">
        <f aca="false">AV10</f>
        <v>3600000</v>
      </c>
      <c r="D958" s="31" t="n">
        <f aca="false">AW10</f>
        <v>120000</v>
      </c>
      <c r="E958" s="31" t="n">
        <f aca="false">AX10</f>
        <v>360000</v>
      </c>
      <c r="F958" s="31" t="n">
        <f aca="false">AY10</f>
        <v>3120000</v>
      </c>
    </row>
    <row r="959" customFormat="false" ht="12.8" hidden="false" customHeight="false" outlineLevel="0" collapsed="false">
      <c r="A959" s="7" t="str">
        <f aca="false">_xlfn.CONCAT($A$949, ".", A11)</f>
        <v>AL.7.8</v>
      </c>
      <c r="B959" s="7" t="str">
        <f aca="false">_xlfn.CONCAT(B11, ": ", C11)</f>
        <v>Cleaning &amp; Maintenance: Support</v>
      </c>
      <c r="C959" s="31" t="n">
        <f aca="false">AV11</f>
        <v>1800000</v>
      </c>
      <c r="D959" s="31" t="n">
        <f aca="false">AW11</f>
        <v>60000</v>
      </c>
      <c r="E959" s="31" t="n">
        <f aca="false">AX11</f>
        <v>180000</v>
      </c>
      <c r="F959" s="31" t="n">
        <f aca="false">AY11</f>
        <v>1560000</v>
      </c>
    </row>
    <row r="960" customFormat="false" ht="12.8" hidden="false" customHeight="false" outlineLevel="0" collapsed="false">
      <c r="A960" s="7" t="str">
        <f aca="false">_xlfn.CONCAT($A$949, ".", A12)</f>
        <v>AL.7.9</v>
      </c>
      <c r="B960" s="7" t="str">
        <f aca="false">_xlfn.CONCAT(B12, ": ", C12)</f>
        <v>Manufacturing: Worker</v>
      </c>
      <c r="C960" s="31" t="n">
        <f aca="false">AV12</f>
        <v>46000000</v>
      </c>
      <c r="D960" s="31" t="n">
        <f aca="false">AW12</f>
        <v>1520000</v>
      </c>
      <c r="E960" s="31" t="n">
        <f aca="false">AX12</f>
        <v>4600000</v>
      </c>
      <c r="F960" s="31" t="n">
        <f aca="false">AY12</f>
        <v>39880000</v>
      </c>
    </row>
    <row r="961" customFormat="false" ht="12.8" hidden="false" customHeight="false" outlineLevel="0" collapsed="false">
      <c r="A961" s="7" t="str">
        <f aca="false">_xlfn.CONCAT($A$949, ".", A13)</f>
        <v>AL.7.10</v>
      </c>
      <c r="B961" s="7" t="str">
        <f aca="false">_xlfn.CONCAT(B13, ": ", C13)</f>
        <v>Manufacturing: Support</v>
      </c>
      <c r="C961" s="31" t="n">
        <f aca="false">AV13</f>
        <v>19500000</v>
      </c>
      <c r="D961" s="31" t="n">
        <f aca="false">AW13</f>
        <v>650000</v>
      </c>
      <c r="E961" s="31" t="n">
        <f aca="false">AX13</f>
        <v>1950000</v>
      </c>
      <c r="F961" s="31" t="n">
        <f aca="false">AY13</f>
        <v>16895000</v>
      </c>
    </row>
    <row r="962" customFormat="false" ht="12.8" hidden="false" customHeight="false" outlineLevel="0" collapsed="false">
      <c r="A962" s="7" t="str">
        <f aca="false">_xlfn.CONCAT($A$949, ".", A14)</f>
        <v>AL.7.11</v>
      </c>
      <c r="B962" s="7" t="str">
        <f aca="false">_xlfn.CONCAT(B14, ": ", C14)</f>
        <v>Transportation &amp; Warehousing: Worker</v>
      </c>
      <c r="C962" s="31" t="n">
        <f aca="false">AV14</f>
        <v>39000000</v>
      </c>
      <c r="D962" s="31" t="n">
        <f aca="false">AW14</f>
        <v>1300000</v>
      </c>
      <c r="E962" s="31" t="n">
        <f aca="false">AX14</f>
        <v>3900000</v>
      </c>
      <c r="F962" s="31" t="n">
        <f aca="false">AY14</f>
        <v>33800000</v>
      </c>
    </row>
    <row r="963" customFormat="false" ht="12.8" hidden="false" customHeight="false" outlineLevel="0" collapsed="false">
      <c r="A963" s="7" t="str">
        <f aca="false">_xlfn.CONCAT($A$949, ".", A15)</f>
        <v>AL.7.12</v>
      </c>
      <c r="B963" s="7" t="str">
        <f aca="false">_xlfn.CONCAT(B15, ": ", C15)</f>
        <v>Transportation &amp; Warehousing: Support</v>
      </c>
      <c r="C963" s="31" t="n">
        <f aca="false">AV15</f>
        <v>15600000</v>
      </c>
      <c r="D963" s="31" t="n">
        <f aca="false">AW15</f>
        <v>520000</v>
      </c>
      <c r="E963" s="31" t="n">
        <f aca="false">AX15</f>
        <v>1560000</v>
      </c>
      <c r="F963" s="31" t="n">
        <f aca="false">AY15</f>
        <v>13528000</v>
      </c>
    </row>
    <row r="964" customFormat="false" ht="12.8" hidden="false" customHeight="false" outlineLevel="0" collapsed="false">
      <c r="A964" s="7" t="str">
        <f aca="false">_xlfn.CONCAT($A$949, ".", A16)</f>
        <v>AL.7.13</v>
      </c>
      <c r="B964" s="7" t="str">
        <f aca="false">_xlfn.CONCAT(B16, ": ", C16)</f>
        <v>Retail Trade: Worker</v>
      </c>
      <c r="C964" s="31" t="n">
        <f aca="false">AV16</f>
        <v>18500000</v>
      </c>
      <c r="D964" s="31" t="n">
        <f aca="false">AW16</f>
        <v>610000</v>
      </c>
      <c r="E964" s="31" t="n">
        <f aca="false">AX16</f>
        <v>1830000</v>
      </c>
      <c r="F964" s="31" t="n">
        <f aca="false">AY16</f>
        <v>16060000</v>
      </c>
    </row>
    <row r="965" customFormat="false" ht="12.8" hidden="false" customHeight="false" outlineLevel="0" collapsed="false">
      <c r="A965" s="7" t="str">
        <f aca="false">_xlfn.CONCAT($A$949, ".", A17)</f>
        <v>AL.7.14</v>
      </c>
      <c r="B965" s="7" t="str">
        <f aca="false">_xlfn.CONCAT(B17, ": ", C17)</f>
        <v>Retail Trade: Support</v>
      </c>
      <c r="C965" s="31" t="n">
        <f aca="false">AV17</f>
        <v>9300000</v>
      </c>
      <c r="D965" s="31" t="n">
        <f aca="false">AW17</f>
        <v>310000</v>
      </c>
      <c r="E965" s="31" t="n">
        <f aca="false">AX17</f>
        <v>930000</v>
      </c>
      <c r="F965" s="31" t="n">
        <f aca="false">AY17</f>
        <v>8060000</v>
      </c>
    </row>
    <row r="966" customFormat="false" ht="12.8" hidden="false" customHeight="false" outlineLevel="0" collapsed="false">
      <c r="A966" s="7" t="str">
        <f aca="false">_xlfn.CONCAT($A$949, ".", A18)</f>
        <v>AL.7.15</v>
      </c>
      <c r="B966" s="7" t="str">
        <f aca="false">_xlfn.CONCAT(B18, ": ", C18)</f>
        <v>Landscaping / Groundskeeping: Worker</v>
      </c>
      <c r="C966" s="31" t="n">
        <f aca="false">AV18</f>
        <v>1500000</v>
      </c>
      <c r="D966" s="31" t="n">
        <f aca="false">AW18</f>
        <v>50000</v>
      </c>
      <c r="E966" s="31" t="n">
        <f aca="false">AX18</f>
        <v>150000</v>
      </c>
      <c r="F966" s="31" t="n">
        <f aca="false">AY18</f>
        <v>1300000</v>
      </c>
    </row>
    <row r="967" customFormat="false" ht="12.8" hidden="false" customHeight="false" outlineLevel="0" collapsed="false">
      <c r="A967" s="7" t="str">
        <f aca="false">_xlfn.CONCAT($A$949, ".", A19)</f>
        <v>AL.7.16</v>
      </c>
      <c r="B967" s="7" t="str">
        <f aca="false">_xlfn.CONCAT(B19, ": ", C19)</f>
        <v>Landscaping / Groundskeeping: Support</v>
      </c>
      <c r="C967" s="31" t="n">
        <f aca="false">AV19</f>
        <v>750000</v>
      </c>
      <c r="D967" s="31" t="n">
        <f aca="false">AW19</f>
        <v>25000</v>
      </c>
      <c r="E967" s="31" t="n">
        <f aca="false">AX19</f>
        <v>75000</v>
      </c>
      <c r="F967" s="31" t="n">
        <f aca="false">AY19</f>
        <v>650000</v>
      </c>
    </row>
    <row r="968" customFormat="false" ht="12.8" hidden="false" customHeight="false" outlineLevel="0" collapsed="false">
      <c r="A968" s="7" t="str">
        <f aca="false">_xlfn.CONCAT($A$949, ".", A20)</f>
        <v>AL.7.17</v>
      </c>
      <c r="B968" s="7" t="str">
        <f aca="false">_xlfn.CONCAT(B20, ": ", C20)</f>
        <v>Automotive &amp; Repair: Worker</v>
      </c>
      <c r="C968" s="31" t="n">
        <f aca="false">AV20</f>
        <v>1250000</v>
      </c>
      <c r="D968" s="31" t="n">
        <f aca="false">AW20</f>
        <v>42000</v>
      </c>
      <c r="E968" s="31" t="n">
        <f aca="false">AX20</f>
        <v>126000</v>
      </c>
      <c r="F968" s="31" t="n">
        <f aca="false">AY20</f>
        <v>1082000</v>
      </c>
    </row>
    <row r="969" customFormat="false" ht="12.8" hidden="false" customHeight="false" outlineLevel="0" collapsed="false">
      <c r="A969" s="7" t="str">
        <f aca="false">_xlfn.CONCAT($A$949, ".", A21)</f>
        <v>AL.7.18</v>
      </c>
      <c r="B969" s="7" t="str">
        <f aca="false">_xlfn.CONCAT(B21, ": ", C21)</f>
        <v>Automotive &amp; Repair: Support</v>
      </c>
      <c r="C969" s="31" t="n">
        <f aca="false">AV21</f>
        <v>625000</v>
      </c>
      <c r="D969" s="31" t="n">
        <f aca="false">AW21</f>
        <v>21000</v>
      </c>
      <c r="E969" s="31" t="n">
        <f aca="false">AX21</f>
        <v>63000</v>
      </c>
      <c r="F969" s="31" t="n">
        <f aca="false">AY21</f>
        <v>541000</v>
      </c>
    </row>
    <row r="970" customFormat="false" ht="12.8" hidden="false" customHeight="false" outlineLevel="0" collapsed="false">
      <c r="A970" s="7" t="str">
        <f aca="false">_xlfn.CONCAT($A$949, ".", A22)</f>
        <v>AL.7.19</v>
      </c>
      <c r="B970" s="7" t="str">
        <f aca="false">_xlfn.CONCAT(B22, ": ", C22)</f>
        <v>Other Services: Worker</v>
      </c>
      <c r="C970" s="31" t="n">
        <f aca="false">AV22</f>
        <v>9800000</v>
      </c>
      <c r="D970" s="31" t="n">
        <f aca="false">AW22</f>
        <v>325000</v>
      </c>
      <c r="E970" s="31" t="n">
        <f aca="false">AX22</f>
        <v>975000</v>
      </c>
      <c r="F970" s="31" t="n">
        <f aca="false">AY22</f>
        <v>8500000</v>
      </c>
    </row>
    <row r="971" customFormat="false" ht="12.8" hidden="false" customHeight="false" outlineLevel="0" collapsed="false">
      <c r="A971" s="7" t="str">
        <f aca="false">_xlfn.CONCAT($A$949, ".", A23)</f>
        <v>AL.7.20</v>
      </c>
      <c r="B971" s="7" t="str">
        <f aca="false">_xlfn.CONCAT(B23, ": ", C23)</f>
        <v>Other Services: Support</v>
      </c>
      <c r="C971" s="31" t="n">
        <f aca="false">AV23</f>
        <v>4900000</v>
      </c>
      <c r="D971" s="31" t="n">
        <f aca="false">AW23</f>
        <v>163000</v>
      </c>
      <c r="E971" s="31" t="n">
        <f aca="false">AX23</f>
        <v>488000</v>
      </c>
      <c r="F971" s="31" t="n">
        <f aca="false">AY23</f>
        <v>4250000</v>
      </c>
    </row>
    <row r="972" customFormat="false" ht="12.8" hidden="false" customHeight="false" outlineLevel="0" collapsed="false">
      <c r="A972" s="7" t="str">
        <f aca="false">_xlfn.CONCAT($A$949, ".", A24)</f>
        <v>AL.7.21</v>
      </c>
      <c r="B972" s="7" t="str">
        <f aca="false">_xlfn.CONCAT(B24, ": ", C24)</f>
        <v>Healthcare &amp; Social Assistance: Worker</v>
      </c>
      <c r="C972" s="31" t="n">
        <f aca="false">AV24</f>
        <v>38000000</v>
      </c>
      <c r="D972" s="31" t="n">
        <f aca="false">AW24</f>
        <v>1250000</v>
      </c>
      <c r="E972" s="31" t="n">
        <f aca="false">AX24</f>
        <v>1525000</v>
      </c>
      <c r="F972" s="31" t="n">
        <f aca="false">AY24</f>
        <v>35225000</v>
      </c>
    </row>
    <row r="973" customFormat="false" ht="12.8" hidden="false" customHeight="false" outlineLevel="0" collapsed="false">
      <c r="A973" s="7" t="str">
        <f aca="false">_xlfn.CONCAT($A$949, ".", A25)</f>
        <v>AL.7.22</v>
      </c>
      <c r="B973" s="7" t="str">
        <f aca="false">_xlfn.CONCAT(B25, ": ", C25)</f>
        <v>Healthcare &amp; Social Assistance: Support</v>
      </c>
      <c r="C973" s="31" t="n">
        <f aca="false">AV25</f>
        <v>15500000</v>
      </c>
      <c r="D973" s="31" t="n">
        <f aca="false">AW25</f>
        <v>510000</v>
      </c>
      <c r="E973" s="31" t="n">
        <f aca="false">AX25</f>
        <v>622500</v>
      </c>
      <c r="F973" s="31" t="n">
        <f aca="false">AY25</f>
        <v>14366250</v>
      </c>
    </row>
    <row r="974" customFormat="false" ht="12.8" hidden="false" customHeight="false" outlineLevel="0" collapsed="false">
      <c r="A974" s="7" t="str">
        <f aca="false">_xlfn.CONCAT($A$949, ".", A26)</f>
        <v>AL.7.23</v>
      </c>
      <c r="B974" s="7" t="str">
        <f aca="false">_xlfn.CONCAT(B26, ": ", C26)</f>
        <v>Professional Services: Worker</v>
      </c>
      <c r="C974" s="31" t="n">
        <f aca="false">AV26</f>
        <v>33000000</v>
      </c>
      <c r="D974" s="31" t="n">
        <f aca="false">AW26</f>
        <v>1090000</v>
      </c>
      <c r="E974" s="31" t="n">
        <f aca="false">AX26</f>
        <v>1330000</v>
      </c>
      <c r="F974" s="31" t="n">
        <f aca="false">AY26</f>
        <v>30580000</v>
      </c>
    </row>
    <row r="975" customFormat="false" ht="12.8" hidden="false" customHeight="false" outlineLevel="0" collapsed="false">
      <c r="A975" s="7" t="str">
        <f aca="false">_xlfn.CONCAT($A$949, ".", A27)</f>
        <v>AL.7.24</v>
      </c>
      <c r="B975" s="7" t="str">
        <f aca="false">_xlfn.CONCAT(B27, ": ", C27)</f>
        <v>Professional Services: Support</v>
      </c>
      <c r="C975" s="31" t="n">
        <f aca="false">AV27</f>
        <v>15800000</v>
      </c>
      <c r="D975" s="31" t="n">
        <f aca="false">AW27</f>
        <v>520000</v>
      </c>
      <c r="E975" s="31" t="n">
        <f aca="false">AX27</f>
        <v>635000</v>
      </c>
      <c r="F975" s="31" t="n">
        <f aca="false">AY27</f>
        <v>14645000</v>
      </c>
    </row>
    <row r="976" customFormat="false" ht="12.8" hidden="false" customHeight="false" outlineLevel="0" collapsed="false">
      <c r="A976" s="7" t="str">
        <f aca="false">_xlfn.CONCAT($A$949, ".", A28)</f>
        <v>AL.7.25</v>
      </c>
      <c r="B976" s="7" t="str">
        <f aca="false">_xlfn.CONCAT(B28, ": ", C28)</f>
        <v>Educational Services: Worker</v>
      </c>
      <c r="C976" s="31" t="n">
        <f aca="false">AV28</f>
        <v>3900000</v>
      </c>
      <c r="D976" s="31" t="n">
        <f aca="false">AW28</f>
        <v>130000</v>
      </c>
      <c r="E976" s="31" t="n">
        <f aca="false">AX28</f>
        <v>195000</v>
      </c>
      <c r="F976" s="31" t="n">
        <f aca="false">AY28</f>
        <v>3575000</v>
      </c>
    </row>
    <row r="977" customFormat="false" ht="12.8" hidden="false" customHeight="false" outlineLevel="0" collapsed="false">
      <c r="A977" s="7" t="str">
        <f aca="false">_xlfn.CONCAT($A$949, ".", A29)</f>
        <v>AL.7.26</v>
      </c>
      <c r="B977" s="7" t="str">
        <f aca="false">_xlfn.CONCAT(B29, ": ", C29)</f>
        <v>Educational Services: Support</v>
      </c>
      <c r="C977" s="31" t="n">
        <f aca="false">AV29</f>
        <v>1560000</v>
      </c>
      <c r="D977" s="31" t="n">
        <f aca="false">AW29</f>
        <v>52000</v>
      </c>
      <c r="E977" s="31" t="n">
        <f aca="false">AX29</f>
        <v>78000</v>
      </c>
      <c r="F977" s="31" t="n">
        <f aca="false">AY29</f>
        <v>1430000</v>
      </c>
    </row>
    <row r="978" customFormat="false" ht="12.8" hidden="false" customHeight="false" outlineLevel="0" collapsed="false">
      <c r="A978" s="7" t="str">
        <f aca="false">_xlfn.CONCAT($A$949, ".", A30)</f>
        <v>AL.7.27</v>
      </c>
      <c r="B978" s="7" t="str">
        <f aca="false">_xlfn.CONCAT(B30, ": ", C30)</f>
        <v>Finance &amp; Insurance: Worker</v>
      </c>
      <c r="C978" s="31" t="n">
        <f aca="false">AV30</f>
        <v>22300000</v>
      </c>
      <c r="D978" s="31" t="n">
        <f aca="false">AW30</f>
        <v>735000</v>
      </c>
      <c r="E978" s="31" t="n">
        <f aca="false">AX30</f>
        <v>1470000</v>
      </c>
      <c r="F978" s="31" t="n">
        <f aca="false">AY30</f>
        <v>20115000</v>
      </c>
    </row>
    <row r="979" customFormat="false" ht="12.8" hidden="false" customHeight="false" outlineLevel="0" collapsed="false">
      <c r="A979" s="7" t="str">
        <f aca="false">_xlfn.CONCAT($A$949, ".", A31)</f>
        <v>AL.7.28</v>
      </c>
      <c r="B979" s="7" t="str">
        <f aca="false">_xlfn.CONCAT(B31, ": ", C31)</f>
        <v>Finance &amp; Insurance: Support</v>
      </c>
      <c r="C979" s="31" t="n">
        <f aca="false">AV31</f>
        <v>8900000</v>
      </c>
      <c r="D979" s="31" t="n">
        <f aca="false">AW31</f>
        <v>295000</v>
      </c>
      <c r="E979" s="31" t="n">
        <f aca="false">AX31</f>
        <v>590000</v>
      </c>
      <c r="F979" s="31" t="n">
        <f aca="false">AY31</f>
        <v>8015000</v>
      </c>
    </row>
    <row r="980" customFormat="false" ht="12.8" hidden="false" customHeight="false" outlineLevel="0" collapsed="false">
      <c r="A980" s="7" t="str">
        <f aca="false">_xlfn.CONCAT($A$949, ".", A36)</f>
        <v>AL.7.29</v>
      </c>
      <c r="B980" s="7" t="str">
        <f aca="false">_xlfn.CONCAT(B36, ": ", C36)</f>
        <v>Media and Information Technology: Worker</v>
      </c>
      <c r="C980" s="31" t="n">
        <f aca="false">AV36</f>
        <v>7000000</v>
      </c>
      <c r="D980" s="31" t="n">
        <f aca="false">AW36</f>
        <v>230000</v>
      </c>
      <c r="E980" s="31" t="n">
        <f aca="false">AX36</f>
        <v>460000</v>
      </c>
      <c r="F980" s="31" t="n">
        <f aca="false">AY36</f>
        <v>6310000</v>
      </c>
    </row>
    <row r="981" customFormat="false" ht="12.8" hidden="false" customHeight="false" outlineLevel="0" collapsed="false">
      <c r="A981" s="7" t="str">
        <f aca="false">_xlfn.CONCAT($A$949, ".", A37)</f>
        <v>AL.7.30</v>
      </c>
      <c r="B981" s="7" t="str">
        <f aca="false">_xlfn.CONCAT(B37, ": ", C37)</f>
        <v>Media and Information Technology: Support</v>
      </c>
      <c r="C981" s="31" t="n">
        <f aca="false">AV37</f>
        <v>2800000</v>
      </c>
      <c r="D981" s="31" t="n">
        <f aca="false">AW37</f>
        <v>92000</v>
      </c>
      <c r="E981" s="31" t="n">
        <f aca="false">AX37</f>
        <v>184000</v>
      </c>
      <c r="F981" s="31" t="n">
        <f aca="false">AY37</f>
        <v>2524000</v>
      </c>
    </row>
    <row r="1079" customFormat="false" ht="12.8" hidden="false" customHeight="false" outlineLevel="0" collapsed="false">
      <c r="A1079" s="5" t="s">
        <v>155</v>
      </c>
      <c r="B1079" s="24" t="s">
        <v>7</v>
      </c>
      <c r="C1079" s="25" t="s">
        <v>156</v>
      </c>
    </row>
    <row r="1080" customFormat="false" ht="34.4" hidden="false" customHeight="false" outlineLevel="0" collapsed="false">
      <c r="A1080" s="5" t="s">
        <v>26</v>
      </c>
      <c r="B1080" s="5" t="str">
        <f aca="false">_xlfn.CONCAT(B2, ": ", C2)</f>
        <v>Industry: Role</v>
      </c>
      <c r="C1080" s="31" t="str">
        <f aca="false">AZ2</f>
        <v>Payroll Tax Revenue ($)</v>
      </c>
      <c r="D1080" s="31" t="str">
        <f aca="false">BA2</f>
        <v>Authorized Immigrant Payroll Tax Revenue ($)</v>
      </c>
      <c r="E1080" s="31" t="str">
        <f aca="false">BB2</f>
        <v>Unauthorized Immigrant Payroll Tax Revenue ($)</v>
      </c>
      <c r="F1080" s="31" t="str">
        <f aca="false">BC2</f>
        <v>American Payroll Tax Revenue ($)</v>
      </c>
    </row>
    <row r="1081" customFormat="false" ht="12.8" hidden="false" customHeight="false" outlineLevel="0" collapsed="false">
      <c r="A1081" s="5" t="str">
        <f aca="false">_xlfn.CONCAT($A$949, ".", A3)</f>
        <v>AL.7.0</v>
      </c>
      <c r="B1081" s="5" t="str">
        <f aca="false">_xlfn.CONCAT(B3, ": ", C3)</f>
        <v>All Industries: All Roles</v>
      </c>
      <c r="C1081" s="31" t="n">
        <f aca="false">AZ3</f>
        <v>475000000</v>
      </c>
      <c r="D1081" s="31" t="n">
        <f aca="false">BA3</f>
        <v>16500000</v>
      </c>
      <c r="E1081" s="31" t="n">
        <f aca="false">BB3</f>
        <v>42500000</v>
      </c>
      <c r="F1081" s="31" t="n">
        <f aca="false">BC3</f>
        <v>416000000</v>
      </c>
    </row>
    <row r="1082" customFormat="false" ht="12.8" hidden="false" customHeight="false" outlineLevel="0" collapsed="false">
      <c r="A1082" s="7" t="str">
        <f aca="false">_xlfn.CONCAT($A$949, ".", A4)</f>
        <v>AL.7.1</v>
      </c>
      <c r="B1082" s="7" t="str">
        <f aca="false">_xlfn.CONCAT(B4, ": ", C4)</f>
        <v>Agriculture: Worker</v>
      </c>
      <c r="C1082" s="17" t="n">
        <f aca="false">AZ4</f>
        <v>625000</v>
      </c>
      <c r="D1082" s="17" t="n">
        <f aca="false">BA4</f>
        <v>20500</v>
      </c>
      <c r="E1082" s="17" t="n">
        <f aca="false">BB4</f>
        <v>62500</v>
      </c>
      <c r="F1082" s="17" t="n">
        <f aca="false">BC4</f>
        <v>542000</v>
      </c>
    </row>
    <row r="1083" customFormat="false" ht="12.8" hidden="false" customHeight="false" outlineLevel="0" collapsed="false">
      <c r="A1083" s="7" t="str">
        <f aca="false">_xlfn.CONCAT($A$949, ".", A5)</f>
        <v>AL.7.2</v>
      </c>
      <c r="B1083" s="7" t="str">
        <f aca="false">_xlfn.CONCAT(B5, ": ", C5)</f>
        <v>Agriculture: Support</v>
      </c>
      <c r="C1083" s="17" t="n">
        <f aca="false">AZ5</f>
        <v>312500</v>
      </c>
      <c r="D1083" s="17" t="n">
        <f aca="false">BA5</f>
        <v>10250</v>
      </c>
      <c r="E1083" s="17" t="n">
        <f aca="false">BB5</f>
        <v>31250</v>
      </c>
      <c r="F1083" s="17" t="n">
        <f aca="false">BC5</f>
        <v>271000</v>
      </c>
    </row>
    <row r="1084" customFormat="false" ht="12.8" hidden="false" customHeight="false" outlineLevel="0" collapsed="false">
      <c r="A1084" s="7" t="str">
        <f aca="false">_xlfn.CONCAT($A$949, ".", A6)</f>
        <v>AL.7.3</v>
      </c>
      <c r="B1084" s="7" t="str">
        <f aca="false">_xlfn.CONCAT(B6, ": ", C6)</f>
        <v>Construction: Worker</v>
      </c>
      <c r="C1084" s="17" t="n">
        <f aca="false">AZ6</f>
        <v>10500000</v>
      </c>
      <c r="D1084" s="17" t="n">
        <f aca="false">BA6</f>
        <v>350000</v>
      </c>
      <c r="E1084" s="17" t="n">
        <f aca="false">BB6</f>
        <v>1050000</v>
      </c>
      <c r="F1084" s="17" t="n">
        <f aca="false">BC6</f>
        <v>9100000</v>
      </c>
    </row>
    <row r="1085" customFormat="false" ht="12.8" hidden="false" customHeight="false" outlineLevel="0" collapsed="false">
      <c r="A1085" s="7" t="str">
        <f aca="false">_xlfn.CONCAT($A$949, ".", A7)</f>
        <v>AL.7.4</v>
      </c>
      <c r="B1085" s="7" t="str">
        <f aca="false">_xlfn.CONCAT(B7, ": ", C7)</f>
        <v>Construction: Support</v>
      </c>
      <c r="C1085" s="17" t="n">
        <f aca="false">AZ7</f>
        <v>4200000</v>
      </c>
      <c r="D1085" s="17" t="n">
        <f aca="false">BA7</f>
        <v>140000</v>
      </c>
      <c r="E1085" s="17" t="n">
        <f aca="false">BB7</f>
        <v>420000</v>
      </c>
      <c r="F1085" s="17" t="n">
        <f aca="false">BC7</f>
        <v>3640000</v>
      </c>
    </row>
    <row r="1086" customFormat="false" ht="12.8" hidden="false" customHeight="false" outlineLevel="0" collapsed="false">
      <c r="A1086" s="7" t="str">
        <f aca="false">_xlfn.CONCAT($A$949, ".", A8)</f>
        <v>AL.7.5</v>
      </c>
      <c r="B1086" s="7" t="str">
        <f aca="false">_xlfn.CONCAT(B8, ": ", C8)</f>
        <v>Hospitality: Worker</v>
      </c>
      <c r="C1086" s="17" t="n">
        <f aca="false">AZ8</f>
        <v>9250000</v>
      </c>
      <c r="D1086" s="17" t="n">
        <f aca="false">BA8</f>
        <v>305000</v>
      </c>
      <c r="E1086" s="17" t="n">
        <f aca="false">BB8</f>
        <v>915000</v>
      </c>
      <c r="F1086" s="17" t="n">
        <f aca="false">BC8</f>
        <v>8030000</v>
      </c>
    </row>
    <row r="1087" customFormat="false" ht="12.8" hidden="false" customHeight="false" outlineLevel="0" collapsed="false">
      <c r="A1087" s="7" t="str">
        <f aca="false">_xlfn.CONCAT($A$949, ".", A9)</f>
        <v>AL.7.6</v>
      </c>
      <c r="B1087" s="7" t="str">
        <f aca="false">_xlfn.CONCAT(B9, ": ", C9)</f>
        <v>Hospitality: Support</v>
      </c>
      <c r="C1087" s="17" t="n">
        <f aca="false">AZ9</f>
        <v>4650000</v>
      </c>
      <c r="D1087" s="17" t="n">
        <f aca="false">BA9</f>
        <v>155000</v>
      </c>
      <c r="E1087" s="17" t="n">
        <f aca="false">BB9</f>
        <v>465000</v>
      </c>
      <c r="F1087" s="17" t="n">
        <f aca="false">BC9</f>
        <v>4030000</v>
      </c>
    </row>
    <row r="1088" customFormat="false" ht="12.8" hidden="false" customHeight="false" outlineLevel="0" collapsed="false">
      <c r="A1088" s="7" t="str">
        <f aca="false">_xlfn.CONCAT($A$949, ".", A10)</f>
        <v>AL.7.7</v>
      </c>
      <c r="B1088" s="7" t="str">
        <f aca="false">_xlfn.CONCAT(B10, ": ", C10)</f>
        <v>Cleaning &amp; Maintenance: Worker</v>
      </c>
      <c r="C1088" s="17" t="n">
        <f aca="false">AZ10</f>
        <v>1800000</v>
      </c>
      <c r="D1088" s="17" t="n">
        <f aca="false">BA10</f>
        <v>60000</v>
      </c>
      <c r="E1088" s="17" t="n">
        <f aca="false">BB10</f>
        <v>180000</v>
      </c>
      <c r="F1088" s="17" t="n">
        <f aca="false">BC10</f>
        <v>1560000</v>
      </c>
    </row>
    <row r="1089" customFormat="false" ht="12.8" hidden="false" customHeight="false" outlineLevel="0" collapsed="false">
      <c r="A1089" s="7" t="str">
        <f aca="false">_xlfn.CONCAT($A$949, ".", A11)</f>
        <v>AL.7.8</v>
      </c>
      <c r="B1089" s="7" t="str">
        <f aca="false">_xlfn.CONCAT(B11, ": ", C11)</f>
        <v>Cleaning &amp; Maintenance: Support</v>
      </c>
      <c r="C1089" s="17" t="n">
        <f aca="false">AZ11</f>
        <v>900000</v>
      </c>
      <c r="D1089" s="17" t="n">
        <f aca="false">BA11</f>
        <v>30000</v>
      </c>
      <c r="E1089" s="17" t="n">
        <f aca="false">BB11</f>
        <v>90000</v>
      </c>
      <c r="F1089" s="17" t="n">
        <f aca="false">BC11</f>
        <v>780000</v>
      </c>
    </row>
    <row r="1090" customFormat="false" ht="12.8" hidden="false" customHeight="false" outlineLevel="0" collapsed="false">
      <c r="A1090" s="7" t="str">
        <f aca="false">_xlfn.CONCAT($A$949, ".", A12)</f>
        <v>AL.7.9</v>
      </c>
      <c r="B1090" s="7" t="str">
        <f aca="false">_xlfn.CONCAT(B12, ": ", C12)</f>
        <v>Manufacturing: Worker</v>
      </c>
      <c r="C1090" s="17" t="n">
        <f aca="false">AZ12</f>
        <v>23000000</v>
      </c>
      <c r="D1090" s="17" t="n">
        <f aca="false">BA12</f>
        <v>760000</v>
      </c>
      <c r="E1090" s="17" t="n">
        <f aca="false">BB12</f>
        <v>2300000</v>
      </c>
      <c r="F1090" s="17" t="n">
        <f aca="false">BC12</f>
        <v>19940000</v>
      </c>
    </row>
    <row r="1091" customFormat="false" ht="12.8" hidden="false" customHeight="false" outlineLevel="0" collapsed="false">
      <c r="A1091" s="7" t="str">
        <f aca="false">_xlfn.CONCAT($A$949, ".", A13)</f>
        <v>AL.7.10</v>
      </c>
      <c r="B1091" s="7" t="str">
        <f aca="false">_xlfn.CONCAT(B13, ": ", C13)</f>
        <v>Manufacturing: Support</v>
      </c>
      <c r="C1091" s="17" t="n">
        <f aca="false">AZ13</f>
        <v>9750000</v>
      </c>
      <c r="D1091" s="17" t="n">
        <f aca="false">BA13</f>
        <v>325000</v>
      </c>
      <c r="E1091" s="17" t="n">
        <f aca="false">BB13</f>
        <v>975000</v>
      </c>
      <c r="F1091" s="17" t="n">
        <f aca="false">BC13</f>
        <v>8452500</v>
      </c>
    </row>
    <row r="1092" customFormat="false" ht="12.8" hidden="false" customHeight="false" outlineLevel="0" collapsed="false">
      <c r="A1092" s="7" t="str">
        <f aca="false">_xlfn.CONCAT($A$949, ".", A14)</f>
        <v>AL.7.11</v>
      </c>
      <c r="B1092" s="7" t="str">
        <f aca="false">_xlfn.CONCAT(B14, ": ", C14)</f>
        <v>Transportation &amp; Warehousing: Worker</v>
      </c>
      <c r="C1092" s="17" t="n">
        <f aca="false">AZ14</f>
        <v>19500000</v>
      </c>
      <c r="D1092" s="17" t="n">
        <f aca="false">BA14</f>
        <v>650000</v>
      </c>
      <c r="E1092" s="17" t="n">
        <f aca="false">BB14</f>
        <v>1950000</v>
      </c>
      <c r="F1092" s="17" t="n">
        <f aca="false">BC14</f>
        <v>16900000</v>
      </c>
    </row>
    <row r="1093" customFormat="false" ht="12.8" hidden="false" customHeight="false" outlineLevel="0" collapsed="false">
      <c r="A1093" s="7" t="str">
        <f aca="false">_xlfn.CONCAT($A$949, ".", A15)</f>
        <v>AL.7.12</v>
      </c>
      <c r="B1093" s="7" t="str">
        <f aca="false">_xlfn.CONCAT(B15, ": ", C15)</f>
        <v>Transportation &amp; Warehousing: Support</v>
      </c>
      <c r="C1093" s="17" t="n">
        <f aca="false">AZ15</f>
        <v>7800000</v>
      </c>
      <c r="D1093" s="17" t="n">
        <f aca="false">BA15</f>
        <v>260000</v>
      </c>
      <c r="E1093" s="17" t="n">
        <f aca="false">BB15</f>
        <v>780000</v>
      </c>
      <c r="F1093" s="17" t="n">
        <f aca="false">BC15</f>
        <v>6760000</v>
      </c>
    </row>
    <row r="1094" customFormat="false" ht="12.8" hidden="false" customHeight="false" outlineLevel="0" collapsed="false">
      <c r="A1094" s="7" t="str">
        <f aca="false">_xlfn.CONCAT($A$949, ".", A16)</f>
        <v>AL.7.13</v>
      </c>
      <c r="B1094" s="7" t="str">
        <f aca="false">_xlfn.CONCAT(B16, ": ", C16)</f>
        <v>Retail Trade: Worker</v>
      </c>
      <c r="C1094" s="17" t="n">
        <f aca="false">AZ16</f>
        <v>9250000</v>
      </c>
      <c r="D1094" s="17" t="n">
        <f aca="false">BA16</f>
        <v>305000</v>
      </c>
      <c r="E1094" s="17" t="n">
        <f aca="false">BB16</f>
        <v>915000</v>
      </c>
      <c r="F1094" s="17" t="n">
        <f aca="false">BC16</f>
        <v>8030000</v>
      </c>
    </row>
    <row r="1095" customFormat="false" ht="12.8" hidden="false" customHeight="false" outlineLevel="0" collapsed="false">
      <c r="A1095" s="7" t="str">
        <f aca="false">_xlfn.CONCAT($A$949, ".", A17)</f>
        <v>AL.7.14</v>
      </c>
      <c r="B1095" s="7" t="str">
        <f aca="false">_xlfn.CONCAT(B17, ": ", C17)</f>
        <v>Retail Trade: Support</v>
      </c>
      <c r="C1095" s="17" t="n">
        <f aca="false">AZ17</f>
        <v>4650000</v>
      </c>
      <c r="D1095" s="17" t="n">
        <f aca="false">BA17</f>
        <v>155000</v>
      </c>
      <c r="E1095" s="17" t="n">
        <f aca="false">BB17</f>
        <v>465000</v>
      </c>
      <c r="F1095" s="17" t="n">
        <f aca="false">BC17</f>
        <v>4030000</v>
      </c>
    </row>
    <row r="1096" customFormat="false" ht="12.8" hidden="false" customHeight="false" outlineLevel="0" collapsed="false">
      <c r="A1096" s="7" t="str">
        <f aca="false">_xlfn.CONCAT($A$949, ".", A18)</f>
        <v>AL.7.15</v>
      </c>
      <c r="B1096" s="7" t="str">
        <f aca="false">_xlfn.CONCAT(B18, ": ", C18)</f>
        <v>Landscaping / Groundskeeping: Worker</v>
      </c>
      <c r="C1096" s="17" t="n">
        <f aca="false">AZ18</f>
        <v>750000</v>
      </c>
      <c r="D1096" s="17" t="n">
        <f aca="false">BA18</f>
        <v>25000</v>
      </c>
      <c r="E1096" s="17" t="n">
        <f aca="false">BB18</f>
        <v>75000</v>
      </c>
      <c r="F1096" s="17" t="n">
        <f aca="false">BC18</f>
        <v>650000</v>
      </c>
    </row>
    <row r="1097" customFormat="false" ht="12.8" hidden="false" customHeight="false" outlineLevel="0" collapsed="false">
      <c r="A1097" s="7" t="str">
        <f aca="false">_xlfn.CONCAT($A$949, ".", A19)</f>
        <v>AL.7.16</v>
      </c>
      <c r="B1097" s="7" t="str">
        <f aca="false">_xlfn.CONCAT(B19, ": ", C19)</f>
        <v>Landscaping / Groundskeeping: Support</v>
      </c>
      <c r="C1097" s="17" t="n">
        <f aca="false">AZ19</f>
        <v>375000</v>
      </c>
      <c r="D1097" s="17" t="n">
        <f aca="false">BA19</f>
        <v>12500</v>
      </c>
      <c r="E1097" s="17" t="n">
        <f aca="false">BB19</f>
        <v>37500</v>
      </c>
      <c r="F1097" s="17" t="n">
        <f aca="false">BC19</f>
        <v>325000</v>
      </c>
    </row>
    <row r="1098" customFormat="false" ht="12.8" hidden="false" customHeight="false" outlineLevel="0" collapsed="false">
      <c r="A1098" s="7" t="str">
        <f aca="false">_xlfn.CONCAT($A$949, ".", A20)</f>
        <v>AL.7.17</v>
      </c>
      <c r="B1098" s="7" t="str">
        <f aca="false">_xlfn.CONCAT(B20, ": ", C20)</f>
        <v>Automotive &amp; Repair: Worker</v>
      </c>
      <c r="C1098" s="17" t="n">
        <f aca="false">AZ20</f>
        <v>625000</v>
      </c>
      <c r="D1098" s="17" t="n">
        <f aca="false">BA20</f>
        <v>21000</v>
      </c>
      <c r="E1098" s="17" t="n">
        <f aca="false">BB20</f>
        <v>63000</v>
      </c>
      <c r="F1098" s="17" t="n">
        <f aca="false">BC20</f>
        <v>541000</v>
      </c>
    </row>
    <row r="1099" customFormat="false" ht="12.8" hidden="false" customHeight="false" outlineLevel="0" collapsed="false">
      <c r="A1099" s="7" t="str">
        <f aca="false">_xlfn.CONCAT($A$949, ".", A21)</f>
        <v>AL.7.18</v>
      </c>
      <c r="B1099" s="7" t="str">
        <f aca="false">_xlfn.CONCAT(B21, ": ", C21)</f>
        <v>Automotive &amp; Repair: Support</v>
      </c>
      <c r="C1099" s="17" t="n">
        <f aca="false">AZ21</f>
        <v>312500</v>
      </c>
      <c r="D1099" s="17" t="n">
        <f aca="false">BA21</f>
        <v>10500</v>
      </c>
      <c r="E1099" s="17" t="n">
        <f aca="false">BB21</f>
        <v>31500</v>
      </c>
      <c r="F1099" s="17" t="n">
        <f aca="false">BC21</f>
        <v>270500</v>
      </c>
    </row>
    <row r="1100" customFormat="false" ht="12.8" hidden="false" customHeight="false" outlineLevel="0" collapsed="false">
      <c r="A1100" s="7" t="str">
        <f aca="false">_xlfn.CONCAT($A$949, ".", A22)</f>
        <v>AL.7.19</v>
      </c>
      <c r="B1100" s="7" t="str">
        <f aca="false">_xlfn.CONCAT(B22, ": ", C22)</f>
        <v>Other Services: Worker</v>
      </c>
      <c r="C1100" s="17" t="n">
        <f aca="false">AZ22</f>
        <v>4900000</v>
      </c>
      <c r="D1100" s="17" t="n">
        <f aca="false">BA22</f>
        <v>162500</v>
      </c>
      <c r="E1100" s="17" t="n">
        <f aca="false">BB22</f>
        <v>487500</v>
      </c>
      <c r="F1100" s="17" t="n">
        <f aca="false">BC22</f>
        <v>4252500</v>
      </c>
    </row>
    <row r="1101" customFormat="false" ht="12.8" hidden="false" customHeight="false" outlineLevel="0" collapsed="false">
      <c r="A1101" s="7" t="str">
        <f aca="false">_xlfn.CONCAT($A$949, ".", A23)</f>
        <v>AL.7.20</v>
      </c>
      <c r="B1101" s="7" t="str">
        <f aca="false">_xlfn.CONCAT(B23, ": ", C23)</f>
        <v>Other Services: Support</v>
      </c>
      <c r="C1101" s="17" t="n">
        <f aca="false">AZ23</f>
        <v>2450000</v>
      </c>
      <c r="D1101" s="17" t="n">
        <f aca="false">BA23</f>
        <v>81250</v>
      </c>
      <c r="E1101" s="17" t="n">
        <f aca="false">BB23</f>
        <v>244000</v>
      </c>
      <c r="F1101" s="17" t="n">
        <f aca="false">BC23</f>
        <v>2125000</v>
      </c>
    </row>
    <row r="1102" customFormat="false" ht="12.8" hidden="false" customHeight="false" outlineLevel="0" collapsed="false">
      <c r="A1102" s="7" t="str">
        <f aca="false">_xlfn.CONCAT($A$949, ".", A24)</f>
        <v>AL.7.21</v>
      </c>
      <c r="B1102" s="7" t="str">
        <f aca="false">_xlfn.CONCAT(B24, ": ", C24)</f>
        <v>Healthcare &amp; Social Assistance: Worker</v>
      </c>
      <c r="C1102" s="17" t="n">
        <f aca="false">AZ24</f>
        <v>19000000</v>
      </c>
      <c r="D1102" s="17" t="n">
        <f aca="false">BA24</f>
        <v>625000</v>
      </c>
      <c r="E1102" s="17" t="n">
        <f aca="false">BB24</f>
        <v>762500</v>
      </c>
      <c r="F1102" s="17" t="n">
        <f aca="false">BC24</f>
        <v>17656250</v>
      </c>
    </row>
    <row r="1103" customFormat="false" ht="12.8" hidden="false" customHeight="false" outlineLevel="0" collapsed="false">
      <c r="A1103" s="7" t="str">
        <f aca="false">_xlfn.CONCAT($A$949, ".", A25)</f>
        <v>AL.7.22</v>
      </c>
      <c r="B1103" s="7" t="str">
        <f aca="false">_xlfn.CONCAT(B25, ": ", C25)</f>
        <v>Healthcare &amp; Social Assistance: Support</v>
      </c>
      <c r="C1103" s="17" t="n">
        <f aca="false">AZ25</f>
        <v>7750000</v>
      </c>
      <c r="D1103" s="17" t="n">
        <f aca="false">BA25</f>
        <v>255000</v>
      </c>
      <c r="E1103" s="17" t="n">
        <f aca="false">BB25</f>
        <v>311250</v>
      </c>
      <c r="F1103" s="17" t="n">
        <f aca="false">BC25</f>
        <v>7190625</v>
      </c>
    </row>
    <row r="1104" customFormat="false" ht="12.8" hidden="false" customHeight="false" outlineLevel="0" collapsed="false">
      <c r="A1104" s="7" t="str">
        <f aca="false">_xlfn.CONCAT($A$949, ".", A26)</f>
        <v>AL.7.23</v>
      </c>
      <c r="B1104" s="7" t="str">
        <f aca="false">_xlfn.CONCAT(B26, ": ", C26)</f>
        <v>Professional Services: Worker</v>
      </c>
      <c r="C1104" s="17" t="n">
        <f aca="false">AZ26</f>
        <v>16500000</v>
      </c>
      <c r="D1104" s="17" t="n">
        <f aca="false">BA26</f>
        <v>545000</v>
      </c>
      <c r="E1104" s="17" t="n">
        <f aca="false">BB26</f>
        <v>665000</v>
      </c>
      <c r="F1104" s="17" t="n">
        <f aca="false">BC26</f>
        <v>15295500</v>
      </c>
    </row>
    <row r="1105" customFormat="false" ht="12.8" hidden="false" customHeight="false" outlineLevel="0" collapsed="false">
      <c r="A1105" s="7" t="str">
        <f aca="false">_xlfn.CONCAT($A$949, ".", A27)</f>
        <v>AL.7.24</v>
      </c>
      <c r="B1105" s="7" t="str">
        <f aca="false">_xlfn.CONCAT(B27, ": ", C27)</f>
        <v>Professional Services: Support</v>
      </c>
      <c r="C1105" s="17" t="n">
        <f aca="false">AZ27</f>
        <v>7900000</v>
      </c>
      <c r="D1105" s="17" t="n">
        <f aca="false">BA27</f>
        <v>260000</v>
      </c>
      <c r="E1105" s="17" t="n">
        <f aca="false">BB27</f>
        <v>317500</v>
      </c>
      <c r="F1105" s="17" t="n">
        <f aca="false">BC27</f>
        <v>7322500</v>
      </c>
    </row>
    <row r="1106" customFormat="false" ht="12.8" hidden="false" customHeight="false" outlineLevel="0" collapsed="false">
      <c r="A1106" s="7" t="str">
        <f aca="false">_xlfn.CONCAT($A$949, ".", A28)</f>
        <v>AL.7.25</v>
      </c>
      <c r="B1106" s="7" t="str">
        <f aca="false">_xlfn.CONCAT(B28, ": ", C28)</f>
        <v>Educational Services: Worker</v>
      </c>
      <c r="C1106" s="17" t="n">
        <f aca="false">AZ28</f>
        <v>1950000</v>
      </c>
      <c r="D1106" s="17" t="n">
        <f aca="false">BA28</f>
        <v>65000</v>
      </c>
      <c r="E1106" s="17" t="n">
        <f aca="false">BB28</f>
        <v>97500</v>
      </c>
      <c r="F1106" s="17" t="n">
        <f aca="false">BC28</f>
        <v>1787500</v>
      </c>
    </row>
    <row r="1107" customFormat="false" ht="12.8" hidden="false" customHeight="false" outlineLevel="0" collapsed="false">
      <c r="A1107" s="7" t="str">
        <f aca="false">_xlfn.CONCAT($A$949, ".", A29)</f>
        <v>AL.7.26</v>
      </c>
      <c r="B1107" s="7" t="str">
        <f aca="false">_xlfn.CONCAT(B29, ": ", C29)</f>
        <v>Educational Services: Support</v>
      </c>
      <c r="C1107" s="17" t="n">
        <f aca="false">AZ29</f>
        <v>780000</v>
      </c>
      <c r="D1107" s="17" t="n">
        <f aca="false">BA29</f>
        <v>26000</v>
      </c>
      <c r="E1107" s="17" t="n">
        <f aca="false">BB29</f>
        <v>39000</v>
      </c>
      <c r="F1107" s="17" t="n">
        <f aca="false">BC29</f>
        <v>715000</v>
      </c>
    </row>
    <row r="1108" customFormat="false" ht="12.8" hidden="false" customHeight="false" outlineLevel="0" collapsed="false">
      <c r="A1108" s="7" t="str">
        <f aca="false">_xlfn.CONCAT($A$949, ".", A30)</f>
        <v>AL.7.27</v>
      </c>
      <c r="B1108" s="7" t="str">
        <f aca="false">_xlfn.CONCAT(B30, ": ", C30)</f>
        <v>Finance &amp; Insurance: Worker</v>
      </c>
      <c r="C1108" s="17" t="n">
        <f aca="false">AZ30</f>
        <v>11150000</v>
      </c>
      <c r="D1108" s="17" t="n">
        <f aca="false">BA30</f>
        <v>367500</v>
      </c>
      <c r="E1108" s="17" t="n">
        <f aca="false">BB30</f>
        <v>735000</v>
      </c>
      <c r="F1108" s="17" t="n">
        <f aca="false">BC30</f>
        <v>10039500</v>
      </c>
    </row>
    <row r="1109" customFormat="false" ht="12.8" hidden="false" customHeight="false" outlineLevel="0" collapsed="false">
      <c r="A1109" s="7" t="str">
        <f aca="false">_xlfn.CONCAT($A$949, ".", A31)</f>
        <v>AL.7.28</v>
      </c>
      <c r="B1109" s="7" t="str">
        <f aca="false">_xlfn.CONCAT(B31, ": ", C31)</f>
        <v>Finance &amp; Insurance: Support</v>
      </c>
      <c r="C1109" s="17" t="n">
        <f aca="false">AZ31</f>
        <v>4450000</v>
      </c>
      <c r="D1109" s="17" t="n">
        <f aca="false">BA31</f>
        <v>147500</v>
      </c>
      <c r="E1109" s="17" t="n">
        <f aca="false">BB31</f>
        <v>295000</v>
      </c>
      <c r="F1109" s="17" t="n">
        <f aca="false">BC31</f>
        <v>4007500</v>
      </c>
    </row>
    <row r="1110" customFormat="false" ht="12.8" hidden="false" customHeight="false" outlineLevel="0" collapsed="false">
      <c r="A1110" s="7" t="str">
        <f aca="false">_xlfn.CONCAT($A$949, ".", A36)</f>
        <v>AL.7.29</v>
      </c>
      <c r="B1110" s="7" t="str">
        <f aca="false">_xlfn.CONCAT(B36, ": ", C36)</f>
        <v>Media and Information Technology: Worker</v>
      </c>
      <c r="C1110" s="17" t="n">
        <f aca="false">AZ36</f>
        <v>3500000</v>
      </c>
      <c r="D1110" s="17" t="n">
        <f aca="false">BA36</f>
        <v>115000</v>
      </c>
      <c r="E1110" s="17" t="n">
        <f aca="false">BB36</f>
        <v>230000</v>
      </c>
      <c r="F1110" s="17" t="n">
        <f aca="false">BC36</f>
        <v>3155000</v>
      </c>
    </row>
    <row r="1111" customFormat="false" ht="12.8" hidden="false" customHeight="false" outlineLevel="0" collapsed="false">
      <c r="A1111" s="7" t="str">
        <f aca="false">_xlfn.CONCAT($A$949, ".", A37)</f>
        <v>AL.7.30</v>
      </c>
      <c r="B1111" s="7" t="str">
        <f aca="false">_xlfn.CONCAT(B37, ": ", C37)</f>
        <v>Media and Information Technology: Support</v>
      </c>
      <c r="C1111" s="17" t="n">
        <f aca="false">AZ37</f>
        <v>1400000</v>
      </c>
      <c r="D1111" s="17" t="n">
        <f aca="false">BA37</f>
        <v>46000</v>
      </c>
      <c r="E1111" s="17" t="n">
        <f aca="false">BB37</f>
        <v>92000</v>
      </c>
      <c r="F1111" s="17" t="n">
        <f aca="false">BC37</f>
        <v>1262000</v>
      </c>
    </row>
    <row r="1112" customFormat="false" ht="12.8" hidden="false" customHeight="false" outlineLevel="0" collapsed="false">
      <c r="B1112" s="7"/>
      <c r="C1112" s="31"/>
      <c r="D1112" s="31"/>
      <c r="E1112" s="31"/>
      <c r="F1112" s="31"/>
    </row>
    <row r="1113" customFormat="false" ht="12.8" hidden="false" customHeight="false" outlineLevel="0" collapsed="false">
      <c r="B1113" s="7"/>
      <c r="C1113" s="31"/>
      <c r="D1113" s="31"/>
      <c r="E1113" s="31"/>
      <c r="F1113" s="31"/>
    </row>
    <row r="1114" customFormat="false" ht="12.8" hidden="false" customHeight="false" outlineLevel="0" collapsed="false">
      <c r="B1114" s="7"/>
      <c r="C1114" s="31"/>
      <c r="D1114" s="31"/>
      <c r="E1114" s="31"/>
      <c r="F1114" s="31"/>
    </row>
    <row r="1115" customFormat="false" ht="12.8" hidden="false" customHeight="false" outlineLevel="0" collapsed="false">
      <c r="B1115" s="7"/>
      <c r="C1115" s="31"/>
      <c r="D1115" s="31"/>
      <c r="E1115" s="31"/>
      <c r="F1115" s="31"/>
    </row>
    <row r="1116" customFormat="false" ht="12.8" hidden="false" customHeight="false" outlineLevel="0" collapsed="false">
      <c r="B1116" s="7"/>
      <c r="C1116" s="31"/>
      <c r="D1116" s="31"/>
      <c r="E1116" s="31"/>
      <c r="F1116" s="31"/>
    </row>
    <row r="1209" customFormat="false" ht="12.8" hidden="false" customHeight="false" outlineLevel="0" collapsed="false">
      <c r="A1209" s="5" t="s">
        <v>157</v>
      </c>
      <c r="B1209" s="24" t="s">
        <v>7</v>
      </c>
      <c r="C1209" s="25" t="s">
        <v>158</v>
      </c>
    </row>
    <row r="1210" customFormat="false" ht="35.05" hidden="false" customHeight="false" outlineLevel="0" collapsed="false">
      <c r="A1210" s="5" t="s">
        <v>26</v>
      </c>
      <c r="B1210" s="5" t="str">
        <f aca="false">_xlfn.CONCAT(B2, ": ", C2)</f>
        <v>Industry: Role</v>
      </c>
      <c r="C1210" s="31" t="str">
        <f aca="false">BD2</f>
        <v>EITC Credit Refund</v>
      </c>
      <c r="D1210" s="31" t="str">
        <f aca="false">BE2</f>
        <v>Authorized Immigrant EITC Credit Refund</v>
      </c>
      <c r="E1210" s="31" t="str">
        <f aca="false">BF2</f>
        <v>Unauthorized Immigrant EITC Credit Refund</v>
      </c>
      <c r="F1210" s="31" t="str">
        <f aca="false">BG2</f>
        <v>American Effective Tax EITC Credit Refund</v>
      </c>
    </row>
    <row r="1211" customFormat="false" ht="12.8" hidden="false" customHeight="false" outlineLevel="0" collapsed="false">
      <c r="A1211" s="7" t="str">
        <f aca="false">_xlfn.CONCAT($A$949, ".", A3)</f>
        <v>AL.7.0</v>
      </c>
      <c r="B1211" s="7" t="str">
        <f aca="false">_xlfn.CONCAT(B3, ": ", C3)</f>
        <v>All Industries: All Roles</v>
      </c>
      <c r="C1211" s="17" t="n">
        <f aca="false">BD3</f>
        <v>240000000</v>
      </c>
      <c r="D1211" s="17" t="n">
        <f aca="false">BE3</f>
        <v>65000000</v>
      </c>
      <c r="E1211" s="17" t="n">
        <f aca="false">BF3</f>
        <v>0</v>
      </c>
      <c r="F1211" s="17" t="n">
        <f aca="false">BG3</f>
        <v>175000000</v>
      </c>
    </row>
    <row r="1212" customFormat="false" ht="12.8" hidden="false" customHeight="false" outlineLevel="0" collapsed="false">
      <c r="A1212" s="7" t="str">
        <f aca="false">_xlfn.CONCAT($A$949, ".", A4)</f>
        <v>AL.7.1</v>
      </c>
      <c r="B1212" s="7" t="str">
        <f aca="false">_xlfn.CONCAT(B4, ": ", C4)</f>
        <v>Agriculture: Worker</v>
      </c>
      <c r="C1212" s="17" t="n">
        <f aca="false">BD4</f>
        <v>78000</v>
      </c>
      <c r="D1212" s="17" t="n">
        <f aca="false">BE4</f>
        <v>15600</v>
      </c>
      <c r="E1212" s="17" t="n">
        <f aca="false">BF4</f>
        <v>0</v>
      </c>
      <c r="F1212" s="17" t="n">
        <f aca="false">BG4</f>
        <v>62400</v>
      </c>
    </row>
    <row r="1213" customFormat="false" ht="12.8" hidden="false" customHeight="false" outlineLevel="0" collapsed="false">
      <c r="A1213" s="7" t="str">
        <f aca="false">_xlfn.CONCAT($A$949, ".", A5)</f>
        <v>AL.7.2</v>
      </c>
      <c r="B1213" s="7" t="str">
        <f aca="false">_xlfn.CONCAT(B5, ": ", C5)</f>
        <v>Agriculture: Support</v>
      </c>
      <c r="C1213" s="17" t="n">
        <f aca="false">BD5</f>
        <v>39000</v>
      </c>
      <c r="D1213" s="17" t="n">
        <f aca="false">BE5</f>
        <v>7800</v>
      </c>
      <c r="E1213" s="17" t="n">
        <f aca="false">BF5</f>
        <v>0</v>
      </c>
      <c r="F1213" s="17" t="n">
        <f aca="false">BG5</f>
        <v>31200</v>
      </c>
    </row>
    <row r="1214" customFormat="false" ht="12.8" hidden="false" customHeight="false" outlineLevel="0" collapsed="false">
      <c r="A1214" s="7" t="str">
        <f aca="false">_xlfn.CONCAT($A$949, ".", A6)</f>
        <v>AL.7.3</v>
      </c>
      <c r="B1214" s="7" t="str">
        <f aca="false">_xlfn.CONCAT(B6, ": ", C6)</f>
        <v>Construction: Worker</v>
      </c>
      <c r="C1214" s="17" t="n">
        <f aca="false">BD6</f>
        <v>2800000</v>
      </c>
      <c r="D1214" s="17" t="n">
        <f aca="false">BE6</f>
        <v>560000</v>
      </c>
      <c r="E1214" s="17" t="n">
        <f aca="false">BF6</f>
        <v>0</v>
      </c>
      <c r="F1214" s="17" t="n">
        <f aca="false">BG6</f>
        <v>2240000</v>
      </c>
    </row>
    <row r="1215" customFormat="false" ht="12.8" hidden="false" customHeight="false" outlineLevel="0" collapsed="false">
      <c r="A1215" s="7" t="str">
        <f aca="false">_xlfn.CONCAT($A$949, ".", A7)</f>
        <v>AL.7.4</v>
      </c>
      <c r="B1215" s="7" t="str">
        <f aca="false">_xlfn.CONCAT(B7, ": ", C7)</f>
        <v>Construction: Support</v>
      </c>
      <c r="C1215" s="17" t="n">
        <f aca="false">BD7</f>
        <v>1120000</v>
      </c>
      <c r="D1215" s="17" t="n">
        <f aca="false">BE7</f>
        <v>224000</v>
      </c>
      <c r="E1215" s="17" t="n">
        <f aca="false">BF7</f>
        <v>0</v>
      </c>
      <c r="F1215" s="17" t="n">
        <f aca="false">BG7</f>
        <v>896000</v>
      </c>
    </row>
    <row r="1216" customFormat="false" ht="12.8" hidden="false" customHeight="false" outlineLevel="0" collapsed="false">
      <c r="A1216" s="7" t="str">
        <f aca="false">_xlfn.CONCAT($A$949, ".", A8)</f>
        <v>AL.7.5</v>
      </c>
      <c r="B1216" s="7" t="str">
        <f aca="false">_xlfn.CONCAT(B8, ": ", C8)</f>
        <v>Hospitality: Worker</v>
      </c>
      <c r="C1216" s="17" t="n">
        <f aca="false">BD8</f>
        <v>3600000</v>
      </c>
      <c r="D1216" s="17" t="n">
        <f aca="false">BE8</f>
        <v>720000</v>
      </c>
      <c r="E1216" s="17" t="n">
        <f aca="false">BF8</f>
        <v>0</v>
      </c>
      <c r="F1216" s="17" t="n">
        <f aca="false">BG8</f>
        <v>2880000</v>
      </c>
    </row>
    <row r="1217" customFormat="false" ht="12.8" hidden="false" customHeight="false" outlineLevel="0" collapsed="false">
      <c r="A1217" s="7" t="str">
        <f aca="false">_xlfn.CONCAT($A$949, ".", A9)</f>
        <v>AL.7.6</v>
      </c>
      <c r="B1217" s="7" t="str">
        <f aca="false">_xlfn.CONCAT(B9, ": ", C9)</f>
        <v>Hospitality: Support</v>
      </c>
      <c r="C1217" s="17" t="n">
        <f aca="false">BD9</f>
        <v>1800000</v>
      </c>
      <c r="D1217" s="17" t="n">
        <f aca="false">BE9</f>
        <v>360000</v>
      </c>
      <c r="E1217" s="17" t="n">
        <f aca="false">BF9</f>
        <v>0</v>
      </c>
      <c r="F1217" s="17" t="n">
        <f aca="false">BG9</f>
        <v>1440000</v>
      </c>
    </row>
    <row r="1218" customFormat="false" ht="12.8" hidden="false" customHeight="false" outlineLevel="0" collapsed="false">
      <c r="A1218" s="7" t="str">
        <f aca="false">_xlfn.CONCAT($A$949, ".", A10)</f>
        <v>AL.7.7</v>
      </c>
      <c r="B1218" s="7" t="str">
        <f aca="false">_xlfn.CONCAT(B10, ": ", C10)</f>
        <v>Cleaning &amp; Maintenance: Worker</v>
      </c>
      <c r="C1218" s="17" t="n">
        <f aca="false">BD10</f>
        <v>750000</v>
      </c>
      <c r="D1218" s="17" t="n">
        <f aca="false">BE10</f>
        <v>150000</v>
      </c>
      <c r="E1218" s="17" t="n">
        <f aca="false">BF10</f>
        <v>0</v>
      </c>
      <c r="F1218" s="17" t="n">
        <f aca="false">BG10</f>
        <v>600000</v>
      </c>
    </row>
    <row r="1219" customFormat="false" ht="12.8" hidden="false" customHeight="false" outlineLevel="0" collapsed="false">
      <c r="A1219" s="7" t="str">
        <f aca="false">_xlfn.CONCAT($A$949, ".", A11)</f>
        <v>AL.7.8</v>
      </c>
      <c r="B1219" s="7" t="str">
        <f aca="false">_xlfn.CONCAT(B11, ": ", C11)</f>
        <v>Cleaning &amp; Maintenance: Support</v>
      </c>
      <c r="C1219" s="17" t="n">
        <f aca="false">BD11</f>
        <v>375000</v>
      </c>
      <c r="D1219" s="17" t="n">
        <f aca="false">BE11</f>
        <v>75000</v>
      </c>
      <c r="E1219" s="17" t="n">
        <f aca="false">BF11</f>
        <v>0</v>
      </c>
      <c r="F1219" s="17" t="n">
        <f aca="false">BG11</f>
        <v>300000</v>
      </c>
    </row>
    <row r="1220" customFormat="false" ht="12.8" hidden="false" customHeight="false" outlineLevel="0" collapsed="false">
      <c r="A1220" s="7" t="str">
        <f aca="false">_xlfn.CONCAT($A$949, ".", A12)</f>
        <v>AL.7.9</v>
      </c>
      <c r="B1220" s="7" t="str">
        <f aca="false">_xlfn.CONCAT(B12, ": ", C12)</f>
        <v>Manufacturing: Worker</v>
      </c>
      <c r="C1220" s="17" t="n">
        <f aca="false">BD12</f>
        <v>5200000</v>
      </c>
      <c r="D1220" s="17" t="n">
        <f aca="false">BE12</f>
        <v>1040000</v>
      </c>
      <c r="E1220" s="17" t="n">
        <f aca="false">BF12</f>
        <v>0</v>
      </c>
      <c r="F1220" s="17" t="n">
        <f aca="false">BG12</f>
        <v>4160000</v>
      </c>
    </row>
    <row r="1221" customFormat="false" ht="12.8" hidden="false" customHeight="false" outlineLevel="0" collapsed="false">
      <c r="A1221" s="7" t="str">
        <f aca="false">_xlfn.CONCAT($A$949, ".", A13)</f>
        <v>AL.7.10</v>
      </c>
      <c r="B1221" s="7" t="str">
        <f aca="false">_xlfn.CONCAT(B13, ": ", C13)</f>
        <v>Manufacturing: Support</v>
      </c>
      <c r="C1221" s="17" t="n">
        <f aca="false">BD13</f>
        <v>2100000</v>
      </c>
      <c r="D1221" s="17" t="n">
        <f aca="false">BE13</f>
        <v>420000</v>
      </c>
      <c r="E1221" s="17" t="n">
        <f aca="false">BF13</f>
        <v>0</v>
      </c>
      <c r="F1221" s="17" t="n">
        <f aca="false">BG13</f>
        <v>1680000</v>
      </c>
    </row>
    <row r="1222" customFormat="false" ht="12.8" hidden="false" customHeight="false" outlineLevel="0" collapsed="false">
      <c r="A1222" s="7" t="str">
        <f aca="false">_xlfn.CONCAT($A$949, ".", A14)</f>
        <v>AL.7.11</v>
      </c>
      <c r="B1222" s="7" t="str">
        <f aca="false">_xlfn.CONCAT(B14, ": ", C14)</f>
        <v>Transportation &amp; Warehousing: Worker</v>
      </c>
      <c r="C1222" s="17" t="n">
        <f aca="false">BD14</f>
        <v>4600000</v>
      </c>
      <c r="D1222" s="17" t="n">
        <f aca="false">BE14</f>
        <v>920000</v>
      </c>
      <c r="E1222" s="17" t="n">
        <f aca="false">BF14</f>
        <v>0</v>
      </c>
      <c r="F1222" s="17" t="n">
        <f aca="false">BG14</f>
        <v>3680000</v>
      </c>
    </row>
    <row r="1223" customFormat="false" ht="12.8" hidden="false" customHeight="false" outlineLevel="0" collapsed="false">
      <c r="A1223" s="7" t="str">
        <f aca="false">_xlfn.CONCAT($A$949, ".", A15)</f>
        <v>AL.7.12</v>
      </c>
      <c r="B1223" s="7" t="str">
        <f aca="false">_xlfn.CONCAT(B15, ": ", C15)</f>
        <v>Transportation &amp; Warehousing: Support</v>
      </c>
      <c r="C1223" s="17" t="n">
        <f aca="false">BD15</f>
        <v>1840000</v>
      </c>
      <c r="D1223" s="17" t="n">
        <f aca="false">BE15</f>
        <v>368000</v>
      </c>
      <c r="E1223" s="17" t="n">
        <f aca="false">BF15</f>
        <v>0</v>
      </c>
      <c r="F1223" s="17" t="n">
        <f aca="false">BG15</f>
        <v>1472000</v>
      </c>
    </row>
    <row r="1224" customFormat="false" ht="12.8" hidden="false" customHeight="false" outlineLevel="0" collapsed="false">
      <c r="A1224" s="7" t="str">
        <f aca="false">_xlfn.CONCAT($A$949, ".", A16)</f>
        <v>AL.7.13</v>
      </c>
      <c r="B1224" s="7" t="str">
        <f aca="false">_xlfn.CONCAT(B16, ": ", C16)</f>
        <v>Retail Trade: Worker</v>
      </c>
      <c r="C1224" s="17" t="n">
        <f aca="false">BD16</f>
        <v>3600000</v>
      </c>
      <c r="D1224" s="17" t="n">
        <f aca="false">BE16</f>
        <v>720000</v>
      </c>
      <c r="E1224" s="17" t="n">
        <f aca="false">BF16</f>
        <v>0</v>
      </c>
      <c r="F1224" s="17" t="n">
        <f aca="false">BG16</f>
        <v>2880000</v>
      </c>
    </row>
    <row r="1225" customFormat="false" ht="12.8" hidden="false" customHeight="false" outlineLevel="0" collapsed="false">
      <c r="A1225" s="7" t="str">
        <f aca="false">_xlfn.CONCAT($A$949, ".", A17)</f>
        <v>AL.7.14</v>
      </c>
      <c r="B1225" s="7" t="str">
        <f aca="false">_xlfn.CONCAT(B17, ": ", C17)</f>
        <v>Retail Trade: Support</v>
      </c>
      <c r="C1225" s="17" t="n">
        <f aca="false">BD17</f>
        <v>1800000</v>
      </c>
      <c r="D1225" s="17" t="n">
        <f aca="false">BE17</f>
        <v>360000</v>
      </c>
      <c r="E1225" s="17" t="n">
        <f aca="false">BF17</f>
        <v>0</v>
      </c>
      <c r="F1225" s="17" t="n">
        <f aca="false">BG17</f>
        <v>1440000</v>
      </c>
    </row>
    <row r="1226" customFormat="false" ht="12.8" hidden="false" customHeight="false" outlineLevel="0" collapsed="false">
      <c r="A1226" s="7" t="str">
        <f aca="false">_xlfn.CONCAT($A$949, ".", A18)</f>
        <v>AL.7.15</v>
      </c>
      <c r="B1226" s="7" t="str">
        <f aca="false">_xlfn.CONCAT(B18, ": ", C18)</f>
        <v>Landscaping / Groundskeeping: Worker</v>
      </c>
      <c r="C1226" s="17" t="n">
        <f aca="false">BD18</f>
        <v>195000</v>
      </c>
      <c r="D1226" s="17" t="n">
        <f aca="false">BE18</f>
        <v>39000</v>
      </c>
      <c r="E1226" s="17" t="n">
        <f aca="false">BF18</f>
        <v>0</v>
      </c>
      <c r="F1226" s="17" t="n">
        <f aca="false">BG18</f>
        <v>156000</v>
      </c>
    </row>
    <row r="1227" customFormat="false" ht="12.8" hidden="false" customHeight="false" outlineLevel="0" collapsed="false">
      <c r="A1227" s="7" t="str">
        <f aca="false">_xlfn.CONCAT($A$949, ".", A19)</f>
        <v>AL.7.16</v>
      </c>
      <c r="B1227" s="7" t="str">
        <f aca="false">_xlfn.CONCAT(B19, ": ", C19)</f>
        <v>Landscaping / Groundskeeping: Support</v>
      </c>
      <c r="C1227" s="17" t="n">
        <f aca="false">BD19</f>
        <v>97500</v>
      </c>
      <c r="D1227" s="17" t="n">
        <f aca="false">BE19</f>
        <v>19500</v>
      </c>
      <c r="E1227" s="17" t="n">
        <f aca="false">BF19</f>
        <v>0</v>
      </c>
      <c r="F1227" s="17" t="n">
        <f aca="false">BG19</f>
        <v>78000</v>
      </c>
    </row>
    <row r="1228" customFormat="false" ht="12.8" hidden="false" customHeight="false" outlineLevel="0" collapsed="false">
      <c r="A1228" s="7" t="str">
        <f aca="false">_xlfn.CONCAT($A$949, ".", A20)</f>
        <v>AL.7.17</v>
      </c>
      <c r="B1228" s="7" t="str">
        <f aca="false">_xlfn.CONCAT(B20, ": ", C20)</f>
        <v>Automotive &amp; Repair: Worker</v>
      </c>
      <c r="C1228" s="17" t="n">
        <f aca="false">BD20</f>
        <v>165000</v>
      </c>
      <c r="D1228" s="17" t="n">
        <f aca="false">BE20</f>
        <v>33000</v>
      </c>
      <c r="E1228" s="17" t="n">
        <f aca="false">BF20</f>
        <v>0</v>
      </c>
      <c r="F1228" s="17" t="n">
        <f aca="false">BG20</f>
        <v>132000</v>
      </c>
    </row>
    <row r="1229" customFormat="false" ht="12.8" hidden="false" customHeight="false" outlineLevel="0" collapsed="false">
      <c r="A1229" s="7" t="str">
        <f aca="false">_xlfn.CONCAT($A$949, ".", A21)</f>
        <v>AL.7.18</v>
      </c>
      <c r="B1229" s="7" t="str">
        <f aca="false">_xlfn.CONCAT(B21, ": ", C21)</f>
        <v>Automotive &amp; Repair: Support</v>
      </c>
      <c r="C1229" s="17" t="n">
        <f aca="false">BD21</f>
        <v>82500</v>
      </c>
      <c r="D1229" s="17" t="n">
        <f aca="false">BE21</f>
        <v>16500</v>
      </c>
      <c r="E1229" s="17" t="n">
        <f aca="false">BF21</f>
        <v>0</v>
      </c>
      <c r="F1229" s="17" t="n">
        <f aca="false">BG21</f>
        <v>66000</v>
      </c>
    </row>
    <row r="1230" customFormat="false" ht="12.8" hidden="false" customHeight="false" outlineLevel="0" collapsed="false">
      <c r="A1230" s="7" t="str">
        <f aca="false">_xlfn.CONCAT($A$949, ".", A22)</f>
        <v>AL.7.19</v>
      </c>
      <c r="B1230" s="7" t="str">
        <f aca="false">_xlfn.CONCAT(B22, ": ", C22)</f>
        <v>Other Services: Worker</v>
      </c>
      <c r="C1230" s="17" t="n">
        <f aca="false">BD22</f>
        <v>1900000</v>
      </c>
      <c r="D1230" s="17" t="n">
        <f aca="false">BE22</f>
        <v>380000</v>
      </c>
      <c r="E1230" s="17" t="n">
        <f aca="false">BF22</f>
        <v>0</v>
      </c>
      <c r="F1230" s="17" t="n">
        <f aca="false">BG22</f>
        <v>1520000</v>
      </c>
    </row>
    <row r="1231" customFormat="false" ht="12.8" hidden="false" customHeight="false" outlineLevel="0" collapsed="false">
      <c r="A1231" s="7" t="str">
        <f aca="false">_xlfn.CONCAT($A$949, ".", A23)</f>
        <v>AL.7.20</v>
      </c>
      <c r="B1231" s="7" t="str">
        <f aca="false">_xlfn.CONCAT(B23, ": ", C23)</f>
        <v>Other Services: Support</v>
      </c>
      <c r="C1231" s="17" t="n">
        <f aca="false">BD23</f>
        <v>950000</v>
      </c>
      <c r="D1231" s="17" t="n">
        <f aca="false">BE23</f>
        <v>190000</v>
      </c>
      <c r="E1231" s="17" t="n">
        <f aca="false">BF23</f>
        <v>0</v>
      </c>
      <c r="F1231" s="17" t="n">
        <f aca="false">BG23</f>
        <v>760000</v>
      </c>
    </row>
    <row r="1232" customFormat="false" ht="12.8" hidden="false" customHeight="false" outlineLevel="0" collapsed="false">
      <c r="A1232" s="7" t="str">
        <f aca="false">_xlfn.CONCAT($A$949, ".", A24)</f>
        <v>AL.7.21</v>
      </c>
      <c r="B1232" s="7" t="str">
        <f aca="false">_xlfn.CONCAT(B24, ": ", C24)</f>
        <v>Healthcare &amp; Social Assistance: Worker</v>
      </c>
      <c r="C1232" s="17" t="n">
        <f aca="false">BD24</f>
        <v>6000000</v>
      </c>
      <c r="D1232" s="17" t="n">
        <f aca="false">BE24</f>
        <v>1500000</v>
      </c>
      <c r="E1232" s="17" t="n">
        <f aca="false">BF24</f>
        <v>0</v>
      </c>
      <c r="F1232" s="17" t="n">
        <f aca="false">BG24</f>
        <v>4500000</v>
      </c>
    </row>
    <row r="1233" customFormat="false" ht="12.8" hidden="false" customHeight="false" outlineLevel="0" collapsed="false">
      <c r="A1233" s="7" t="str">
        <f aca="false">_xlfn.CONCAT($A$949, ".", A25)</f>
        <v>AL.7.22</v>
      </c>
      <c r="B1233" s="7" t="str">
        <f aca="false">_xlfn.CONCAT(B25, ": ", C25)</f>
        <v>Healthcare &amp; Social Assistance: Support</v>
      </c>
      <c r="C1233" s="17" t="n">
        <f aca="false">BD25</f>
        <v>2500000</v>
      </c>
      <c r="D1233" s="17" t="n">
        <f aca="false">BE25</f>
        <v>625000</v>
      </c>
      <c r="E1233" s="17" t="n">
        <f aca="false">BF25</f>
        <v>0</v>
      </c>
      <c r="F1233" s="17" t="n">
        <f aca="false">BG25</f>
        <v>1875000</v>
      </c>
    </row>
    <row r="1234" customFormat="false" ht="12.8" hidden="false" customHeight="false" outlineLevel="0" collapsed="false">
      <c r="A1234" s="7" t="str">
        <f aca="false">_xlfn.CONCAT($A$949, ".", A26)</f>
        <v>AL.7.23</v>
      </c>
      <c r="B1234" s="7" t="str">
        <f aca="false">_xlfn.CONCAT(B26, ": ", C26)</f>
        <v>Professional Services: Worker</v>
      </c>
      <c r="C1234" s="17" t="n">
        <f aca="false">BD26</f>
        <v>2700000</v>
      </c>
      <c r="D1234" s="17" t="n">
        <f aca="false">BE26</f>
        <v>675000</v>
      </c>
      <c r="E1234" s="17" t="n">
        <f aca="false">BF26</f>
        <v>0</v>
      </c>
      <c r="F1234" s="17" t="n">
        <f aca="false">BG26</f>
        <v>2025000</v>
      </c>
    </row>
    <row r="1235" customFormat="false" ht="12.8" hidden="false" customHeight="false" outlineLevel="0" collapsed="false">
      <c r="A1235" s="7" t="str">
        <f aca="false">_xlfn.CONCAT($A$949, ".", A27)</f>
        <v>AL.7.24</v>
      </c>
      <c r="B1235" s="7" t="str">
        <f aca="false">_xlfn.CONCAT(B27, ": ", C27)</f>
        <v>Professional Services: Support</v>
      </c>
      <c r="C1235" s="17" t="n">
        <f aca="false">BD27</f>
        <v>1300000</v>
      </c>
      <c r="D1235" s="17" t="n">
        <f aca="false">BE27</f>
        <v>325000</v>
      </c>
      <c r="E1235" s="17" t="n">
        <f aca="false">BF27</f>
        <v>0</v>
      </c>
      <c r="F1235" s="17" t="n">
        <f aca="false">BG27</f>
        <v>975000</v>
      </c>
    </row>
    <row r="1236" customFormat="false" ht="12.8" hidden="false" customHeight="false" outlineLevel="0" collapsed="false">
      <c r="A1236" s="7" t="str">
        <f aca="false">_xlfn.CONCAT($A$949, ".", A28)</f>
        <v>AL.7.25</v>
      </c>
      <c r="B1236" s="7" t="str">
        <f aca="false">_xlfn.CONCAT(B28, ": ", C28)</f>
        <v>Educational Services: Worker</v>
      </c>
      <c r="C1236" s="17" t="n">
        <f aca="false">BD28</f>
        <v>630000</v>
      </c>
      <c r="D1236" s="17" t="n">
        <f aca="false">BE28</f>
        <v>157500</v>
      </c>
      <c r="E1236" s="17" t="n">
        <f aca="false">BF28</f>
        <v>0</v>
      </c>
      <c r="F1236" s="17" t="n">
        <f aca="false">BG28</f>
        <v>472500</v>
      </c>
    </row>
    <row r="1237" customFormat="false" ht="12.8" hidden="false" customHeight="false" outlineLevel="0" collapsed="false">
      <c r="A1237" s="7" t="str">
        <f aca="false">_xlfn.CONCAT($A$949, ".", A29)</f>
        <v>AL.7.26</v>
      </c>
      <c r="B1237" s="7" t="str">
        <f aca="false">_xlfn.CONCAT(B29, ": ", C29)</f>
        <v>Educational Services: Support</v>
      </c>
      <c r="C1237" s="17" t="n">
        <f aca="false">BD29</f>
        <v>250000</v>
      </c>
      <c r="D1237" s="17" t="n">
        <f aca="false">BE29</f>
        <v>62500</v>
      </c>
      <c r="E1237" s="17" t="n">
        <f aca="false">BF29</f>
        <v>0</v>
      </c>
      <c r="F1237" s="17" t="n">
        <f aca="false">BG29</f>
        <v>187500</v>
      </c>
    </row>
    <row r="1238" customFormat="false" ht="12.8" hidden="false" customHeight="false" outlineLevel="0" collapsed="false">
      <c r="A1238" s="7" t="str">
        <f aca="false">_xlfn.CONCAT($A$949, ".", A30)</f>
        <v>AL.7.27</v>
      </c>
      <c r="B1238" s="7" t="str">
        <f aca="false">_xlfn.CONCAT(B30, ": ", C30)</f>
        <v>Finance &amp; Insurance: Worker</v>
      </c>
      <c r="C1238" s="17" t="n">
        <f aca="false">BD30</f>
        <v>1800000</v>
      </c>
      <c r="D1238" s="17" t="n">
        <f aca="false">BE30</f>
        <v>450000</v>
      </c>
      <c r="E1238" s="17" t="n">
        <f aca="false">BF30</f>
        <v>0</v>
      </c>
      <c r="F1238" s="17" t="n">
        <f aca="false">BG30</f>
        <v>1350000</v>
      </c>
    </row>
    <row r="1239" customFormat="false" ht="12.8" hidden="false" customHeight="false" outlineLevel="0" collapsed="false">
      <c r="A1239" s="7" t="str">
        <f aca="false">_xlfn.CONCAT($A$949, ".", A31)</f>
        <v>AL.7.28</v>
      </c>
      <c r="B1239" s="7" t="str">
        <f aca="false">_xlfn.CONCAT(B31, ": ", C31)</f>
        <v>Finance &amp; Insurance: Support</v>
      </c>
      <c r="C1239" s="17" t="n">
        <f aca="false">BD31</f>
        <v>720000</v>
      </c>
      <c r="D1239" s="17" t="n">
        <f aca="false">BE31</f>
        <v>180000</v>
      </c>
      <c r="E1239" s="17" t="n">
        <f aca="false">BF31</f>
        <v>0</v>
      </c>
      <c r="F1239" s="17" t="n">
        <f aca="false">BG31</f>
        <v>540000</v>
      </c>
    </row>
    <row r="1240" customFormat="false" ht="12.8" hidden="false" customHeight="false" outlineLevel="0" collapsed="false">
      <c r="A1240" s="7" t="str">
        <f aca="false">_xlfn.CONCAT($A$949, ".", A36)</f>
        <v>AL.7.29</v>
      </c>
      <c r="B1240" s="7" t="str">
        <f aca="false">_xlfn.CONCAT(B36, ": ", C36)</f>
        <v>Media and Information Technology: Worker</v>
      </c>
      <c r="C1240" s="17" t="n">
        <f aca="false">BD36</f>
        <v>560000</v>
      </c>
      <c r="D1240" s="17" t="n">
        <f aca="false">BE36</f>
        <v>140000</v>
      </c>
      <c r="E1240" s="17" t="n">
        <f aca="false">BF36</f>
        <v>0</v>
      </c>
      <c r="F1240" s="17" t="n">
        <f aca="false">BG36</f>
        <v>420000</v>
      </c>
    </row>
    <row r="1241" customFormat="false" ht="12.8" hidden="false" customHeight="false" outlineLevel="0" collapsed="false">
      <c r="A1241" s="7" t="str">
        <f aca="false">_xlfn.CONCAT($A$949, ".", A37)</f>
        <v>AL.7.30</v>
      </c>
      <c r="B1241" s="7" t="str">
        <f aca="false">_xlfn.CONCAT(B37, ": ", C37)</f>
        <v>Media and Information Technology: Support</v>
      </c>
      <c r="C1241" s="17" t="n">
        <f aca="false">BD37</f>
        <v>225000</v>
      </c>
      <c r="D1241" s="17" t="n">
        <f aca="false">BE37</f>
        <v>56250</v>
      </c>
      <c r="E1241" s="17" t="n">
        <f aca="false">BF37</f>
        <v>0</v>
      </c>
      <c r="F1241" s="17" t="n">
        <f aca="false">BG37</f>
        <v>168750</v>
      </c>
    </row>
    <row r="1339" customFormat="false" ht="12.8" hidden="false" customHeight="false" outlineLevel="0" collapsed="false">
      <c r="A1339" s="5" t="s">
        <v>159</v>
      </c>
      <c r="B1339" s="24" t="s">
        <v>7</v>
      </c>
      <c r="C1339" s="25" t="s">
        <v>160</v>
      </c>
    </row>
    <row r="1340" customFormat="false" ht="35.05" hidden="false" customHeight="false" outlineLevel="0" collapsed="false">
      <c r="A1340" s="5" t="s">
        <v>26</v>
      </c>
      <c r="B1340" s="5" t="str">
        <f aca="false">_xlfn.CONCAT(B2, ": ", C2)</f>
        <v>Industry: Role</v>
      </c>
      <c r="C1340" s="31" t="str">
        <f aca="false">BH2</f>
        <v>ACTC Credit Refund</v>
      </c>
      <c r="D1340" s="31" t="str">
        <f aca="false">BI2</f>
        <v>Authorized Immigrant ACTC Credit Refund</v>
      </c>
      <c r="E1340" s="31" t="str">
        <f aca="false">BJ2</f>
        <v>Unauthorized Immigrant ACTC Credit Refund</v>
      </c>
      <c r="F1340" s="31" t="str">
        <f aca="false">BK2</f>
        <v>American Effective Tax ACTC Credit Refund</v>
      </c>
    </row>
    <row r="1341" customFormat="false" ht="12.8" hidden="false" customHeight="false" outlineLevel="0" collapsed="false">
      <c r="A1341" s="7" t="str">
        <f aca="false">_xlfn.CONCAT($A$949, ".", A3)</f>
        <v>AL.7.0</v>
      </c>
      <c r="B1341" s="7" t="str">
        <f aca="false">_xlfn.CONCAT(B3, ": ", C3)</f>
        <v>All Industries: All Roles</v>
      </c>
      <c r="C1341" s="31" t="n">
        <f aca="false">BH3</f>
        <v>120000000</v>
      </c>
      <c r="D1341" s="31" t="n">
        <f aca="false">BI3</f>
        <v>30000000</v>
      </c>
      <c r="E1341" s="31" t="n">
        <f aca="false">BJ3</f>
        <v>12000000</v>
      </c>
      <c r="F1341" s="31" t="n">
        <f aca="false">BK3</f>
        <v>90000000</v>
      </c>
    </row>
    <row r="1342" customFormat="false" ht="12.8" hidden="false" customHeight="false" outlineLevel="0" collapsed="false">
      <c r="A1342" s="7" t="str">
        <f aca="false">_xlfn.CONCAT($A$949, ".", A4)</f>
        <v>AL.7.1</v>
      </c>
      <c r="B1342" s="7" t="str">
        <f aca="false">_xlfn.CONCAT(B4, ": ", C4)</f>
        <v>Agriculture: Worker</v>
      </c>
      <c r="C1342" s="31" t="n">
        <f aca="false">BH4</f>
        <v>31200</v>
      </c>
      <c r="D1342" s="31" t="n">
        <f aca="false">BI4</f>
        <v>7800</v>
      </c>
      <c r="E1342" s="31" t="n">
        <f aca="false">BJ4</f>
        <v>3120</v>
      </c>
      <c r="F1342" s="31" t="n">
        <f aca="false">BK4</f>
        <v>23400</v>
      </c>
    </row>
    <row r="1343" customFormat="false" ht="12.8" hidden="false" customHeight="false" outlineLevel="0" collapsed="false">
      <c r="A1343" s="7" t="str">
        <f aca="false">_xlfn.CONCAT($A$949, ".", A5)</f>
        <v>AL.7.2</v>
      </c>
      <c r="B1343" s="7" t="str">
        <f aca="false">_xlfn.CONCAT(B5, ": ", C5)</f>
        <v>Agriculture: Support</v>
      </c>
      <c r="C1343" s="31" t="n">
        <f aca="false">BH5</f>
        <v>15600</v>
      </c>
      <c r="D1343" s="31" t="n">
        <f aca="false">BI5</f>
        <v>3900</v>
      </c>
      <c r="E1343" s="31" t="n">
        <f aca="false">BJ5</f>
        <v>1560</v>
      </c>
      <c r="F1343" s="31" t="n">
        <f aca="false">BK5</f>
        <v>11700</v>
      </c>
    </row>
    <row r="1344" customFormat="false" ht="12.8" hidden="false" customHeight="false" outlineLevel="0" collapsed="false">
      <c r="A1344" s="7" t="str">
        <f aca="false">_xlfn.CONCAT($A$949, ".", A6)</f>
        <v>AL.7.3</v>
      </c>
      <c r="B1344" s="7" t="str">
        <f aca="false">_xlfn.CONCAT(B6, ": ", C6)</f>
        <v>Construction: Worker</v>
      </c>
      <c r="C1344" s="31" t="n">
        <f aca="false">BH6</f>
        <v>1120000</v>
      </c>
      <c r="D1344" s="31" t="n">
        <f aca="false">BI6</f>
        <v>280000</v>
      </c>
      <c r="E1344" s="31" t="n">
        <f aca="false">BJ6</f>
        <v>112000</v>
      </c>
      <c r="F1344" s="31" t="n">
        <f aca="false">BK6</f>
        <v>840000</v>
      </c>
    </row>
    <row r="1345" customFormat="false" ht="12.8" hidden="false" customHeight="false" outlineLevel="0" collapsed="false">
      <c r="A1345" s="7" t="str">
        <f aca="false">_xlfn.CONCAT($A$949, ".", A7)</f>
        <v>AL.7.4</v>
      </c>
      <c r="B1345" s="7" t="str">
        <f aca="false">_xlfn.CONCAT(B7, ": ", C7)</f>
        <v>Construction: Support</v>
      </c>
      <c r="C1345" s="31" t="n">
        <f aca="false">BH7</f>
        <v>448000</v>
      </c>
      <c r="D1345" s="31" t="n">
        <f aca="false">BI7</f>
        <v>112000</v>
      </c>
      <c r="E1345" s="31" t="n">
        <f aca="false">BJ7</f>
        <v>44800</v>
      </c>
      <c r="F1345" s="31" t="n">
        <f aca="false">BK7</f>
        <v>336000</v>
      </c>
    </row>
    <row r="1346" customFormat="false" ht="12.8" hidden="false" customHeight="false" outlineLevel="0" collapsed="false">
      <c r="A1346" s="7" t="str">
        <f aca="false">_xlfn.CONCAT($A$949, ".", A8)</f>
        <v>AL.7.5</v>
      </c>
      <c r="B1346" s="7" t="str">
        <f aca="false">_xlfn.CONCAT(B8, ": ", C8)</f>
        <v>Hospitality: Worker</v>
      </c>
      <c r="C1346" s="31" t="n">
        <f aca="false">BH8</f>
        <v>1440000</v>
      </c>
      <c r="D1346" s="31" t="n">
        <f aca="false">BI8</f>
        <v>360000</v>
      </c>
      <c r="E1346" s="31" t="n">
        <f aca="false">BJ8</f>
        <v>144000</v>
      </c>
      <c r="F1346" s="31" t="n">
        <f aca="false">BK8</f>
        <v>1080000</v>
      </c>
    </row>
    <row r="1347" customFormat="false" ht="12.8" hidden="false" customHeight="false" outlineLevel="0" collapsed="false">
      <c r="A1347" s="7" t="str">
        <f aca="false">_xlfn.CONCAT($A$949, ".", A9)</f>
        <v>AL.7.6</v>
      </c>
      <c r="B1347" s="7" t="str">
        <f aca="false">_xlfn.CONCAT(B9, ": ", C9)</f>
        <v>Hospitality: Support</v>
      </c>
      <c r="C1347" s="31" t="n">
        <f aca="false">BH9</f>
        <v>720000</v>
      </c>
      <c r="D1347" s="31" t="n">
        <f aca="false">BI9</f>
        <v>180000</v>
      </c>
      <c r="E1347" s="31" t="n">
        <f aca="false">BJ9</f>
        <v>72000</v>
      </c>
      <c r="F1347" s="31" t="n">
        <f aca="false">BK9</f>
        <v>540000</v>
      </c>
    </row>
    <row r="1348" customFormat="false" ht="12.8" hidden="false" customHeight="false" outlineLevel="0" collapsed="false">
      <c r="A1348" s="7" t="str">
        <f aca="false">_xlfn.CONCAT($A$949, ".", A10)</f>
        <v>AL.7.7</v>
      </c>
      <c r="B1348" s="7" t="str">
        <f aca="false">_xlfn.CONCAT(B10, ": ", C10)</f>
        <v>Cleaning &amp; Maintenance: Worker</v>
      </c>
      <c r="C1348" s="31" t="n">
        <f aca="false">BH10</f>
        <v>300000</v>
      </c>
      <c r="D1348" s="31" t="n">
        <f aca="false">BI10</f>
        <v>75000</v>
      </c>
      <c r="E1348" s="31" t="n">
        <f aca="false">BJ10</f>
        <v>30000</v>
      </c>
      <c r="F1348" s="31" t="n">
        <f aca="false">BK10</f>
        <v>225000</v>
      </c>
    </row>
    <row r="1349" customFormat="false" ht="12.8" hidden="false" customHeight="false" outlineLevel="0" collapsed="false">
      <c r="A1349" s="7" t="str">
        <f aca="false">_xlfn.CONCAT($A$949, ".", A11)</f>
        <v>AL.7.8</v>
      </c>
      <c r="B1349" s="7" t="str">
        <f aca="false">_xlfn.CONCAT(B11, ": ", C11)</f>
        <v>Cleaning &amp; Maintenance: Support</v>
      </c>
      <c r="C1349" s="31" t="n">
        <f aca="false">BH11</f>
        <v>150000</v>
      </c>
      <c r="D1349" s="31" t="n">
        <f aca="false">BI11</f>
        <v>37500</v>
      </c>
      <c r="E1349" s="31" t="n">
        <f aca="false">BJ11</f>
        <v>15000</v>
      </c>
      <c r="F1349" s="31" t="n">
        <f aca="false">BK11</f>
        <v>112500</v>
      </c>
    </row>
    <row r="1350" customFormat="false" ht="12.8" hidden="false" customHeight="false" outlineLevel="0" collapsed="false">
      <c r="A1350" s="7" t="str">
        <f aca="false">_xlfn.CONCAT($A$949, ".", A12)</f>
        <v>AL.7.9</v>
      </c>
      <c r="B1350" s="7" t="str">
        <f aca="false">_xlfn.CONCAT(B12, ": ", C12)</f>
        <v>Manufacturing: Worker</v>
      </c>
      <c r="C1350" s="31" t="n">
        <f aca="false">BH12</f>
        <v>2080000</v>
      </c>
      <c r="D1350" s="31" t="n">
        <f aca="false">BI12</f>
        <v>520000</v>
      </c>
      <c r="E1350" s="31" t="n">
        <f aca="false">BJ12</f>
        <v>208000</v>
      </c>
      <c r="F1350" s="31" t="n">
        <f aca="false">BK12</f>
        <v>1560000</v>
      </c>
    </row>
    <row r="1351" customFormat="false" ht="12.8" hidden="false" customHeight="false" outlineLevel="0" collapsed="false">
      <c r="A1351" s="7" t="str">
        <f aca="false">_xlfn.CONCAT($A$949, ".", A13)</f>
        <v>AL.7.10</v>
      </c>
      <c r="B1351" s="7" t="str">
        <f aca="false">_xlfn.CONCAT(B13, ": ", C13)</f>
        <v>Manufacturing: Support</v>
      </c>
      <c r="C1351" s="31" t="n">
        <f aca="false">BH13</f>
        <v>840000</v>
      </c>
      <c r="D1351" s="31" t="n">
        <f aca="false">BI13</f>
        <v>210000</v>
      </c>
      <c r="E1351" s="31" t="n">
        <f aca="false">BJ13</f>
        <v>84000</v>
      </c>
      <c r="F1351" s="31" t="n">
        <f aca="false">BK13</f>
        <v>630000</v>
      </c>
    </row>
    <row r="1352" customFormat="false" ht="12.8" hidden="false" customHeight="false" outlineLevel="0" collapsed="false">
      <c r="A1352" s="7" t="str">
        <f aca="false">_xlfn.CONCAT($A$949, ".", A14)</f>
        <v>AL.7.11</v>
      </c>
      <c r="B1352" s="7" t="str">
        <f aca="false">_xlfn.CONCAT(B14, ": ", C14)</f>
        <v>Transportation &amp; Warehousing: Worker</v>
      </c>
      <c r="C1352" s="31" t="n">
        <f aca="false">BH14</f>
        <v>1840000</v>
      </c>
      <c r="D1352" s="31" t="n">
        <f aca="false">BI14</f>
        <v>460000</v>
      </c>
      <c r="E1352" s="31" t="n">
        <f aca="false">BJ14</f>
        <v>184000</v>
      </c>
      <c r="F1352" s="31" t="n">
        <f aca="false">BK14</f>
        <v>1380000</v>
      </c>
    </row>
    <row r="1353" customFormat="false" ht="12.8" hidden="false" customHeight="false" outlineLevel="0" collapsed="false">
      <c r="A1353" s="7" t="str">
        <f aca="false">_xlfn.CONCAT($A$949, ".", A15)</f>
        <v>AL.7.12</v>
      </c>
      <c r="B1353" s="7" t="str">
        <f aca="false">_xlfn.CONCAT(B15, ": ", C15)</f>
        <v>Transportation &amp; Warehousing: Support</v>
      </c>
      <c r="C1353" s="31" t="n">
        <f aca="false">BH15</f>
        <v>736000</v>
      </c>
      <c r="D1353" s="31" t="n">
        <f aca="false">BI15</f>
        <v>184000</v>
      </c>
      <c r="E1353" s="31" t="n">
        <f aca="false">BJ15</f>
        <v>73600</v>
      </c>
      <c r="F1353" s="31" t="n">
        <f aca="false">BK15</f>
        <v>552000</v>
      </c>
    </row>
    <row r="1354" customFormat="false" ht="12.8" hidden="false" customHeight="false" outlineLevel="0" collapsed="false">
      <c r="A1354" s="7" t="str">
        <f aca="false">_xlfn.CONCAT($A$949, ".", A16)</f>
        <v>AL.7.13</v>
      </c>
      <c r="B1354" s="7" t="str">
        <f aca="false">_xlfn.CONCAT(B16, ": ", C16)</f>
        <v>Retail Trade: Worker</v>
      </c>
      <c r="C1354" s="31" t="n">
        <f aca="false">BH16</f>
        <v>1440000</v>
      </c>
      <c r="D1354" s="31" t="n">
        <f aca="false">BI16</f>
        <v>360000</v>
      </c>
      <c r="E1354" s="31" t="n">
        <f aca="false">BJ16</f>
        <v>144000</v>
      </c>
      <c r="F1354" s="31" t="n">
        <f aca="false">BK16</f>
        <v>1080000</v>
      </c>
    </row>
    <row r="1355" customFormat="false" ht="12.8" hidden="false" customHeight="false" outlineLevel="0" collapsed="false">
      <c r="A1355" s="7" t="str">
        <f aca="false">_xlfn.CONCAT($A$949, ".", A17)</f>
        <v>AL.7.14</v>
      </c>
      <c r="B1355" s="7" t="str">
        <f aca="false">_xlfn.CONCAT(B17, ": ", C17)</f>
        <v>Retail Trade: Support</v>
      </c>
      <c r="C1355" s="31" t="n">
        <f aca="false">BH17</f>
        <v>720000</v>
      </c>
      <c r="D1355" s="31" t="n">
        <f aca="false">BI17</f>
        <v>180000</v>
      </c>
      <c r="E1355" s="31" t="n">
        <f aca="false">BJ17</f>
        <v>72000</v>
      </c>
      <c r="F1355" s="31" t="n">
        <f aca="false">BK17</f>
        <v>540000</v>
      </c>
    </row>
    <row r="1356" customFormat="false" ht="12.8" hidden="false" customHeight="false" outlineLevel="0" collapsed="false">
      <c r="A1356" s="7" t="str">
        <f aca="false">_xlfn.CONCAT($A$949, ".", A18)</f>
        <v>AL.7.15</v>
      </c>
      <c r="B1356" s="7" t="str">
        <f aca="false">_xlfn.CONCAT(B18, ": ", C18)</f>
        <v>Landscaping / Groundskeeping: Worker</v>
      </c>
      <c r="C1356" s="31" t="n">
        <f aca="false">BH18</f>
        <v>78000</v>
      </c>
      <c r="D1356" s="31" t="n">
        <f aca="false">BI18</f>
        <v>19500</v>
      </c>
      <c r="E1356" s="31" t="n">
        <f aca="false">BJ18</f>
        <v>19500</v>
      </c>
      <c r="F1356" s="31" t="n">
        <f aca="false">BK18</f>
        <v>146250</v>
      </c>
    </row>
    <row r="1357" customFormat="false" ht="12.8" hidden="false" customHeight="false" outlineLevel="0" collapsed="false">
      <c r="A1357" s="7" t="str">
        <f aca="false">_xlfn.CONCAT($A$949, ".", A19)</f>
        <v>AL.7.16</v>
      </c>
      <c r="B1357" s="7" t="str">
        <f aca="false">_xlfn.CONCAT(B19, ": ", C19)</f>
        <v>Landscaping / Groundskeeping: Support</v>
      </c>
      <c r="C1357" s="31" t="n">
        <f aca="false">BH19</f>
        <v>39000</v>
      </c>
      <c r="D1357" s="31" t="n">
        <f aca="false">BI19</f>
        <v>9750</v>
      </c>
      <c r="E1357" s="31" t="n">
        <f aca="false">BJ19</f>
        <v>9750</v>
      </c>
      <c r="F1357" s="31" t="n">
        <f aca="false">BK19</f>
        <v>73125</v>
      </c>
    </row>
    <row r="1358" customFormat="false" ht="12.8" hidden="false" customHeight="false" outlineLevel="0" collapsed="false">
      <c r="A1358" s="7" t="str">
        <f aca="false">_xlfn.CONCAT($A$949, ".", A20)</f>
        <v>AL.7.17</v>
      </c>
      <c r="B1358" s="7" t="str">
        <f aca="false">_xlfn.CONCAT(B20, ": ", C20)</f>
        <v>Automotive &amp; Repair: Worker</v>
      </c>
      <c r="C1358" s="31" t="n">
        <f aca="false">BH20</f>
        <v>66000</v>
      </c>
      <c r="D1358" s="31" t="n">
        <f aca="false">BI20</f>
        <v>16500</v>
      </c>
      <c r="E1358" s="31" t="n">
        <f aca="false">BJ20</f>
        <v>16500</v>
      </c>
      <c r="F1358" s="31" t="n">
        <f aca="false">BK20</f>
        <v>123750</v>
      </c>
    </row>
    <row r="1359" customFormat="false" ht="12.8" hidden="false" customHeight="false" outlineLevel="0" collapsed="false">
      <c r="A1359" s="7" t="str">
        <f aca="false">_xlfn.CONCAT($A$949, ".", A21)</f>
        <v>AL.7.18</v>
      </c>
      <c r="B1359" s="7" t="str">
        <f aca="false">_xlfn.CONCAT(B21, ": ", C21)</f>
        <v>Automotive &amp; Repair: Support</v>
      </c>
      <c r="C1359" s="31" t="n">
        <f aca="false">BH21</f>
        <v>33000</v>
      </c>
      <c r="D1359" s="31" t="n">
        <f aca="false">BI21</f>
        <v>8250</v>
      </c>
      <c r="E1359" s="31" t="n">
        <f aca="false">BJ21</f>
        <v>8250</v>
      </c>
      <c r="F1359" s="31" t="n">
        <f aca="false">BK21</f>
        <v>61875</v>
      </c>
    </row>
    <row r="1360" customFormat="false" ht="12.8" hidden="false" customHeight="false" outlineLevel="0" collapsed="false">
      <c r="A1360" s="7" t="str">
        <f aca="false">_xlfn.CONCAT($A$949, ".", A22)</f>
        <v>AL.7.19</v>
      </c>
      <c r="B1360" s="7" t="str">
        <f aca="false">_xlfn.CONCAT(B22, ": ", C22)</f>
        <v>Other Services: Worker</v>
      </c>
      <c r="C1360" s="31" t="n">
        <f aca="false">BH22</f>
        <v>760000</v>
      </c>
      <c r="D1360" s="31" t="n">
        <f aca="false">BI22</f>
        <v>190000</v>
      </c>
      <c r="E1360" s="31" t="n">
        <f aca="false">BJ22</f>
        <v>76000</v>
      </c>
      <c r="F1360" s="31" t="n">
        <f aca="false">BK22</f>
        <v>570000</v>
      </c>
    </row>
    <row r="1361" customFormat="false" ht="12.8" hidden="false" customHeight="false" outlineLevel="0" collapsed="false">
      <c r="A1361" s="7" t="str">
        <f aca="false">_xlfn.CONCAT($A$949, ".", A23)</f>
        <v>AL.7.20</v>
      </c>
      <c r="B1361" s="7" t="str">
        <f aca="false">_xlfn.CONCAT(B23, ": ", C23)</f>
        <v>Other Services: Support</v>
      </c>
      <c r="C1361" s="31" t="n">
        <f aca="false">BH23</f>
        <v>380000</v>
      </c>
      <c r="D1361" s="31" t="n">
        <f aca="false">BI23</f>
        <v>95000</v>
      </c>
      <c r="E1361" s="31" t="n">
        <f aca="false">BJ23</f>
        <v>38000</v>
      </c>
      <c r="F1361" s="31" t="n">
        <f aca="false">BK23</f>
        <v>285000</v>
      </c>
    </row>
    <row r="1362" customFormat="false" ht="12.8" hidden="false" customHeight="false" outlineLevel="0" collapsed="false">
      <c r="A1362" s="7" t="str">
        <f aca="false">_xlfn.CONCAT($A$949, ".", A24)</f>
        <v>AL.7.21</v>
      </c>
      <c r="B1362" s="7" t="str">
        <f aca="false">_xlfn.CONCAT(B24, ": ", C24)</f>
        <v>Healthcare &amp; Social Assistance: Worker</v>
      </c>
      <c r="C1362" s="31" t="n">
        <f aca="false">BH24</f>
        <v>3000000</v>
      </c>
      <c r="D1362" s="31" t="n">
        <f aca="false">BI24</f>
        <v>750000</v>
      </c>
      <c r="E1362" s="31" t="n">
        <f aca="false">BJ24</f>
        <v>600000</v>
      </c>
      <c r="F1362" s="31" t="n">
        <f aca="false">BK24</f>
        <v>4500000</v>
      </c>
    </row>
    <row r="1363" customFormat="false" ht="12.8" hidden="false" customHeight="false" outlineLevel="0" collapsed="false">
      <c r="A1363" s="7" t="str">
        <f aca="false">_xlfn.CONCAT($A$949, ".", A25)</f>
        <v>AL.7.22</v>
      </c>
      <c r="B1363" s="7" t="str">
        <f aca="false">_xlfn.CONCAT(B25, ": ", C25)</f>
        <v>Healthcare &amp; Social Assistance: Support</v>
      </c>
      <c r="C1363" s="31" t="n">
        <f aca="false">BH25</f>
        <v>1250000</v>
      </c>
      <c r="D1363" s="31" t="n">
        <f aca="false">BI25</f>
        <v>312500</v>
      </c>
      <c r="E1363" s="31" t="n">
        <f aca="false">BJ25</f>
        <v>250000</v>
      </c>
      <c r="F1363" s="31" t="n">
        <f aca="false">BK25</f>
        <v>1875000</v>
      </c>
    </row>
    <row r="1364" customFormat="false" ht="12.8" hidden="false" customHeight="false" outlineLevel="0" collapsed="false">
      <c r="A1364" s="7" t="str">
        <f aca="false">_xlfn.CONCAT($A$949, ".", A26)</f>
        <v>AL.7.23</v>
      </c>
      <c r="B1364" s="7" t="str">
        <f aca="false">_xlfn.CONCAT(B26, ": ", C26)</f>
        <v>Professional Services: Worker</v>
      </c>
      <c r="C1364" s="31" t="n">
        <f aca="false">BH26</f>
        <v>1350000</v>
      </c>
      <c r="D1364" s="31" t="n">
        <f aca="false">BI26</f>
        <v>337500</v>
      </c>
      <c r="E1364" s="31" t="n">
        <f aca="false">BJ26</f>
        <v>270000</v>
      </c>
      <c r="F1364" s="31" t="n">
        <f aca="false">BK26</f>
        <v>2025000</v>
      </c>
    </row>
    <row r="1365" customFormat="false" ht="12.8" hidden="false" customHeight="false" outlineLevel="0" collapsed="false">
      <c r="A1365" s="7" t="str">
        <f aca="false">_xlfn.CONCAT($A$949, ".", A27)</f>
        <v>AL.7.24</v>
      </c>
      <c r="B1365" s="7" t="str">
        <f aca="false">_xlfn.CONCAT(B27, ": ", C27)</f>
        <v>Professional Services: Support</v>
      </c>
      <c r="C1365" s="31" t="n">
        <f aca="false">BH27</f>
        <v>650000</v>
      </c>
      <c r="D1365" s="31" t="n">
        <f aca="false">BI27</f>
        <v>162500</v>
      </c>
      <c r="E1365" s="31" t="n">
        <f aca="false">BJ27</f>
        <v>130000</v>
      </c>
      <c r="F1365" s="31" t="n">
        <f aca="false">BK27</f>
        <v>975000</v>
      </c>
    </row>
    <row r="1366" customFormat="false" ht="12.8" hidden="false" customHeight="false" outlineLevel="0" collapsed="false">
      <c r="A1366" s="7" t="str">
        <f aca="false">_xlfn.CONCAT($A$949, ".", A28)</f>
        <v>AL.7.25</v>
      </c>
      <c r="B1366" s="7" t="str">
        <f aca="false">_xlfn.CONCAT(B28, ": ", C28)</f>
        <v>Educational Services: Worker</v>
      </c>
      <c r="C1366" s="31" t="n">
        <f aca="false">BH28</f>
        <v>315000</v>
      </c>
      <c r="D1366" s="31" t="n">
        <f aca="false">BI28</f>
        <v>78750</v>
      </c>
      <c r="E1366" s="31" t="n">
        <f aca="false">BJ28</f>
        <v>63000</v>
      </c>
      <c r="F1366" s="31" t="n">
        <f aca="false">BK28</f>
        <v>472500</v>
      </c>
    </row>
    <row r="1367" customFormat="false" ht="12.8" hidden="false" customHeight="false" outlineLevel="0" collapsed="false">
      <c r="A1367" s="7" t="str">
        <f aca="false">_xlfn.CONCAT($A$949, ".", A29)</f>
        <v>AL.7.26</v>
      </c>
      <c r="B1367" s="7" t="str">
        <f aca="false">_xlfn.CONCAT(B29, ": ", C29)</f>
        <v>Educational Services: Support</v>
      </c>
      <c r="C1367" s="31" t="n">
        <f aca="false">BH29</f>
        <v>125000</v>
      </c>
      <c r="D1367" s="31" t="n">
        <f aca="false">BI29</f>
        <v>31250</v>
      </c>
      <c r="E1367" s="31" t="n">
        <f aca="false">BJ29</f>
        <v>25000</v>
      </c>
      <c r="F1367" s="31" t="n">
        <f aca="false">BK29</f>
        <v>187500</v>
      </c>
    </row>
    <row r="1368" customFormat="false" ht="12.8" hidden="false" customHeight="false" outlineLevel="0" collapsed="false">
      <c r="A1368" s="7" t="str">
        <f aca="false">_xlfn.CONCAT($A$949, ".", A30)</f>
        <v>AL.7.27</v>
      </c>
      <c r="B1368" s="7" t="str">
        <f aca="false">_xlfn.CONCAT(B30, ": ", C30)</f>
        <v>Finance &amp; Insurance: Worker</v>
      </c>
      <c r="C1368" s="31" t="n">
        <f aca="false">BH30</f>
        <v>900000</v>
      </c>
      <c r="D1368" s="31" t="n">
        <f aca="false">BI30</f>
        <v>225000</v>
      </c>
      <c r="E1368" s="31" t="n">
        <f aca="false">BJ30</f>
        <v>180000</v>
      </c>
      <c r="F1368" s="31" t="n">
        <f aca="false">BK30</f>
        <v>1350000</v>
      </c>
    </row>
    <row r="1369" customFormat="false" ht="12.8" hidden="false" customHeight="false" outlineLevel="0" collapsed="false">
      <c r="A1369" s="7" t="str">
        <f aca="false">_xlfn.CONCAT($A$949, ".", A31)</f>
        <v>AL.7.28</v>
      </c>
      <c r="B1369" s="7" t="str">
        <f aca="false">_xlfn.CONCAT(B31, ": ", C31)</f>
        <v>Finance &amp; Insurance: Support</v>
      </c>
      <c r="C1369" s="31" t="n">
        <f aca="false">BH31</f>
        <v>360000</v>
      </c>
      <c r="D1369" s="31" t="n">
        <f aca="false">BI31</f>
        <v>90000</v>
      </c>
      <c r="E1369" s="31" t="n">
        <f aca="false">BJ31</f>
        <v>72000</v>
      </c>
      <c r="F1369" s="31" t="n">
        <f aca="false">BK31</f>
        <v>540000</v>
      </c>
    </row>
    <row r="1370" customFormat="false" ht="12.8" hidden="false" customHeight="false" outlineLevel="0" collapsed="false">
      <c r="A1370" s="7" t="str">
        <f aca="false">_xlfn.CONCAT($A$949, ".", A36)</f>
        <v>AL.7.29</v>
      </c>
      <c r="B1370" s="7" t="str">
        <f aca="false">_xlfn.CONCAT(B36, ": ", C36)</f>
        <v>Media and Information Technology: Worker</v>
      </c>
      <c r="C1370" s="31" t="n">
        <f aca="false">BH36</f>
        <v>280000</v>
      </c>
      <c r="D1370" s="31" t="n">
        <f aca="false">BI36</f>
        <v>70000</v>
      </c>
      <c r="E1370" s="31" t="n">
        <f aca="false">BJ36</f>
        <v>70000</v>
      </c>
      <c r="F1370" s="31" t="n">
        <f aca="false">BK36</f>
        <v>525000</v>
      </c>
    </row>
    <row r="1371" customFormat="false" ht="12.8" hidden="false" customHeight="false" outlineLevel="0" collapsed="false">
      <c r="A1371" s="7" t="str">
        <f aca="false">_xlfn.CONCAT($A$949, ".", A37)</f>
        <v>AL.7.30</v>
      </c>
      <c r="B1371" s="7" t="str">
        <f aca="false">_xlfn.CONCAT(B37, ": ", C37)</f>
        <v>Media and Information Technology: Support</v>
      </c>
      <c r="C1371" s="31" t="n">
        <f aca="false">BH37</f>
        <v>112500</v>
      </c>
      <c r="D1371" s="31" t="n">
        <f aca="false">BI37</f>
        <v>28125</v>
      </c>
      <c r="E1371" s="31" t="n">
        <f aca="false">BJ37</f>
        <v>28000</v>
      </c>
      <c r="F1371" s="31" t="n">
        <f aca="false">BK37</f>
        <v>210000</v>
      </c>
    </row>
    <row r="1468" customFormat="false" ht="12.8" hidden="false" customHeight="false" outlineLevel="0" collapsed="false">
      <c r="A1468" s="5" t="s">
        <v>159</v>
      </c>
      <c r="B1468" s="24" t="s">
        <v>7</v>
      </c>
      <c r="C1468" s="7" t="s">
        <v>161</v>
      </c>
    </row>
    <row r="1469" customFormat="false" ht="35.05" hidden="false" customHeight="false" outlineLevel="0" collapsed="false">
      <c r="A1469" s="5" t="s">
        <v>26</v>
      </c>
      <c r="B1469" s="5" t="str">
        <f aca="false">_xlfn.CONCAT(B2, ": ", C2)</f>
        <v>Industry: Role</v>
      </c>
      <c r="C1469" s="31" t="str">
        <f aca="false">BL2</f>
        <v>AOTC Credit Refund</v>
      </c>
      <c r="D1469" s="31" t="str">
        <f aca="false">BM2</f>
        <v>Authorized Immigrant AOTC Credit Refund</v>
      </c>
      <c r="E1469" s="31" t="str">
        <f aca="false">BN2</f>
        <v>Unauthorized Immigrant AOTC Credit Refund</v>
      </c>
      <c r="F1469" s="31" t="str">
        <f aca="false">BO2</f>
        <v>American Effective Tax AOTC Credit Refund</v>
      </c>
    </row>
    <row r="1470" customFormat="false" ht="12.8" hidden="false" customHeight="false" outlineLevel="0" collapsed="false">
      <c r="A1470" s="7" t="str">
        <f aca="false">_xlfn.CONCAT($A$949, ".", A3)</f>
        <v>AL.7.0</v>
      </c>
      <c r="B1470" s="7" t="str">
        <f aca="false">_xlfn.CONCAT(B3, ": ", C3)</f>
        <v>All Industries: All Roles</v>
      </c>
      <c r="C1470" s="31" t="n">
        <f aca="false">BL3</f>
        <v>125000000</v>
      </c>
      <c r="D1470" s="31" t="n">
        <f aca="false">BM3</f>
        <v>32000000</v>
      </c>
      <c r="E1470" s="31" t="n">
        <f aca="false">BN3</f>
        <v>16500000</v>
      </c>
      <c r="F1470" s="31" t="n">
        <f aca="false">BO3</f>
        <v>95000000</v>
      </c>
    </row>
    <row r="1471" customFormat="false" ht="12.8" hidden="false" customHeight="false" outlineLevel="0" collapsed="false">
      <c r="A1471" s="7" t="str">
        <f aca="false">_xlfn.CONCAT($A$949, ".", A4)</f>
        <v>AL.7.1</v>
      </c>
      <c r="B1471" s="7" t="str">
        <f aca="false">_xlfn.CONCAT(B4, ": ", C4)</f>
        <v>Agriculture: Worker</v>
      </c>
      <c r="C1471" s="31" t="n">
        <f aca="false">BL4</f>
        <v>15600</v>
      </c>
      <c r="D1471" s="31" t="n">
        <f aca="false">BM4</f>
        <v>3120</v>
      </c>
      <c r="E1471" s="31" t="n">
        <f aca="false">BN4</f>
        <v>1560</v>
      </c>
      <c r="F1471" s="31" t="n">
        <f aca="false">BO4</f>
        <v>11700</v>
      </c>
    </row>
    <row r="1472" customFormat="false" ht="12.8" hidden="false" customHeight="false" outlineLevel="0" collapsed="false">
      <c r="A1472" s="7" t="str">
        <f aca="false">_xlfn.CONCAT($A$949, ".", A5)</f>
        <v>AL.7.2</v>
      </c>
      <c r="B1472" s="7" t="str">
        <f aca="false">_xlfn.CONCAT(B5, ": ", C5)</f>
        <v>Agriculture: Support</v>
      </c>
      <c r="C1472" s="31" t="n">
        <f aca="false">BL5</f>
        <v>7800</v>
      </c>
      <c r="D1472" s="31" t="n">
        <f aca="false">BM5</f>
        <v>1560</v>
      </c>
      <c r="E1472" s="31" t="n">
        <f aca="false">BN5</f>
        <v>780</v>
      </c>
      <c r="F1472" s="31" t="n">
        <f aca="false">BO5</f>
        <v>5850</v>
      </c>
    </row>
    <row r="1473" customFormat="false" ht="12.8" hidden="false" customHeight="false" outlineLevel="0" collapsed="false">
      <c r="A1473" s="7" t="str">
        <f aca="false">_xlfn.CONCAT($A$949, ".", A6)</f>
        <v>AL.7.3</v>
      </c>
      <c r="B1473" s="7" t="str">
        <f aca="false">_xlfn.CONCAT(B6, ": ", C6)</f>
        <v>Construction: Worker</v>
      </c>
      <c r="C1473" s="31" t="n">
        <f aca="false">BL6</f>
        <v>420000</v>
      </c>
      <c r="D1473" s="31" t="n">
        <f aca="false">BM6</f>
        <v>84000</v>
      </c>
      <c r="E1473" s="31" t="n">
        <f aca="false">BN6</f>
        <v>42000</v>
      </c>
      <c r="F1473" s="31" t="n">
        <f aca="false">BO6</f>
        <v>315000</v>
      </c>
    </row>
    <row r="1474" customFormat="false" ht="12.8" hidden="false" customHeight="false" outlineLevel="0" collapsed="false">
      <c r="A1474" s="7" t="str">
        <f aca="false">_xlfn.CONCAT($A$949, ".", A7)</f>
        <v>AL.7.4</v>
      </c>
      <c r="B1474" s="7" t="str">
        <f aca="false">_xlfn.CONCAT(B7, ": ", C7)</f>
        <v>Construction: Support</v>
      </c>
      <c r="C1474" s="31" t="n">
        <f aca="false">BL7</f>
        <v>168000</v>
      </c>
      <c r="D1474" s="31" t="n">
        <f aca="false">BM7</f>
        <v>33600</v>
      </c>
      <c r="E1474" s="31" t="n">
        <f aca="false">BN7</f>
        <v>16800</v>
      </c>
      <c r="F1474" s="31" t="n">
        <f aca="false">BO7</f>
        <v>126000</v>
      </c>
    </row>
    <row r="1475" customFormat="false" ht="12.8" hidden="false" customHeight="false" outlineLevel="0" collapsed="false">
      <c r="A1475" s="7" t="str">
        <f aca="false">_xlfn.CONCAT($A$949, ".", A8)</f>
        <v>AL.7.5</v>
      </c>
      <c r="B1475" s="7" t="str">
        <f aca="false">_xlfn.CONCAT(B8, ": ", C8)</f>
        <v>Hospitality: Worker</v>
      </c>
      <c r="C1475" s="31" t="n">
        <f aca="false">BL8</f>
        <v>720000</v>
      </c>
      <c r="D1475" s="31" t="n">
        <f aca="false">BM8</f>
        <v>144000</v>
      </c>
      <c r="E1475" s="31" t="n">
        <f aca="false">BN8</f>
        <v>72000</v>
      </c>
      <c r="F1475" s="31" t="n">
        <f aca="false">BO8</f>
        <v>540000</v>
      </c>
    </row>
    <row r="1476" customFormat="false" ht="12.8" hidden="false" customHeight="false" outlineLevel="0" collapsed="false">
      <c r="A1476" s="7" t="str">
        <f aca="false">_xlfn.CONCAT($A$949, ".", A9)</f>
        <v>AL.7.6</v>
      </c>
      <c r="B1476" s="7" t="str">
        <f aca="false">_xlfn.CONCAT(B9, ": ", C9)</f>
        <v>Hospitality: Support</v>
      </c>
      <c r="C1476" s="31" t="n">
        <f aca="false">BL9</f>
        <v>360000</v>
      </c>
      <c r="D1476" s="31" t="n">
        <f aca="false">BM9</f>
        <v>72000</v>
      </c>
      <c r="E1476" s="31" t="n">
        <f aca="false">BN9</f>
        <v>36000</v>
      </c>
      <c r="F1476" s="31" t="n">
        <f aca="false">BO9</f>
        <v>270000</v>
      </c>
    </row>
    <row r="1477" customFormat="false" ht="12.8" hidden="false" customHeight="false" outlineLevel="0" collapsed="false">
      <c r="A1477" s="7" t="str">
        <f aca="false">_xlfn.CONCAT($A$949, ".", A10)</f>
        <v>AL.7.7</v>
      </c>
      <c r="B1477" s="7" t="str">
        <f aca="false">_xlfn.CONCAT(B10, ": ", C10)</f>
        <v>Cleaning &amp; Maintenance: Worker</v>
      </c>
      <c r="C1477" s="31" t="n">
        <f aca="false">BL10</f>
        <v>150000</v>
      </c>
      <c r="D1477" s="31" t="n">
        <f aca="false">BM10</f>
        <v>30000</v>
      </c>
      <c r="E1477" s="31" t="n">
        <f aca="false">BN10</f>
        <v>15000</v>
      </c>
      <c r="F1477" s="31" t="n">
        <f aca="false">BO10</f>
        <v>112500</v>
      </c>
    </row>
    <row r="1478" customFormat="false" ht="12.8" hidden="false" customHeight="false" outlineLevel="0" collapsed="false">
      <c r="A1478" s="7" t="str">
        <f aca="false">_xlfn.CONCAT($A$949, ".", A11)</f>
        <v>AL.7.8</v>
      </c>
      <c r="B1478" s="7" t="str">
        <f aca="false">_xlfn.CONCAT(B11, ": ", C11)</f>
        <v>Cleaning &amp; Maintenance: Support</v>
      </c>
      <c r="C1478" s="31" t="n">
        <f aca="false">BL11</f>
        <v>75000</v>
      </c>
      <c r="D1478" s="31" t="n">
        <f aca="false">BM11</f>
        <v>15000</v>
      </c>
      <c r="E1478" s="31" t="n">
        <f aca="false">BN11</f>
        <v>7500</v>
      </c>
      <c r="F1478" s="31" t="n">
        <f aca="false">BO11</f>
        <v>56250</v>
      </c>
    </row>
    <row r="1479" customFormat="false" ht="12.8" hidden="false" customHeight="false" outlineLevel="0" collapsed="false">
      <c r="A1479" s="7" t="str">
        <f aca="false">_xlfn.CONCAT($A$949, ".", A12)</f>
        <v>AL.7.9</v>
      </c>
      <c r="B1479" s="7" t="str">
        <f aca="false">_xlfn.CONCAT(B12, ": ", C12)</f>
        <v>Manufacturing: Worker</v>
      </c>
      <c r="C1479" s="31" t="n">
        <f aca="false">BL12</f>
        <v>1040000</v>
      </c>
      <c r="D1479" s="31" t="n">
        <f aca="false">BM12</f>
        <v>208000</v>
      </c>
      <c r="E1479" s="31" t="n">
        <f aca="false">BN12</f>
        <v>104000</v>
      </c>
      <c r="F1479" s="31" t="n">
        <f aca="false">BO12</f>
        <v>780000</v>
      </c>
    </row>
    <row r="1480" customFormat="false" ht="12.8" hidden="false" customHeight="false" outlineLevel="0" collapsed="false">
      <c r="A1480" s="7" t="str">
        <f aca="false">_xlfn.CONCAT($A$949, ".", A13)</f>
        <v>AL.7.10</v>
      </c>
      <c r="B1480" s="7" t="str">
        <f aca="false">_xlfn.CONCAT(B13, ": ", C13)</f>
        <v>Manufacturing: Support</v>
      </c>
      <c r="C1480" s="31" t="n">
        <f aca="false">BL13</f>
        <v>420000</v>
      </c>
      <c r="D1480" s="31" t="n">
        <f aca="false">BM13</f>
        <v>84000</v>
      </c>
      <c r="E1480" s="31" t="n">
        <f aca="false">BN13</f>
        <v>42000</v>
      </c>
      <c r="F1480" s="31" t="n">
        <f aca="false">BO13</f>
        <v>315000</v>
      </c>
    </row>
    <row r="1481" customFormat="false" ht="12.8" hidden="false" customHeight="false" outlineLevel="0" collapsed="false">
      <c r="A1481" s="7" t="str">
        <f aca="false">_xlfn.CONCAT($A$949, ".", A14)</f>
        <v>AL.7.11</v>
      </c>
      <c r="B1481" s="7" t="str">
        <f aca="false">_xlfn.CONCAT(B14, ": ", C14)</f>
        <v>Transportation &amp; Warehousing: Worker</v>
      </c>
      <c r="C1481" s="31" t="n">
        <f aca="false">BL14</f>
        <v>920000</v>
      </c>
      <c r="D1481" s="31" t="n">
        <f aca="false">BM14</f>
        <v>184000</v>
      </c>
      <c r="E1481" s="31" t="n">
        <f aca="false">BN14</f>
        <v>92000</v>
      </c>
      <c r="F1481" s="31" t="n">
        <f aca="false">BO14</f>
        <v>690000</v>
      </c>
    </row>
    <row r="1482" customFormat="false" ht="12.8" hidden="false" customHeight="false" outlineLevel="0" collapsed="false">
      <c r="A1482" s="7" t="str">
        <f aca="false">_xlfn.CONCAT($A$949, ".", A15)</f>
        <v>AL.7.12</v>
      </c>
      <c r="B1482" s="7" t="str">
        <f aca="false">_xlfn.CONCAT(B15, ": ", C15)</f>
        <v>Transportation &amp; Warehousing: Support</v>
      </c>
      <c r="C1482" s="31" t="n">
        <f aca="false">BL15</f>
        <v>368000</v>
      </c>
      <c r="D1482" s="31" t="n">
        <f aca="false">BM15</f>
        <v>73600</v>
      </c>
      <c r="E1482" s="31" t="n">
        <f aca="false">BN15</f>
        <v>36800</v>
      </c>
      <c r="F1482" s="31" t="n">
        <f aca="false">BO15</f>
        <v>276000</v>
      </c>
    </row>
    <row r="1483" customFormat="false" ht="12.8" hidden="false" customHeight="false" outlineLevel="0" collapsed="false">
      <c r="A1483" s="7" t="str">
        <f aca="false">_xlfn.CONCAT($A$949, ".", A16)</f>
        <v>AL.7.13</v>
      </c>
      <c r="B1483" s="7" t="str">
        <f aca="false">_xlfn.CONCAT(B16, ": ", C16)</f>
        <v>Retail Trade: Worker</v>
      </c>
      <c r="C1483" s="31" t="n">
        <f aca="false">BL16</f>
        <v>720000</v>
      </c>
      <c r="D1483" s="31" t="n">
        <f aca="false">BM16</f>
        <v>144000</v>
      </c>
      <c r="E1483" s="31" t="n">
        <f aca="false">BN16</f>
        <v>72000</v>
      </c>
      <c r="F1483" s="31" t="n">
        <f aca="false">BO16</f>
        <v>540000</v>
      </c>
    </row>
    <row r="1484" customFormat="false" ht="12.8" hidden="false" customHeight="false" outlineLevel="0" collapsed="false">
      <c r="A1484" s="7" t="str">
        <f aca="false">_xlfn.CONCAT($A$949, ".", A17)</f>
        <v>AL.7.14</v>
      </c>
      <c r="B1484" s="7" t="str">
        <f aca="false">_xlfn.CONCAT(B17, ": ", C17)</f>
        <v>Retail Trade: Support</v>
      </c>
      <c r="C1484" s="31" t="n">
        <f aca="false">BL17</f>
        <v>360000</v>
      </c>
      <c r="D1484" s="31" t="n">
        <f aca="false">BM17</f>
        <v>72000</v>
      </c>
      <c r="E1484" s="31" t="n">
        <f aca="false">BN17</f>
        <v>36000</v>
      </c>
      <c r="F1484" s="31" t="n">
        <f aca="false">BO17</f>
        <v>270000</v>
      </c>
    </row>
    <row r="1485" customFormat="false" ht="12.8" hidden="false" customHeight="false" outlineLevel="0" collapsed="false">
      <c r="A1485" s="7" t="str">
        <f aca="false">_xlfn.CONCAT($A$949, ".", A18)</f>
        <v>AL.7.15</v>
      </c>
      <c r="B1485" s="7" t="str">
        <f aca="false">_xlfn.CONCAT(B18, ": ", C18)</f>
        <v>Landscaping / Groundskeeping: Worker</v>
      </c>
      <c r="C1485" s="31" t="n">
        <f aca="false">BL18</f>
        <v>97500</v>
      </c>
      <c r="D1485" s="31" t="n">
        <f aca="false">BM18</f>
        <v>19500</v>
      </c>
      <c r="E1485" s="31" t="n">
        <f aca="false">BN18</f>
        <v>9750</v>
      </c>
      <c r="F1485" s="31" t="n">
        <f aca="false">BO18</f>
        <v>73125</v>
      </c>
    </row>
    <row r="1486" customFormat="false" ht="12.8" hidden="false" customHeight="false" outlineLevel="0" collapsed="false">
      <c r="A1486" s="7" t="str">
        <f aca="false">_xlfn.CONCAT($A$949, ".", A19)</f>
        <v>AL.7.16</v>
      </c>
      <c r="B1486" s="7" t="str">
        <f aca="false">_xlfn.CONCAT(B19, ": ", C19)</f>
        <v>Landscaping / Groundskeeping: Support</v>
      </c>
      <c r="C1486" s="31" t="n">
        <f aca="false">BL19</f>
        <v>48750</v>
      </c>
      <c r="D1486" s="31" t="n">
        <f aca="false">BM19</f>
        <v>9750</v>
      </c>
      <c r="E1486" s="31" t="n">
        <f aca="false">BN19</f>
        <v>4875</v>
      </c>
      <c r="F1486" s="31" t="n">
        <f aca="false">BO19</f>
        <v>36562.5</v>
      </c>
    </row>
    <row r="1487" customFormat="false" ht="12.8" hidden="false" customHeight="false" outlineLevel="0" collapsed="false">
      <c r="A1487" s="7" t="str">
        <f aca="false">_xlfn.CONCAT($A$949, ".", A20)</f>
        <v>AL.7.17</v>
      </c>
      <c r="B1487" s="7" t="str">
        <f aca="false">_xlfn.CONCAT(B20, ": ", C20)</f>
        <v>Automotive &amp; Repair: Worker</v>
      </c>
      <c r="C1487" s="31" t="n">
        <f aca="false">BL20</f>
        <v>82500</v>
      </c>
      <c r="D1487" s="31" t="n">
        <f aca="false">BM20</f>
        <v>16500</v>
      </c>
      <c r="E1487" s="31" t="n">
        <f aca="false">BN20</f>
        <v>8250</v>
      </c>
      <c r="F1487" s="31" t="n">
        <f aca="false">BO20</f>
        <v>61875</v>
      </c>
    </row>
    <row r="1488" customFormat="false" ht="12.8" hidden="false" customHeight="false" outlineLevel="0" collapsed="false">
      <c r="A1488" s="7" t="str">
        <f aca="false">_xlfn.CONCAT($A$949, ".", A21)</f>
        <v>AL.7.18</v>
      </c>
      <c r="B1488" s="7" t="str">
        <f aca="false">_xlfn.CONCAT(B21, ": ", C21)</f>
        <v>Automotive &amp; Repair: Support</v>
      </c>
      <c r="C1488" s="31" t="n">
        <f aca="false">BL21</f>
        <v>41250</v>
      </c>
      <c r="D1488" s="31" t="n">
        <f aca="false">BM21</f>
        <v>8250</v>
      </c>
      <c r="E1488" s="31" t="n">
        <f aca="false">BN21</f>
        <v>4125</v>
      </c>
      <c r="F1488" s="31" t="n">
        <f aca="false">BO21</f>
        <v>30937.5</v>
      </c>
    </row>
    <row r="1489" customFormat="false" ht="12.8" hidden="false" customHeight="false" outlineLevel="0" collapsed="false">
      <c r="A1489" s="7" t="str">
        <f aca="false">_xlfn.CONCAT($A$949, ".", A22)</f>
        <v>AL.7.19</v>
      </c>
      <c r="B1489" s="7" t="str">
        <f aca="false">_xlfn.CONCAT(B22, ": ", C22)</f>
        <v>Other Services: Worker</v>
      </c>
      <c r="C1489" s="31" t="n">
        <f aca="false">BL22</f>
        <v>380000</v>
      </c>
      <c r="D1489" s="31" t="n">
        <f aca="false">BM22</f>
        <v>76000</v>
      </c>
      <c r="E1489" s="31" t="n">
        <f aca="false">BN22</f>
        <v>38000</v>
      </c>
      <c r="F1489" s="31" t="n">
        <f aca="false">BO22</f>
        <v>285000</v>
      </c>
    </row>
    <row r="1490" customFormat="false" ht="12.8" hidden="false" customHeight="false" outlineLevel="0" collapsed="false">
      <c r="A1490" s="7" t="str">
        <f aca="false">_xlfn.CONCAT($A$949, ".", A23)</f>
        <v>AL.7.20</v>
      </c>
      <c r="B1490" s="7" t="str">
        <f aca="false">_xlfn.CONCAT(B23, ": ", C23)</f>
        <v>Other Services: Support</v>
      </c>
      <c r="C1490" s="31" t="n">
        <f aca="false">BL23</f>
        <v>190000</v>
      </c>
      <c r="D1490" s="31" t="n">
        <f aca="false">BM23</f>
        <v>38000</v>
      </c>
      <c r="E1490" s="31" t="n">
        <f aca="false">BN23</f>
        <v>19000</v>
      </c>
      <c r="F1490" s="31" t="n">
        <f aca="false">BO23</f>
        <v>142500</v>
      </c>
    </row>
    <row r="1491" customFormat="false" ht="12.8" hidden="false" customHeight="false" outlineLevel="0" collapsed="false">
      <c r="A1491" s="7" t="str">
        <f aca="false">_xlfn.CONCAT($A$949, ".", A24)</f>
        <v>AL.7.21</v>
      </c>
      <c r="B1491" s="7" t="str">
        <f aca="false">_xlfn.CONCAT(B24, ": ", C24)</f>
        <v>Healthcare &amp; Social Assistance: Worker</v>
      </c>
      <c r="C1491" s="31" t="n">
        <f aca="false">BL24</f>
        <v>6500000</v>
      </c>
      <c r="D1491" s="31" t="n">
        <f aca="false">BM24</f>
        <v>1625000</v>
      </c>
      <c r="E1491" s="31" t="n">
        <f aca="false">BN24</f>
        <v>812500</v>
      </c>
      <c r="F1491" s="31" t="n">
        <f aca="false">BO24</f>
        <v>4875000</v>
      </c>
    </row>
    <row r="1492" customFormat="false" ht="12.8" hidden="false" customHeight="false" outlineLevel="0" collapsed="false">
      <c r="A1492" s="7" t="str">
        <f aca="false">_xlfn.CONCAT($A$949, ".", A25)</f>
        <v>AL.7.22</v>
      </c>
      <c r="B1492" s="7" t="str">
        <f aca="false">_xlfn.CONCAT(B25, ": ", C25)</f>
        <v>Healthcare &amp; Social Assistance: Support</v>
      </c>
      <c r="C1492" s="31" t="n">
        <f aca="false">BL25</f>
        <v>2600000</v>
      </c>
      <c r="D1492" s="31" t="n">
        <f aca="false">BM25</f>
        <v>650000</v>
      </c>
      <c r="E1492" s="31" t="n">
        <f aca="false">BN25</f>
        <v>325000</v>
      </c>
      <c r="F1492" s="31" t="n">
        <f aca="false">BO25</f>
        <v>1950000</v>
      </c>
    </row>
    <row r="1493" customFormat="false" ht="12.8" hidden="false" customHeight="false" outlineLevel="0" collapsed="false">
      <c r="A1493" s="7" t="str">
        <f aca="false">_xlfn.CONCAT($A$949, ".", A26)</f>
        <v>AL.7.23</v>
      </c>
      <c r="B1493" s="7" t="str">
        <f aca="false">_xlfn.CONCAT(B26, ": ", C26)</f>
        <v>Professional Services: Worker</v>
      </c>
      <c r="C1493" s="31" t="n">
        <f aca="false">BL26</f>
        <v>3500000</v>
      </c>
      <c r="D1493" s="31" t="n">
        <f aca="false">BM26</f>
        <v>875000</v>
      </c>
      <c r="E1493" s="31" t="n">
        <f aca="false">BN26</f>
        <v>437500</v>
      </c>
      <c r="F1493" s="31" t="n">
        <f aca="false">BO26</f>
        <v>2625000</v>
      </c>
    </row>
    <row r="1494" customFormat="false" ht="12.8" hidden="false" customHeight="false" outlineLevel="0" collapsed="false">
      <c r="A1494" s="7" t="str">
        <f aca="false">_xlfn.CONCAT($A$949, ".", A27)</f>
        <v>AL.7.24</v>
      </c>
      <c r="B1494" s="7" t="str">
        <f aca="false">_xlfn.CONCAT(B27, ": ", C27)</f>
        <v>Professional Services: Support</v>
      </c>
      <c r="C1494" s="31" t="n">
        <f aca="false">BL27</f>
        <v>1650000</v>
      </c>
      <c r="D1494" s="31" t="n">
        <f aca="false">BM27</f>
        <v>412500</v>
      </c>
      <c r="E1494" s="31" t="n">
        <f aca="false">BN27</f>
        <v>206250</v>
      </c>
      <c r="F1494" s="31" t="n">
        <f aca="false">BO27</f>
        <v>1237500</v>
      </c>
    </row>
    <row r="1495" customFormat="false" ht="12.8" hidden="false" customHeight="false" outlineLevel="0" collapsed="false">
      <c r="A1495" s="7" t="str">
        <f aca="false">_xlfn.CONCAT($A$949, ".", A28)</f>
        <v>AL.7.25</v>
      </c>
      <c r="B1495" s="7" t="str">
        <f aca="false">_xlfn.CONCAT(B28, ": ", C28)</f>
        <v>Educational Services: Worker</v>
      </c>
      <c r="C1495" s="31" t="n">
        <f aca="false">BL28</f>
        <v>810000</v>
      </c>
      <c r="D1495" s="31" t="n">
        <f aca="false">BM28</f>
        <v>202500</v>
      </c>
      <c r="E1495" s="31" t="n">
        <f aca="false">BN28</f>
        <v>101250</v>
      </c>
      <c r="F1495" s="31" t="n">
        <f aca="false">BO28</f>
        <v>607500</v>
      </c>
    </row>
    <row r="1496" customFormat="false" ht="12.8" hidden="false" customHeight="false" outlineLevel="0" collapsed="false">
      <c r="A1496" s="7" t="str">
        <f aca="false">_xlfn.CONCAT($A$949, ".", A29)</f>
        <v>AL.7.26</v>
      </c>
      <c r="B1496" s="7" t="str">
        <f aca="false">_xlfn.CONCAT(B29, ": ", C29)</f>
        <v>Educational Services: Support</v>
      </c>
      <c r="C1496" s="31" t="n">
        <f aca="false">BL29</f>
        <v>325000</v>
      </c>
      <c r="D1496" s="31" t="n">
        <f aca="false">BM29</f>
        <v>81250</v>
      </c>
      <c r="E1496" s="31" t="n">
        <f aca="false">BN29</f>
        <v>40625</v>
      </c>
      <c r="F1496" s="31" t="n">
        <f aca="false">BO29</f>
        <v>243750</v>
      </c>
    </row>
    <row r="1497" customFormat="false" ht="12.8" hidden="false" customHeight="false" outlineLevel="0" collapsed="false">
      <c r="A1497" s="7" t="str">
        <f aca="false">_xlfn.CONCAT($A$949, ".", A30)</f>
        <v>AL.7.27</v>
      </c>
      <c r="B1497" s="7" t="str">
        <f aca="false">_xlfn.CONCAT(B30, ": ", C30)</f>
        <v>Finance &amp; Insurance: Worker</v>
      </c>
      <c r="C1497" s="31" t="n">
        <f aca="false">BL30</f>
        <v>2300000</v>
      </c>
      <c r="D1497" s="31" t="n">
        <f aca="false">BM30</f>
        <v>575000</v>
      </c>
      <c r="E1497" s="31" t="n">
        <f aca="false">BN30</f>
        <v>287500</v>
      </c>
      <c r="F1497" s="31" t="n">
        <f aca="false">BO30</f>
        <v>1725000</v>
      </c>
    </row>
    <row r="1498" customFormat="false" ht="12.8" hidden="false" customHeight="false" outlineLevel="0" collapsed="false">
      <c r="A1498" s="7" t="str">
        <f aca="false">_xlfn.CONCAT($A$949, ".", A31)</f>
        <v>AL.7.28</v>
      </c>
      <c r="B1498" s="7" t="str">
        <f aca="false">_xlfn.CONCAT(B31, ": ", C31)</f>
        <v>Finance &amp; Insurance: Support</v>
      </c>
      <c r="C1498" s="31" t="n">
        <f aca="false">BL31</f>
        <v>900000</v>
      </c>
      <c r="D1498" s="31" t="n">
        <f aca="false">BM31</f>
        <v>225000</v>
      </c>
      <c r="E1498" s="31" t="n">
        <f aca="false">BN31</f>
        <v>112500</v>
      </c>
      <c r="F1498" s="31" t="n">
        <f aca="false">BO31</f>
        <v>675000</v>
      </c>
    </row>
    <row r="1499" customFormat="false" ht="12.8" hidden="false" customHeight="false" outlineLevel="0" collapsed="false">
      <c r="A1499" s="7" t="str">
        <f aca="false">_xlfn.CONCAT($A$949, ".", A36)</f>
        <v>AL.7.29</v>
      </c>
      <c r="B1499" s="7" t="str">
        <f aca="false">_xlfn.CONCAT(B36, ": ", C36)</f>
        <v>Media and Information Technology: Worker</v>
      </c>
      <c r="C1499" s="31" t="n">
        <f aca="false">BL36</f>
        <v>560000</v>
      </c>
      <c r="D1499" s="31" t="n">
        <f aca="false">BM36</f>
        <v>140000</v>
      </c>
      <c r="E1499" s="31" t="n">
        <f aca="false">BN36</f>
        <v>70000</v>
      </c>
      <c r="F1499" s="31" t="n">
        <f aca="false">BO36</f>
        <v>420000</v>
      </c>
    </row>
    <row r="1500" customFormat="false" ht="12.8" hidden="false" customHeight="false" outlineLevel="0" collapsed="false">
      <c r="A1500" s="7" t="str">
        <f aca="false">_xlfn.CONCAT($A$949, ".", A37)</f>
        <v>AL.7.30</v>
      </c>
      <c r="B1500" s="7" t="str">
        <f aca="false">_xlfn.CONCAT(B37, ": ", C37)</f>
        <v>Media and Information Technology: Support</v>
      </c>
      <c r="C1500" s="31" t="n">
        <f aca="false">BL37</f>
        <v>225000</v>
      </c>
      <c r="D1500" s="31" t="n">
        <f aca="false">BM37</f>
        <v>56250</v>
      </c>
      <c r="E1500" s="31" t="n">
        <f aca="false">BN37</f>
        <v>28125</v>
      </c>
      <c r="F1500" s="31" t="n">
        <f aca="false">BO37</f>
        <v>168750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BO1549"/>
  <sheetViews>
    <sheetView showFormulas="false" showGridLines="true" showRowColHeaders="true" showZeros="true" rightToLeft="false" tabSelected="false" showOutlineSymbols="true" defaultGridColor="true" view="normal" topLeftCell="A30" colorId="64" zoomScale="90" zoomScaleNormal="90" zoomScalePageLayoutView="100" workbookViewId="0">
      <selection pane="topLeft" activeCell="A50" activeCellId="0" sqref="A50"/>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0" t="s">
        <v>8</v>
      </c>
      <c r="B1" s="7" t="s">
        <v>9</v>
      </c>
      <c r="AZ1" s="1"/>
      <c r="BA1" s="1"/>
      <c r="BB1" s="1"/>
      <c r="BC1" s="1"/>
    </row>
    <row r="2" customFormat="false" ht="12.8" hidden="false" customHeight="false" outlineLevel="0" collapsed="false">
      <c r="A2" s="32" t="s">
        <v>24</v>
      </c>
      <c r="B2" s="32" t="s">
        <v>53</v>
      </c>
      <c r="C2" s="32" t="s">
        <v>54</v>
      </c>
      <c r="D2" s="33" t="s">
        <v>55</v>
      </c>
      <c r="E2" s="33" t="s">
        <v>56</v>
      </c>
      <c r="F2" s="33" t="s">
        <v>57</v>
      </c>
      <c r="G2" s="33" t="s">
        <v>58</v>
      </c>
      <c r="H2" s="34" t="s">
        <v>59</v>
      </c>
      <c r="I2" s="35" t="s">
        <v>60</v>
      </c>
      <c r="J2" s="35" t="s">
        <v>61</v>
      </c>
      <c r="K2" s="35" t="s">
        <v>62</v>
      </c>
      <c r="L2" s="7" t="s">
        <v>63</v>
      </c>
      <c r="M2" s="7" t="s">
        <v>64</v>
      </c>
      <c r="N2" s="7" t="s">
        <v>65</v>
      </c>
      <c r="O2" s="7" t="s">
        <v>66</v>
      </c>
      <c r="P2" s="36" t="s">
        <v>67</v>
      </c>
      <c r="Q2" s="36" t="s">
        <v>68</v>
      </c>
      <c r="R2" s="36" t="s">
        <v>69</v>
      </c>
      <c r="S2" s="36" t="s">
        <v>70</v>
      </c>
      <c r="T2" s="36" t="s">
        <v>71</v>
      </c>
      <c r="U2" s="36" t="s">
        <v>72</v>
      </c>
      <c r="V2" s="36" t="s">
        <v>73</v>
      </c>
      <c r="W2" s="36" t="s">
        <v>74</v>
      </c>
      <c r="X2" s="36" t="s">
        <v>75</v>
      </c>
      <c r="Y2" s="36" t="s">
        <v>76</v>
      </c>
      <c r="Z2" s="36" t="s">
        <v>77</v>
      </c>
      <c r="AA2" s="37" t="s">
        <v>78</v>
      </c>
      <c r="AB2" s="37" t="s">
        <v>79</v>
      </c>
      <c r="AC2" s="37" t="s">
        <v>80</v>
      </c>
      <c r="AD2" s="38" t="s">
        <v>81</v>
      </c>
      <c r="AE2" s="38" t="s">
        <v>82</v>
      </c>
      <c r="AF2" s="38" t="s">
        <v>83</v>
      </c>
      <c r="AG2" s="37" t="s">
        <v>84</v>
      </c>
      <c r="AH2" s="37" t="s">
        <v>85</v>
      </c>
      <c r="AI2" s="37" t="s">
        <v>86</v>
      </c>
      <c r="AJ2" s="38" t="s">
        <v>87</v>
      </c>
      <c r="AK2" s="38" t="s">
        <v>88</v>
      </c>
      <c r="AL2" s="38" t="s">
        <v>89</v>
      </c>
      <c r="AM2" s="37" t="s">
        <v>90</v>
      </c>
      <c r="AN2" s="37" t="s">
        <v>91</v>
      </c>
      <c r="AO2" s="37" t="s">
        <v>92</v>
      </c>
      <c r="AP2" s="38" t="s">
        <v>93</v>
      </c>
      <c r="AQ2" s="38" t="s">
        <v>94</v>
      </c>
      <c r="AR2" s="38" t="s">
        <v>95</v>
      </c>
      <c r="AS2" s="37" t="s">
        <v>96</v>
      </c>
      <c r="AT2" s="37" t="s">
        <v>97</v>
      </c>
      <c r="AU2" s="37" t="s">
        <v>98</v>
      </c>
      <c r="AV2" s="37" t="s">
        <v>99</v>
      </c>
      <c r="AW2" s="37" t="s">
        <v>100</v>
      </c>
      <c r="AX2" s="37" t="s">
        <v>101</v>
      </c>
      <c r="AY2" s="37" t="s">
        <v>102</v>
      </c>
      <c r="AZ2" s="37" t="s">
        <v>103</v>
      </c>
      <c r="BA2" s="37" t="s">
        <v>104</v>
      </c>
      <c r="BB2" s="37" t="s">
        <v>105</v>
      </c>
      <c r="BC2" s="37" t="s">
        <v>106</v>
      </c>
      <c r="BD2" s="7" t="s">
        <v>107</v>
      </c>
      <c r="BE2" s="7" t="s">
        <v>108</v>
      </c>
      <c r="BF2" s="7" t="s">
        <v>109</v>
      </c>
      <c r="BG2" s="7" t="s">
        <v>110</v>
      </c>
      <c r="BH2" s="7" t="s">
        <v>111</v>
      </c>
      <c r="BI2" s="7" t="s">
        <v>112</v>
      </c>
      <c r="BJ2" s="7" t="s">
        <v>113</v>
      </c>
      <c r="BK2" s="7" t="s">
        <v>114</v>
      </c>
      <c r="BL2" s="7" t="s">
        <v>115</v>
      </c>
      <c r="BM2" s="7" t="s">
        <v>116</v>
      </c>
      <c r="BN2" s="7" t="s">
        <v>117</v>
      </c>
      <c r="BO2" s="7" t="s">
        <v>118</v>
      </c>
    </row>
    <row r="3" customFormat="false" ht="12.8" hidden="false" customHeight="false" outlineLevel="0" collapsed="false">
      <c r="A3" s="7" t="n">
        <v>0</v>
      </c>
      <c r="B3" s="7" t="s">
        <v>119</v>
      </c>
      <c r="C3" s="7" t="s">
        <v>120</v>
      </c>
      <c r="D3" s="39" t="n">
        <v>1522000</v>
      </c>
      <c r="E3" s="39" t="n">
        <v>60900</v>
      </c>
      <c r="F3" s="39" t="n">
        <v>53500</v>
      </c>
      <c r="G3" s="39" t="n">
        <v>1407600</v>
      </c>
      <c r="H3" s="34" t="n">
        <v>0.959</v>
      </c>
      <c r="I3" s="34" t="n">
        <v>0.951</v>
      </c>
      <c r="J3" s="34" t="n">
        <v>0.945</v>
      </c>
      <c r="K3" s="34" t="n">
        <v>0.96</v>
      </c>
      <c r="L3" s="34" t="n">
        <v>0.595</v>
      </c>
      <c r="M3" s="34" t="n">
        <v>0.655</v>
      </c>
      <c r="N3" s="34" t="n">
        <v>0.71</v>
      </c>
      <c r="O3" s="34" t="n">
        <v>0.59</v>
      </c>
      <c r="P3" s="34" t="n">
        <v>0.041</v>
      </c>
      <c r="Q3" s="34" t="n">
        <v>0.049</v>
      </c>
      <c r="R3" s="34" t="n">
        <v>0.055</v>
      </c>
      <c r="S3" s="34" t="n">
        <v>0.04</v>
      </c>
      <c r="T3" s="34" t="n">
        <v>0.08</v>
      </c>
      <c r="U3" s="34" t="n">
        <v>0.092</v>
      </c>
      <c r="V3" s="34" t="n">
        <v>0.105</v>
      </c>
      <c r="W3" s="34" t="n">
        <v>0.078</v>
      </c>
      <c r="X3" s="40" t="n">
        <v>26.1</v>
      </c>
      <c r="Y3" s="40" t="n">
        <v>17</v>
      </c>
      <c r="Z3" s="40" t="n">
        <v>40.5</v>
      </c>
      <c r="AA3" s="41" t="n">
        <v>54328</v>
      </c>
      <c r="AB3" s="41" t="n">
        <v>35313</v>
      </c>
      <c r="AC3" s="41" t="n">
        <v>84256</v>
      </c>
      <c r="AD3" s="42" t="n">
        <v>25.3</v>
      </c>
      <c r="AE3" s="42" t="n">
        <v>16.5</v>
      </c>
      <c r="AF3" s="42" t="n">
        <v>39.2</v>
      </c>
      <c r="AG3" s="41" t="n">
        <v>52624</v>
      </c>
      <c r="AH3" s="41" t="n">
        <v>34206</v>
      </c>
      <c r="AI3" s="41" t="n">
        <v>81632</v>
      </c>
      <c r="AJ3" s="42" t="n">
        <v>22.1</v>
      </c>
      <c r="AK3" s="42" t="n">
        <v>14.4</v>
      </c>
      <c r="AL3" s="42" t="n">
        <v>34.3</v>
      </c>
      <c r="AM3" s="41" t="n">
        <v>45968</v>
      </c>
      <c r="AN3" s="41" t="n">
        <v>29879</v>
      </c>
      <c r="AO3" s="41" t="n">
        <v>71296</v>
      </c>
      <c r="AP3" s="42" t="n">
        <v>26.5</v>
      </c>
      <c r="AQ3" s="42" t="n">
        <v>17.2</v>
      </c>
      <c r="AR3" s="42" t="n">
        <v>41.1</v>
      </c>
      <c r="AS3" s="41" t="n">
        <v>55120</v>
      </c>
      <c r="AT3" s="41" t="n">
        <v>35828</v>
      </c>
      <c r="AU3" s="41" t="n">
        <v>85504</v>
      </c>
      <c r="AV3" s="41" t="n">
        <v>765000000</v>
      </c>
      <c r="AW3" s="41" t="n">
        <v>28900000</v>
      </c>
      <c r="AX3" s="41" t="n">
        <v>118000000</v>
      </c>
      <c r="AY3" s="41" t="n">
        <v>618200000</v>
      </c>
      <c r="AZ3" s="41" t="n">
        <v>395000000</v>
      </c>
      <c r="BA3" s="41" t="n">
        <v>14300000</v>
      </c>
      <c r="BB3" s="41" t="n">
        <v>59500000</v>
      </c>
      <c r="BC3" s="41" t="n">
        <v>321200000</v>
      </c>
      <c r="BD3" s="23" t="n">
        <v>1105000000</v>
      </c>
      <c r="BE3" s="23" t="n">
        <v>348000000</v>
      </c>
      <c r="BF3" s="23" t="n">
        <v>0</v>
      </c>
      <c r="BG3" s="23" t="n">
        <v>1070000000</v>
      </c>
      <c r="BH3" s="23" t="n">
        <v>785000000</v>
      </c>
      <c r="BI3" s="23" t="n">
        <v>265000000</v>
      </c>
      <c r="BJ3" s="23" t="n">
        <v>0</v>
      </c>
      <c r="BK3" s="23" t="n">
        <v>520000000</v>
      </c>
      <c r="BL3" s="23" t="n">
        <v>152000000</v>
      </c>
      <c r="BM3" s="23" t="n">
        <v>46000000</v>
      </c>
      <c r="BN3" s="23" t="n">
        <v>0</v>
      </c>
      <c r="BO3" s="23" t="n">
        <v>106000000</v>
      </c>
    </row>
    <row r="4" customFormat="false" ht="12.8" hidden="false" customHeight="false" outlineLevel="0" collapsed="false">
      <c r="A4" s="7" t="n">
        <v>1</v>
      </c>
      <c r="B4" s="7" t="s">
        <v>121</v>
      </c>
      <c r="C4" s="7" t="s">
        <v>122</v>
      </c>
      <c r="D4" s="39" t="n">
        <v>27000</v>
      </c>
      <c r="E4" s="39" t="n">
        <v>1080</v>
      </c>
      <c r="F4" s="39" t="n">
        <v>900</v>
      </c>
      <c r="G4" s="39" t="n">
        <v>25020</v>
      </c>
      <c r="H4" s="34" t="n">
        <v>0.95</v>
      </c>
      <c r="I4" s="34" t="n">
        <v>0.93</v>
      </c>
      <c r="J4" s="34" t="n">
        <v>0.88</v>
      </c>
      <c r="K4" s="34" t="n">
        <v>0.95</v>
      </c>
      <c r="L4" s="34" t="n">
        <v>0.62</v>
      </c>
      <c r="M4" s="34" t="n">
        <v>0.68</v>
      </c>
      <c r="N4" s="34" t="n">
        <v>0.74</v>
      </c>
      <c r="O4" s="34" t="n">
        <v>0.615</v>
      </c>
      <c r="P4" s="34" t="n">
        <v>0.05</v>
      </c>
      <c r="Q4" s="34" t="n">
        <v>0.07</v>
      </c>
      <c r="R4" s="34" t="n">
        <v>0.12</v>
      </c>
      <c r="S4" s="34" t="n">
        <v>0.05</v>
      </c>
      <c r="T4" s="34" t="n">
        <v>0.099</v>
      </c>
      <c r="U4" s="34" t="n">
        <v>0.115</v>
      </c>
      <c r="V4" s="34" t="n">
        <v>0.131</v>
      </c>
      <c r="W4" s="34" t="n">
        <v>0.097</v>
      </c>
      <c r="X4" s="40" t="n">
        <v>17</v>
      </c>
      <c r="Y4" s="40" t="n">
        <v>11.1</v>
      </c>
      <c r="Z4" s="40" t="n">
        <v>26.4</v>
      </c>
      <c r="AA4" s="41" t="n">
        <v>35360</v>
      </c>
      <c r="AB4" s="41" t="n">
        <v>22984</v>
      </c>
      <c r="AC4" s="41" t="n">
        <v>54816</v>
      </c>
      <c r="AD4" s="42" t="n">
        <v>16.5</v>
      </c>
      <c r="AE4" s="42" t="n">
        <v>10.7</v>
      </c>
      <c r="AF4" s="42" t="n">
        <v>25.6</v>
      </c>
      <c r="AG4" s="41" t="n">
        <v>34320</v>
      </c>
      <c r="AH4" s="41" t="n">
        <v>22308</v>
      </c>
      <c r="AI4" s="41" t="n">
        <v>53280</v>
      </c>
      <c r="AJ4" s="42" t="n">
        <v>13.2</v>
      </c>
      <c r="AK4" s="42" t="n">
        <v>8.6</v>
      </c>
      <c r="AL4" s="42" t="n">
        <v>20.5</v>
      </c>
      <c r="AM4" s="41" t="n">
        <v>27456</v>
      </c>
      <c r="AN4" s="41" t="n">
        <v>17846</v>
      </c>
      <c r="AO4" s="41" t="n">
        <v>42576</v>
      </c>
      <c r="AP4" s="42" t="n">
        <v>17.3</v>
      </c>
      <c r="AQ4" s="42" t="n">
        <v>11.3</v>
      </c>
      <c r="AR4" s="42" t="n">
        <v>26.9</v>
      </c>
      <c r="AS4" s="41" t="n">
        <v>35984</v>
      </c>
      <c r="AT4" s="41" t="n">
        <v>23392</v>
      </c>
      <c r="AU4" s="41" t="n">
        <v>55840</v>
      </c>
      <c r="AV4" s="41" t="n">
        <v>2900000</v>
      </c>
      <c r="AW4" s="41" t="n">
        <v>90000</v>
      </c>
      <c r="AX4" s="41" t="n">
        <v>40000</v>
      </c>
      <c r="AY4" s="41" t="n">
        <v>2770000</v>
      </c>
      <c r="AZ4" s="41" t="n">
        <v>1500000</v>
      </c>
      <c r="BA4" s="41" t="n">
        <v>50000</v>
      </c>
      <c r="BB4" s="41" t="n">
        <v>20000</v>
      </c>
      <c r="BC4" s="41" t="n">
        <v>1150000</v>
      </c>
      <c r="BD4" s="23" t="n">
        <v>3300000</v>
      </c>
      <c r="BE4" s="23" t="n">
        <v>1000000</v>
      </c>
      <c r="BF4" s="23" t="n">
        <v>0</v>
      </c>
      <c r="BG4" s="23" t="n">
        <v>2300000</v>
      </c>
      <c r="BH4" s="23" t="n">
        <v>2400000</v>
      </c>
      <c r="BI4" s="23" t="n">
        <v>700000</v>
      </c>
      <c r="BJ4" s="23" t="n">
        <v>0</v>
      </c>
      <c r="BK4" s="23" t="n">
        <v>1700000</v>
      </c>
      <c r="BL4" s="23" t="n">
        <v>400000</v>
      </c>
      <c r="BM4" s="23" t="n">
        <v>100000</v>
      </c>
      <c r="BN4" s="23" t="n">
        <v>0</v>
      </c>
      <c r="BO4" s="23" t="n">
        <v>300000</v>
      </c>
    </row>
    <row r="5" customFormat="false" ht="12.8" hidden="false" customHeight="false" outlineLevel="0" collapsed="false">
      <c r="A5" s="7" t="n">
        <v>2</v>
      </c>
      <c r="B5" s="7" t="s">
        <v>121</v>
      </c>
      <c r="C5" s="7" t="s">
        <v>123</v>
      </c>
      <c r="D5" s="39" t="n">
        <v>13000</v>
      </c>
      <c r="E5" s="39" t="n">
        <v>520</v>
      </c>
      <c r="F5" s="39" t="n">
        <v>400</v>
      </c>
      <c r="G5" s="39" t="n">
        <v>12080</v>
      </c>
      <c r="H5" s="34" t="n">
        <v>0.95</v>
      </c>
      <c r="I5" s="34" t="n">
        <v>0.93</v>
      </c>
      <c r="J5" s="34" t="n">
        <v>0.88</v>
      </c>
      <c r="K5" s="34" t="n">
        <v>0.95</v>
      </c>
      <c r="L5" s="34" t="n">
        <v>0.589</v>
      </c>
      <c r="M5" s="34" t="n">
        <v>0.646</v>
      </c>
      <c r="N5" s="34" t="n">
        <v>0.703</v>
      </c>
      <c r="O5" s="34" t="n">
        <v>0.585</v>
      </c>
      <c r="P5" s="34" t="n">
        <v>0.05</v>
      </c>
      <c r="Q5" s="34" t="n">
        <v>0.07</v>
      </c>
      <c r="R5" s="34" t="n">
        <v>0.12</v>
      </c>
      <c r="S5" s="34" t="n">
        <v>0.05</v>
      </c>
      <c r="T5" s="34" t="n">
        <v>0.109</v>
      </c>
      <c r="U5" s="34" t="n">
        <v>0.126</v>
      </c>
      <c r="V5" s="34" t="n">
        <v>0.144</v>
      </c>
      <c r="W5" s="34" t="n">
        <v>0.107</v>
      </c>
      <c r="X5" s="40" t="n">
        <v>14.5</v>
      </c>
      <c r="Y5" s="40" t="n">
        <v>9.4</v>
      </c>
      <c r="Z5" s="40" t="n">
        <v>22.5</v>
      </c>
      <c r="AA5" s="41" t="n">
        <v>30160</v>
      </c>
      <c r="AB5" s="41" t="n">
        <v>19604</v>
      </c>
      <c r="AC5" s="41" t="n">
        <v>46800</v>
      </c>
      <c r="AD5" s="42" t="n">
        <v>14</v>
      </c>
      <c r="AE5" s="42" t="n">
        <v>9.1</v>
      </c>
      <c r="AF5" s="42" t="n">
        <v>21.8</v>
      </c>
      <c r="AG5" s="41" t="n">
        <v>29120</v>
      </c>
      <c r="AH5" s="41" t="n">
        <v>18928</v>
      </c>
      <c r="AI5" s="41" t="n">
        <v>45120</v>
      </c>
      <c r="AJ5" s="42" t="n">
        <v>11.6</v>
      </c>
      <c r="AK5" s="42" t="n">
        <v>7.5</v>
      </c>
      <c r="AL5" s="42" t="n">
        <v>18</v>
      </c>
      <c r="AM5" s="41" t="n">
        <v>24128</v>
      </c>
      <c r="AN5" s="41" t="n">
        <v>15678</v>
      </c>
      <c r="AO5" s="41" t="n">
        <v>37440</v>
      </c>
      <c r="AP5" s="42" t="n">
        <v>14.7</v>
      </c>
      <c r="AQ5" s="42" t="n">
        <v>9.6</v>
      </c>
      <c r="AR5" s="42" t="n">
        <v>22.8</v>
      </c>
      <c r="AS5" s="41" t="n">
        <v>30576</v>
      </c>
      <c r="AT5" s="41" t="n">
        <v>19874</v>
      </c>
      <c r="AU5" s="41" t="n">
        <v>47424</v>
      </c>
      <c r="AV5" s="41" t="n">
        <v>1400000</v>
      </c>
      <c r="AW5" s="41" t="n">
        <v>40000</v>
      </c>
      <c r="AX5" s="41" t="n">
        <v>20000</v>
      </c>
      <c r="AY5" s="41" t="n">
        <v>1340000</v>
      </c>
      <c r="AZ5" s="41" t="n">
        <v>700000</v>
      </c>
      <c r="BA5" s="41" t="n">
        <v>20000</v>
      </c>
      <c r="BB5" s="41" t="n">
        <v>10000</v>
      </c>
      <c r="BC5" s="41" t="n">
        <v>550000</v>
      </c>
      <c r="BD5" s="23" t="n">
        <v>1600000</v>
      </c>
      <c r="BE5" s="23" t="n">
        <v>500000</v>
      </c>
      <c r="BF5" s="23" t="n">
        <v>0</v>
      </c>
      <c r="BG5" s="23" t="n">
        <v>1100000</v>
      </c>
      <c r="BH5" s="23" t="n">
        <v>1200000</v>
      </c>
      <c r="BI5" s="23" t="n">
        <v>300000</v>
      </c>
      <c r="BJ5" s="23" t="n">
        <v>0</v>
      </c>
      <c r="BK5" s="23" t="n">
        <v>900000</v>
      </c>
      <c r="BL5" s="23" t="n">
        <v>200000</v>
      </c>
      <c r="BM5" s="23" t="n">
        <v>50000</v>
      </c>
      <c r="BN5" s="23" t="n">
        <v>0</v>
      </c>
      <c r="BO5" s="23" t="n">
        <v>150000</v>
      </c>
    </row>
    <row r="6" customFormat="false" ht="12.8" hidden="false" customHeight="false" outlineLevel="0" collapsed="false">
      <c r="A6" s="7" t="n">
        <v>3</v>
      </c>
      <c r="B6" s="7" t="s">
        <v>124</v>
      </c>
      <c r="C6" s="7" t="s">
        <v>122</v>
      </c>
      <c r="D6" s="39" t="n">
        <v>43000</v>
      </c>
      <c r="E6" s="39" t="n">
        <v>1720</v>
      </c>
      <c r="F6" s="39" t="n">
        <v>1430</v>
      </c>
      <c r="G6" s="39" t="n">
        <v>39850</v>
      </c>
      <c r="H6" s="34" t="n">
        <v>0.965</v>
      </c>
      <c r="I6" s="34" t="n">
        <v>0.94</v>
      </c>
      <c r="J6" s="34" t="n">
        <v>0.89</v>
      </c>
      <c r="K6" s="34" t="n">
        <v>0.965</v>
      </c>
      <c r="L6" s="34" t="n">
        <v>0.59</v>
      </c>
      <c r="M6" s="34" t="n">
        <v>0.65</v>
      </c>
      <c r="N6" s="34" t="n">
        <v>0.7</v>
      </c>
      <c r="O6" s="34" t="n">
        <v>0.585</v>
      </c>
      <c r="P6" s="34" t="n">
        <v>0.035</v>
      </c>
      <c r="Q6" s="34" t="n">
        <v>0.06</v>
      </c>
      <c r="R6" s="34" t="n">
        <v>0.11</v>
      </c>
      <c r="S6" s="34" t="n">
        <v>0.035</v>
      </c>
      <c r="T6" s="34" t="n">
        <v>0.091</v>
      </c>
      <c r="U6" s="34" t="n">
        <v>0.105</v>
      </c>
      <c r="V6" s="34" t="n">
        <v>0.12</v>
      </c>
      <c r="W6" s="34" t="n">
        <v>0.089</v>
      </c>
      <c r="X6" s="40" t="n">
        <v>23.2</v>
      </c>
      <c r="Y6" s="40" t="n">
        <v>15.1</v>
      </c>
      <c r="Z6" s="40" t="n">
        <v>35.9</v>
      </c>
      <c r="AA6" s="41" t="n">
        <v>48256</v>
      </c>
      <c r="AB6" s="41" t="n">
        <v>31366</v>
      </c>
      <c r="AC6" s="41" t="n">
        <v>74736</v>
      </c>
      <c r="AD6" s="42" t="n">
        <v>22.5</v>
      </c>
      <c r="AE6" s="42" t="n">
        <v>14.6</v>
      </c>
      <c r="AF6" s="42" t="n">
        <v>34.9</v>
      </c>
      <c r="AG6" s="41" t="n">
        <v>46800</v>
      </c>
      <c r="AH6" s="41" t="n">
        <v>30420</v>
      </c>
      <c r="AI6" s="41" t="n">
        <v>72528</v>
      </c>
      <c r="AJ6" s="42" t="n">
        <v>19.7</v>
      </c>
      <c r="AK6" s="42" t="n">
        <v>12.8</v>
      </c>
      <c r="AL6" s="42" t="n">
        <v>30.5</v>
      </c>
      <c r="AM6" s="41" t="n">
        <v>40976</v>
      </c>
      <c r="AN6" s="41" t="n">
        <v>26634</v>
      </c>
      <c r="AO6" s="41" t="n">
        <v>63504</v>
      </c>
      <c r="AP6" s="42" t="n">
        <v>23.5</v>
      </c>
      <c r="AQ6" s="42" t="n">
        <v>15.3</v>
      </c>
      <c r="AR6" s="42" t="n">
        <v>36.4</v>
      </c>
      <c r="AS6" s="41" t="n">
        <v>48928</v>
      </c>
      <c r="AT6" s="41" t="n">
        <v>31783</v>
      </c>
      <c r="AU6" s="41" t="n">
        <v>75808</v>
      </c>
      <c r="AV6" s="41" t="n">
        <v>6300000</v>
      </c>
      <c r="AW6" s="41" t="n">
        <v>190000</v>
      </c>
      <c r="AX6" s="41" t="n">
        <v>90000</v>
      </c>
      <c r="AY6" s="41" t="n">
        <v>6040000</v>
      </c>
      <c r="AZ6" s="41" t="n">
        <v>3200000</v>
      </c>
      <c r="BA6" s="41" t="n">
        <v>90000</v>
      </c>
      <c r="BB6" s="41" t="n">
        <v>40000</v>
      </c>
      <c r="BC6" s="41" t="n">
        <v>3080000</v>
      </c>
      <c r="BD6" s="23" t="n">
        <v>7200000</v>
      </c>
      <c r="BE6" s="23" t="n">
        <v>2000000</v>
      </c>
      <c r="BF6" s="23" t="n">
        <v>0</v>
      </c>
      <c r="BG6" s="23" t="n">
        <v>5200000</v>
      </c>
      <c r="BH6" s="23" t="n">
        <v>5700000</v>
      </c>
      <c r="BI6" s="23" t="n">
        <v>1500000</v>
      </c>
      <c r="BJ6" s="23" t="n">
        <v>0</v>
      </c>
      <c r="BK6" s="23" t="n">
        <v>4200000</v>
      </c>
      <c r="BL6" s="23" t="n">
        <v>600000</v>
      </c>
      <c r="BM6" s="23" t="n">
        <v>200000</v>
      </c>
      <c r="BN6" s="23" t="n">
        <v>0</v>
      </c>
      <c r="BO6" s="23" t="n">
        <v>400000</v>
      </c>
    </row>
    <row r="7" customFormat="false" ht="12.8" hidden="false" customHeight="false" outlineLevel="0" collapsed="false">
      <c r="A7" s="7" t="n">
        <v>4</v>
      </c>
      <c r="B7" s="7" t="s">
        <v>124</v>
      </c>
      <c r="C7" s="7" t="s">
        <v>123</v>
      </c>
      <c r="D7" s="39" t="n">
        <v>22000</v>
      </c>
      <c r="E7" s="39" t="n">
        <v>880</v>
      </c>
      <c r="F7" s="39" t="n">
        <v>730</v>
      </c>
      <c r="G7" s="39" t="n">
        <v>20390</v>
      </c>
      <c r="H7" s="34" t="n">
        <v>0.965</v>
      </c>
      <c r="I7" s="34" t="n">
        <v>0.94</v>
      </c>
      <c r="J7" s="34" t="n">
        <v>0.89</v>
      </c>
      <c r="K7" s="34" t="n">
        <v>0.965</v>
      </c>
      <c r="L7" s="34" t="n">
        <v>0.561</v>
      </c>
      <c r="M7" s="34" t="n">
        <v>0.617</v>
      </c>
      <c r="N7" s="34" t="n">
        <v>0.665</v>
      </c>
      <c r="O7" s="34" t="n">
        <v>0.556</v>
      </c>
      <c r="P7" s="34" t="n">
        <v>0.035</v>
      </c>
      <c r="Q7" s="34" t="n">
        <v>0.06</v>
      </c>
      <c r="R7" s="34" t="n">
        <v>0.11</v>
      </c>
      <c r="S7" s="34" t="n">
        <v>0.035</v>
      </c>
      <c r="T7" s="34" t="n">
        <v>0.1</v>
      </c>
      <c r="U7" s="34" t="n">
        <v>0.115</v>
      </c>
      <c r="V7" s="34" t="n">
        <v>0.132</v>
      </c>
      <c r="W7" s="34" t="n">
        <v>0.098</v>
      </c>
      <c r="X7" s="40" t="n">
        <v>19.7</v>
      </c>
      <c r="Y7" s="40" t="n">
        <v>12.8</v>
      </c>
      <c r="Z7" s="40" t="n">
        <v>30.5</v>
      </c>
      <c r="AA7" s="41" t="n">
        <v>40976</v>
      </c>
      <c r="AB7" s="41" t="n">
        <v>26634</v>
      </c>
      <c r="AC7" s="41" t="n">
        <v>63504</v>
      </c>
      <c r="AD7" s="42" t="n">
        <v>19.1</v>
      </c>
      <c r="AE7" s="42" t="n">
        <v>12.4</v>
      </c>
      <c r="AF7" s="42" t="n">
        <v>29.6</v>
      </c>
      <c r="AG7" s="41" t="n">
        <v>39728</v>
      </c>
      <c r="AH7" s="41" t="n">
        <v>25823</v>
      </c>
      <c r="AI7" s="41" t="n">
        <v>61632</v>
      </c>
      <c r="AJ7" s="42" t="n">
        <v>16.7</v>
      </c>
      <c r="AK7" s="42" t="n">
        <v>10.9</v>
      </c>
      <c r="AL7" s="42" t="n">
        <v>26</v>
      </c>
      <c r="AM7" s="41" t="n">
        <v>34736</v>
      </c>
      <c r="AN7" s="41" t="n">
        <v>22578</v>
      </c>
      <c r="AO7" s="41" t="n">
        <v>54080</v>
      </c>
      <c r="AP7" s="42" t="n">
        <v>20</v>
      </c>
      <c r="AQ7" s="42" t="n">
        <v>13</v>
      </c>
      <c r="AR7" s="42" t="n">
        <v>31</v>
      </c>
      <c r="AS7" s="41" t="n">
        <v>41600</v>
      </c>
      <c r="AT7" s="41" t="n">
        <v>27040</v>
      </c>
      <c r="AU7" s="41" t="n">
        <v>64480</v>
      </c>
      <c r="AV7" s="41" t="n">
        <v>3200000</v>
      </c>
      <c r="AW7" s="41" t="n">
        <v>90000</v>
      </c>
      <c r="AX7" s="41" t="n">
        <v>50000</v>
      </c>
      <c r="AY7" s="41" t="n">
        <v>3060000</v>
      </c>
      <c r="AZ7" s="41" t="n">
        <v>1600000</v>
      </c>
      <c r="BA7" s="41" t="n">
        <v>50000</v>
      </c>
      <c r="BB7" s="41" t="n">
        <v>20000</v>
      </c>
      <c r="BC7" s="41" t="n">
        <v>1540000</v>
      </c>
      <c r="BD7" s="23" t="n">
        <v>3600000</v>
      </c>
      <c r="BE7" s="23" t="n">
        <v>1000000</v>
      </c>
      <c r="BF7" s="23" t="n">
        <v>0</v>
      </c>
      <c r="BG7" s="23" t="n">
        <v>2600000</v>
      </c>
      <c r="BH7" s="23" t="n">
        <v>2850000</v>
      </c>
      <c r="BI7" s="23" t="n">
        <v>750000</v>
      </c>
      <c r="BJ7" s="23" t="n">
        <v>0</v>
      </c>
      <c r="BK7" s="23" t="n">
        <v>2100000</v>
      </c>
      <c r="BL7" s="23" t="n">
        <v>300000</v>
      </c>
      <c r="BM7" s="23" t="n">
        <v>100000</v>
      </c>
      <c r="BN7" s="23" t="n">
        <v>0</v>
      </c>
      <c r="BO7" s="23" t="n">
        <v>200000</v>
      </c>
    </row>
    <row r="8" customFormat="false" ht="12.8" hidden="false" customHeight="false" outlineLevel="0" collapsed="false">
      <c r="A8" s="7" t="n">
        <v>5</v>
      </c>
      <c r="B8" s="7" t="s">
        <v>125</v>
      </c>
      <c r="C8" s="7" t="s">
        <v>122</v>
      </c>
      <c r="D8" s="39" t="n">
        <v>91000</v>
      </c>
      <c r="E8" s="39" t="n">
        <v>3640</v>
      </c>
      <c r="F8" s="39" t="n">
        <v>3030</v>
      </c>
      <c r="G8" s="39" t="n">
        <v>84330</v>
      </c>
      <c r="H8" s="34" t="n">
        <v>0.96</v>
      </c>
      <c r="I8" s="34" t="n">
        <v>0.93</v>
      </c>
      <c r="J8" s="34" t="n">
        <v>0.87</v>
      </c>
      <c r="K8" s="34" t="n">
        <v>0.96</v>
      </c>
      <c r="L8" s="34" t="n">
        <v>0.561</v>
      </c>
      <c r="M8" s="34" t="n">
        <v>0.617</v>
      </c>
      <c r="N8" s="34" t="n">
        <v>0.665</v>
      </c>
      <c r="O8" s="34" t="n">
        <v>0.556</v>
      </c>
      <c r="P8" s="34" t="n">
        <v>0.04</v>
      </c>
      <c r="Q8" s="34" t="n">
        <v>0.07</v>
      </c>
      <c r="R8" s="34" t="n">
        <v>0.13</v>
      </c>
      <c r="S8" s="34" t="n">
        <v>0.04</v>
      </c>
      <c r="T8" s="34" t="n">
        <v>0.103</v>
      </c>
      <c r="U8" s="34" t="n">
        <v>0.119</v>
      </c>
      <c r="V8" s="34" t="n">
        <v>0.136</v>
      </c>
      <c r="W8" s="34" t="n">
        <v>0.1</v>
      </c>
      <c r="X8" s="40" t="n">
        <v>16.3</v>
      </c>
      <c r="Y8" s="40" t="n">
        <v>10.6</v>
      </c>
      <c r="Z8" s="40" t="n">
        <v>25.3</v>
      </c>
      <c r="AA8" s="41" t="n">
        <v>33904</v>
      </c>
      <c r="AB8" s="41" t="n">
        <v>22038</v>
      </c>
      <c r="AC8" s="41" t="n">
        <v>52576</v>
      </c>
      <c r="AD8" s="42" t="n">
        <v>15.8</v>
      </c>
      <c r="AE8" s="42" t="n">
        <v>10.3</v>
      </c>
      <c r="AF8" s="42" t="n">
        <v>24.5</v>
      </c>
      <c r="AG8" s="41" t="n">
        <v>32864</v>
      </c>
      <c r="AH8" s="41" t="n">
        <v>21362</v>
      </c>
      <c r="AI8" s="41" t="n">
        <v>50960</v>
      </c>
      <c r="AJ8" s="42" t="n">
        <v>13.4</v>
      </c>
      <c r="AK8" s="42" t="n">
        <v>8.7</v>
      </c>
      <c r="AL8" s="42" t="n">
        <v>20.8</v>
      </c>
      <c r="AM8" s="41" t="n">
        <v>27872</v>
      </c>
      <c r="AN8" s="41" t="n">
        <v>18117</v>
      </c>
      <c r="AO8" s="41" t="n">
        <v>43232</v>
      </c>
      <c r="AP8" s="42" t="n">
        <v>16.5</v>
      </c>
      <c r="AQ8" s="42" t="n">
        <v>10.7</v>
      </c>
      <c r="AR8" s="42" t="n">
        <v>25.6</v>
      </c>
      <c r="AS8" s="41" t="n">
        <v>34320</v>
      </c>
      <c r="AT8" s="41" t="n">
        <v>22308</v>
      </c>
      <c r="AU8" s="41" t="n">
        <v>53280</v>
      </c>
      <c r="AV8" s="41" t="n">
        <v>8700000</v>
      </c>
      <c r="AW8" s="41" t="n">
        <v>260000</v>
      </c>
      <c r="AX8" s="41" t="n">
        <v>130000</v>
      </c>
      <c r="AY8" s="41" t="n">
        <v>8310000</v>
      </c>
      <c r="AZ8" s="41" t="n">
        <v>4400000</v>
      </c>
      <c r="BA8" s="41" t="n">
        <v>130000</v>
      </c>
      <c r="BB8" s="41" t="n">
        <v>60000</v>
      </c>
      <c r="BC8" s="41" t="n">
        <v>4210000</v>
      </c>
      <c r="BD8" s="23" t="n">
        <v>10000000</v>
      </c>
      <c r="BE8" s="23" t="n">
        <v>3000000</v>
      </c>
      <c r="BF8" s="23" t="n">
        <v>0</v>
      </c>
      <c r="BG8" s="23" t="n">
        <v>7000000</v>
      </c>
      <c r="BH8" s="23" t="n">
        <v>7900000</v>
      </c>
      <c r="BI8" s="23" t="n">
        <v>2000000</v>
      </c>
      <c r="BJ8" s="23" t="n">
        <v>0</v>
      </c>
      <c r="BK8" s="23" t="n">
        <v>5900000</v>
      </c>
      <c r="BL8" s="23" t="n">
        <v>800000</v>
      </c>
      <c r="BM8" s="23" t="n">
        <v>200000</v>
      </c>
      <c r="BN8" s="23" t="n">
        <v>0</v>
      </c>
      <c r="BO8" s="23" t="n">
        <v>600000</v>
      </c>
    </row>
    <row r="9" customFormat="false" ht="12.8" hidden="false" customHeight="false" outlineLevel="0" collapsed="false">
      <c r="A9" s="7" t="n">
        <v>6</v>
      </c>
      <c r="B9" s="7" t="s">
        <v>125</v>
      </c>
      <c r="C9" s="7" t="s">
        <v>123</v>
      </c>
      <c r="D9" s="39" t="n">
        <v>45000</v>
      </c>
      <c r="E9" s="39" t="n">
        <v>1800</v>
      </c>
      <c r="F9" s="39" t="n">
        <v>1500</v>
      </c>
      <c r="G9" s="39" t="n">
        <v>41700</v>
      </c>
      <c r="H9" s="34" t="n">
        <v>0.96</v>
      </c>
      <c r="I9" s="34" t="n">
        <v>0.93</v>
      </c>
      <c r="J9" s="34" t="n">
        <v>0.87</v>
      </c>
      <c r="K9" s="34" t="n">
        <v>0.96</v>
      </c>
      <c r="L9" s="34" t="n">
        <v>0.533</v>
      </c>
      <c r="M9" s="34" t="n">
        <v>0.586</v>
      </c>
      <c r="N9" s="34" t="n">
        <v>0.632</v>
      </c>
      <c r="O9" s="34" t="n">
        <v>0.528</v>
      </c>
      <c r="P9" s="34" t="n">
        <v>0.04</v>
      </c>
      <c r="Q9" s="34" t="n">
        <v>0.07</v>
      </c>
      <c r="R9" s="34" t="n">
        <v>0.13</v>
      </c>
      <c r="S9" s="34" t="n">
        <v>0.04</v>
      </c>
      <c r="T9" s="34" t="n">
        <v>0.113</v>
      </c>
      <c r="U9" s="34" t="n">
        <v>0.131</v>
      </c>
      <c r="V9" s="34" t="n">
        <v>0.15</v>
      </c>
      <c r="W9" s="34" t="n">
        <v>0.11</v>
      </c>
      <c r="X9" s="40" t="n">
        <v>13.9</v>
      </c>
      <c r="Y9" s="40" t="n">
        <v>9</v>
      </c>
      <c r="Z9" s="40" t="n">
        <v>21.5</v>
      </c>
      <c r="AA9" s="41" t="n">
        <v>28912</v>
      </c>
      <c r="AB9" s="41" t="n">
        <v>18793</v>
      </c>
      <c r="AC9" s="41" t="n">
        <v>44832</v>
      </c>
      <c r="AD9" s="42" t="n">
        <v>13.5</v>
      </c>
      <c r="AE9" s="42" t="n">
        <v>8.8</v>
      </c>
      <c r="AF9" s="42" t="n">
        <v>20.9</v>
      </c>
      <c r="AG9" s="41" t="n">
        <v>28080</v>
      </c>
      <c r="AH9" s="41" t="n">
        <v>18252</v>
      </c>
      <c r="AI9" s="41" t="n">
        <v>43520</v>
      </c>
      <c r="AJ9" s="42" t="n">
        <v>11.4</v>
      </c>
      <c r="AK9" s="42" t="n">
        <v>7.4</v>
      </c>
      <c r="AL9" s="42" t="n">
        <v>17.7</v>
      </c>
      <c r="AM9" s="41" t="n">
        <v>23712</v>
      </c>
      <c r="AN9" s="41" t="n">
        <v>15413</v>
      </c>
      <c r="AO9" s="41" t="n">
        <v>36768</v>
      </c>
      <c r="AP9" s="42" t="n">
        <v>14.1</v>
      </c>
      <c r="AQ9" s="42" t="n">
        <v>9.2</v>
      </c>
      <c r="AR9" s="42" t="n">
        <v>21.8</v>
      </c>
      <c r="AS9" s="41" t="n">
        <v>29328</v>
      </c>
      <c r="AT9" s="41" t="n">
        <v>19070</v>
      </c>
      <c r="AU9" s="41" t="n">
        <v>45568</v>
      </c>
      <c r="AV9" s="41" t="n">
        <v>4300000</v>
      </c>
      <c r="AW9" s="41" t="n">
        <v>130000</v>
      </c>
      <c r="AX9" s="41" t="n">
        <v>60000</v>
      </c>
      <c r="AY9" s="41" t="n">
        <v>4105000</v>
      </c>
      <c r="AZ9" s="41" t="n">
        <v>2200000</v>
      </c>
      <c r="BA9" s="41" t="n">
        <v>60000</v>
      </c>
      <c r="BB9" s="41" t="n">
        <v>30000</v>
      </c>
      <c r="BC9" s="41" t="n">
        <v>2105000</v>
      </c>
      <c r="BD9" s="23" t="n">
        <v>5000000</v>
      </c>
      <c r="BE9" s="23" t="n">
        <v>1500000</v>
      </c>
      <c r="BF9" s="23" t="n">
        <v>0</v>
      </c>
      <c r="BG9" s="23" t="n">
        <v>3500000</v>
      </c>
      <c r="BH9" s="23" t="n">
        <v>3950000</v>
      </c>
      <c r="BI9" s="23" t="n">
        <v>1000000</v>
      </c>
      <c r="BJ9" s="23" t="n">
        <v>0</v>
      </c>
      <c r="BK9" s="23" t="n">
        <v>2950000</v>
      </c>
      <c r="BL9" s="23" t="n">
        <v>400000</v>
      </c>
      <c r="BM9" s="23" t="n">
        <v>100000</v>
      </c>
      <c r="BN9" s="23" t="n">
        <v>0</v>
      </c>
      <c r="BO9" s="23" t="n">
        <v>300000</v>
      </c>
    </row>
    <row r="10" customFormat="false" ht="12.8" hidden="false" customHeight="false" outlineLevel="0" collapsed="false">
      <c r="A10" s="7" t="n">
        <v>7</v>
      </c>
      <c r="B10" s="7" t="s">
        <v>126</v>
      </c>
      <c r="C10" s="7" t="s">
        <v>122</v>
      </c>
      <c r="D10" s="39" t="n">
        <v>53000</v>
      </c>
      <c r="E10" s="39" t="n">
        <v>2120</v>
      </c>
      <c r="F10" s="39" t="n">
        <v>1760</v>
      </c>
      <c r="G10" s="39" t="n">
        <v>49120</v>
      </c>
      <c r="H10" s="34" t="n">
        <v>0.955</v>
      </c>
      <c r="I10" s="34" t="n">
        <v>0.92</v>
      </c>
      <c r="J10" s="34" t="n">
        <v>0.86</v>
      </c>
      <c r="K10" s="34" t="n">
        <v>0.955</v>
      </c>
      <c r="L10" s="34" t="n">
        <v>0.62</v>
      </c>
      <c r="M10" s="34" t="n">
        <v>0.68</v>
      </c>
      <c r="N10" s="34" t="n">
        <v>0.74</v>
      </c>
      <c r="O10" s="34" t="n">
        <v>0.615</v>
      </c>
      <c r="P10" s="34" t="n">
        <v>0.045</v>
      </c>
      <c r="Q10" s="34" t="n">
        <v>0.08</v>
      </c>
      <c r="R10" s="34" t="n">
        <v>0.14</v>
      </c>
      <c r="S10" s="34" t="n">
        <v>0.045</v>
      </c>
      <c r="T10" s="34" t="n">
        <v>0.107</v>
      </c>
      <c r="U10" s="34" t="n">
        <v>0.124</v>
      </c>
      <c r="V10" s="34" t="n">
        <v>0.142</v>
      </c>
      <c r="W10" s="34" t="n">
        <v>0.105</v>
      </c>
      <c r="X10" s="40" t="n">
        <v>16</v>
      </c>
      <c r="Y10" s="40" t="n">
        <v>10.4</v>
      </c>
      <c r="Z10" s="40" t="n">
        <v>24.8</v>
      </c>
      <c r="AA10" s="41" t="n">
        <v>33280</v>
      </c>
      <c r="AB10" s="41" t="n">
        <v>21632</v>
      </c>
      <c r="AC10" s="41" t="n">
        <v>51584</v>
      </c>
      <c r="AD10" s="42" t="n">
        <v>15.5</v>
      </c>
      <c r="AE10" s="42" t="n">
        <v>10.1</v>
      </c>
      <c r="AF10" s="42" t="n">
        <v>24</v>
      </c>
      <c r="AG10" s="41" t="n">
        <v>32240</v>
      </c>
      <c r="AH10" s="41" t="n">
        <v>20956</v>
      </c>
      <c r="AI10" s="41" t="n">
        <v>49984</v>
      </c>
      <c r="AJ10" s="42" t="n">
        <v>12.4</v>
      </c>
      <c r="AK10" s="42" t="n">
        <v>8.1</v>
      </c>
      <c r="AL10" s="42" t="n">
        <v>19.2</v>
      </c>
      <c r="AM10" s="41" t="n">
        <v>25760</v>
      </c>
      <c r="AN10" s="41" t="n">
        <v>16744</v>
      </c>
      <c r="AO10" s="41" t="n">
        <v>39936</v>
      </c>
      <c r="AP10" s="42" t="n">
        <v>16.2</v>
      </c>
      <c r="AQ10" s="42" t="n">
        <v>10.5</v>
      </c>
      <c r="AR10" s="42" t="n">
        <v>25.1</v>
      </c>
      <c r="AS10" s="41" t="n">
        <v>33696</v>
      </c>
      <c r="AT10" s="41" t="n">
        <v>21899</v>
      </c>
      <c r="AU10" s="41" t="n">
        <v>52288</v>
      </c>
      <c r="AV10" s="41" t="n">
        <v>4300000</v>
      </c>
      <c r="AW10" s="41" t="n">
        <v>130000</v>
      </c>
      <c r="AX10" s="41" t="n">
        <v>60000</v>
      </c>
      <c r="AY10" s="41" t="n">
        <v>4110000</v>
      </c>
      <c r="AZ10" s="41" t="n">
        <v>2200000</v>
      </c>
      <c r="BA10" s="41" t="n">
        <v>60000</v>
      </c>
      <c r="BB10" s="41" t="n">
        <v>30000</v>
      </c>
      <c r="BC10" s="41" t="n">
        <v>2110000</v>
      </c>
      <c r="BD10" s="23" t="n">
        <v>5000000</v>
      </c>
      <c r="BE10" s="23" t="n">
        <v>1500000</v>
      </c>
      <c r="BF10" s="23" t="n">
        <v>0</v>
      </c>
      <c r="BG10" s="23" t="n">
        <v>3500000</v>
      </c>
      <c r="BH10" s="23" t="n">
        <v>3950000</v>
      </c>
      <c r="BI10" s="23" t="n">
        <v>1000000</v>
      </c>
      <c r="BJ10" s="23" t="n">
        <v>0</v>
      </c>
      <c r="BK10" s="23" t="n">
        <v>2950000</v>
      </c>
      <c r="BL10" s="23" t="n">
        <v>400000</v>
      </c>
      <c r="BM10" s="23" t="n">
        <v>100000</v>
      </c>
      <c r="BN10" s="23" t="n">
        <v>0</v>
      </c>
      <c r="BO10" s="23" t="n">
        <v>300000</v>
      </c>
    </row>
    <row r="11" customFormat="false" ht="12.8" hidden="false" customHeight="false" outlineLevel="0" collapsed="false">
      <c r="A11" s="7" t="n">
        <v>8</v>
      </c>
      <c r="B11" s="7" t="s">
        <v>126</v>
      </c>
      <c r="C11" s="7" t="s">
        <v>123</v>
      </c>
      <c r="D11" s="39" t="n">
        <v>26000</v>
      </c>
      <c r="E11" s="39" t="n">
        <v>1040</v>
      </c>
      <c r="F11" s="39" t="n">
        <v>860</v>
      </c>
      <c r="G11" s="39" t="n">
        <v>24100</v>
      </c>
      <c r="H11" s="34" t="n">
        <v>0.955</v>
      </c>
      <c r="I11" s="34" t="n">
        <v>0.92</v>
      </c>
      <c r="J11" s="34" t="n">
        <v>0.86</v>
      </c>
      <c r="K11" s="34" t="n">
        <v>0.955</v>
      </c>
      <c r="L11" s="34" t="n">
        <v>0.589</v>
      </c>
      <c r="M11" s="34" t="n">
        <v>0.646</v>
      </c>
      <c r="N11" s="34" t="n">
        <v>0.703</v>
      </c>
      <c r="O11" s="34" t="n">
        <v>0.585</v>
      </c>
      <c r="P11" s="34" t="n">
        <v>0.045</v>
      </c>
      <c r="Q11" s="34" t="n">
        <v>0.08</v>
      </c>
      <c r="R11" s="34" t="n">
        <v>0.14</v>
      </c>
      <c r="S11" s="34" t="n">
        <v>0.045</v>
      </c>
      <c r="T11" s="34" t="n">
        <v>0.118</v>
      </c>
      <c r="U11" s="34" t="n">
        <v>0.137</v>
      </c>
      <c r="V11" s="34" t="n">
        <v>0.156</v>
      </c>
      <c r="W11" s="34" t="n">
        <v>0.115</v>
      </c>
      <c r="X11" s="40" t="n">
        <v>13.6</v>
      </c>
      <c r="Y11" s="40" t="n">
        <v>8.8</v>
      </c>
      <c r="Z11" s="40" t="n">
        <v>21.1</v>
      </c>
      <c r="AA11" s="41" t="n">
        <v>28304</v>
      </c>
      <c r="AB11" s="41" t="n">
        <v>18398</v>
      </c>
      <c r="AC11" s="41" t="n">
        <v>43904</v>
      </c>
      <c r="AD11" s="42" t="n">
        <v>13.2</v>
      </c>
      <c r="AE11" s="42" t="n">
        <v>8.6</v>
      </c>
      <c r="AF11" s="42" t="n">
        <v>20.5</v>
      </c>
      <c r="AG11" s="41" t="n">
        <v>27456</v>
      </c>
      <c r="AH11" s="41" t="n">
        <v>17846</v>
      </c>
      <c r="AI11" s="41" t="n">
        <v>42576</v>
      </c>
      <c r="AJ11" s="42" t="n">
        <v>10.5</v>
      </c>
      <c r="AK11" s="42" t="n">
        <v>6.8</v>
      </c>
      <c r="AL11" s="42" t="n">
        <v>16.3</v>
      </c>
      <c r="AM11" s="41" t="n">
        <v>21840</v>
      </c>
      <c r="AN11" s="41" t="n">
        <v>14196</v>
      </c>
      <c r="AO11" s="41" t="n">
        <v>33872</v>
      </c>
      <c r="AP11" s="42" t="n">
        <v>13.8</v>
      </c>
      <c r="AQ11" s="42" t="n">
        <v>9</v>
      </c>
      <c r="AR11" s="42" t="n">
        <v>21.4</v>
      </c>
      <c r="AS11" s="41" t="n">
        <v>28720</v>
      </c>
      <c r="AT11" s="41" t="n">
        <v>18668</v>
      </c>
      <c r="AU11" s="41" t="n">
        <v>44544</v>
      </c>
      <c r="AV11" s="41" t="n">
        <v>2100000</v>
      </c>
      <c r="AW11" s="41" t="n">
        <v>60000</v>
      </c>
      <c r="AX11" s="41" t="n">
        <v>30000</v>
      </c>
      <c r="AY11" s="41" t="n">
        <v>2010000</v>
      </c>
      <c r="AZ11" s="41" t="n">
        <v>1100000</v>
      </c>
      <c r="BA11" s="41" t="n">
        <v>30000</v>
      </c>
      <c r="BB11" s="41" t="n">
        <v>15000</v>
      </c>
      <c r="BC11" s="41" t="n">
        <v>1055000</v>
      </c>
      <c r="BD11" s="23" t="n">
        <v>2500000</v>
      </c>
      <c r="BE11" s="23" t="n">
        <v>750000</v>
      </c>
      <c r="BF11" s="23" t="n">
        <v>0</v>
      </c>
      <c r="BG11" s="23" t="n">
        <v>1750000</v>
      </c>
      <c r="BH11" s="23" t="n">
        <v>1975000</v>
      </c>
      <c r="BI11" s="23" t="n">
        <v>500000</v>
      </c>
      <c r="BJ11" s="23" t="n">
        <v>0</v>
      </c>
      <c r="BK11" s="23" t="n">
        <v>1475000</v>
      </c>
      <c r="BL11" s="23" t="n">
        <v>200000</v>
      </c>
      <c r="BM11" s="23" t="n">
        <v>50000</v>
      </c>
      <c r="BN11" s="23" t="n">
        <v>0</v>
      </c>
      <c r="BO11" s="23" t="n">
        <v>150000</v>
      </c>
    </row>
    <row r="12" customFormat="false" ht="12.8" hidden="false" customHeight="false" outlineLevel="0" collapsed="false">
      <c r="A12" s="7" t="n">
        <v>9</v>
      </c>
      <c r="B12" s="7" t="s">
        <v>127</v>
      </c>
      <c r="C12" s="7" t="s">
        <v>122</v>
      </c>
      <c r="D12" s="39" t="n">
        <v>110000</v>
      </c>
      <c r="E12" s="39" t="n">
        <v>4400</v>
      </c>
      <c r="F12" s="39" t="n">
        <v>3660</v>
      </c>
      <c r="G12" s="39" t="n">
        <v>102000</v>
      </c>
      <c r="H12" s="34" t="n">
        <v>0.975</v>
      </c>
      <c r="I12" s="34" t="n">
        <v>0.96</v>
      </c>
      <c r="J12" s="34" t="n">
        <v>0.92</v>
      </c>
      <c r="K12" s="34" t="n">
        <v>0.975</v>
      </c>
      <c r="L12" s="34" t="n">
        <v>0.561</v>
      </c>
      <c r="M12" s="34" t="n">
        <v>0.617</v>
      </c>
      <c r="N12" s="34" t="n">
        <v>0.665</v>
      </c>
      <c r="O12" s="34" t="n">
        <v>0.528</v>
      </c>
      <c r="P12" s="34" t="n">
        <v>0.025</v>
      </c>
      <c r="Q12" s="34" t="n">
        <v>0.045</v>
      </c>
      <c r="R12" s="34" t="n">
        <v>0.08</v>
      </c>
      <c r="S12" s="34" t="n">
        <v>0.025</v>
      </c>
      <c r="T12" s="34" t="n">
        <v>0.071</v>
      </c>
      <c r="U12" s="34" t="n">
        <v>0.082</v>
      </c>
      <c r="V12" s="34" t="n">
        <v>0.094</v>
      </c>
      <c r="W12" s="34" t="n">
        <v>0.069</v>
      </c>
      <c r="X12" s="40" t="n">
        <v>22.2</v>
      </c>
      <c r="Y12" s="40" t="n">
        <v>14.4</v>
      </c>
      <c r="Z12" s="40" t="n">
        <v>34.3</v>
      </c>
      <c r="AA12" s="41" t="n">
        <v>46176</v>
      </c>
      <c r="AB12" s="41" t="n">
        <v>30014</v>
      </c>
      <c r="AC12" s="41" t="n">
        <v>71568</v>
      </c>
      <c r="AD12" s="42" t="n">
        <v>21.5</v>
      </c>
      <c r="AE12" s="42" t="n">
        <v>14</v>
      </c>
      <c r="AF12" s="42" t="n">
        <v>33.3</v>
      </c>
      <c r="AG12" s="41" t="n">
        <v>44720</v>
      </c>
      <c r="AH12" s="41" t="n">
        <v>29068</v>
      </c>
      <c r="AI12" s="41" t="n">
        <v>69376</v>
      </c>
      <c r="AJ12" s="42" t="n">
        <v>19.4</v>
      </c>
      <c r="AK12" s="42" t="n">
        <v>12.6</v>
      </c>
      <c r="AL12" s="42" t="n">
        <v>30</v>
      </c>
      <c r="AM12" s="41" t="n">
        <v>40352</v>
      </c>
      <c r="AN12" s="41" t="n">
        <v>26229</v>
      </c>
      <c r="AO12" s="41" t="n">
        <v>62656</v>
      </c>
      <c r="AP12" s="42" t="n">
        <v>22.5</v>
      </c>
      <c r="AQ12" s="42" t="n">
        <v>14.6</v>
      </c>
      <c r="AR12" s="42" t="n">
        <v>34.9</v>
      </c>
      <c r="AS12" s="41" t="n">
        <v>46800</v>
      </c>
      <c r="AT12" s="41" t="n">
        <v>30420</v>
      </c>
      <c r="AU12" s="41" t="n">
        <v>72528</v>
      </c>
      <c r="AV12" s="41" t="n">
        <v>1480000000</v>
      </c>
      <c r="AW12" s="41" t="n">
        <v>312000000</v>
      </c>
      <c r="AX12" s="41" t="n">
        <v>30000000</v>
      </c>
      <c r="AY12" s="41" t="n">
        <v>1138000000</v>
      </c>
      <c r="AZ12" s="41" t="n">
        <v>978000000</v>
      </c>
      <c r="BA12" s="41" t="n">
        <v>207000000</v>
      </c>
      <c r="BB12" s="41" t="n">
        <v>13000000</v>
      </c>
      <c r="BC12" s="41" t="n">
        <v>758000000</v>
      </c>
      <c r="BD12" s="23" t="n">
        <v>1695000000</v>
      </c>
      <c r="BE12" s="23" t="n">
        <v>376000000</v>
      </c>
      <c r="BF12" s="23" t="n">
        <v>0</v>
      </c>
      <c r="BG12" s="23" t="n">
        <v>1319000000</v>
      </c>
      <c r="BH12" s="23" t="n">
        <v>778000000</v>
      </c>
      <c r="BI12" s="23" t="n">
        <v>198000000</v>
      </c>
      <c r="BJ12" s="23" t="n">
        <v>0</v>
      </c>
      <c r="BK12" s="23" t="n">
        <v>580000000</v>
      </c>
      <c r="BL12" s="23" t="n">
        <v>92000000</v>
      </c>
      <c r="BM12" s="23" t="n">
        <v>20000000</v>
      </c>
      <c r="BN12" s="23" t="n">
        <v>0</v>
      </c>
      <c r="BO12" s="23" t="n">
        <v>72000000</v>
      </c>
    </row>
    <row r="13" customFormat="false" ht="12.8" hidden="false" customHeight="false" outlineLevel="0" collapsed="false">
      <c r="A13" s="7" t="n">
        <v>10</v>
      </c>
      <c r="B13" s="7" t="s">
        <v>127</v>
      </c>
      <c r="C13" s="7" t="s">
        <v>123</v>
      </c>
      <c r="D13" s="39" t="n">
        <v>55000</v>
      </c>
      <c r="E13" s="39" t="n">
        <v>2200</v>
      </c>
      <c r="F13" s="39" t="n">
        <v>1830</v>
      </c>
      <c r="G13" s="39" t="n">
        <v>51000</v>
      </c>
      <c r="H13" s="34" t="n">
        <v>0.975</v>
      </c>
      <c r="I13" s="34" t="n">
        <v>0.96</v>
      </c>
      <c r="J13" s="34" t="n">
        <v>0.92</v>
      </c>
      <c r="K13" s="34" t="n">
        <v>0.975</v>
      </c>
      <c r="L13" s="34" t="n">
        <v>0.533</v>
      </c>
      <c r="M13" s="34" t="n">
        <v>0.586</v>
      </c>
      <c r="N13" s="34" t="n">
        <v>0.632</v>
      </c>
      <c r="O13" s="34" t="n">
        <v>0.528</v>
      </c>
      <c r="P13" s="34" t="n">
        <v>0.025</v>
      </c>
      <c r="Q13" s="34" t="n">
        <v>0.045</v>
      </c>
      <c r="R13" s="34" t="n">
        <v>0.08</v>
      </c>
      <c r="S13" s="34" t="n">
        <v>0.025</v>
      </c>
      <c r="T13" s="34" t="n">
        <v>0.078</v>
      </c>
      <c r="U13" s="34" t="n">
        <v>0.09</v>
      </c>
      <c r="V13" s="34" t="n">
        <v>0.103</v>
      </c>
      <c r="W13" s="34" t="n">
        <v>0.076</v>
      </c>
      <c r="X13" s="40" t="n">
        <v>18.9</v>
      </c>
      <c r="Y13" s="40" t="n">
        <v>12.3</v>
      </c>
      <c r="Z13" s="40" t="n">
        <v>29.2</v>
      </c>
      <c r="AA13" s="41" t="n">
        <v>39296</v>
      </c>
      <c r="AB13" s="41" t="n">
        <v>25542</v>
      </c>
      <c r="AC13" s="41" t="n">
        <v>60912</v>
      </c>
      <c r="AD13" s="42" t="n">
        <v>18.3</v>
      </c>
      <c r="AE13" s="42" t="n">
        <v>11.9</v>
      </c>
      <c r="AF13" s="42" t="n">
        <v>28.3</v>
      </c>
      <c r="AG13" s="41" t="n">
        <v>38064</v>
      </c>
      <c r="AH13" s="41" t="n">
        <v>24742</v>
      </c>
      <c r="AI13" s="41" t="n">
        <v>59024</v>
      </c>
      <c r="AJ13" s="42" t="n">
        <v>16.5</v>
      </c>
      <c r="AK13" s="42" t="n">
        <v>10.7</v>
      </c>
      <c r="AL13" s="42" t="n">
        <v>25.5</v>
      </c>
      <c r="AM13" s="41" t="n">
        <v>34320</v>
      </c>
      <c r="AN13" s="41" t="n">
        <v>22308</v>
      </c>
      <c r="AO13" s="41" t="n">
        <v>53280</v>
      </c>
      <c r="AP13" s="42" t="n">
        <v>19.1</v>
      </c>
      <c r="AQ13" s="42" t="n">
        <v>12.4</v>
      </c>
      <c r="AR13" s="42" t="n">
        <v>29.6</v>
      </c>
      <c r="AS13" s="41" t="n">
        <v>39728</v>
      </c>
      <c r="AT13" s="41" t="n">
        <v>25823</v>
      </c>
      <c r="AU13" s="41" t="n">
        <v>61632</v>
      </c>
      <c r="AV13" s="41" t="n">
        <v>630000000</v>
      </c>
      <c r="AW13" s="41" t="n">
        <v>133000000</v>
      </c>
      <c r="AX13" s="41" t="n">
        <v>13000000</v>
      </c>
      <c r="AY13" s="41" t="n">
        <v>484000000</v>
      </c>
      <c r="AZ13" s="41" t="n">
        <v>416000000</v>
      </c>
      <c r="BA13" s="41" t="n">
        <v>88000000</v>
      </c>
      <c r="BB13" s="41" t="n">
        <v>5000000</v>
      </c>
      <c r="BC13" s="41" t="n">
        <v>322000000</v>
      </c>
      <c r="BD13" s="23" t="n">
        <v>840000000</v>
      </c>
      <c r="BE13" s="23" t="n">
        <v>186000000</v>
      </c>
      <c r="BF13" s="23" t="n">
        <v>0</v>
      </c>
      <c r="BG13" s="23" t="n">
        <v>654000000</v>
      </c>
      <c r="BH13" s="23" t="n">
        <v>389000000</v>
      </c>
      <c r="BI13" s="23" t="n">
        <v>99000000</v>
      </c>
      <c r="BJ13" s="23" t="n">
        <v>0</v>
      </c>
      <c r="BK13" s="23" t="n">
        <v>290000000</v>
      </c>
      <c r="BL13" s="23" t="n">
        <v>46000000</v>
      </c>
      <c r="BM13" s="23" t="n">
        <v>10000000</v>
      </c>
      <c r="BN13" s="23" t="n">
        <v>0</v>
      </c>
      <c r="BO13" s="23" t="n">
        <v>36000000</v>
      </c>
    </row>
    <row r="14" customFormat="false" ht="12.8" hidden="false" customHeight="false" outlineLevel="0" collapsed="false">
      <c r="A14" s="7" t="n">
        <v>11</v>
      </c>
      <c r="B14" s="7" t="s">
        <v>128</v>
      </c>
      <c r="C14" s="7" t="s">
        <v>122</v>
      </c>
      <c r="D14" s="39" t="n">
        <v>47000</v>
      </c>
      <c r="E14" s="39" t="n">
        <v>1880</v>
      </c>
      <c r="F14" s="39" t="n">
        <v>1560</v>
      </c>
      <c r="G14" s="39" t="n">
        <v>43560</v>
      </c>
      <c r="H14" s="34" t="n">
        <v>0.97</v>
      </c>
      <c r="I14" s="34" t="n">
        <v>0.95</v>
      </c>
      <c r="J14" s="34" t="n">
        <v>0.91</v>
      </c>
      <c r="K14" s="34" t="n">
        <v>0.97</v>
      </c>
      <c r="L14" s="34" t="n">
        <v>0.59</v>
      </c>
      <c r="M14" s="34" t="n">
        <v>0.65</v>
      </c>
      <c r="N14" s="34" t="n">
        <v>0.7</v>
      </c>
      <c r="O14" s="34" t="n">
        <v>0.585</v>
      </c>
      <c r="P14" s="34" t="n">
        <v>0.03</v>
      </c>
      <c r="Q14" s="34" t="n">
        <v>0.055</v>
      </c>
      <c r="R14" s="34" t="n">
        <v>0.09</v>
      </c>
      <c r="S14" s="34" t="n">
        <v>0.03</v>
      </c>
      <c r="T14" s="34" t="n">
        <v>0.079</v>
      </c>
      <c r="U14" s="34" t="n">
        <v>0.092</v>
      </c>
      <c r="V14" s="34" t="n">
        <v>0.105</v>
      </c>
      <c r="W14" s="34" t="n">
        <v>0.077</v>
      </c>
      <c r="X14" s="40" t="n">
        <v>21.6</v>
      </c>
      <c r="Y14" s="40" t="n">
        <v>14</v>
      </c>
      <c r="Z14" s="40" t="n">
        <v>33.5</v>
      </c>
      <c r="AA14" s="41" t="n">
        <v>44928</v>
      </c>
      <c r="AB14" s="41" t="n">
        <v>29203</v>
      </c>
      <c r="AC14" s="41" t="n">
        <v>69744</v>
      </c>
      <c r="AD14" s="42" t="n">
        <v>21</v>
      </c>
      <c r="AE14" s="42" t="n">
        <v>13.6</v>
      </c>
      <c r="AF14" s="42" t="n">
        <v>32.6</v>
      </c>
      <c r="AG14" s="41" t="n">
        <v>43680</v>
      </c>
      <c r="AH14" s="41" t="n">
        <v>28392</v>
      </c>
      <c r="AI14" s="41" t="n">
        <v>67728</v>
      </c>
      <c r="AJ14" s="42" t="n">
        <v>18.9</v>
      </c>
      <c r="AK14" s="42" t="n">
        <v>12.3</v>
      </c>
      <c r="AL14" s="42" t="n">
        <v>29.3</v>
      </c>
      <c r="AM14" s="41" t="n">
        <v>39312</v>
      </c>
      <c r="AN14" s="41" t="n">
        <v>25553</v>
      </c>
      <c r="AO14" s="41" t="n">
        <v>60960</v>
      </c>
      <c r="AP14" s="42" t="n">
        <v>21.9</v>
      </c>
      <c r="AQ14" s="42" t="n">
        <v>14.2</v>
      </c>
      <c r="AR14" s="42" t="n">
        <v>33.9</v>
      </c>
      <c r="AS14" s="41" t="n">
        <v>45552</v>
      </c>
      <c r="AT14" s="41" t="n">
        <v>29609</v>
      </c>
      <c r="AU14" s="41" t="n">
        <v>70672</v>
      </c>
      <c r="AV14" s="41" t="n">
        <v>1360000000</v>
      </c>
      <c r="AW14" s="41" t="n">
        <v>287000000</v>
      </c>
      <c r="AX14" s="41" t="n">
        <v>28000000</v>
      </c>
      <c r="AY14" s="41" t="n">
        <v>1045000000</v>
      </c>
      <c r="AZ14" s="41" t="n">
        <v>984000000</v>
      </c>
      <c r="BA14" s="41" t="n">
        <v>209000000</v>
      </c>
      <c r="BB14" s="41" t="n">
        <v>13000000</v>
      </c>
      <c r="BC14" s="41" t="n">
        <v>762000000</v>
      </c>
      <c r="BD14" s="23" t="n">
        <v>1660000000</v>
      </c>
      <c r="BE14" s="23" t="n">
        <v>368000000</v>
      </c>
      <c r="BF14" s="23" t="n">
        <v>0</v>
      </c>
      <c r="BG14" s="23" t="n">
        <v>1292000000</v>
      </c>
      <c r="BH14" s="23" t="n">
        <v>760000000</v>
      </c>
      <c r="BI14" s="23" t="n">
        <v>194000000</v>
      </c>
      <c r="BJ14" s="23" t="n">
        <v>0</v>
      </c>
      <c r="BK14" s="23" t="n">
        <v>566000000</v>
      </c>
      <c r="BL14" s="23" t="n">
        <v>90000000</v>
      </c>
      <c r="BM14" s="23" t="n">
        <v>19000000</v>
      </c>
      <c r="BN14" s="23" t="n">
        <v>0</v>
      </c>
      <c r="BO14" s="23" t="n">
        <v>71000000</v>
      </c>
    </row>
    <row r="15" customFormat="false" ht="12.8" hidden="false" customHeight="false" outlineLevel="0" collapsed="false">
      <c r="A15" s="7" t="n">
        <v>12</v>
      </c>
      <c r="B15" s="7" t="s">
        <v>128</v>
      </c>
      <c r="C15" s="7" t="s">
        <v>123</v>
      </c>
      <c r="D15" s="39" t="n">
        <v>23000</v>
      </c>
      <c r="E15" s="39" t="n">
        <v>920</v>
      </c>
      <c r="F15" s="39" t="n">
        <v>760</v>
      </c>
      <c r="G15" s="39" t="n">
        <v>21320</v>
      </c>
      <c r="H15" s="34" t="n">
        <v>0.97</v>
      </c>
      <c r="I15" s="34" t="n">
        <v>0.95</v>
      </c>
      <c r="J15" s="34" t="n">
        <v>0.91</v>
      </c>
      <c r="K15" s="34" t="n">
        <v>0.97</v>
      </c>
      <c r="L15" s="34" t="n">
        <v>0.561</v>
      </c>
      <c r="M15" s="34" t="n">
        <v>0.617</v>
      </c>
      <c r="N15" s="34" t="n">
        <v>0.665</v>
      </c>
      <c r="O15" s="34" t="n">
        <v>0.556</v>
      </c>
      <c r="P15" s="34" t="n">
        <v>0.03</v>
      </c>
      <c r="Q15" s="34" t="n">
        <v>0.055</v>
      </c>
      <c r="R15" s="34" t="n">
        <v>0.09</v>
      </c>
      <c r="S15" s="34" t="n">
        <v>0.03</v>
      </c>
      <c r="T15" s="34" t="n">
        <v>0.087</v>
      </c>
      <c r="U15" s="34" t="n">
        <v>0.101</v>
      </c>
      <c r="V15" s="34" t="n">
        <v>0.115</v>
      </c>
      <c r="W15" s="34" t="n">
        <v>0.085</v>
      </c>
      <c r="X15" s="40" t="n">
        <v>18.4</v>
      </c>
      <c r="Y15" s="40" t="n">
        <v>12</v>
      </c>
      <c r="Z15" s="40" t="n">
        <v>28.5</v>
      </c>
      <c r="AA15" s="41" t="n">
        <v>38272</v>
      </c>
      <c r="AB15" s="41" t="n">
        <v>24877</v>
      </c>
      <c r="AC15" s="41" t="n">
        <v>59360</v>
      </c>
      <c r="AD15" s="42" t="n">
        <v>17.9</v>
      </c>
      <c r="AE15" s="42" t="n">
        <v>11.6</v>
      </c>
      <c r="AF15" s="42" t="n">
        <v>27.7</v>
      </c>
      <c r="AG15" s="41" t="n">
        <v>37232</v>
      </c>
      <c r="AH15" s="41" t="n">
        <v>24199</v>
      </c>
      <c r="AI15" s="41" t="n">
        <v>57728</v>
      </c>
      <c r="AJ15" s="42" t="n">
        <v>16.1</v>
      </c>
      <c r="AK15" s="42" t="n">
        <v>10.5</v>
      </c>
      <c r="AL15" s="42" t="n">
        <v>25</v>
      </c>
      <c r="AM15" s="41" t="n">
        <v>33536</v>
      </c>
      <c r="AN15" s="41" t="n">
        <v>21798</v>
      </c>
      <c r="AO15" s="41" t="n">
        <v>52000</v>
      </c>
      <c r="AP15" s="42" t="n">
        <v>18.6</v>
      </c>
      <c r="AQ15" s="42" t="n">
        <v>12.1</v>
      </c>
      <c r="AR15" s="42" t="n">
        <v>28.8</v>
      </c>
      <c r="AS15" s="41" t="n">
        <v>38704</v>
      </c>
      <c r="AT15" s="41" t="n">
        <v>25158</v>
      </c>
      <c r="AU15" s="41" t="n">
        <v>60032</v>
      </c>
      <c r="AV15" s="41" t="n">
        <v>578000000</v>
      </c>
      <c r="AW15" s="41" t="n">
        <v>122000000</v>
      </c>
      <c r="AX15" s="41" t="n">
        <v>12000000</v>
      </c>
      <c r="AY15" s="41" t="n">
        <v>444000000</v>
      </c>
      <c r="AZ15" s="41" t="n">
        <v>418000000</v>
      </c>
      <c r="BA15" s="41" t="n">
        <v>89000000</v>
      </c>
      <c r="BB15" s="41" t="n">
        <v>6000000</v>
      </c>
      <c r="BC15" s="41" t="n">
        <v>323000000</v>
      </c>
      <c r="BD15" s="23" t="n">
        <v>830000000</v>
      </c>
      <c r="BE15" s="23" t="n">
        <v>184000000</v>
      </c>
      <c r="BF15" s="23" t="n">
        <v>0</v>
      </c>
      <c r="BG15" s="23" t="n">
        <v>646000000</v>
      </c>
      <c r="BH15" s="23" t="n">
        <v>380000000</v>
      </c>
      <c r="BI15" s="23" t="n">
        <v>97000000</v>
      </c>
      <c r="BJ15" s="23" t="n">
        <v>0</v>
      </c>
      <c r="BK15" s="23" t="n">
        <v>283000000</v>
      </c>
      <c r="BL15" s="23" t="n">
        <v>45000000</v>
      </c>
      <c r="BM15" s="23" t="n">
        <v>9500000</v>
      </c>
      <c r="BN15" s="23" t="n">
        <v>0</v>
      </c>
      <c r="BO15" s="23" t="n">
        <v>35500000</v>
      </c>
    </row>
    <row r="16" customFormat="false" ht="12.8" hidden="false" customHeight="false" outlineLevel="0" collapsed="false">
      <c r="A16" s="7" t="n">
        <v>13</v>
      </c>
      <c r="B16" s="7" t="s">
        <v>129</v>
      </c>
      <c r="C16" s="7" t="s">
        <v>122</v>
      </c>
      <c r="D16" s="39" t="n">
        <v>141000</v>
      </c>
      <c r="E16" s="39" t="n">
        <v>5640</v>
      </c>
      <c r="F16" s="39" t="n">
        <v>4690</v>
      </c>
      <c r="G16" s="39" t="n">
        <v>130670</v>
      </c>
      <c r="H16" s="34" t="n">
        <v>0.96</v>
      </c>
      <c r="I16" s="34" t="n">
        <v>0.93</v>
      </c>
      <c r="J16" s="34" t="n">
        <v>0.88</v>
      </c>
      <c r="K16" s="34" t="n">
        <v>0.96</v>
      </c>
      <c r="L16" s="34" t="n">
        <v>0.561</v>
      </c>
      <c r="M16" s="34" t="n">
        <v>0.617</v>
      </c>
      <c r="N16" s="34" t="n">
        <v>0.665</v>
      </c>
      <c r="O16" s="34" t="n">
        <v>0.556</v>
      </c>
      <c r="P16" s="34" t="n">
        <v>0.04</v>
      </c>
      <c r="Q16" s="34" t="n">
        <v>0.07</v>
      </c>
      <c r="R16" s="34" t="n">
        <v>0.12</v>
      </c>
      <c r="S16" s="34" t="n">
        <v>0.04</v>
      </c>
      <c r="T16" s="34" t="n">
        <v>0.095</v>
      </c>
      <c r="U16" s="34" t="n">
        <v>0.11</v>
      </c>
      <c r="V16" s="34" t="n">
        <v>0.126</v>
      </c>
      <c r="W16" s="34" t="n">
        <v>0.093</v>
      </c>
      <c r="X16" s="40" t="n">
        <v>21.1</v>
      </c>
      <c r="Y16" s="40" t="n">
        <v>13.7</v>
      </c>
      <c r="Z16" s="40" t="n">
        <v>32.7</v>
      </c>
      <c r="AA16" s="41" t="n">
        <v>43888</v>
      </c>
      <c r="AB16" s="41" t="n">
        <v>28527</v>
      </c>
      <c r="AC16" s="41" t="n">
        <v>68064</v>
      </c>
      <c r="AD16" s="42" t="n">
        <v>20.5</v>
      </c>
      <c r="AE16" s="42" t="n">
        <v>13.3</v>
      </c>
      <c r="AF16" s="42" t="n">
        <v>31.8</v>
      </c>
      <c r="AG16" s="41" t="n">
        <v>42640</v>
      </c>
      <c r="AH16" s="41" t="n">
        <v>27716</v>
      </c>
      <c r="AI16" s="41" t="n">
        <v>66144</v>
      </c>
      <c r="AJ16" s="42" t="n">
        <v>17.4</v>
      </c>
      <c r="AK16" s="42" t="n">
        <v>11.3</v>
      </c>
      <c r="AL16" s="42" t="n">
        <v>27</v>
      </c>
      <c r="AM16" s="41" t="n">
        <v>36208</v>
      </c>
      <c r="AN16" s="41" t="n">
        <v>23535</v>
      </c>
      <c r="AO16" s="41" t="n">
        <v>56176</v>
      </c>
      <c r="AP16" s="42" t="n">
        <v>21.4</v>
      </c>
      <c r="AQ16" s="42" t="n">
        <v>13.9</v>
      </c>
      <c r="AR16" s="42" t="n">
        <v>33.2</v>
      </c>
      <c r="AS16" s="41" t="n">
        <v>44512</v>
      </c>
      <c r="AT16" s="41" t="n">
        <v>28933</v>
      </c>
      <c r="AU16" s="41" t="n">
        <v>69024</v>
      </c>
      <c r="AV16" s="41" t="n">
        <v>4840000000</v>
      </c>
      <c r="AW16" s="41" t="n">
        <v>1022000000</v>
      </c>
      <c r="AX16" s="41" t="n">
        <v>95000000</v>
      </c>
      <c r="AY16" s="41" t="n">
        <v>3723000000</v>
      </c>
      <c r="AZ16" s="41" t="n">
        <v>3870000000</v>
      </c>
      <c r="BA16" s="41" t="n">
        <v>823000000</v>
      </c>
      <c r="BB16" s="41" t="n">
        <v>50000000</v>
      </c>
      <c r="BC16" s="41" t="n">
        <v>2995000000</v>
      </c>
      <c r="BD16" s="23" t="n">
        <v>6340000000</v>
      </c>
      <c r="BE16" s="23" t="n">
        <v>1403000000</v>
      </c>
      <c r="BF16" s="23" t="n">
        <v>0</v>
      </c>
      <c r="BG16" s="23" t="n">
        <v>4937000000</v>
      </c>
      <c r="BH16" s="23" t="n">
        <v>2900000000</v>
      </c>
      <c r="BI16" s="23" t="n">
        <v>739000000</v>
      </c>
      <c r="BJ16" s="23" t="n">
        <v>0</v>
      </c>
      <c r="BK16" s="23" t="n">
        <v>2161000000</v>
      </c>
      <c r="BL16" s="23" t="n">
        <v>404000000</v>
      </c>
      <c r="BM16" s="23" t="n">
        <v>87000000</v>
      </c>
      <c r="BN16" s="23" t="n">
        <v>0</v>
      </c>
      <c r="BO16" s="23" t="n">
        <v>317000000</v>
      </c>
    </row>
    <row r="17" customFormat="false" ht="12.8" hidden="false" customHeight="false" outlineLevel="0" collapsed="false">
      <c r="A17" s="7" t="n">
        <v>14</v>
      </c>
      <c r="B17" s="7" t="s">
        <v>129</v>
      </c>
      <c r="C17" s="7" t="s">
        <v>123</v>
      </c>
      <c r="D17" s="39" t="n">
        <v>70000</v>
      </c>
      <c r="E17" s="39" t="n">
        <v>2800</v>
      </c>
      <c r="F17" s="39" t="n">
        <v>2330</v>
      </c>
      <c r="G17" s="39" t="n">
        <v>64870</v>
      </c>
      <c r="H17" s="34" t="n">
        <v>0.96</v>
      </c>
      <c r="I17" s="34" t="n">
        <v>0.93</v>
      </c>
      <c r="J17" s="34" t="n">
        <v>0.88</v>
      </c>
      <c r="K17" s="34" t="n">
        <v>0.96</v>
      </c>
      <c r="L17" s="34" t="n">
        <v>0.533</v>
      </c>
      <c r="M17" s="34" t="n">
        <v>0.586</v>
      </c>
      <c r="N17" s="34" t="n">
        <v>0.632</v>
      </c>
      <c r="O17" s="34" t="n">
        <v>0.528</v>
      </c>
      <c r="P17" s="34" t="n">
        <v>0.04</v>
      </c>
      <c r="Q17" s="34" t="n">
        <v>0.07</v>
      </c>
      <c r="R17" s="34" t="n">
        <v>0.12</v>
      </c>
      <c r="S17" s="34" t="n">
        <v>0.04</v>
      </c>
      <c r="T17" s="34" t="n">
        <v>0.105</v>
      </c>
      <c r="U17" s="34" t="n">
        <v>0.121</v>
      </c>
      <c r="V17" s="34" t="n">
        <v>0.138</v>
      </c>
      <c r="W17" s="34" t="n">
        <v>0.102</v>
      </c>
      <c r="X17" s="40" t="n">
        <v>18</v>
      </c>
      <c r="Y17" s="40" t="n">
        <v>11.7</v>
      </c>
      <c r="Z17" s="40" t="n">
        <v>27.9</v>
      </c>
      <c r="AA17" s="41" t="n">
        <v>37440</v>
      </c>
      <c r="AB17" s="41" t="n">
        <v>24336</v>
      </c>
      <c r="AC17" s="41" t="n">
        <v>58080</v>
      </c>
      <c r="AD17" s="42" t="n">
        <v>17.4</v>
      </c>
      <c r="AE17" s="42" t="n">
        <v>11.3</v>
      </c>
      <c r="AF17" s="42" t="n">
        <v>27</v>
      </c>
      <c r="AG17" s="41" t="n">
        <v>36192</v>
      </c>
      <c r="AH17" s="41" t="n">
        <v>23525</v>
      </c>
      <c r="AI17" s="41" t="n">
        <v>56176</v>
      </c>
      <c r="AJ17" s="42" t="n">
        <v>14.8</v>
      </c>
      <c r="AK17" s="42" t="n">
        <v>9.6</v>
      </c>
      <c r="AL17" s="42" t="n">
        <v>22.9</v>
      </c>
      <c r="AM17" s="41" t="n">
        <v>30784</v>
      </c>
      <c r="AN17" s="41" t="n">
        <v>20010</v>
      </c>
      <c r="AO17" s="41" t="n">
        <v>47744</v>
      </c>
      <c r="AP17" s="42" t="n">
        <v>18.2</v>
      </c>
      <c r="AQ17" s="42" t="n">
        <v>11.8</v>
      </c>
      <c r="AR17" s="42" t="n">
        <v>28.1</v>
      </c>
      <c r="AS17" s="41" t="n">
        <v>37856</v>
      </c>
      <c r="AT17" s="41" t="n">
        <v>24606</v>
      </c>
      <c r="AU17" s="41" t="n">
        <v>58752</v>
      </c>
      <c r="AV17" s="41" t="n">
        <v>2050000000</v>
      </c>
      <c r="AW17" s="41" t="n">
        <v>433000000</v>
      </c>
      <c r="AX17" s="41" t="n">
        <v>40000000</v>
      </c>
      <c r="AY17" s="41" t="n">
        <v>1577000000</v>
      </c>
      <c r="AZ17" s="41" t="n">
        <v>1640000000</v>
      </c>
      <c r="BA17" s="41" t="n">
        <v>349000000</v>
      </c>
      <c r="BB17" s="41" t="n">
        <v>20000000</v>
      </c>
      <c r="BC17" s="41" t="n">
        <v>1270000000</v>
      </c>
      <c r="BD17" s="23" t="n">
        <v>3180000000</v>
      </c>
      <c r="BE17" s="23" t="n">
        <v>704000000</v>
      </c>
      <c r="BF17" s="23" t="n">
        <v>0</v>
      </c>
      <c r="BG17" s="23" t="n">
        <v>2474000000</v>
      </c>
      <c r="BH17" s="23" t="n">
        <v>1450000000</v>
      </c>
      <c r="BI17" s="23" t="n">
        <v>369000000</v>
      </c>
      <c r="BJ17" s="23" t="n">
        <v>0</v>
      </c>
      <c r="BK17" s="23" t="n">
        <v>1081000000</v>
      </c>
      <c r="BL17" s="23" t="n">
        <v>202000000</v>
      </c>
      <c r="BM17" s="23" t="n">
        <v>43500000</v>
      </c>
      <c r="BN17" s="23" t="n">
        <v>0</v>
      </c>
      <c r="BO17" s="23" t="n">
        <v>158500000</v>
      </c>
    </row>
    <row r="18" customFormat="false" ht="12.8" hidden="false" customHeight="false" outlineLevel="0" collapsed="false">
      <c r="A18" s="7" t="n">
        <v>15</v>
      </c>
      <c r="B18" s="7" t="s">
        <v>130</v>
      </c>
      <c r="C18" s="7" t="s">
        <v>122</v>
      </c>
      <c r="D18" s="39" t="n">
        <v>23000</v>
      </c>
      <c r="E18" s="39" t="n">
        <v>920</v>
      </c>
      <c r="F18" s="39" t="n">
        <v>760</v>
      </c>
      <c r="G18" s="39" t="n">
        <v>21320</v>
      </c>
      <c r="H18" s="34" t="n">
        <v>0.95</v>
      </c>
      <c r="I18" s="34" t="n">
        <v>0.93</v>
      </c>
      <c r="J18" s="34" t="n">
        <v>0.88</v>
      </c>
      <c r="K18" s="34" t="n">
        <v>0.95</v>
      </c>
      <c r="L18" s="34" t="n">
        <v>0.62</v>
      </c>
      <c r="M18" s="34" t="n">
        <v>0.68</v>
      </c>
      <c r="N18" s="34" t="n">
        <v>0.74</v>
      </c>
      <c r="O18" s="34" t="n">
        <v>0.615</v>
      </c>
      <c r="P18" s="34" t="n">
        <v>0.05</v>
      </c>
      <c r="Q18" s="34" t="n">
        <v>0.07</v>
      </c>
      <c r="R18" s="34" t="n">
        <v>0.12</v>
      </c>
      <c r="S18" s="34" t="n">
        <v>0.05</v>
      </c>
      <c r="T18" s="34" t="n">
        <v>0.099</v>
      </c>
      <c r="U18" s="34" t="n">
        <v>0.115</v>
      </c>
      <c r="V18" s="34" t="n">
        <v>0.131</v>
      </c>
      <c r="W18" s="34" t="n">
        <v>0.097</v>
      </c>
      <c r="X18" s="40" t="n">
        <v>16.5</v>
      </c>
      <c r="Y18" s="40" t="n">
        <v>10.7</v>
      </c>
      <c r="Z18" s="40" t="n">
        <v>25.6</v>
      </c>
      <c r="AA18" s="41" t="n">
        <v>34320</v>
      </c>
      <c r="AB18" s="41" t="n">
        <v>22308</v>
      </c>
      <c r="AC18" s="41" t="n">
        <v>53280</v>
      </c>
      <c r="AD18" s="42" t="n">
        <v>16</v>
      </c>
      <c r="AE18" s="42" t="n">
        <v>10.4</v>
      </c>
      <c r="AF18" s="42" t="n">
        <v>24.8</v>
      </c>
      <c r="AG18" s="41" t="n">
        <v>33280</v>
      </c>
      <c r="AH18" s="41" t="n">
        <v>21632</v>
      </c>
      <c r="AI18" s="41" t="n">
        <v>51584</v>
      </c>
      <c r="AJ18" s="42" t="n">
        <v>12.8</v>
      </c>
      <c r="AK18" s="42" t="n">
        <v>8.3</v>
      </c>
      <c r="AL18" s="42" t="n">
        <v>19.8</v>
      </c>
      <c r="AM18" s="41" t="n">
        <v>26624</v>
      </c>
      <c r="AN18" s="41" t="n">
        <v>17306</v>
      </c>
      <c r="AO18" s="41" t="n">
        <v>41248</v>
      </c>
      <c r="AP18" s="42" t="n">
        <v>16.7</v>
      </c>
      <c r="AQ18" s="42" t="n">
        <v>10.9</v>
      </c>
      <c r="AR18" s="42" t="n">
        <v>26</v>
      </c>
      <c r="AS18" s="41" t="n">
        <v>34736</v>
      </c>
      <c r="AT18" s="41" t="n">
        <v>22586</v>
      </c>
      <c r="AU18" s="41" t="n">
        <v>53920</v>
      </c>
      <c r="AV18" s="41" t="n">
        <v>280000000</v>
      </c>
      <c r="AW18" s="41" t="n">
        <v>59000000</v>
      </c>
      <c r="AX18" s="41" t="n">
        <v>5500000</v>
      </c>
      <c r="AY18" s="41" t="n">
        <v>215500000</v>
      </c>
      <c r="AZ18" s="41" t="n">
        <v>284000000</v>
      </c>
      <c r="BA18" s="41" t="n">
        <v>60000000</v>
      </c>
      <c r="BB18" s="41" t="n">
        <v>3500000</v>
      </c>
      <c r="BC18" s="41" t="n">
        <v>220500000</v>
      </c>
      <c r="BD18" s="23" t="n">
        <v>630000000</v>
      </c>
      <c r="BE18" s="23" t="n">
        <v>139000000</v>
      </c>
      <c r="BF18" s="23" t="n">
        <v>0</v>
      </c>
      <c r="BG18" s="23" t="n">
        <v>491000000</v>
      </c>
      <c r="BH18" s="23" t="n">
        <v>290000000</v>
      </c>
      <c r="BI18" s="23" t="n">
        <v>74000000</v>
      </c>
      <c r="BJ18" s="23" t="n">
        <v>0</v>
      </c>
      <c r="BK18" s="23" t="n">
        <v>216000000</v>
      </c>
      <c r="BL18" s="23" t="n">
        <v>27000000</v>
      </c>
      <c r="BM18" s="23" t="n">
        <v>6000000</v>
      </c>
      <c r="BN18" s="23" t="n">
        <v>0</v>
      </c>
      <c r="BO18" s="23" t="n">
        <v>21000000</v>
      </c>
    </row>
    <row r="19" customFormat="false" ht="12.8" hidden="false" customHeight="false" outlineLevel="0" collapsed="false">
      <c r="A19" s="7" t="n">
        <v>16</v>
      </c>
      <c r="B19" s="7" t="s">
        <v>130</v>
      </c>
      <c r="C19" s="7" t="s">
        <v>123</v>
      </c>
      <c r="D19" s="39" t="n">
        <v>12000</v>
      </c>
      <c r="E19" s="39" t="n">
        <v>480</v>
      </c>
      <c r="F19" s="39" t="n">
        <v>400</v>
      </c>
      <c r="G19" s="39" t="n">
        <v>11120</v>
      </c>
      <c r="H19" s="34" t="n">
        <v>0.95</v>
      </c>
      <c r="I19" s="34" t="n">
        <v>0.93</v>
      </c>
      <c r="J19" s="34" t="n">
        <v>0.88</v>
      </c>
      <c r="K19" s="34" t="n">
        <v>0.95</v>
      </c>
      <c r="L19" s="34" t="n">
        <v>0.589</v>
      </c>
      <c r="M19" s="34" t="n">
        <v>0.646</v>
      </c>
      <c r="N19" s="34" t="n">
        <v>0.703</v>
      </c>
      <c r="O19" s="34" t="n">
        <v>0.585</v>
      </c>
      <c r="P19" s="34" t="n">
        <v>0.05</v>
      </c>
      <c r="Q19" s="34" t="n">
        <v>0.07</v>
      </c>
      <c r="R19" s="34" t="n">
        <v>0.12</v>
      </c>
      <c r="S19" s="34" t="n">
        <v>0.05</v>
      </c>
      <c r="T19" s="34" t="n">
        <v>0.109</v>
      </c>
      <c r="U19" s="34" t="n">
        <v>0.126</v>
      </c>
      <c r="V19" s="34" t="n">
        <v>0.144</v>
      </c>
      <c r="W19" s="34" t="n">
        <v>0.107</v>
      </c>
      <c r="X19" s="40" t="n">
        <v>14</v>
      </c>
      <c r="Y19" s="40" t="n">
        <v>9.1</v>
      </c>
      <c r="Z19" s="40" t="n">
        <v>21.7</v>
      </c>
      <c r="AA19" s="41" t="n">
        <v>29120</v>
      </c>
      <c r="AB19" s="41" t="n">
        <v>18928</v>
      </c>
      <c r="AC19" s="41" t="n">
        <v>45120</v>
      </c>
      <c r="AD19" s="42" t="n">
        <v>13.6</v>
      </c>
      <c r="AE19" s="42" t="n">
        <v>8.8</v>
      </c>
      <c r="AF19" s="42" t="n">
        <v>21.1</v>
      </c>
      <c r="AG19" s="41" t="n">
        <v>28288</v>
      </c>
      <c r="AH19" s="41" t="n">
        <v>18387</v>
      </c>
      <c r="AI19" s="41" t="n">
        <v>43888</v>
      </c>
      <c r="AJ19" s="42" t="n">
        <v>11.2</v>
      </c>
      <c r="AK19" s="42" t="n">
        <v>7.3</v>
      </c>
      <c r="AL19" s="42" t="n">
        <v>17.4</v>
      </c>
      <c r="AM19" s="41" t="n">
        <v>23296</v>
      </c>
      <c r="AN19" s="41" t="n">
        <v>15142</v>
      </c>
      <c r="AO19" s="41" t="n">
        <v>36128</v>
      </c>
      <c r="AP19" s="42" t="n">
        <v>14.2</v>
      </c>
      <c r="AQ19" s="42" t="n">
        <v>9.2</v>
      </c>
      <c r="AR19" s="42" t="n">
        <v>22</v>
      </c>
      <c r="AS19" s="41" t="n">
        <v>29536</v>
      </c>
      <c r="AT19" s="41" t="n">
        <v>19198</v>
      </c>
      <c r="AU19" s="41" t="n">
        <v>45792</v>
      </c>
      <c r="AV19" s="41" t="n">
        <v>119000000</v>
      </c>
      <c r="AW19" s="41" t="n">
        <v>25000000</v>
      </c>
      <c r="AX19" s="41" t="n">
        <v>2500000</v>
      </c>
      <c r="AY19" s="41" t="n">
        <v>91500000</v>
      </c>
      <c r="AZ19" s="41" t="n">
        <v>120000000</v>
      </c>
      <c r="BA19" s="41" t="n">
        <v>25500000</v>
      </c>
      <c r="BB19" s="41" t="n">
        <v>1500000</v>
      </c>
      <c r="BC19" s="41" t="n">
        <v>93500000</v>
      </c>
      <c r="BD19" s="23" t="n">
        <v>315000000</v>
      </c>
      <c r="BE19" s="23" t="n">
        <v>69500000</v>
      </c>
      <c r="BF19" s="23" t="n">
        <v>0</v>
      </c>
      <c r="BG19" s="23" t="n">
        <v>245500000</v>
      </c>
      <c r="BH19" s="23" t="n">
        <v>145000000</v>
      </c>
      <c r="BI19" s="23" t="n">
        <v>37000000</v>
      </c>
      <c r="BJ19" s="23" t="n">
        <v>0</v>
      </c>
      <c r="BK19" s="23" t="n">
        <v>108000000</v>
      </c>
      <c r="BL19" s="23" t="n">
        <v>13500000</v>
      </c>
      <c r="BM19" s="23" t="n">
        <v>3000000</v>
      </c>
      <c r="BN19" s="23" t="n">
        <v>0</v>
      </c>
      <c r="BO19" s="23" t="n">
        <v>10500000</v>
      </c>
    </row>
    <row r="20" customFormat="false" ht="12.8" hidden="false" customHeight="false" outlineLevel="0" collapsed="false">
      <c r="A20" s="7" t="n">
        <v>17</v>
      </c>
      <c r="B20" s="7" t="s">
        <v>131</v>
      </c>
      <c r="C20" s="7" t="s">
        <v>122</v>
      </c>
      <c r="D20" s="39" t="n">
        <v>20000</v>
      </c>
      <c r="E20" s="39" t="n">
        <v>800</v>
      </c>
      <c r="F20" s="39" t="n">
        <v>670</v>
      </c>
      <c r="G20" s="39" t="n">
        <v>18530</v>
      </c>
      <c r="H20" s="34" t="n">
        <v>0.97</v>
      </c>
      <c r="I20" s="34" t="n">
        <v>0.95</v>
      </c>
      <c r="J20" s="34" t="n">
        <v>0.91</v>
      </c>
      <c r="K20" s="34" t="n">
        <v>0.97</v>
      </c>
      <c r="L20" s="34" t="n">
        <v>0.59</v>
      </c>
      <c r="M20" s="34" t="n">
        <v>0.65</v>
      </c>
      <c r="N20" s="34" t="n">
        <v>0.7</v>
      </c>
      <c r="O20" s="34" t="n">
        <v>0.585</v>
      </c>
      <c r="P20" s="34" t="n">
        <v>0.03</v>
      </c>
      <c r="Q20" s="34" t="n">
        <v>0.055</v>
      </c>
      <c r="R20" s="34" t="n">
        <v>0.09</v>
      </c>
      <c r="S20" s="34" t="n">
        <v>0.03</v>
      </c>
      <c r="T20" s="34" t="n">
        <v>0.079</v>
      </c>
      <c r="U20" s="34" t="n">
        <v>0.092</v>
      </c>
      <c r="V20" s="34" t="n">
        <v>0.105</v>
      </c>
      <c r="W20" s="34" t="n">
        <v>0.077</v>
      </c>
      <c r="X20" s="40" t="n">
        <v>24.7</v>
      </c>
      <c r="Y20" s="40" t="n">
        <v>16.1</v>
      </c>
      <c r="Z20" s="40" t="n">
        <v>38.3</v>
      </c>
      <c r="AA20" s="41" t="n">
        <v>51344</v>
      </c>
      <c r="AB20" s="41" t="n">
        <v>33374</v>
      </c>
      <c r="AC20" s="41" t="n">
        <v>79568</v>
      </c>
      <c r="AD20" s="42" t="n">
        <v>24</v>
      </c>
      <c r="AE20" s="42" t="n">
        <v>15.6</v>
      </c>
      <c r="AF20" s="42" t="n">
        <v>37.2</v>
      </c>
      <c r="AG20" s="41" t="n">
        <v>49920</v>
      </c>
      <c r="AH20" s="41" t="n">
        <v>32448</v>
      </c>
      <c r="AI20" s="41" t="n">
        <v>77440</v>
      </c>
      <c r="AJ20" s="42" t="n">
        <v>21.6</v>
      </c>
      <c r="AK20" s="42" t="n">
        <v>14</v>
      </c>
      <c r="AL20" s="42" t="n">
        <v>33.5</v>
      </c>
      <c r="AM20" s="41" t="n">
        <v>44928</v>
      </c>
      <c r="AN20" s="41" t="n">
        <v>29203</v>
      </c>
      <c r="AO20" s="41" t="n">
        <v>69744</v>
      </c>
      <c r="AP20" s="42" t="n">
        <v>25</v>
      </c>
      <c r="AQ20" s="42" t="n">
        <v>16.3</v>
      </c>
      <c r="AR20" s="42" t="n">
        <v>38.8</v>
      </c>
      <c r="AS20" s="41" t="n">
        <v>52000</v>
      </c>
      <c r="AT20" s="41" t="n">
        <v>33800</v>
      </c>
      <c r="AU20" s="41" t="n">
        <v>80704</v>
      </c>
      <c r="AV20" s="41" t="n">
        <v>315000000</v>
      </c>
      <c r="AW20" s="41" t="n">
        <v>66000000</v>
      </c>
      <c r="AX20" s="41" t="n">
        <v>6500000</v>
      </c>
      <c r="AY20" s="41" t="n">
        <v>242500000</v>
      </c>
      <c r="AZ20" s="41" t="n">
        <v>228000000</v>
      </c>
      <c r="BA20" s="41" t="n">
        <v>48500000</v>
      </c>
      <c r="BB20" s="41" t="n">
        <v>3000000</v>
      </c>
      <c r="BC20" s="41" t="n">
        <v>176500000</v>
      </c>
      <c r="BD20" s="23" t="n">
        <v>337000000</v>
      </c>
      <c r="BE20" s="23" t="n">
        <v>74500000</v>
      </c>
      <c r="BF20" s="23" t="n">
        <v>0</v>
      </c>
      <c r="BG20" s="23" t="n">
        <v>262500000</v>
      </c>
      <c r="BH20" s="23" t="n">
        <v>154000000</v>
      </c>
      <c r="BI20" s="23" t="n">
        <v>39000000</v>
      </c>
      <c r="BJ20" s="23" t="n">
        <v>0</v>
      </c>
      <c r="BK20" s="23" t="n">
        <v>115000000</v>
      </c>
      <c r="BL20" s="23" t="n">
        <v>18000000</v>
      </c>
      <c r="BM20" s="23" t="n">
        <v>4000000</v>
      </c>
      <c r="BN20" s="23" t="n">
        <v>0</v>
      </c>
      <c r="BO20" s="23" t="n">
        <v>14000000</v>
      </c>
    </row>
    <row r="21" customFormat="false" ht="12.8" hidden="false" customHeight="false" outlineLevel="0" collapsed="false">
      <c r="A21" s="7" t="n">
        <v>18</v>
      </c>
      <c r="B21" s="7" t="s">
        <v>131</v>
      </c>
      <c r="C21" s="7" t="s">
        <v>123</v>
      </c>
      <c r="D21" s="39" t="n">
        <v>10000</v>
      </c>
      <c r="E21" s="39" t="n">
        <v>400</v>
      </c>
      <c r="F21" s="39" t="n">
        <v>330</v>
      </c>
      <c r="G21" s="39" t="n">
        <v>9270</v>
      </c>
      <c r="H21" s="34" t="n">
        <v>0.97</v>
      </c>
      <c r="I21" s="34" t="n">
        <v>0.95</v>
      </c>
      <c r="J21" s="34" t="n">
        <v>0.91</v>
      </c>
      <c r="K21" s="34" t="n">
        <v>0.97</v>
      </c>
      <c r="L21" s="34" t="n">
        <v>0.561</v>
      </c>
      <c r="M21" s="34" t="n">
        <v>0.617</v>
      </c>
      <c r="N21" s="34" t="n">
        <v>0.665</v>
      </c>
      <c r="O21" s="34" t="n">
        <v>0.556</v>
      </c>
      <c r="P21" s="34" t="n">
        <v>0.03</v>
      </c>
      <c r="Q21" s="34" t="n">
        <v>0.055</v>
      </c>
      <c r="R21" s="34" t="n">
        <v>0.09</v>
      </c>
      <c r="S21" s="34" t="n">
        <v>0.03</v>
      </c>
      <c r="T21" s="34" t="n">
        <v>0.087</v>
      </c>
      <c r="U21" s="34" t="n">
        <v>0.101</v>
      </c>
      <c r="V21" s="34" t="n">
        <v>0.115</v>
      </c>
      <c r="W21" s="34" t="n">
        <v>0.085</v>
      </c>
      <c r="X21" s="40" t="n">
        <v>21</v>
      </c>
      <c r="Y21" s="40" t="n">
        <v>13.7</v>
      </c>
      <c r="Z21" s="40" t="n">
        <v>32.6</v>
      </c>
      <c r="AA21" s="41" t="n">
        <v>43680</v>
      </c>
      <c r="AB21" s="41" t="n">
        <v>28392</v>
      </c>
      <c r="AC21" s="41" t="n">
        <v>67728</v>
      </c>
      <c r="AD21" s="42" t="n">
        <v>20.4</v>
      </c>
      <c r="AE21" s="42" t="n">
        <v>13.3</v>
      </c>
      <c r="AF21" s="42" t="n">
        <v>31.6</v>
      </c>
      <c r="AG21" s="41" t="n">
        <v>42432</v>
      </c>
      <c r="AH21" s="41" t="n">
        <v>27581</v>
      </c>
      <c r="AI21" s="41" t="n">
        <v>65856</v>
      </c>
      <c r="AJ21" s="42" t="n">
        <v>18.4</v>
      </c>
      <c r="AK21" s="42" t="n">
        <v>12</v>
      </c>
      <c r="AL21" s="42" t="n">
        <v>28.5</v>
      </c>
      <c r="AM21" s="41" t="n">
        <v>38272</v>
      </c>
      <c r="AN21" s="41" t="n">
        <v>24877</v>
      </c>
      <c r="AO21" s="41" t="n">
        <v>59360</v>
      </c>
      <c r="AP21" s="42" t="n">
        <v>21.3</v>
      </c>
      <c r="AQ21" s="42" t="n">
        <v>13.8</v>
      </c>
      <c r="AR21" s="42" t="n">
        <v>33</v>
      </c>
      <c r="AS21" s="41" t="n">
        <v>44304</v>
      </c>
      <c r="AT21" s="41" t="n">
        <v>28808</v>
      </c>
      <c r="AU21" s="41" t="n">
        <v>68736</v>
      </c>
      <c r="AV21" s="41" t="n">
        <v>133000000</v>
      </c>
      <c r="AW21" s="41" t="n">
        <v>28000000</v>
      </c>
      <c r="AX21" s="41" t="n">
        <v>3000000</v>
      </c>
      <c r="AY21" s="41" t="n">
        <v>102000000</v>
      </c>
      <c r="AZ21" s="41" t="n">
        <v>96000000</v>
      </c>
      <c r="BA21" s="41" t="n">
        <v>20500000</v>
      </c>
      <c r="BB21" s="41" t="n">
        <v>1500000</v>
      </c>
      <c r="BC21" s="41" t="n">
        <v>74500000</v>
      </c>
      <c r="BD21" s="23" t="n">
        <v>168000000</v>
      </c>
      <c r="BE21" s="23" t="n">
        <v>37000000</v>
      </c>
      <c r="BF21" s="23" t="n">
        <v>0</v>
      </c>
      <c r="BG21" s="23" t="n">
        <v>131000000</v>
      </c>
      <c r="BH21" s="23" t="n">
        <v>77000000</v>
      </c>
      <c r="BI21" s="23" t="n">
        <v>19500000</v>
      </c>
      <c r="BJ21" s="23" t="n">
        <v>0</v>
      </c>
      <c r="BK21" s="23" t="n">
        <v>57500000</v>
      </c>
      <c r="BL21" s="23" t="n">
        <v>9000000</v>
      </c>
      <c r="BM21" s="23" t="n">
        <v>2000000</v>
      </c>
      <c r="BN21" s="23" t="n">
        <v>0</v>
      </c>
      <c r="BO21" s="23" t="n">
        <v>7000000</v>
      </c>
    </row>
    <row r="22" customFormat="false" ht="12.8" hidden="false" customHeight="false" outlineLevel="0" collapsed="false">
      <c r="A22" s="7" t="n">
        <v>19</v>
      </c>
      <c r="B22" s="7" t="s">
        <v>133</v>
      </c>
      <c r="C22" s="7" t="s">
        <v>122</v>
      </c>
      <c r="D22" s="39" t="n">
        <v>93000</v>
      </c>
      <c r="E22" s="39" t="n">
        <v>3720</v>
      </c>
      <c r="F22" s="39" t="n">
        <v>3090</v>
      </c>
      <c r="G22" s="39" t="n">
        <v>86190</v>
      </c>
      <c r="H22" s="34" t="n">
        <v>0.975</v>
      </c>
      <c r="I22" s="34" t="n">
        <v>0.96</v>
      </c>
      <c r="J22" s="34" t="n">
        <v>0.92</v>
      </c>
      <c r="K22" s="34" t="n">
        <v>0.975</v>
      </c>
      <c r="L22" s="34" t="n">
        <v>0.531</v>
      </c>
      <c r="M22" s="34" t="n">
        <v>0.585</v>
      </c>
      <c r="N22" s="34" t="n">
        <v>0.63</v>
      </c>
      <c r="O22" s="34" t="n">
        <v>0.526</v>
      </c>
      <c r="P22" s="34" t="n">
        <v>0.025</v>
      </c>
      <c r="Q22" s="34" t="n">
        <v>0.045</v>
      </c>
      <c r="R22" s="34" t="n">
        <v>0.08</v>
      </c>
      <c r="S22" s="34" t="n">
        <v>0.025</v>
      </c>
      <c r="T22" s="34" t="n">
        <v>0.063</v>
      </c>
      <c r="U22" s="34" t="n">
        <v>0.073</v>
      </c>
      <c r="V22" s="34" t="n">
        <v>0.083</v>
      </c>
      <c r="W22" s="34" t="n">
        <v>0.061</v>
      </c>
      <c r="X22" s="40" t="n">
        <v>30.9</v>
      </c>
      <c r="Y22" s="40" t="n">
        <v>20.1</v>
      </c>
      <c r="Z22" s="40" t="n">
        <v>47.9</v>
      </c>
      <c r="AA22" s="41" t="n">
        <v>64288</v>
      </c>
      <c r="AB22" s="41" t="n">
        <v>41787</v>
      </c>
      <c r="AC22" s="41" t="n">
        <v>99728</v>
      </c>
      <c r="AD22" s="42" t="n">
        <v>30</v>
      </c>
      <c r="AE22" s="42" t="n">
        <v>19.5</v>
      </c>
      <c r="AF22" s="42" t="n">
        <v>46.5</v>
      </c>
      <c r="AG22" s="41" t="n">
        <v>62400</v>
      </c>
      <c r="AH22" s="41" t="n">
        <v>40560</v>
      </c>
      <c r="AI22" s="41" t="n">
        <v>96720</v>
      </c>
      <c r="AJ22" s="42" t="n">
        <v>28.5</v>
      </c>
      <c r="AK22" s="42" t="n">
        <v>18.5</v>
      </c>
      <c r="AL22" s="42" t="n">
        <v>44.2</v>
      </c>
      <c r="AM22" s="41" t="n">
        <v>59280</v>
      </c>
      <c r="AN22" s="41" t="n">
        <v>38520</v>
      </c>
      <c r="AO22" s="41" t="n">
        <v>91920</v>
      </c>
      <c r="AP22" s="42" t="n">
        <v>31.3</v>
      </c>
      <c r="AQ22" s="42" t="n">
        <v>20.3</v>
      </c>
      <c r="AR22" s="42" t="n">
        <v>48.5</v>
      </c>
      <c r="AS22" s="41" t="n">
        <v>65024</v>
      </c>
      <c r="AT22" s="41" t="n">
        <v>42266</v>
      </c>
      <c r="AU22" s="41" t="n">
        <v>100848</v>
      </c>
      <c r="AV22" s="41" t="n">
        <v>5700000000</v>
      </c>
      <c r="AW22" s="41" t="n">
        <v>1200000000</v>
      </c>
      <c r="AX22" s="41" t="n">
        <v>125000000</v>
      </c>
      <c r="AY22" s="41" t="n">
        <v>4375000000</v>
      </c>
      <c r="AZ22" s="41" t="n">
        <v>4120000000</v>
      </c>
      <c r="BA22" s="41" t="n">
        <v>875000000</v>
      </c>
      <c r="BB22" s="41" t="n">
        <v>60000000</v>
      </c>
      <c r="BC22" s="41" t="n">
        <v>3187000000</v>
      </c>
      <c r="BD22" s="23" t="n">
        <v>4670000000</v>
      </c>
      <c r="BE22" s="23" t="n">
        <v>1030000000</v>
      </c>
      <c r="BF22" s="23" t="n">
        <v>0</v>
      </c>
      <c r="BG22" s="23" t="n">
        <v>3637000000</v>
      </c>
      <c r="BH22" s="23" t="n">
        <v>2140000000</v>
      </c>
      <c r="BI22" s="23" t="n">
        <v>546000000</v>
      </c>
      <c r="BJ22" s="23" t="n">
        <v>0</v>
      </c>
      <c r="BK22" s="23" t="n">
        <v>1594000000</v>
      </c>
      <c r="BL22" s="23" t="n">
        <v>343000000</v>
      </c>
      <c r="BM22" s="23" t="n">
        <v>74000000</v>
      </c>
      <c r="BN22" s="23" t="n">
        <v>0</v>
      </c>
      <c r="BO22" s="23" t="n">
        <v>269000000</v>
      </c>
    </row>
    <row r="23" customFormat="false" ht="12.8" hidden="false" customHeight="false" outlineLevel="0" collapsed="false">
      <c r="A23" s="7" t="n">
        <v>20</v>
      </c>
      <c r="B23" s="7" t="s">
        <v>133</v>
      </c>
      <c r="C23" s="7" t="s">
        <v>123</v>
      </c>
      <c r="D23" s="39" t="n">
        <v>47000</v>
      </c>
      <c r="E23" s="39" t="n">
        <v>1880</v>
      </c>
      <c r="F23" s="39" t="n">
        <v>1560</v>
      </c>
      <c r="G23" s="39" t="n">
        <v>43560</v>
      </c>
      <c r="H23" s="34" t="n">
        <v>0.975</v>
      </c>
      <c r="I23" s="34" t="n">
        <v>0.96</v>
      </c>
      <c r="J23" s="34" t="n">
        <v>0.92</v>
      </c>
      <c r="K23" s="34" t="n">
        <v>0.975</v>
      </c>
      <c r="L23" s="34" t="n">
        <v>0.504</v>
      </c>
      <c r="M23" s="34" t="n">
        <v>0.556</v>
      </c>
      <c r="N23" s="34" t="n">
        <v>0.599</v>
      </c>
      <c r="O23" s="34" t="n">
        <v>0.5</v>
      </c>
      <c r="P23" s="34" t="n">
        <v>0.025</v>
      </c>
      <c r="Q23" s="34" t="n">
        <v>0.045</v>
      </c>
      <c r="R23" s="34" t="n">
        <v>0.08</v>
      </c>
      <c r="S23" s="34" t="n">
        <v>0.025</v>
      </c>
      <c r="T23" s="34" t="n">
        <v>0.069</v>
      </c>
      <c r="U23" s="34" t="n">
        <v>0.08</v>
      </c>
      <c r="V23" s="34" t="n">
        <v>0.092</v>
      </c>
      <c r="W23" s="34" t="n">
        <v>0.067</v>
      </c>
      <c r="X23" s="40" t="n">
        <v>26.3</v>
      </c>
      <c r="Y23" s="40" t="n">
        <v>17.1</v>
      </c>
      <c r="Z23" s="40" t="n">
        <v>40.8</v>
      </c>
      <c r="AA23" s="41" t="n">
        <v>54768</v>
      </c>
      <c r="AB23" s="41" t="n">
        <v>35599</v>
      </c>
      <c r="AC23" s="41" t="n">
        <v>84864</v>
      </c>
      <c r="AD23" s="42" t="n">
        <v>25.5</v>
      </c>
      <c r="AE23" s="42" t="n">
        <v>16.6</v>
      </c>
      <c r="AF23" s="42" t="n">
        <v>39.5</v>
      </c>
      <c r="AG23" s="41" t="n">
        <v>53040</v>
      </c>
      <c r="AH23" s="41" t="n">
        <v>34476</v>
      </c>
      <c r="AI23" s="41" t="n">
        <v>82264</v>
      </c>
      <c r="AJ23" s="42" t="n">
        <v>24.3</v>
      </c>
      <c r="AK23" s="42" t="n">
        <v>15.8</v>
      </c>
      <c r="AL23" s="42" t="n">
        <v>37.6</v>
      </c>
      <c r="AM23" s="41" t="n">
        <v>50544</v>
      </c>
      <c r="AN23" s="41" t="n">
        <v>32854</v>
      </c>
      <c r="AO23" s="41" t="n">
        <v>78400</v>
      </c>
      <c r="AP23" s="42" t="n">
        <v>26.6</v>
      </c>
      <c r="AQ23" s="42" t="n">
        <v>17.3</v>
      </c>
      <c r="AR23" s="42" t="n">
        <v>41.3</v>
      </c>
      <c r="AS23" s="41" t="n">
        <v>55360</v>
      </c>
      <c r="AT23" s="41" t="n">
        <v>35984</v>
      </c>
      <c r="AU23" s="41" t="n">
        <v>85888</v>
      </c>
      <c r="AV23" s="41" t="n">
        <v>2420000000</v>
      </c>
      <c r="AW23" s="41" t="n">
        <v>510000000</v>
      </c>
      <c r="AX23" s="41" t="n">
        <v>53000000</v>
      </c>
      <c r="AY23" s="41" t="n">
        <v>1859000000</v>
      </c>
      <c r="AZ23" s="41" t="n">
        <v>1750000000</v>
      </c>
      <c r="BA23" s="41" t="n">
        <v>372000000</v>
      </c>
      <c r="BB23" s="41" t="n">
        <v>25000000</v>
      </c>
      <c r="BC23" s="41" t="n">
        <v>1353000000</v>
      </c>
      <c r="BD23" s="23" t="n">
        <v>2330000000</v>
      </c>
      <c r="BE23" s="23" t="n">
        <v>515000000</v>
      </c>
      <c r="BF23" s="23" t="n">
        <v>0</v>
      </c>
      <c r="BG23" s="23" t="n">
        <v>1815000000</v>
      </c>
      <c r="BH23" s="23" t="n">
        <v>1070000000</v>
      </c>
      <c r="BI23" s="23" t="n">
        <v>273000000</v>
      </c>
      <c r="BJ23" s="23" t="n">
        <v>0</v>
      </c>
      <c r="BK23" s="23" t="n">
        <v>797000000</v>
      </c>
      <c r="BL23" s="23" t="n">
        <v>171000000</v>
      </c>
      <c r="BM23" s="23" t="n">
        <v>37000000</v>
      </c>
      <c r="BN23" s="23" t="n">
        <v>0</v>
      </c>
      <c r="BO23" s="23" t="n">
        <v>134000000</v>
      </c>
    </row>
    <row r="24" customFormat="false" ht="12.8" hidden="false" customHeight="false" outlineLevel="0" collapsed="false">
      <c r="A24" s="7" t="n">
        <v>21</v>
      </c>
      <c r="B24" s="7" t="s">
        <v>134</v>
      </c>
      <c r="C24" s="7" t="s">
        <v>122</v>
      </c>
      <c r="D24" s="39" t="n">
        <v>109000</v>
      </c>
      <c r="E24" s="39" t="n">
        <v>4360</v>
      </c>
      <c r="F24" s="39" t="n">
        <v>3620</v>
      </c>
      <c r="G24" s="39" t="n">
        <v>101020</v>
      </c>
      <c r="H24" s="34" t="n">
        <v>0.97</v>
      </c>
      <c r="I24" s="34" t="n">
        <v>0.95</v>
      </c>
      <c r="J24" s="34" t="n">
        <v>0.91</v>
      </c>
      <c r="K24" s="34" t="n">
        <v>0.97</v>
      </c>
      <c r="L24" s="34" t="n">
        <v>0.501</v>
      </c>
      <c r="M24" s="34" t="n">
        <v>0.552</v>
      </c>
      <c r="N24" s="34" t="n">
        <v>0.595</v>
      </c>
      <c r="O24" s="34" t="n">
        <v>0.497</v>
      </c>
      <c r="P24" s="34" t="n">
        <v>0.03</v>
      </c>
      <c r="Q24" s="34" t="n">
        <v>0.05</v>
      </c>
      <c r="R24" s="34" t="n">
        <v>0.09</v>
      </c>
      <c r="S24" s="34" t="n">
        <v>0.03</v>
      </c>
      <c r="T24" s="34" t="n">
        <v>0.055</v>
      </c>
      <c r="U24" s="34" t="n">
        <v>0.064</v>
      </c>
      <c r="V24" s="34" t="n">
        <v>0.073</v>
      </c>
      <c r="W24" s="34" t="n">
        <v>0.054</v>
      </c>
      <c r="X24" s="40" t="n">
        <v>36.1</v>
      </c>
      <c r="Y24" s="40" t="n">
        <v>23.5</v>
      </c>
      <c r="Z24" s="40" t="n">
        <v>55.9</v>
      </c>
      <c r="AA24" s="41" t="n">
        <v>75088</v>
      </c>
      <c r="AB24" s="41" t="n">
        <v>48797</v>
      </c>
      <c r="AC24" s="41" t="n">
        <v>116504</v>
      </c>
      <c r="AD24" s="42" t="n">
        <v>35</v>
      </c>
      <c r="AE24" s="42" t="n">
        <v>22.8</v>
      </c>
      <c r="AF24" s="42" t="n">
        <v>54.3</v>
      </c>
      <c r="AG24" s="41" t="n">
        <v>72800</v>
      </c>
      <c r="AH24" s="41" t="n">
        <v>47320</v>
      </c>
      <c r="AI24" s="41" t="n">
        <v>112840</v>
      </c>
      <c r="AJ24" s="42" t="n">
        <v>33.3</v>
      </c>
      <c r="AK24" s="42" t="n">
        <v>21.6</v>
      </c>
      <c r="AL24" s="42" t="n">
        <v>51.6</v>
      </c>
      <c r="AM24" s="41" t="n">
        <v>69264</v>
      </c>
      <c r="AN24" s="41" t="n">
        <v>45022</v>
      </c>
      <c r="AO24" s="41" t="n">
        <v>107424</v>
      </c>
      <c r="AP24" s="42" t="n">
        <v>36.5</v>
      </c>
      <c r="AQ24" s="42" t="n">
        <v>23.7</v>
      </c>
      <c r="AR24" s="42" t="n">
        <v>56.6</v>
      </c>
      <c r="AS24" s="41" t="n">
        <v>75920</v>
      </c>
      <c r="AT24" s="41" t="n">
        <v>49348</v>
      </c>
      <c r="AU24" s="41" t="n">
        <v>117832</v>
      </c>
      <c r="AV24" s="41" t="n">
        <v>10400000000</v>
      </c>
      <c r="AW24" s="41" t="n">
        <v>2190000000</v>
      </c>
      <c r="AX24" s="41" t="n">
        <v>230000000</v>
      </c>
      <c r="AY24" s="41" t="n">
        <v>8000000000</v>
      </c>
      <c r="AZ24" s="41" t="n">
        <v>6320000000</v>
      </c>
      <c r="BA24" s="41" t="n">
        <v>1340000000</v>
      </c>
      <c r="BB24" s="41" t="n">
        <v>90000000</v>
      </c>
      <c r="BC24" s="41" t="n">
        <v>4890000000</v>
      </c>
      <c r="BD24" s="23" t="n">
        <v>6270000000</v>
      </c>
      <c r="BE24" s="23" t="n">
        <v>1380000000</v>
      </c>
      <c r="BF24" s="23" t="n">
        <v>0</v>
      </c>
      <c r="BG24" s="23" t="n">
        <v>4850000000</v>
      </c>
      <c r="BH24" s="23" t="n">
        <v>2880000000</v>
      </c>
      <c r="BI24" s="23" t="n">
        <v>734000000</v>
      </c>
      <c r="BJ24" s="23" t="n">
        <v>0</v>
      </c>
      <c r="BK24" s="23" t="n">
        <v>2146000000</v>
      </c>
      <c r="BL24" s="23" t="n">
        <v>708000000</v>
      </c>
      <c r="BM24" s="23" t="n">
        <v>151000000</v>
      </c>
      <c r="BN24" s="23" t="n">
        <v>0</v>
      </c>
      <c r="BO24" s="23" t="n">
        <v>557000000</v>
      </c>
    </row>
    <row r="25" customFormat="false" ht="12.8" hidden="false" customHeight="false" outlineLevel="0" collapsed="false">
      <c r="A25" s="7" t="n">
        <v>22</v>
      </c>
      <c r="B25" s="7" t="s">
        <v>134</v>
      </c>
      <c r="C25" s="7" t="s">
        <v>123</v>
      </c>
      <c r="D25" s="39" t="n">
        <v>55000</v>
      </c>
      <c r="E25" s="39" t="n">
        <v>2200</v>
      </c>
      <c r="F25" s="39" t="n">
        <v>1830</v>
      </c>
      <c r="G25" s="39" t="n">
        <v>51000</v>
      </c>
      <c r="H25" s="34" t="n">
        <v>0.97</v>
      </c>
      <c r="I25" s="34" t="n">
        <v>0.95</v>
      </c>
      <c r="J25" s="34" t="n">
        <v>0.91</v>
      </c>
      <c r="K25" s="34" t="n">
        <v>0.97</v>
      </c>
      <c r="L25" s="34" t="n">
        <v>0.476</v>
      </c>
      <c r="M25" s="34" t="n">
        <v>0.524</v>
      </c>
      <c r="N25" s="34" t="n">
        <v>0.565</v>
      </c>
      <c r="O25" s="34" t="n">
        <v>0.472</v>
      </c>
      <c r="P25" s="34" t="n">
        <v>0.03</v>
      </c>
      <c r="Q25" s="34" t="n">
        <v>0.05</v>
      </c>
      <c r="R25" s="34" t="n">
        <v>0.09</v>
      </c>
      <c r="S25" s="34" t="n">
        <v>0.03</v>
      </c>
      <c r="T25" s="34" t="n">
        <v>0.061</v>
      </c>
      <c r="U25" s="34" t="n">
        <v>0.07</v>
      </c>
      <c r="V25" s="34" t="n">
        <v>0.08</v>
      </c>
      <c r="W25" s="34" t="n">
        <v>0.059</v>
      </c>
      <c r="X25" s="40" t="n">
        <v>30.7</v>
      </c>
      <c r="Y25" s="40" t="n">
        <v>20</v>
      </c>
      <c r="Z25" s="40" t="n">
        <v>47.6</v>
      </c>
      <c r="AA25" s="41" t="n">
        <v>63856</v>
      </c>
      <c r="AB25" s="41" t="n">
        <v>41506</v>
      </c>
      <c r="AC25" s="41" t="n">
        <v>99024</v>
      </c>
      <c r="AD25" s="42" t="n">
        <v>29.8</v>
      </c>
      <c r="AE25" s="42" t="n">
        <v>19.4</v>
      </c>
      <c r="AF25" s="42" t="n">
        <v>46.2</v>
      </c>
      <c r="AG25" s="41" t="n">
        <v>61984</v>
      </c>
      <c r="AH25" s="41" t="n">
        <v>40290</v>
      </c>
      <c r="AI25" s="41" t="n">
        <v>96240</v>
      </c>
      <c r="AJ25" s="42" t="n">
        <v>28.3</v>
      </c>
      <c r="AK25" s="42" t="n">
        <v>18.4</v>
      </c>
      <c r="AL25" s="42" t="n">
        <v>43.9</v>
      </c>
      <c r="AM25" s="41" t="n">
        <v>58880</v>
      </c>
      <c r="AN25" s="41" t="n">
        <v>38272</v>
      </c>
      <c r="AO25" s="41" t="n">
        <v>91312</v>
      </c>
      <c r="AP25" s="42" t="n">
        <v>31.1</v>
      </c>
      <c r="AQ25" s="42" t="n">
        <v>20.2</v>
      </c>
      <c r="AR25" s="42" t="n">
        <v>48.2</v>
      </c>
      <c r="AS25" s="41" t="n">
        <v>64688</v>
      </c>
      <c r="AT25" s="41" t="n">
        <v>42047</v>
      </c>
      <c r="AU25" s="41" t="n">
        <v>100272</v>
      </c>
      <c r="AV25" s="41" t="n">
        <v>4420000000</v>
      </c>
      <c r="AW25" s="41" t="n">
        <v>930000000</v>
      </c>
      <c r="AX25" s="41" t="n">
        <v>98000000</v>
      </c>
      <c r="AY25" s="41" t="n">
        <v>3390000000</v>
      </c>
      <c r="AZ25" s="41" t="n">
        <v>2680000000</v>
      </c>
      <c r="BA25" s="41" t="n">
        <v>569000000</v>
      </c>
      <c r="BB25" s="41" t="n">
        <v>38000000</v>
      </c>
      <c r="BC25" s="41" t="n">
        <v>2072000000</v>
      </c>
      <c r="BD25" s="23" t="n">
        <v>3130000000</v>
      </c>
      <c r="BE25" s="23" t="n">
        <v>692000000</v>
      </c>
      <c r="BF25" s="23" t="n">
        <v>0</v>
      </c>
      <c r="BG25" s="23" t="n">
        <v>2438000000</v>
      </c>
      <c r="BH25" s="23" t="n">
        <v>1440000000</v>
      </c>
      <c r="BI25" s="23" t="n">
        <v>367000000</v>
      </c>
      <c r="BJ25" s="23" t="n">
        <v>0</v>
      </c>
      <c r="BK25" s="23" t="n">
        <v>1073000000</v>
      </c>
      <c r="BL25" s="23" t="n">
        <v>354000000</v>
      </c>
      <c r="BM25" s="23" t="n">
        <v>76000000</v>
      </c>
      <c r="BN25" s="23" t="n">
        <v>0</v>
      </c>
      <c r="BO25" s="23" t="n">
        <v>278000000</v>
      </c>
    </row>
    <row r="26" customFormat="false" ht="12.8" hidden="false" customHeight="false" outlineLevel="0" collapsed="false">
      <c r="A26" s="7" t="n">
        <v>23</v>
      </c>
      <c r="B26" s="7" t="s">
        <v>135</v>
      </c>
      <c r="C26" s="7" t="s">
        <v>122</v>
      </c>
      <c r="D26" s="39" t="n">
        <v>56000</v>
      </c>
      <c r="E26" s="39" t="n">
        <v>2240</v>
      </c>
      <c r="F26" s="39" t="n">
        <v>1860</v>
      </c>
      <c r="G26" s="39" t="n">
        <v>51900</v>
      </c>
      <c r="H26" s="34" t="n">
        <v>0.975</v>
      </c>
      <c r="I26" s="34" t="n">
        <v>0.96</v>
      </c>
      <c r="J26" s="34" t="n">
        <v>0.92</v>
      </c>
      <c r="K26" s="34" t="n">
        <v>0.975</v>
      </c>
      <c r="L26" s="34" t="n">
        <v>0.501</v>
      </c>
      <c r="M26" s="34" t="n">
        <v>0.552</v>
      </c>
      <c r="N26" s="34" t="n">
        <v>0.595</v>
      </c>
      <c r="O26" s="34" t="n">
        <v>0.497</v>
      </c>
      <c r="P26" s="34" t="n">
        <v>0.025</v>
      </c>
      <c r="Q26" s="34" t="n">
        <v>0.045</v>
      </c>
      <c r="R26" s="34" t="n">
        <v>0.08</v>
      </c>
      <c r="S26" s="34" t="n">
        <v>0.025</v>
      </c>
      <c r="T26" s="34" t="n">
        <v>0.055</v>
      </c>
      <c r="U26" s="34" t="n">
        <v>0.064</v>
      </c>
      <c r="V26" s="34" t="n">
        <v>0.073</v>
      </c>
      <c r="W26" s="34" t="n">
        <v>0.054</v>
      </c>
      <c r="X26" s="40" t="n">
        <v>28.8</v>
      </c>
      <c r="Y26" s="40" t="n">
        <v>18.7</v>
      </c>
      <c r="Z26" s="40" t="n">
        <v>44.6</v>
      </c>
      <c r="AA26" s="41" t="n">
        <v>59904</v>
      </c>
      <c r="AB26" s="41" t="n">
        <v>38938</v>
      </c>
      <c r="AC26" s="41" t="n">
        <v>92944</v>
      </c>
      <c r="AD26" s="42" t="n">
        <v>28</v>
      </c>
      <c r="AE26" s="42" t="n">
        <v>18.2</v>
      </c>
      <c r="AF26" s="42" t="n">
        <v>43.4</v>
      </c>
      <c r="AG26" s="41" t="n">
        <v>58240</v>
      </c>
      <c r="AH26" s="41" t="n">
        <v>37856</v>
      </c>
      <c r="AI26" s="41" t="n">
        <v>90368</v>
      </c>
      <c r="AJ26" s="42" t="n">
        <v>26.6</v>
      </c>
      <c r="AK26" s="42" t="n">
        <v>17.3</v>
      </c>
      <c r="AL26" s="42" t="n">
        <v>41.2</v>
      </c>
      <c r="AM26" s="41" t="n">
        <v>55360</v>
      </c>
      <c r="AN26" s="41" t="n">
        <v>35984</v>
      </c>
      <c r="AO26" s="41" t="n">
        <v>85888</v>
      </c>
      <c r="AP26" s="42" t="n">
        <v>29.2</v>
      </c>
      <c r="AQ26" s="42" t="n">
        <v>19</v>
      </c>
      <c r="AR26" s="42" t="n">
        <v>45.3</v>
      </c>
      <c r="AS26" s="41" t="n">
        <v>60736</v>
      </c>
      <c r="AT26" s="41" t="n">
        <v>39478</v>
      </c>
      <c r="AU26" s="41" t="n">
        <v>94176</v>
      </c>
      <c r="AV26" s="41" t="n">
        <v>1870000000</v>
      </c>
      <c r="AW26" s="41" t="n">
        <v>394000000</v>
      </c>
      <c r="AX26" s="41" t="n">
        <v>40000000</v>
      </c>
      <c r="AY26" s="41" t="n">
        <v>1436000000</v>
      </c>
      <c r="AZ26" s="41" t="n">
        <v>1350000000</v>
      </c>
      <c r="BA26" s="41" t="n">
        <v>287000000</v>
      </c>
      <c r="BB26" s="41" t="n">
        <v>19000000</v>
      </c>
      <c r="BC26" s="41" t="n">
        <v>1046000000</v>
      </c>
      <c r="BD26" s="23" t="n">
        <v>1670000000</v>
      </c>
      <c r="BE26" s="23" t="n">
        <v>370000000</v>
      </c>
      <c r="BF26" s="23" t="n">
        <v>0</v>
      </c>
      <c r="BG26" s="23" t="n">
        <v>1300000000</v>
      </c>
      <c r="BH26" s="23" t="n">
        <v>767000000</v>
      </c>
      <c r="BI26" s="23" t="n">
        <v>195000000</v>
      </c>
      <c r="BJ26" s="23" t="n">
        <v>0</v>
      </c>
      <c r="BK26" s="23" t="n">
        <v>572000000</v>
      </c>
      <c r="BL26" s="23" t="n">
        <v>188000000</v>
      </c>
      <c r="BM26" s="23" t="n">
        <v>40000000</v>
      </c>
      <c r="BN26" s="23" t="n">
        <v>0</v>
      </c>
      <c r="BO26" s="23" t="n">
        <v>148000000</v>
      </c>
    </row>
    <row r="27" customFormat="false" ht="12.8" hidden="false" customHeight="false" outlineLevel="0" collapsed="false">
      <c r="A27" s="7" t="n">
        <v>24</v>
      </c>
      <c r="B27" s="7" t="s">
        <v>135</v>
      </c>
      <c r="C27" s="7" t="s">
        <v>123</v>
      </c>
      <c r="D27" s="39" t="n">
        <v>28000</v>
      </c>
      <c r="E27" s="39" t="n">
        <v>1120</v>
      </c>
      <c r="F27" s="39" t="n">
        <v>930</v>
      </c>
      <c r="G27" s="39" t="n">
        <v>25950</v>
      </c>
      <c r="H27" s="34" t="n">
        <v>0.975</v>
      </c>
      <c r="I27" s="34" t="n">
        <v>0.96</v>
      </c>
      <c r="J27" s="34" t="n">
        <v>0.92</v>
      </c>
      <c r="K27" s="34" t="n">
        <v>0.975</v>
      </c>
      <c r="L27" s="34" t="n">
        <v>0.476</v>
      </c>
      <c r="M27" s="34" t="n">
        <v>0.524</v>
      </c>
      <c r="N27" s="34" t="n">
        <v>0.565</v>
      </c>
      <c r="O27" s="34" t="n">
        <v>0.472</v>
      </c>
      <c r="P27" s="34" t="n">
        <v>0.025</v>
      </c>
      <c r="Q27" s="34" t="n">
        <v>0.045</v>
      </c>
      <c r="R27" s="34" t="n">
        <v>0.08</v>
      </c>
      <c r="S27" s="34" t="n">
        <v>0.025</v>
      </c>
      <c r="T27" s="34" t="n">
        <v>0.061</v>
      </c>
      <c r="U27" s="34" t="n">
        <v>0.07</v>
      </c>
      <c r="V27" s="34" t="n">
        <v>0.08</v>
      </c>
      <c r="W27" s="34" t="n">
        <v>0.059</v>
      </c>
      <c r="X27" s="40" t="n">
        <v>24.5</v>
      </c>
      <c r="Y27" s="40" t="n">
        <v>16</v>
      </c>
      <c r="Z27" s="40" t="n">
        <v>38</v>
      </c>
      <c r="AA27" s="41" t="n">
        <v>50944</v>
      </c>
      <c r="AB27" s="41" t="n">
        <v>33114</v>
      </c>
      <c r="AC27" s="41" t="n">
        <v>78976</v>
      </c>
      <c r="AD27" s="42" t="n">
        <v>23.8</v>
      </c>
      <c r="AE27" s="42" t="n">
        <v>15.5</v>
      </c>
      <c r="AF27" s="42" t="n">
        <v>36.9</v>
      </c>
      <c r="AG27" s="41" t="n">
        <v>49504</v>
      </c>
      <c r="AH27" s="41" t="n">
        <v>32178</v>
      </c>
      <c r="AI27" s="41" t="n">
        <v>76768</v>
      </c>
      <c r="AJ27" s="42" t="n">
        <v>22.6</v>
      </c>
      <c r="AK27" s="42" t="n">
        <v>14.7</v>
      </c>
      <c r="AL27" s="42" t="n">
        <v>35.1</v>
      </c>
      <c r="AM27" s="41" t="n">
        <v>47008</v>
      </c>
      <c r="AN27" s="41" t="n">
        <v>30555</v>
      </c>
      <c r="AO27" s="41" t="n">
        <v>72896</v>
      </c>
      <c r="AP27" s="42" t="n">
        <v>24.9</v>
      </c>
      <c r="AQ27" s="42" t="n">
        <v>16.2</v>
      </c>
      <c r="AR27" s="42" t="n">
        <v>38.5</v>
      </c>
      <c r="AS27" s="41" t="n">
        <v>51776</v>
      </c>
      <c r="AT27" s="41" t="n">
        <v>33654</v>
      </c>
      <c r="AU27" s="41" t="n">
        <v>80352</v>
      </c>
      <c r="AV27" s="41" t="n">
        <v>794000000</v>
      </c>
      <c r="AW27" s="41" t="n">
        <v>167000000</v>
      </c>
      <c r="AX27" s="41" t="n">
        <v>17000000</v>
      </c>
      <c r="AY27" s="41" t="n">
        <v>610000000</v>
      </c>
      <c r="AZ27" s="41" t="n">
        <v>573000000</v>
      </c>
      <c r="BA27" s="41" t="n">
        <v>122000000</v>
      </c>
      <c r="BB27" s="41" t="n">
        <v>8000000</v>
      </c>
      <c r="BC27" s="41" t="n">
        <v>443000000</v>
      </c>
      <c r="BD27" s="23" t="n">
        <v>836000000</v>
      </c>
      <c r="BE27" s="23" t="n">
        <v>185000000</v>
      </c>
      <c r="BF27" s="23" t="n">
        <v>0</v>
      </c>
      <c r="BG27" s="23" t="n">
        <v>651000000</v>
      </c>
      <c r="BH27" s="23" t="n">
        <v>383000000</v>
      </c>
      <c r="BI27" s="23" t="n">
        <v>97500000</v>
      </c>
      <c r="BJ27" s="23" t="n">
        <v>0</v>
      </c>
      <c r="BK27" s="23" t="n">
        <v>285500000</v>
      </c>
      <c r="BL27" s="23" t="n">
        <v>94000000</v>
      </c>
      <c r="BM27" s="23" t="n">
        <v>20000000</v>
      </c>
      <c r="BN27" s="23" t="n">
        <v>0</v>
      </c>
      <c r="BO27" s="23" t="n">
        <v>74000000</v>
      </c>
    </row>
    <row r="28" customFormat="false" ht="12.8" hidden="false" customHeight="false" outlineLevel="0" collapsed="false">
      <c r="A28" s="7" t="n">
        <v>25</v>
      </c>
      <c r="B28" s="7" t="s">
        <v>136</v>
      </c>
      <c r="C28" s="7" t="s">
        <v>122</v>
      </c>
      <c r="D28" s="39" t="n">
        <v>47000</v>
      </c>
      <c r="E28" s="39" t="n">
        <v>1880</v>
      </c>
      <c r="F28" s="39" t="n">
        <v>1560</v>
      </c>
      <c r="G28" s="39" t="n">
        <v>43560</v>
      </c>
      <c r="H28" s="34" t="n">
        <v>0.97</v>
      </c>
      <c r="I28" s="34" t="n">
        <v>0.95</v>
      </c>
      <c r="J28" s="34" t="n">
        <v>0.91</v>
      </c>
      <c r="K28" s="34" t="n">
        <v>0.97</v>
      </c>
      <c r="L28" s="34" t="n">
        <v>0.501</v>
      </c>
      <c r="M28" s="34" t="n">
        <v>0.552</v>
      </c>
      <c r="N28" s="34" t="n">
        <v>0.595</v>
      </c>
      <c r="O28" s="34" t="n">
        <v>0.497</v>
      </c>
      <c r="P28" s="34" t="n">
        <v>0.03</v>
      </c>
      <c r="Q28" s="34" t="n">
        <v>0.05</v>
      </c>
      <c r="R28" s="34" t="n">
        <v>0.09</v>
      </c>
      <c r="S28" s="34" t="n">
        <v>0.03</v>
      </c>
      <c r="T28" s="34" t="n">
        <v>0.055</v>
      </c>
      <c r="U28" s="34" t="n">
        <v>0.064</v>
      </c>
      <c r="V28" s="34" t="n">
        <v>0.073</v>
      </c>
      <c r="W28" s="34" t="n">
        <v>0.054</v>
      </c>
      <c r="X28" s="40" t="n">
        <v>36.6</v>
      </c>
      <c r="Y28" s="40" t="n">
        <v>23.8</v>
      </c>
      <c r="Z28" s="40" t="n">
        <v>56.7</v>
      </c>
      <c r="AA28" s="41" t="n">
        <v>76032</v>
      </c>
      <c r="AB28" s="41" t="n">
        <v>49421</v>
      </c>
      <c r="AC28" s="41" t="n">
        <v>117936</v>
      </c>
      <c r="AD28" s="42" t="n">
        <v>35.5</v>
      </c>
      <c r="AE28" s="42" t="n">
        <v>23.1</v>
      </c>
      <c r="AF28" s="42" t="n">
        <v>55</v>
      </c>
      <c r="AG28" s="41" t="n">
        <v>73840</v>
      </c>
      <c r="AH28" s="41" t="n">
        <v>47996</v>
      </c>
      <c r="AI28" s="41" t="n">
        <v>114608</v>
      </c>
      <c r="AJ28" s="42" t="n">
        <v>33.8</v>
      </c>
      <c r="AK28" s="42" t="n">
        <v>22</v>
      </c>
      <c r="AL28" s="42" t="n">
        <v>52.4</v>
      </c>
      <c r="AM28" s="41" t="n">
        <v>70304</v>
      </c>
      <c r="AN28" s="41" t="n">
        <v>45698</v>
      </c>
      <c r="AO28" s="41" t="n">
        <v>108992</v>
      </c>
      <c r="AP28" s="42" t="n">
        <v>37</v>
      </c>
      <c r="AQ28" s="42" t="n">
        <v>24.1</v>
      </c>
      <c r="AR28" s="42" t="n">
        <v>57.3</v>
      </c>
      <c r="AS28" s="41" t="n">
        <v>76960</v>
      </c>
      <c r="AT28" s="41" t="n">
        <v>50024</v>
      </c>
      <c r="AU28" s="41" t="n">
        <v>119392</v>
      </c>
      <c r="AV28" s="41" t="n">
        <v>4560000000</v>
      </c>
      <c r="AW28" s="41" t="n">
        <v>960000000</v>
      </c>
      <c r="AX28" s="41" t="n">
        <v>100000000</v>
      </c>
      <c r="AY28" s="41" t="n">
        <v>3500000000</v>
      </c>
      <c r="AZ28" s="41" t="n">
        <v>2770000000</v>
      </c>
      <c r="BA28" s="41" t="n">
        <v>588000000</v>
      </c>
      <c r="BB28" s="41" t="n">
        <v>40000000</v>
      </c>
      <c r="BC28" s="41" t="n">
        <v>2142000000</v>
      </c>
      <c r="BD28" s="23" t="n">
        <v>2750000000</v>
      </c>
      <c r="BE28" s="23" t="n">
        <v>608000000</v>
      </c>
      <c r="BF28" s="23" t="n">
        <v>0</v>
      </c>
      <c r="BG28" s="23" t="n">
        <v>2142000000</v>
      </c>
      <c r="BH28" s="23" t="n">
        <v>1230000000</v>
      </c>
      <c r="BI28" s="23" t="n">
        <v>313000000</v>
      </c>
      <c r="BJ28" s="23" t="n">
        <v>0</v>
      </c>
      <c r="BK28" s="23" t="n">
        <v>916000000</v>
      </c>
      <c r="BL28" s="23" t="n">
        <v>224000000</v>
      </c>
      <c r="BM28" s="23" t="n">
        <v>48000000</v>
      </c>
      <c r="BN28" s="23" t="n">
        <v>0</v>
      </c>
      <c r="BO28" s="23" t="n">
        <v>176000000</v>
      </c>
    </row>
    <row r="29" customFormat="false" ht="12.8" hidden="false" customHeight="false" outlineLevel="0" collapsed="false">
      <c r="A29" s="7" t="n">
        <v>26</v>
      </c>
      <c r="B29" s="7" t="s">
        <v>136</v>
      </c>
      <c r="C29" s="7" t="s">
        <v>123</v>
      </c>
      <c r="D29" s="39" t="n">
        <v>23000</v>
      </c>
      <c r="E29" s="39" t="n">
        <v>920</v>
      </c>
      <c r="F29" s="39" t="n">
        <v>760</v>
      </c>
      <c r="G29" s="39" t="n">
        <v>21320</v>
      </c>
      <c r="H29" s="34" t="n">
        <v>0.97</v>
      </c>
      <c r="I29" s="34" t="n">
        <v>0.95</v>
      </c>
      <c r="J29" s="34" t="n">
        <v>0.91</v>
      </c>
      <c r="K29" s="34" t="n">
        <v>0.97</v>
      </c>
      <c r="L29" s="34" t="n">
        <v>0.476</v>
      </c>
      <c r="M29" s="34" t="n">
        <v>0.524</v>
      </c>
      <c r="N29" s="34" t="n">
        <v>0.565</v>
      </c>
      <c r="O29" s="34" t="n">
        <v>0.472</v>
      </c>
      <c r="P29" s="34" t="n">
        <v>0.03</v>
      </c>
      <c r="Q29" s="34" t="n">
        <v>0.05</v>
      </c>
      <c r="R29" s="34" t="n">
        <v>0.09</v>
      </c>
      <c r="S29" s="34" t="n">
        <v>0.03</v>
      </c>
      <c r="T29" s="34" t="n">
        <v>0.061</v>
      </c>
      <c r="U29" s="34" t="n">
        <v>0.07</v>
      </c>
      <c r="V29" s="34" t="n">
        <v>0.08</v>
      </c>
      <c r="W29" s="34" t="n">
        <v>0.059</v>
      </c>
      <c r="X29" s="40" t="n">
        <v>31.1</v>
      </c>
      <c r="Y29" s="40" t="n">
        <v>20.2</v>
      </c>
      <c r="Z29" s="40" t="n">
        <v>48.2</v>
      </c>
      <c r="AA29" s="41" t="n">
        <v>64736</v>
      </c>
      <c r="AB29" s="41" t="n">
        <v>42078</v>
      </c>
      <c r="AC29" s="41" t="n">
        <v>100416</v>
      </c>
      <c r="AD29" s="42" t="n">
        <v>30.2</v>
      </c>
      <c r="AE29" s="42" t="n">
        <v>19.6</v>
      </c>
      <c r="AF29" s="42" t="n">
        <v>46.8</v>
      </c>
      <c r="AG29" s="41" t="n">
        <v>62832</v>
      </c>
      <c r="AH29" s="41" t="n">
        <v>40841</v>
      </c>
      <c r="AI29" s="41" t="n">
        <v>97408</v>
      </c>
      <c r="AJ29" s="42" t="n">
        <v>28.8</v>
      </c>
      <c r="AK29" s="42" t="n">
        <v>18.7</v>
      </c>
      <c r="AL29" s="42" t="n">
        <v>44.6</v>
      </c>
      <c r="AM29" s="41" t="n">
        <v>59904</v>
      </c>
      <c r="AN29" s="41" t="n">
        <v>38938</v>
      </c>
      <c r="AO29" s="41" t="n">
        <v>92944</v>
      </c>
      <c r="AP29" s="42" t="n">
        <v>31.5</v>
      </c>
      <c r="AQ29" s="42" t="n">
        <v>20.5</v>
      </c>
      <c r="AR29" s="42" t="n">
        <v>48.8</v>
      </c>
      <c r="AS29" s="41" t="n">
        <v>65568</v>
      </c>
      <c r="AT29" s="41" t="n">
        <v>42617</v>
      </c>
      <c r="AU29" s="41" t="n">
        <v>101712</v>
      </c>
      <c r="AV29" s="41" t="n">
        <v>1930000000</v>
      </c>
      <c r="AW29" s="41" t="n">
        <v>406000000</v>
      </c>
      <c r="AX29" s="41" t="n">
        <v>43000000</v>
      </c>
      <c r="AY29" s="41" t="n">
        <v>1481000000</v>
      </c>
      <c r="AZ29" s="41" t="n">
        <v>1170000000</v>
      </c>
      <c r="BA29" s="41" t="n">
        <v>249000000</v>
      </c>
      <c r="BB29" s="41" t="n">
        <v>17000000</v>
      </c>
      <c r="BC29" s="41" t="n">
        <v>903000000</v>
      </c>
      <c r="BD29" s="23" t="n">
        <v>1370000000</v>
      </c>
      <c r="BE29" s="23" t="n">
        <v>303000000</v>
      </c>
      <c r="BF29" s="23" t="n">
        <v>0</v>
      </c>
      <c r="BG29" s="23" t="n">
        <v>1067000000</v>
      </c>
      <c r="BH29" s="23" t="n">
        <v>615000000</v>
      </c>
      <c r="BI29" s="23" t="n">
        <v>157000000</v>
      </c>
      <c r="BJ29" s="23" t="n">
        <v>0</v>
      </c>
      <c r="BK29" s="23" t="n">
        <v>458000000</v>
      </c>
      <c r="BL29" s="23" t="n">
        <v>112000000</v>
      </c>
      <c r="BM29" s="23" t="n">
        <v>24000000</v>
      </c>
      <c r="BN29" s="23" t="n">
        <v>0</v>
      </c>
      <c r="BO29" s="23" t="n">
        <v>88000000</v>
      </c>
    </row>
    <row r="30" customFormat="false" ht="12.8" hidden="false" customHeight="false" outlineLevel="0" collapsed="false">
      <c r="A30" s="7" t="n">
        <v>27</v>
      </c>
      <c r="B30" s="7" t="s">
        <v>137</v>
      </c>
      <c r="C30" s="7" t="s">
        <v>122</v>
      </c>
      <c r="D30" s="39" t="n">
        <v>7700</v>
      </c>
      <c r="E30" s="39" t="n">
        <v>310</v>
      </c>
      <c r="F30" s="39" t="n">
        <v>260</v>
      </c>
      <c r="G30" s="39" t="n">
        <v>7130</v>
      </c>
      <c r="H30" s="34" t="n">
        <v>0.965</v>
      </c>
      <c r="I30" s="34" t="n">
        <v>0.95</v>
      </c>
      <c r="J30" s="34" t="n">
        <v>0.9</v>
      </c>
      <c r="K30" s="34" t="n">
        <v>0.965</v>
      </c>
      <c r="L30" s="34" t="n">
        <v>0.531</v>
      </c>
      <c r="M30" s="34" t="n">
        <v>0.585</v>
      </c>
      <c r="N30" s="34" t="n">
        <v>0.63</v>
      </c>
      <c r="O30" s="34" t="n">
        <v>0.526</v>
      </c>
      <c r="P30" s="34" t="n">
        <v>0.035</v>
      </c>
      <c r="Q30" s="34" t="n">
        <v>0.055</v>
      </c>
      <c r="R30" s="34" t="n">
        <v>0.1</v>
      </c>
      <c r="S30" s="34" t="n">
        <v>0.035</v>
      </c>
      <c r="T30" s="34" t="n">
        <v>0.063</v>
      </c>
      <c r="U30" s="34" t="n">
        <v>0.073</v>
      </c>
      <c r="V30" s="34" t="n">
        <v>0.083</v>
      </c>
      <c r="W30" s="34" t="n">
        <v>0.061</v>
      </c>
      <c r="X30" s="40" t="n">
        <v>35</v>
      </c>
      <c r="Y30" s="40" t="n">
        <v>22.8</v>
      </c>
      <c r="Z30" s="40" t="n">
        <v>54.3</v>
      </c>
      <c r="AA30" s="41" t="n">
        <v>72800</v>
      </c>
      <c r="AB30" s="41" t="n">
        <v>47320</v>
      </c>
      <c r="AC30" s="41" t="n">
        <v>112840</v>
      </c>
      <c r="AD30" s="42" t="n">
        <v>34</v>
      </c>
      <c r="AE30" s="42" t="n">
        <v>22.1</v>
      </c>
      <c r="AF30" s="42" t="n">
        <v>52.7</v>
      </c>
      <c r="AG30" s="41" t="n">
        <v>70720</v>
      </c>
      <c r="AH30" s="41" t="n">
        <v>45968</v>
      </c>
      <c r="AI30" s="41" t="n">
        <v>109616</v>
      </c>
      <c r="AJ30" s="42" t="n">
        <v>32.3</v>
      </c>
      <c r="AK30" s="42" t="n">
        <v>21</v>
      </c>
      <c r="AL30" s="42" t="n">
        <v>50</v>
      </c>
      <c r="AM30" s="41" t="n">
        <v>67264</v>
      </c>
      <c r="AN30" s="41" t="n">
        <v>43722</v>
      </c>
      <c r="AO30" s="41" t="n">
        <v>104416</v>
      </c>
      <c r="AP30" s="42" t="n">
        <v>35.5</v>
      </c>
      <c r="AQ30" s="42" t="n">
        <v>23.1</v>
      </c>
      <c r="AR30" s="42" t="n">
        <v>55</v>
      </c>
      <c r="AS30" s="41" t="n">
        <v>73840</v>
      </c>
      <c r="AT30" s="41" t="n">
        <v>47996</v>
      </c>
      <c r="AU30" s="41" t="n">
        <v>114608</v>
      </c>
      <c r="AV30" s="41" t="n">
        <v>950000000</v>
      </c>
      <c r="AW30" s="41" t="n">
        <v>200000000</v>
      </c>
      <c r="AX30" s="41" t="n">
        <v>21000000</v>
      </c>
      <c r="AY30" s="41" t="n">
        <v>729000000</v>
      </c>
      <c r="AZ30" s="41" t="n">
        <v>627000000</v>
      </c>
      <c r="BA30" s="41" t="n">
        <v>133000000</v>
      </c>
      <c r="BB30" s="41" t="n">
        <v>9000000</v>
      </c>
      <c r="BC30" s="41" t="n">
        <v>484000000</v>
      </c>
      <c r="BD30" s="23" t="n">
        <v>620000000</v>
      </c>
      <c r="BE30" s="23" t="n">
        <v>137000000</v>
      </c>
      <c r="BF30" s="23" t="n">
        <v>0</v>
      </c>
      <c r="BG30" s="23" t="n">
        <v>483000000</v>
      </c>
      <c r="BH30" s="23" t="n">
        <v>284000000</v>
      </c>
      <c r="BI30" s="23" t="n">
        <v>72500000</v>
      </c>
      <c r="BJ30" s="23" t="n">
        <v>0</v>
      </c>
      <c r="BK30" s="23" t="n">
        <v>211500000</v>
      </c>
      <c r="BL30" s="23" t="n">
        <v>52000000</v>
      </c>
      <c r="BM30" s="23" t="n">
        <v>11000000</v>
      </c>
      <c r="BN30" s="23" t="n">
        <v>0</v>
      </c>
      <c r="BO30" s="23" t="n">
        <v>41000000</v>
      </c>
    </row>
    <row r="31" customFormat="false" ht="12.8" hidden="false" customHeight="false" outlineLevel="0" collapsed="false">
      <c r="A31" s="7" t="n">
        <v>28</v>
      </c>
      <c r="B31" s="7" t="s">
        <v>137</v>
      </c>
      <c r="C31" s="7" t="s">
        <v>123</v>
      </c>
      <c r="D31" s="39" t="n">
        <v>3900</v>
      </c>
      <c r="E31" s="39" t="n">
        <v>160</v>
      </c>
      <c r="F31" s="39" t="n">
        <v>130</v>
      </c>
      <c r="G31" s="39" t="n">
        <v>3610</v>
      </c>
      <c r="H31" s="34" t="n">
        <v>0.965</v>
      </c>
      <c r="I31" s="34" t="n">
        <v>0.95</v>
      </c>
      <c r="J31" s="34" t="n">
        <v>0.9</v>
      </c>
      <c r="K31" s="34" t="n">
        <v>0.965</v>
      </c>
      <c r="L31" s="34" t="n">
        <v>0.504</v>
      </c>
      <c r="M31" s="34" t="n">
        <v>0.556</v>
      </c>
      <c r="N31" s="34" t="n">
        <v>0.599</v>
      </c>
      <c r="O31" s="34" t="n">
        <v>0.5</v>
      </c>
      <c r="P31" s="34" t="n">
        <v>0.035</v>
      </c>
      <c r="Q31" s="34" t="n">
        <v>0.055</v>
      </c>
      <c r="R31" s="34" t="n">
        <v>0.1</v>
      </c>
      <c r="S31" s="34" t="n">
        <v>0.035</v>
      </c>
      <c r="T31" s="34" t="n">
        <v>0.069</v>
      </c>
      <c r="U31" s="34" t="n">
        <v>0.08</v>
      </c>
      <c r="V31" s="34" t="n">
        <v>0.092</v>
      </c>
      <c r="W31" s="34" t="n">
        <v>0.067</v>
      </c>
      <c r="X31" s="40" t="n">
        <v>29.8</v>
      </c>
      <c r="Y31" s="40" t="n">
        <v>19.4</v>
      </c>
      <c r="Z31" s="40" t="n">
        <v>46.2</v>
      </c>
      <c r="AA31" s="41" t="n">
        <v>61984</v>
      </c>
      <c r="AB31" s="41" t="n">
        <v>40290</v>
      </c>
      <c r="AC31" s="41" t="n">
        <v>96240</v>
      </c>
      <c r="AD31" s="42" t="n">
        <v>28.9</v>
      </c>
      <c r="AE31" s="42" t="n">
        <v>18.8</v>
      </c>
      <c r="AF31" s="42" t="n">
        <v>44.8</v>
      </c>
      <c r="AG31" s="41" t="n">
        <v>60128</v>
      </c>
      <c r="AH31" s="41" t="n">
        <v>39083</v>
      </c>
      <c r="AI31" s="41" t="n">
        <v>93248</v>
      </c>
      <c r="AJ31" s="42" t="n">
        <v>27.6</v>
      </c>
      <c r="AK31" s="42" t="n">
        <v>17.9</v>
      </c>
      <c r="AL31" s="42" t="n">
        <v>42.8</v>
      </c>
      <c r="AM31" s="41" t="n">
        <v>57408</v>
      </c>
      <c r="AN31" s="41" t="n">
        <v>37315</v>
      </c>
      <c r="AO31" s="41" t="n">
        <v>89136</v>
      </c>
      <c r="AP31" s="42" t="n">
        <v>30.2</v>
      </c>
      <c r="AQ31" s="42" t="n">
        <v>19.6</v>
      </c>
      <c r="AR31" s="42" t="n">
        <v>46.8</v>
      </c>
      <c r="AS31" s="41" t="n">
        <v>62832</v>
      </c>
      <c r="AT31" s="41" t="n">
        <v>40841</v>
      </c>
      <c r="AU31" s="41" t="n">
        <v>97408</v>
      </c>
      <c r="AV31" s="41" t="n">
        <v>403000000</v>
      </c>
      <c r="AW31" s="41" t="n">
        <v>85000000</v>
      </c>
      <c r="AX31" s="41" t="n">
        <v>9000000</v>
      </c>
      <c r="AY31" s="41" t="n">
        <v>309000000</v>
      </c>
      <c r="AZ31" s="41" t="n">
        <v>266000000</v>
      </c>
      <c r="BA31" s="41" t="n">
        <v>56500000</v>
      </c>
      <c r="BB31" s="41" t="n">
        <v>4000000</v>
      </c>
      <c r="BC31" s="41" t="n">
        <v>205500000</v>
      </c>
      <c r="BD31" s="23" t="n">
        <v>310000000</v>
      </c>
      <c r="BE31" s="23" t="n">
        <v>68600000</v>
      </c>
      <c r="BF31" s="23" t="n">
        <v>0</v>
      </c>
      <c r="BG31" s="23" t="n">
        <v>241400000</v>
      </c>
      <c r="BH31" s="23" t="n">
        <v>142000000</v>
      </c>
      <c r="BI31" s="23" t="n">
        <v>36200000</v>
      </c>
      <c r="BJ31" s="23" t="n">
        <v>0</v>
      </c>
      <c r="BK31" s="23" t="n">
        <v>105800000</v>
      </c>
      <c r="BL31" s="23" t="n">
        <v>26000000</v>
      </c>
      <c r="BM31" s="23" t="n">
        <v>5500000</v>
      </c>
      <c r="BN31" s="23" t="n">
        <v>0</v>
      </c>
      <c r="BO31" s="23" t="n">
        <v>20500000</v>
      </c>
    </row>
    <row r="32" customFormat="false" ht="12.8" hidden="false" customHeight="false" outlineLevel="0" collapsed="false">
      <c r="A32" s="7" t="n">
        <v>29</v>
      </c>
      <c r="B32" s="7" t="s">
        <v>162</v>
      </c>
      <c r="C32" s="7" t="s">
        <v>122</v>
      </c>
      <c r="D32" s="39" t="n">
        <v>141000</v>
      </c>
      <c r="E32" s="39" t="n">
        <v>5640</v>
      </c>
      <c r="F32" s="39" t="n">
        <v>4690</v>
      </c>
      <c r="G32" s="39" t="n">
        <v>130670</v>
      </c>
      <c r="H32" s="34" t="n">
        <v>0.975</v>
      </c>
      <c r="I32" s="34" t="n">
        <v>0.96</v>
      </c>
      <c r="J32" s="34" t="n">
        <v>0.94</v>
      </c>
      <c r="K32" s="34" t="n">
        <v>0.975</v>
      </c>
      <c r="L32" s="34" t="n">
        <v>0.501</v>
      </c>
      <c r="M32" s="34" t="n">
        <v>0.552</v>
      </c>
      <c r="N32" s="34" t="n">
        <v>0.595</v>
      </c>
      <c r="O32" s="34" t="n">
        <v>0.497</v>
      </c>
      <c r="P32" s="34" t="n">
        <v>0.025</v>
      </c>
      <c r="Q32" s="34" t="n">
        <v>0.04</v>
      </c>
      <c r="R32" s="34" t="n">
        <v>0.06</v>
      </c>
      <c r="S32" s="34" t="n">
        <v>0.025</v>
      </c>
      <c r="T32" s="34" t="n">
        <v>0.055</v>
      </c>
      <c r="U32" s="34" t="n">
        <v>0.064</v>
      </c>
      <c r="V32" s="34" t="n">
        <v>0.073</v>
      </c>
      <c r="W32" s="34" t="n">
        <v>0.054</v>
      </c>
      <c r="X32" s="40" t="n">
        <v>28.8</v>
      </c>
      <c r="Y32" s="40" t="n">
        <v>18.7</v>
      </c>
      <c r="Z32" s="40" t="n">
        <v>44.6</v>
      </c>
      <c r="AA32" s="41" t="n">
        <v>59904</v>
      </c>
      <c r="AB32" s="41" t="n">
        <v>38938</v>
      </c>
      <c r="AC32" s="41" t="n">
        <v>92944</v>
      </c>
      <c r="AD32" s="42" t="n">
        <v>28</v>
      </c>
      <c r="AE32" s="42" t="n">
        <v>18.2</v>
      </c>
      <c r="AF32" s="42" t="n">
        <v>43.4</v>
      </c>
      <c r="AG32" s="41" t="n">
        <v>58240</v>
      </c>
      <c r="AH32" s="41" t="n">
        <v>37856</v>
      </c>
      <c r="AI32" s="41" t="n">
        <v>90368</v>
      </c>
      <c r="AJ32" s="42" t="n">
        <v>26.6</v>
      </c>
      <c r="AK32" s="42" t="n">
        <v>17.3</v>
      </c>
      <c r="AL32" s="42" t="n">
        <v>41.2</v>
      </c>
      <c r="AM32" s="41" t="n">
        <v>55360</v>
      </c>
      <c r="AN32" s="41" t="n">
        <v>35984</v>
      </c>
      <c r="AO32" s="41" t="n">
        <v>85888</v>
      </c>
      <c r="AP32" s="42" t="n">
        <v>29.2</v>
      </c>
      <c r="AQ32" s="42" t="n">
        <v>19</v>
      </c>
      <c r="AR32" s="42" t="n">
        <v>45.3</v>
      </c>
      <c r="AS32" s="41" t="n">
        <v>60736</v>
      </c>
      <c r="AT32" s="41" t="n">
        <v>39478</v>
      </c>
      <c r="AU32" s="41" t="n">
        <v>94176</v>
      </c>
      <c r="AV32" s="41" t="n">
        <v>4200000000</v>
      </c>
      <c r="AW32" s="41" t="n">
        <v>884000000</v>
      </c>
      <c r="AX32" s="41" t="n">
        <v>90000000</v>
      </c>
      <c r="AY32" s="41" t="n">
        <v>3226000000</v>
      </c>
      <c r="AZ32" s="41" t="n">
        <v>2550000000</v>
      </c>
      <c r="BA32" s="41" t="n">
        <v>541000000</v>
      </c>
      <c r="BB32" s="41" t="n">
        <v>37000000</v>
      </c>
      <c r="BC32" s="41" t="n">
        <v>1972000000</v>
      </c>
      <c r="BD32" s="23" t="n">
        <v>2980000000</v>
      </c>
      <c r="BE32" s="23" t="n">
        <v>659000000</v>
      </c>
      <c r="BF32" s="23" t="n">
        <v>0</v>
      </c>
      <c r="BG32" s="23" t="n">
        <v>2319000000</v>
      </c>
      <c r="BH32" s="23" t="n">
        <v>1060000000</v>
      </c>
      <c r="BI32" s="23" t="n">
        <v>270000000</v>
      </c>
      <c r="BJ32" s="23" t="n">
        <v>0</v>
      </c>
      <c r="BK32" s="23" t="n">
        <v>790000000</v>
      </c>
      <c r="BL32" s="23" t="n">
        <v>260000000</v>
      </c>
      <c r="BM32" s="23" t="n">
        <v>56000000</v>
      </c>
      <c r="BN32" s="23" t="n">
        <v>0</v>
      </c>
      <c r="BO32" s="23" t="n">
        <v>204000000</v>
      </c>
    </row>
    <row r="33" customFormat="false" ht="12.8" hidden="false" customHeight="false" outlineLevel="0" collapsed="false">
      <c r="A33" s="7" t="n">
        <v>30</v>
      </c>
      <c r="B33" s="7" t="s">
        <v>162</v>
      </c>
      <c r="C33" s="7" t="s">
        <v>123</v>
      </c>
      <c r="D33" s="39" t="n">
        <v>70000</v>
      </c>
      <c r="E33" s="39" t="n">
        <v>2800</v>
      </c>
      <c r="F33" s="39" t="n">
        <v>2330</v>
      </c>
      <c r="G33" s="39" t="n">
        <v>64870</v>
      </c>
      <c r="H33" s="34" t="n">
        <v>0.975</v>
      </c>
      <c r="I33" s="34" t="n">
        <v>0.96</v>
      </c>
      <c r="J33" s="34" t="n">
        <v>0.94</v>
      </c>
      <c r="K33" s="34" t="n">
        <v>0.975</v>
      </c>
      <c r="L33" s="34" t="n">
        <v>0.476</v>
      </c>
      <c r="M33" s="34" t="n">
        <v>0.524</v>
      </c>
      <c r="N33" s="34" t="n">
        <v>0.565</v>
      </c>
      <c r="O33" s="34" t="n">
        <v>0.472</v>
      </c>
      <c r="P33" s="34" t="n">
        <v>0.025</v>
      </c>
      <c r="Q33" s="34" t="n">
        <v>0.04</v>
      </c>
      <c r="R33" s="34" t="n">
        <v>0.06</v>
      </c>
      <c r="S33" s="34" t="n">
        <v>0.025</v>
      </c>
      <c r="T33" s="34" t="n">
        <v>0.061</v>
      </c>
      <c r="U33" s="34" t="n">
        <v>0.07</v>
      </c>
      <c r="V33" s="34" t="n">
        <v>0.08</v>
      </c>
      <c r="W33" s="34" t="n">
        <v>0.059</v>
      </c>
      <c r="X33" s="40" t="n">
        <v>24.5</v>
      </c>
      <c r="Y33" s="40" t="n">
        <v>16</v>
      </c>
      <c r="Z33" s="40" t="n">
        <v>38</v>
      </c>
      <c r="AA33" s="41" t="n">
        <v>50944</v>
      </c>
      <c r="AB33" s="41" t="n">
        <v>33114</v>
      </c>
      <c r="AC33" s="41" t="n">
        <v>78976</v>
      </c>
      <c r="AD33" s="42" t="n">
        <v>23.8</v>
      </c>
      <c r="AE33" s="42" t="n">
        <v>15.5</v>
      </c>
      <c r="AF33" s="42" t="n">
        <v>36.9</v>
      </c>
      <c r="AG33" s="41" t="n">
        <v>49504</v>
      </c>
      <c r="AH33" s="41" t="n">
        <v>32178</v>
      </c>
      <c r="AI33" s="41" t="n">
        <v>76768</v>
      </c>
      <c r="AJ33" s="42" t="n">
        <v>22.6</v>
      </c>
      <c r="AK33" s="42" t="n">
        <v>14.7</v>
      </c>
      <c r="AL33" s="42" t="n">
        <v>35.1</v>
      </c>
      <c r="AM33" s="41" t="n">
        <v>47008</v>
      </c>
      <c r="AN33" s="41" t="n">
        <v>30555</v>
      </c>
      <c r="AO33" s="41" t="n">
        <v>72896</v>
      </c>
      <c r="AP33" s="42" t="n">
        <v>24.9</v>
      </c>
      <c r="AQ33" s="42" t="n">
        <v>16.2</v>
      </c>
      <c r="AR33" s="42" t="n">
        <v>38.5</v>
      </c>
      <c r="AS33" s="41" t="n">
        <v>51776</v>
      </c>
      <c r="AT33" s="41" t="n">
        <v>33654</v>
      </c>
      <c r="AU33" s="41" t="n">
        <v>80352</v>
      </c>
      <c r="AV33" s="41" t="n">
        <v>1780000000</v>
      </c>
      <c r="AW33" s="41" t="n">
        <v>375000000</v>
      </c>
      <c r="AX33" s="41" t="n">
        <v>38000000</v>
      </c>
      <c r="AY33" s="41" t="n">
        <v>1367000000</v>
      </c>
      <c r="AZ33" s="41" t="n">
        <v>1080000000</v>
      </c>
      <c r="BA33" s="41" t="n">
        <v>229000000</v>
      </c>
      <c r="BB33" s="41" t="n">
        <v>16000000</v>
      </c>
      <c r="BC33" s="41" t="n">
        <v>833000000</v>
      </c>
      <c r="BD33" s="23" t="n">
        <v>1490000000</v>
      </c>
      <c r="BE33" s="23" t="n">
        <v>330000000</v>
      </c>
      <c r="BF33" s="23" t="n">
        <v>0</v>
      </c>
      <c r="BG33" s="23" t="n">
        <v>1160000000</v>
      </c>
      <c r="BH33" s="23" t="n">
        <v>530000000</v>
      </c>
      <c r="BI33" s="23" t="n">
        <v>135000000</v>
      </c>
      <c r="BJ33" s="23" t="n">
        <v>0</v>
      </c>
      <c r="BK33" s="23" t="n">
        <v>395000000</v>
      </c>
      <c r="BL33" s="23" t="n">
        <v>130000000</v>
      </c>
      <c r="BM33" s="23" t="n">
        <v>28000000</v>
      </c>
      <c r="BN33" s="23" t="n">
        <v>0</v>
      </c>
      <c r="BO33" s="23" t="n">
        <v>102000000</v>
      </c>
    </row>
    <row r="34" customFormat="false" ht="12.8" hidden="false" customHeight="false" outlineLevel="0" collapsed="false">
      <c r="A34" s="7" t="n">
        <v>31</v>
      </c>
      <c r="B34" s="7" t="s">
        <v>163</v>
      </c>
      <c r="C34" s="7" t="s">
        <v>122</v>
      </c>
      <c r="D34" s="39" t="n">
        <v>67500</v>
      </c>
      <c r="E34" s="39" t="n">
        <v>2700</v>
      </c>
      <c r="F34" s="39" t="n">
        <v>1350</v>
      </c>
      <c r="G34" s="39" t="n">
        <v>63450</v>
      </c>
      <c r="H34" s="34" t="n">
        <v>0.965</v>
      </c>
      <c r="I34" s="34" t="n">
        <v>0.95</v>
      </c>
      <c r="J34" s="34" t="n">
        <v>0.9</v>
      </c>
      <c r="K34" s="34" t="n">
        <v>0.965</v>
      </c>
      <c r="L34" s="34" t="n">
        <v>0.68</v>
      </c>
      <c r="M34" s="34" t="n">
        <v>0.72</v>
      </c>
      <c r="N34" s="34" t="n">
        <v>0.75</v>
      </c>
      <c r="O34" s="34" t="n">
        <v>0.68</v>
      </c>
      <c r="P34" s="34" t="n">
        <v>0.035</v>
      </c>
      <c r="Q34" s="34" t="n">
        <v>0.045</v>
      </c>
      <c r="R34" s="34" t="n">
        <v>0.06</v>
      </c>
      <c r="S34" s="34" t="n">
        <v>0.035</v>
      </c>
      <c r="T34" s="34" t="n">
        <v>0.11</v>
      </c>
      <c r="U34" s="34" t="n">
        <v>0.127</v>
      </c>
      <c r="V34" s="34" t="n">
        <v>0.145</v>
      </c>
      <c r="W34" s="34" t="n">
        <v>0.108</v>
      </c>
      <c r="X34" s="40" t="n">
        <v>22.3</v>
      </c>
      <c r="Y34" s="40" t="n">
        <v>14.5</v>
      </c>
      <c r="Z34" s="40" t="n">
        <v>34.6</v>
      </c>
      <c r="AA34" s="41" t="n">
        <v>46384</v>
      </c>
      <c r="AB34" s="41" t="n">
        <v>30150</v>
      </c>
      <c r="AC34" s="41" t="n">
        <v>71904</v>
      </c>
      <c r="AD34" s="42" t="n">
        <v>21.6</v>
      </c>
      <c r="AE34" s="42" t="n">
        <v>14</v>
      </c>
      <c r="AF34" s="42" t="n">
        <v>33.5</v>
      </c>
      <c r="AG34" s="41" t="n">
        <v>44928</v>
      </c>
      <c r="AH34" s="41" t="n">
        <v>29203</v>
      </c>
      <c r="AI34" s="41" t="n">
        <v>69744</v>
      </c>
      <c r="AJ34" s="42" t="n">
        <v>20.1</v>
      </c>
      <c r="AK34" s="42" t="n">
        <v>13.1</v>
      </c>
      <c r="AL34" s="42" t="n">
        <v>31.2</v>
      </c>
      <c r="AM34" s="41" t="n">
        <v>41808</v>
      </c>
      <c r="AN34" s="41" t="n">
        <v>27175</v>
      </c>
      <c r="AO34" s="41" t="n">
        <v>64968</v>
      </c>
      <c r="AP34" s="42" t="n">
        <v>22.6</v>
      </c>
      <c r="AQ34" s="42" t="n">
        <v>14.7</v>
      </c>
      <c r="AR34" s="42" t="n">
        <v>35</v>
      </c>
      <c r="AS34" s="41" t="n">
        <v>47008</v>
      </c>
      <c r="AT34" s="41" t="n">
        <v>30555</v>
      </c>
      <c r="AU34" s="41" t="n">
        <v>72896</v>
      </c>
      <c r="AV34" s="41" t="n">
        <v>750000000</v>
      </c>
      <c r="AW34" s="41" t="n">
        <v>30000000</v>
      </c>
      <c r="AX34" s="41" t="n">
        <v>15000000</v>
      </c>
      <c r="AY34" s="41" t="n">
        <v>705000000</v>
      </c>
      <c r="AZ34" s="41" t="n">
        <v>390000000</v>
      </c>
      <c r="BA34" s="41" t="n">
        <v>15000000</v>
      </c>
      <c r="BB34" s="41" t="n">
        <v>7500000</v>
      </c>
      <c r="BC34" s="41" t="n">
        <v>360000000</v>
      </c>
      <c r="BD34" s="23" t="n">
        <v>850000000</v>
      </c>
      <c r="BE34" s="23" t="n">
        <v>340000000</v>
      </c>
      <c r="BF34" s="23" t="n">
        <v>0</v>
      </c>
      <c r="BG34" s="23" t="n">
        <v>816000000</v>
      </c>
      <c r="BH34" s="23" t="n">
        <v>680000000</v>
      </c>
      <c r="BI34" s="23" t="n">
        <v>170000000</v>
      </c>
      <c r="BJ34" s="23" t="n">
        <v>0</v>
      </c>
      <c r="BK34" s="23" t="n">
        <v>510000000</v>
      </c>
      <c r="BL34" s="23" t="n">
        <v>120000000</v>
      </c>
      <c r="BM34" s="23" t="n">
        <v>30000000</v>
      </c>
      <c r="BN34" s="23" t="n">
        <v>0</v>
      </c>
      <c r="BO34" s="23" t="n">
        <v>90000000</v>
      </c>
    </row>
    <row r="35" customFormat="false" ht="12.8" hidden="false" customHeight="false" outlineLevel="0" collapsed="false">
      <c r="A35" s="7" t="n">
        <v>32</v>
      </c>
      <c r="B35" s="7" t="s">
        <v>163</v>
      </c>
      <c r="C35" s="7" t="s">
        <v>123</v>
      </c>
      <c r="D35" s="39" t="n">
        <v>7500</v>
      </c>
      <c r="E35" s="39" t="n">
        <v>300</v>
      </c>
      <c r="F35" s="39" t="n">
        <v>150</v>
      </c>
      <c r="G35" s="39" t="n">
        <v>7050</v>
      </c>
      <c r="H35" s="34" t="n">
        <v>0.965</v>
      </c>
      <c r="I35" s="34" t="n">
        <v>0.95</v>
      </c>
      <c r="J35" s="34" t="n">
        <v>0.9</v>
      </c>
      <c r="K35" s="34" t="n">
        <v>0.965</v>
      </c>
      <c r="L35" s="34" t="n">
        <v>0.646</v>
      </c>
      <c r="M35" s="34" t="n">
        <v>0.684</v>
      </c>
      <c r="N35" s="34" t="n">
        <v>0.713</v>
      </c>
      <c r="O35" s="34" t="n">
        <v>0.646</v>
      </c>
      <c r="P35" s="34" t="n">
        <v>0.035</v>
      </c>
      <c r="Q35" s="34" t="n">
        <v>0.045</v>
      </c>
      <c r="R35" s="34" t="n">
        <v>0.06</v>
      </c>
      <c r="S35" s="34" t="n">
        <v>0.035</v>
      </c>
      <c r="T35" s="34" t="n">
        <v>0.121</v>
      </c>
      <c r="U35" s="34" t="n">
        <v>0.14</v>
      </c>
      <c r="V35" s="34" t="n">
        <v>0.16</v>
      </c>
      <c r="W35" s="34" t="n">
        <v>0.119</v>
      </c>
      <c r="X35" s="40" t="n">
        <v>19</v>
      </c>
      <c r="Y35" s="40" t="n">
        <v>12.4</v>
      </c>
      <c r="Z35" s="40" t="n">
        <v>29.5</v>
      </c>
      <c r="AA35" s="41" t="n">
        <v>39520</v>
      </c>
      <c r="AB35" s="41" t="n">
        <v>25688</v>
      </c>
      <c r="AC35" s="41" t="n">
        <v>61360</v>
      </c>
      <c r="AD35" s="42" t="n">
        <v>18.4</v>
      </c>
      <c r="AE35" s="42" t="n">
        <v>12</v>
      </c>
      <c r="AF35" s="42" t="n">
        <v>28.6</v>
      </c>
      <c r="AG35" s="41" t="n">
        <v>38272</v>
      </c>
      <c r="AH35" s="41" t="n">
        <v>24877</v>
      </c>
      <c r="AI35" s="41" t="n">
        <v>59360</v>
      </c>
      <c r="AJ35" s="42" t="n">
        <v>17.1</v>
      </c>
      <c r="AK35" s="42" t="n">
        <v>11.1</v>
      </c>
      <c r="AL35" s="42" t="n">
        <v>26.5</v>
      </c>
      <c r="AM35" s="41" t="n">
        <v>35568</v>
      </c>
      <c r="AN35" s="41" t="n">
        <v>23119</v>
      </c>
      <c r="AO35" s="41" t="n">
        <v>55296</v>
      </c>
      <c r="AP35" s="42" t="n">
        <v>19.3</v>
      </c>
      <c r="AQ35" s="42" t="n">
        <v>12.5</v>
      </c>
      <c r="AR35" s="42" t="n">
        <v>29.7</v>
      </c>
      <c r="AS35" s="41" t="n">
        <v>40144</v>
      </c>
      <c r="AT35" s="41" t="n">
        <v>26094</v>
      </c>
      <c r="AU35" s="41" t="n">
        <v>62272</v>
      </c>
      <c r="AV35" s="41" t="n">
        <v>83000000</v>
      </c>
      <c r="AW35" s="41" t="n">
        <v>3300000</v>
      </c>
      <c r="AX35" s="41" t="n">
        <v>1700000</v>
      </c>
      <c r="AY35" s="41" t="n">
        <v>77900000</v>
      </c>
      <c r="AZ35" s="41" t="n">
        <v>43000000</v>
      </c>
      <c r="BA35" s="41" t="n">
        <v>1700000</v>
      </c>
      <c r="BB35" s="41" t="n">
        <v>800000</v>
      </c>
      <c r="BC35" s="41" t="n">
        <v>39800000</v>
      </c>
      <c r="BD35" s="23" t="n">
        <v>94000000</v>
      </c>
      <c r="BE35" s="23" t="n">
        <v>38000000</v>
      </c>
      <c r="BF35" s="23" t="n">
        <v>0</v>
      </c>
      <c r="BG35" s="23" t="n">
        <v>90200000</v>
      </c>
      <c r="BH35" s="23" t="n">
        <v>75000000</v>
      </c>
      <c r="BI35" s="23" t="n">
        <v>19000000</v>
      </c>
      <c r="BJ35" s="23" t="n">
        <v>0</v>
      </c>
      <c r="BK35" s="23" t="n">
        <v>56000000</v>
      </c>
      <c r="BL35" s="23" t="n">
        <v>13000000</v>
      </c>
      <c r="BM35" s="23" t="n">
        <v>3000000</v>
      </c>
      <c r="BN35" s="23" t="n">
        <v>0</v>
      </c>
      <c r="BO35" s="23" t="n">
        <v>10000000</v>
      </c>
    </row>
    <row r="36" customFormat="false" ht="12.8" hidden="false" customHeight="false" outlineLevel="0" collapsed="false">
      <c r="A36" s="7" t="n">
        <v>33</v>
      </c>
      <c r="B36" s="7" t="s">
        <v>132</v>
      </c>
      <c r="C36" s="7" t="s">
        <v>122</v>
      </c>
      <c r="D36" s="39" t="n">
        <v>43000</v>
      </c>
      <c r="E36" s="39" t="n">
        <v>1720</v>
      </c>
      <c r="F36" s="39" t="n">
        <v>1430</v>
      </c>
      <c r="G36" s="39" t="n">
        <v>39850</v>
      </c>
      <c r="H36" s="34" t="n">
        <v>0.96</v>
      </c>
      <c r="I36" s="34" t="n">
        <v>0.93</v>
      </c>
      <c r="J36" s="34" t="n">
        <v>0.88</v>
      </c>
      <c r="K36" s="34" t="n">
        <v>0.96</v>
      </c>
      <c r="L36" s="34" t="n">
        <v>0.561</v>
      </c>
      <c r="M36" s="34" t="n">
        <v>0.617</v>
      </c>
      <c r="N36" s="34" t="n">
        <v>0.665</v>
      </c>
      <c r="O36" s="34" t="n">
        <v>0.556</v>
      </c>
      <c r="P36" s="34" t="n">
        <v>0.04</v>
      </c>
      <c r="Q36" s="34" t="n">
        <v>0.07</v>
      </c>
      <c r="R36" s="34" t="n">
        <v>0.12</v>
      </c>
      <c r="S36" s="34" t="n">
        <v>0.04</v>
      </c>
      <c r="T36" s="34" t="n">
        <v>0.087</v>
      </c>
      <c r="U36" s="34" t="n">
        <v>0.101</v>
      </c>
      <c r="V36" s="34" t="n">
        <v>0.115</v>
      </c>
      <c r="W36" s="34" t="n">
        <v>0.085</v>
      </c>
      <c r="X36" s="40" t="n">
        <v>19.6</v>
      </c>
      <c r="Y36" s="40" t="n">
        <v>12.7</v>
      </c>
      <c r="Z36" s="40" t="n">
        <v>30.4</v>
      </c>
      <c r="AA36" s="41" t="n">
        <v>40768</v>
      </c>
      <c r="AB36" s="41" t="n">
        <v>26500</v>
      </c>
      <c r="AC36" s="41" t="n">
        <v>63232</v>
      </c>
      <c r="AD36" s="42" t="n">
        <v>19</v>
      </c>
      <c r="AE36" s="42" t="n">
        <v>12.4</v>
      </c>
      <c r="AF36" s="42" t="n">
        <v>29.5</v>
      </c>
      <c r="AG36" s="41" t="n">
        <v>39520</v>
      </c>
      <c r="AH36" s="41" t="n">
        <v>25688</v>
      </c>
      <c r="AI36" s="41" t="n">
        <v>61376</v>
      </c>
      <c r="AJ36" s="42" t="n">
        <v>16.2</v>
      </c>
      <c r="AK36" s="42" t="n">
        <v>10.5</v>
      </c>
      <c r="AL36" s="42" t="n">
        <v>25.1</v>
      </c>
      <c r="AM36" s="41" t="n">
        <v>33696</v>
      </c>
      <c r="AN36" s="41" t="n">
        <v>21899</v>
      </c>
      <c r="AO36" s="41" t="n">
        <v>52288</v>
      </c>
      <c r="AP36" s="42" t="n">
        <v>19.9</v>
      </c>
      <c r="AQ36" s="42" t="n">
        <v>12.9</v>
      </c>
      <c r="AR36" s="42" t="n">
        <v>30.8</v>
      </c>
      <c r="AS36" s="41" t="n">
        <v>41408</v>
      </c>
      <c r="AT36" s="41" t="n">
        <v>26915</v>
      </c>
      <c r="AU36" s="41" t="n">
        <v>64256</v>
      </c>
      <c r="AV36" s="41" t="n">
        <v>1005000000</v>
      </c>
      <c r="AW36" s="41" t="n">
        <v>212000000</v>
      </c>
      <c r="AX36" s="41" t="n">
        <v>20000000</v>
      </c>
      <c r="AY36" s="41" t="n">
        <v>772000000</v>
      </c>
      <c r="AZ36" s="41" t="n">
        <v>805000000</v>
      </c>
      <c r="BA36" s="41" t="n">
        <v>171000000</v>
      </c>
      <c r="BB36" s="41" t="n">
        <v>10000000</v>
      </c>
      <c r="BC36" s="41" t="n">
        <v>624000000</v>
      </c>
      <c r="BD36" s="23" t="n">
        <v>1525000000</v>
      </c>
      <c r="BE36" s="23" t="n">
        <v>337000000</v>
      </c>
      <c r="BF36" s="23" t="n">
        <v>0</v>
      </c>
      <c r="BG36" s="23" t="n">
        <v>1188000000</v>
      </c>
      <c r="BH36" s="23" t="n">
        <v>700000000</v>
      </c>
      <c r="BI36" s="23" t="n">
        <v>178000000</v>
      </c>
      <c r="BJ36" s="23" t="n">
        <v>0</v>
      </c>
      <c r="BK36" s="23" t="n">
        <v>522000000</v>
      </c>
      <c r="BL36" s="23" t="n">
        <v>97000000</v>
      </c>
      <c r="BM36" s="23" t="n">
        <v>21000000</v>
      </c>
      <c r="BN36" s="23" t="n">
        <v>0</v>
      </c>
      <c r="BO36" s="23" t="n">
        <v>76000000</v>
      </c>
    </row>
    <row r="37" customFormat="false" ht="12.8" hidden="false" customHeight="false" outlineLevel="0" collapsed="false">
      <c r="A37" s="7" t="n">
        <v>34</v>
      </c>
      <c r="B37" s="7" t="s">
        <v>132</v>
      </c>
      <c r="C37" s="7" t="s">
        <v>123</v>
      </c>
      <c r="D37" s="39" t="n">
        <v>22000</v>
      </c>
      <c r="E37" s="39" t="n">
        <v>880</v>
      </c>
      <c r="F37" s="39" t="n">
        <v>730</v>
      </c>
      <c r="G37" s="39" t="n">
        <v>20390</v>
      </c>
      <c r="H37" s="34" t="n">
        <v>0.96</v>
      </c>
      <c r="I37" s="34" t="n">
        <v>0.93</v>
      </c>
      <c r="J37" s="34" t="n">
        <v>0.88</v>
      </c>
      <c r="K37" s="34" t="n">
        <v>0.96</v>
      </c>
      <c r="L37" s="34" t="n">
        <v>0.533</v>
      </c>
      <c r="M37" s="34" t="n">
        <v>0.586</v>
      </c>
      <c r="N37" s="34" t="n">
        <v>0.632</v>
      </c>
      <c r="O37" s="34" t="n">
        <v>0.528</v>
      </c>
      <c r="P37" s="34" t="n">
        <v>0.04</v>
      </c>
      <c r="Q37" s="34" t="n">
        <v>0.07</v>
      </c>
      <c r="R37" s="34" t="n">
        <v>0.12</v>
      </c>
      <c r="S37" s="34" t="n">
        <v>0.04</v>
      </c>
      <c r="T37" s="34" t="n">
        <v>0.096</v>
      </c>
      <c r="U37" s="34" t="n">
        <v>0.111</v>
      </c>
      <c r="V37" s="34" t="n">
        <v>0.127</v>
      </c>
      <c r="W37" s="34" t="n">
        <v>0.094</v>
      </c>
      <c r="X37" s="40" t="n">
        <v>16.7</v>
      </c>
      <c r="Y37" s="40" t="n">
        <v>10.9</v>
      </c>
      <c r="Z37" s="40" t="n">
        <v>25.9</v>
      </c>
      <c r="AA37" s="41" t="n">
        <v>34736</v>
      </c>
      <c r="AB37" s="41" t="n">
        <v>22578</v>
      </c>
      <c r="AC37" s="41" t="n">
        <v>54080</v>
      </c>
      <c r="AD37" s="42" t="n">
        <v>16.2</v>
      </c>
      <c r="AE37" s="42" t="n">
        <v>10.5</v>
      </c>
      <c r="AF37" s="42" t="n">
        <v>25.1</v>
      </c>
      <c r="AG37" s="41" t="n">
        <v>33696</v>
      </c>
      <c r="AH37" s="41" t="n">
        <v>21899</v>
      </c>
      <c r="AI37" s="41" t="n">
        <v>52288</v>
      </c>
      <c r="AJ37" s="42" t="n">
        <v>13.8</v>
      </c>
      <c r="AK37" s="42" t="n">
        <v>9</v>
      </c>
      <c r="AL37" s="42" t="n">
        <v>21.4</v>
      </c>
      <c r="AM37" s="41" t="n">
        <v>28720</v>
      </c>
      <c r="AN37" s="41" t="n">
        <v>18668</v>
      </c>
      <c r="AO37" s="41" t="n">
        <v>44544</v>
      </c>
      <c r="AP37" s="42" t="n">
        <v>16.9</v>
      </c>
      <c r="AQ37" s="42" t="n">
        <v>11</v>
      </c>
      <c r="AR37" s="42" t="n">
        <v>26.2</v>
      </c>
      <c r="AS37" s="41" t="n">
        <v>35152</v>
      </c>
      <c r="AT37" s="41" t="n">
        <v>22849</v>
      </c>
      <c r="AU37" s="41" t="n">
        <v>54560</v>
      </c>
      <c r="AV37" s="41" t="n">
        <v>427000000</v>
      </c>
      <c r="AW37" s="41" t="n">
        <v>90000000</v>
      </c>
      <c r="AX37" s="41" t="n">
        <v>8500000</v>
      </c>
      <c r="AY37" s="41" t="n">
        <v>328000000</v>
      </c>
      <c r="AZ37" s="41" t="n">
        <v>342000000</v>
      </c>
      <c r="BA37" s="41" t="n">
        <v>72600000</v>
      </c>
      <c r="BB37" s="41" t="n">
        <v>4000000</v>
      </c>
      <c r="BC37" s="41" t="n">
        <v>265000000</v>
      </c>
      <c r="BD37" s="23" t="n">
        <v>765000000</v>
      </c>
      <c r="BE37" s="23" t="n">
        <v>169000000</v>
      </c>
      <c r="BF37" s="23" t="n">
        <v>0</v>
      </c>
      <c r="BG37" s="23" t="n">
        <v>596000000</v>
      </c>
      <c r="BH37" s="23" t="n">
        <v>350000000</v>
      </c>
      <c r="BI37" s="23" t="n">
        <v>89000000</v>
      </c>
      <c r="BJ37" s="23" t="n">
        <v>0</v>
      </c>
      <c r="BK37" s="23" t="n">
        <v>261000000</v>
      </c>
      <c r="BL37" s="23" t="n">
        <v>48500000</v>
      </c>
      <c r="BM37" s="23" t="n">
        <v>10500000</v>
      </c>
      <c r="BN37" s="23" t="n">
        <v>0</v>
      </c>
      <c r="BO37" s="23" t="n">
        <v>38000000</v>
      </c>
    </row>
    <row r="38" customFormat="false" ht="12.8" hidden="false" customHeight="false" outlineLevel="0" collapsed="false">
      <c r="A38" s="7"/>
      <c r="B38" s="7"/>
      <c r="C38" s="7"/>
      <c r="D38" s="39"/>
      <c r="E38" s="39"/>
      <c r="F38" s="39"/>
      <c r="G38" s="39"/>
      <c r="H38" s="34"/>
      <c r="I38" s="34"/>
      <c r="J38" s="34"/>
      <c r="K38" s="34"/>
      <c r="L38" s="34"/>
      <c r="M38" s="34"/>
      <c r="N38" s="34"/>
      <c r="O38" s="34"/>
      <c r="P38" s="34"/>
      <c r="Q38" s="34"/>
      <c r="R38" s="34"/>
      <c r="S38" s="34"/>
      <c r="T38" s="34"/>
      <c r="U38" s="34"/>
      <c r="V38" s="34"/>
      <c r="W38" s="34"/>
      <c r="X38" s="40"/>
      <c r="Y38" s="40"/>
      <c r="Z38" s="40"/>
      <c r="AA38" s="41"/>
      <c r="AB38" s="41"/>
      <c r="AC38" s="41"/>
      <c r="AD38" s="42"/>
      <c r="AE38" s="42"/>
      <c r="AF38" s="42"/>
      <c r="AG38" s="41"/>
      <c r="AH38" s="41"/>
      <c r="AI38" s="41"/>
      <c r="AJ38" s="42"/>
      <c r="AK38" s="42"/>
      <c r="AL38" s="42"/>
      <c r="AM38" s="41"/>
      <c r="AN38" s="41"/>
      <c r="AO38" s="41"/>
      <c r="AP38" s="42"/>
      <c r="AQ38" s="42"/>
      <c r="AR38" s="42"/>
      <c r="AS38" s="41"/>
      <c r="AT38" s="41"/>
      <c r="AU38" s="41"/>
      <c r="AV38" s="41"/>
      <c r="AW38" s="41"/>
      <c r="AX38" s="41"/>
      <c r="AY38" s="41"/>
      <c r="AZ38" s="41"/>
      <c r="BA38" s="41"/>
      <c r="BB38" s="41"/>
      <c r="BC38" s="41"/>
      <c r="BD38" s="23"/>
      <c r="BE38" s="23"/>
      <c r="BF38" s="23"/>
      <c r="BG38" s="23"/>
      <c r="BH38" s="23"/>
      <c r="BI38" s="23"/>
      <c r="BJ38" s="23"/>
      <c r="BK38" s="23"/>
      <c r="BL38" s="23"/>
      <c r="BM38" s="23"/>
      <c r="BN38" s="23"/>
      <c r="BO38" s="23"/>
    </row>
    <row r="39" customFormat="false" ht="12.8" hidden="false" customHeight="false" outlineLevel="0" collapsed="false">
      <c r="A39" s="11"/>
      <c r="B39" s="11"/>
      <c r="C39" s="11"/>
      <c r="D39" s="11"/>
      <c r="E39" s="11"/>
      <c r="F39" s="11"/>
      <c r="G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row>
    <row r="40" customFormat="false" ht="12.8" hidden="false" customHeight="false" outlineLevel="0" collapsed="false">
      <c r="A40" s="5" t="s">
        <v>164</v>
      </c>
      <c r="B40" s="24" t="s">
        <v>9</v>
      </c>
      <c r="C40" s="25" t="s">
        <v>139</v>
      </c>
    </row>
    <row r="41" customFormat="false" ht="35.05" hidden="false" customHeight="false" outlineLevel="0" collapsed="false">
      <c r="A41" s="5" t="s">
        <v>26</v>
      </c>
      <c r="B41" s="26" t="s">
        <v>140</v>
      </c>
      <c r="C41" s="26" t="str">
        <f aca="false">D2</f>
        <v>Labor Force Population</v>
      </c>
      <c r="D41" s="26" t="str">
        <f aca="false">E2</f>
        <v>Authorized Labor Force Population</v>
      </c>
      <c r="E41" s="26" t="str">
        <f aca="false">F2</f>
        <v>Unauthorized Labor Force Population</v>
      </c>
      <c r="F41" s="26" t="str">
        <f aca="false">G2</f>
        <v>American Labor Force Population</v>
      </c>
    </row>
    <row r="42" customFormat="false" ht="12.8" hidden="false" customHeight="false" outlineLevel="0" collapsed="false">
      <c r="A42" s="7" t="str">
        <f aca="false">_xlfn.CONCAT($A$40, ".", $A3)</f>
        <v>AR.0.0</v>
      </c>
      <c r="B42" s="7" t="str">
        <f aca="false">_xlfn.CONCAT(B3, ": ", C3)</f>
        <v>All Industries: All Roles</v>
      </c>
      <c r="C42" s="19" t="n">
        <f aca="false">D3</f>
        <v>1522000</v>
      </c>
      <c r="D42" s="19" t="n">
        <f aca="false">E3</f>
        <v>60900</v>
      </c>
      <c r="E42" s="19" t="n">
        <f aca="false">F3</f>
        <v>53500</v>
      </c>
      <c r="F42" s="19" t="n">
        <f aca="false">G3</f>
        <v>1407600</v>
      </c>
    </row>
    <row r="43" customFormat="false" ht="12.8" hidden="false" customHeight="false" outlineLevel="0" collapsed="false">
      <c r="A43" s="7" t="str">
        <f aca="false">_xlfn.CONCAT($A$40, ".", $A4)</f>
        <v>AR.0.1</v>
      </c>
      <c r="B43" s="7" t="str">
        <f aca="false">_xlfn.CONCAT(B4, ": ", C4)</f>
        <v>Agriculture: Worker</v>
      </c>
      <c r="C43" s="19" t="n">
        <f aca="false">D4</f>
        <v>27000</v>
      </c>
      <c r="D43" s="19" t="n">
        <f aca="false">E4</f>
        <v>1080</v>
      </c>
      <c r="E43" s="19" t="n">
        <f aca="false">F4</f>
        <v>900</v>
      </c>
      <c r="F43" s="19" t="n">
        <f aca="false">G4</f>
        <v>25020</v>
      </c>
    </row>
    <row r="44" customFormat="false" ht="12.8" hidden="false" customHeight="false" outlineLevel="0" collapsed="false">
      <c r="A44" s="7" t="str">
        <f aca="false">_xlfn.CONCAT($A$40, ".", $A5)</f>
        <v>AR.0.2</v>
      </c>
      <c r="B44" s="7" t="str">
        <f aca="false">_xlfn.CONCAT(B5, ": ", C5)</f>
        <v>Agriculture: Support</v>
      </c>
      <c r="C44" s="19" t="n">
        <f aca="false">D5</f>
        <v>13000</v>
      </c>
      <c r="D44" s="19" t="n">
        <f aca="false">E5</f>
        <v>520</v>
      </c>
      <c r="E44" s="19" t="n">
        <f aca="false">F5</f>
        <v>400</v>
      </c>
      <c r="F44" s="19" t="n">
        <f aca="false">G5</f>
        <v>12080</v>
      </c>
    </row>
    <row r="45" customFormat="false" ht="12.8" hidden="false" customHeight="false" outlineLevel="0" collapsed="false">
      <c r="A45" s="7" t="str">
        <f aca="false">_xlfn.CONCAT($A$40, ".", $A6)</f>
        <v>AR.0.3</v>
      </c>
      <c r="B45" s="7" t="str">
        <f aca="false">_xlfn.CONCAT(B6, ": ", C6)</f>
        <v>Construction: Worker</v>
      </c>
      <c r="C45" s="19" t="n">
        <f aca="false">D6</f>
        <v>43000</v>
      </c>
      <c r="D45" s="19" t="n">
        <f aca="false">E6</f>
        <v>1720</v>
      </c>
      <c r="E45" s="19" t="n">
        <f aca="false">F6</f>
        <v>1430</v>
      </c>
      <c r="F45" s="19" t="n">
        <f aca="false">G6</f>
        <v>39850</v>
      </c>
    </row>
    <row r="46" customFormat="false" ht="12.8" hidden="false" customHeight="false" outlineLevel="0" collapsed="false">
      <c r="A46" s="7" t="str">
        <f aca="false">_xlfn.CONCAT($A$40, ".", $A7)</f>
        <v>AR.0.4</v>
      </c>
      <c r="B46" s="7" t="str">
        <f aca="false">_xlfn.CONCAT(B7, ": ", C7)</f>
        <v>Construction: Support</v>
      </c>
      <c r="C46" s="19" t="n">
        <f aca="false">D7</f>
        <v>22000</v>
      </c>
      <c r="D46" s="19" t="n">
        <f aca="false">E7</f>
        <v>880</v>
      </c>
      <c r="E46" s="19" t="n">
        <f aca="false">F7</f>
        <v>730</v>
      </c>
      <c r="F46" s="19" t="n">
        <f aca="false">G7</f>
        <v>20390</v>
      </c>
    </row>
    <row r="47" customFormat="false" ht="12.8" hidden="false" customHeight="false" outlineLevel="0" collapsed="false">
      <c r="A47" s="7" t="str">
        <f aca="false">_xlfn.CONCAT($A$40, ".", $A8)</f>
        <v>AR.0.5</v>
      </c>
      <c r="B47" s="7" t="str">
        <f aca="false">_xlfn.CONCAT(B8, ": ", C8)</f>
        <v>Hospitality: Worker</v>
      </c>
      <c r="C47" s="19" t="n">
        <f aca="false">D8</f>
        <v>91000</v>
      </c>
      <c r="D47" s="19" t="n">
        <f aca="false">E8</f>
        <v>3640</v>
      </c>
      <c r="E47" s="19" t="n">
        <f aca="false">F8</f>
        <v>3030</v>
      </c>
      <c r="F47" s="19" t="n">
        <f aca="false">G8</f>
        <v>84330</v>
      </c>
    </row>
    <row r="48" customFormat="false" ht="12.8" hidden="false" customHeight="false" outlineLevel="0" collapsed="false">
      <c r="A48" s="7" t="str">
        <f aca="false">_xlfn.CONCAT($A$40, ".", $A9)</f>
        <v>AR.0.6</v>
      </c>
      <c r="B48" s="7" t="str">
        <f aca="false">_xlfn.CONCAT(B9, ": ", C9)</f>
        <v>Hospitality: Support</v>
      </c>
      <c r="C48" s="19" t="n">
        <f aca="false">D9</f>
        <v>45000</v>
      </c>
      <c r="D48" s="19" t="n">
        <f aca="false">E9</f>
        <v>1800</v>
      </c>
      <c r="E48" s="19" t="n">
        <f aca="false">F9</f>
        <v>1500</v>
      </c>
      <c r="F48" s="19" t="n">
        <f aca="false">G9</f>
        <v>41700</v>
      </c>
    </row>
    <row r="49" customFormat="false" ht="12.8" hidden="false" customHeight="false" outlineLevel="0" collapsed="false">
      <c r="A49" s="7" t="str">
        <f aca="false">_xlfn.CONCAT($A$40, ".", $A10)</f>
        <v>AR.0.7</v>
      </c>
      <c r="B49" s="7" t="str">
        <f aca="false">_xlfn.CONCAT(B10, ": ", C10)</f>
        <v>Cleaning &amp; Maintenance: Worker</v>
      </c>
      <c r="C49" s="19" t="n">
        <f aca="false">D10</f>
        <v>53000</v>
      </c>
      <c r="D49" s="19" t="n">
        <f aca="false">E10</f>
        <v>2120</v>
      </c>
      <c r="E49" s="19" t="n">
        <f aca="false">F10</f>
        <v>1760</v>
      </c>
      <c r="F49" s="19" t="n">
        <f aca="false">G10</f>
        <v>49120</v>
      </c>
    </row>
    <row r="50" customFormat="false" ht="12.8" hidden="false" customHeight="false" outlineLevel="0" collapsed="false">
      <c r="A50" s="7" t="str">
        <f aca="false">_xlfn.CONCAT($A$40, ".", $A11)</f>
        <v>AR.0.8</v>
      </c>
      <c r="B50" s="7" t="str">
        <f aca="false">_xlfn.CONCAT(B11, ": ", C11)</f>
        <v>Cleaning &amp; Maintenance: Support</v>
      </c>
      <c r="C50" s="19" t="n">
        <f aca="false">D11</f>
        <v>26000</v>
      </c>
      <c r="D50" s="19" t="n">
        <f aca="false">E11</f>
        <v>1040</v>
      </c>
      <c r="E50" s="19" t="n">
        <f aca="false">F11</f>
        <v>860</v>
      </c>
      <c r="F50" s="19" t="n">
        <f aca="false">G11</f>
        <v>24100</v>
      </c>
    </row>
    <row r="51" customFormat="false" ht="12.8" hidden="false" customHeight="false" outlineLevel="0" collapsed="false">
      <c r="A51" s="7" t="str">
        <f aca="false">_xlfn.CONCAT($A$40, ".", $A12)</f>
        <v>AR.0.9</v>
      </c>
      <c r="B51" s="7" t="str">
        <f aca="false">_xlfn.CONCAT(B12, ": ", C12)</f>
        <v>Manufacturing: Worker</v>
      </c>
      <c r="C51" s="19" t="n">
        <f aca="false">D12</f>
        <v>110000</v>
      </c>
      <c r="D51" s="19" t="n">
        <f aca="false">E12</f>
        <v>4400</v>
      </c>
      <c r="E51" s="19" t="n">
        <f aca="false">F12</f>
        <v>3660</v>
      </c>
      <c r="F51" s="19" t="n">
        <f aca="false">G12</f>
        <v>102000</v>
      </c>
    </row>
    <row r="52" customFormat="false" ht="12.8" hidden="false" customHeight="false" outlineLevel="0" collapsed="false">
      <c r="A52" s="7" t="str">
        <f aca="false">_xlfn.CONCAT($A$40, ".", $A13)</f>
        <v>AR.0.10</v>
      </c>
      <c r="B52" s="7" t="str">
        <f aca="false">_xlfn.CONCAT(B13, ": ", C13)</f>
        <v>Manufacturing: Support</v>
      </c>
      <c r="C52" s="19" t="n">
        <f aca="false">D13</f>
        <v>55000</v>
      </c>
      <c r="D52" s="19" t="n">
        <f aca="false">E13</f>
        <v>2200</v>
      </c>
      <c r="E52" s="19" t="n">
        <f aca="false">F13</f>
        <v>1830</v>
      </c>
      <c r="F52" s="19" t="n">
        <f aca="false">G13</f>
        <v>51000</v>
      </c>
    </row>
    <row r="53" customFormat="false" ht="12.8" hidden="false" customHeight="false" outlineLevel="0" collapsed="false">
      <c r="A53" s="7" t="str">
        <f aca="false">_xlfn.CONCAT($A$40, ".", $A14)</f>
        <v>AR.0.11</v>
      </c>
      <c r="B53" s="7" t="str">
        <f aca="false">_xlfn.CONCAT(B14, ": ", C14)</f>
        <v>Transportation &amp; Warehousing: Worker</v>
      </c>
      <c r="C53" s="19" t="n">
        <f aca="false">D14</f>
        <v>47000</v>
      </c>
      <c r="D53" s="19" t="n">
        <f aca="false">E14</f>
        <v>1880</v>
      </c>
      <c r="E53" s="19" t="n">
        <f aca="false">F14</f>
        <v>1560</v>
      </c>
      <c r="F53" s="19" t="n">
        <f aca="false">G14</f>
        <v>43560</v>
      </c>
    </row>
    <row r="54" customFormat="false" ht="12.8" hidden="false" customHeight="false" outlineLevel="0" collapsed="false">
      <c r="A54" s="7" t="str">
        <f aca="false">_xlfn.CONCAT($A$40, ".", $A15)</f>
        <v>AR.0.12</v>
      </c>
      <c r="B54" s="7" t="str">
        <f aca="false">_xlfn.CONCAT(B15, ": ", C15)</f>
        <v>Transportation &amp; Warehousing: Support</v>
      </c>
      <c r="C54" s="19" t="n">
        <f aca="false">D15</f>
        <v>23000</v>
      </c>
      <c r="D54" s="19" t="n">
        <f aca="false">E15</f>
        <v>920</v>
      </c>
      <c r="E54" s="19" t="n">
        <f aca="false">F15</f>
        <v>760</v>
      </c>
      <c r="F54" s="19" t="n">
        <f aca="false">G15</f>
        <v>21320</v>
      </c>
    </row>
    <row r="55" customFormat="false" ht="12.8" hidden="false" customHeight="false" outlineLevel="0" collapsed="false">
      <c r="A55" s="7" t="str">
        <f aca="false">_xlfn.CONCAT($A$40, ".", $A16)</f>
        <v>AR.0.13</v>
      </c>
      <c r="B55" s="7" t="str">
        <f aca="false">_xlfn.CONCAT(B16, ": ", C16)</f>
        <v>Retail Trade: Worker</v>
      </c>
      <c r="C55" s="19" t="n">
        <f aca="false">D16</f>
        <v>141000</v>
      </c>
      <c r="D55" s="19" t="n">
        <f aca="false">E16</f>
        <v>5640</v>
      </c>
      <c r="E55" s="19" t="n">
        <f aca="false">F16</f>
        <v>4690</v>
      </c>
      <c r="F55" s="19" t="n">
        <f aca="false">G16</f>
        <v>130670</v>
      </c>
    </row>
    <row r="56" customFormat="false" ht="12.8" hidden="false" customHeight="false" outlineLevel="0" collapsed="false">
      <c r="A56" s="7" t="str">
        <f aca="false">_xlfn.CONCAT($A$40, ".", $A17)</f>
        <v>AR.0.14</v>
      </c>
      <c r="B56" s="7" t="str">
        <f aca="false">_xlfn.CONCAT(B17, ": ", C17)</f>
        <v>Retail Trade: Support</v>
      </c>
      <c r="C56" s="19" t="n">
        <f aca="false">D17</f>
        <v>70000</v>
      </c>
      <c r="D56" s="19" t="n">
        <f aca="false">E17</f>
        <v>2800</v>
      </c>
      <c r="E56" s="19" t="n">
        <f aca="false">F17</f>
        <v>2330</v>
      </c>
      <c r="F56" s="19" t="n">
        <f aca="false">G17</f>
        <v>64870</v>
      </c>
    </row>
    <row r="57" customFormat="false" ht="12.8" hidden="false" customHeight="false" outlineLevel="0" collapsed="false">
      <c r="A57" s="7" t="str">
        <f aca="false">_xlfn.CONCAT($A$40, ".", $A18)</f>
        <v>AR.0.15</v>
      </c>
      <c r="B57" s="7" t="str">
        <f aca="false">_xlfn.CONCAT(B18, ": ", C18)</f>
        <v>Landscaping / Groundskeeping: Worker</v>
      </c>
      <c r="C57" s="19" t="n">
        <f aca="false">D18</f>
        <v>23000</v>
      </c>
      <c r="D57" s="19" t="n">
        <f aca="false">E18</f>
        <v>920</v>
      </c>
      <c r="E57" s="19" t="n">
        <f aca="false">F18</f>
        <v>760</v>
      </c>
      <c r="F57" s="19" t="n">
        <f aca="false">G18</f>
        <v>21320</v>
      </c>
    </row>
    <row r="58" customFormat="false" ht="12.8" hidden="false" customHeight="false" outlineLevel="0" collapsed="false">
      <c r="A58" s="7" t="str">
        <f aca="false">_xlfn.CONCAT($A$40, ".", $A19)</f>
        <v>AR.0.16</v>
      </c>
      <c r="B58" s="7" t="str">
        <f aca="false">_xlfn.CONCAT(B19, ": ", C19)</f>
        <v>Landscaping / Groundskeeping: Support</v>
      </c>
      <c r="C58" s="19" t="n">
        <f aca="false">D19</f>
        <v>12000</v>
      </c>
      <c r="D58" s="19" t="n">
        <f aca="false">E19</f>
        <v>480</v>
      </c>
      <c r="E58" s="19" t="n">
        <f aca="false">F19</f>
        <v>400</v>
      </c>
      <c r="F58" s="19" t="n">
        <f aca="false">G19</f>
        <v>11120</v>
      </c>
    </row>
    <row r="59" customFormat="false" ht="12.8" hidden="false" customHeight="false" outlineLevel="0" collapsed="false">
      <c r="A59" s="7" t="str">
        <f aca="false">_xlfn.CONCAT($A$40, ".", $A20)</f>
        <v>AR.0.17</v>
      </c>
      <c r="B59" s="7" t="str">
        <f aca="false">_xlfn.CONCAT(B20, ": ", C20)</f>
        <v>Automotive &amp; Repair: Worker</v>
      </c>
      <c r="C59" s="19" t="n">
        <f aca="false">D20</f>
        <v>20000</v>
      </c>
      <c r="D59" s="19" t="n">
        <f aca="false">E20</f>
        <v>800</v>
      </c>
      <c r="E59" s="19" t="n">
        <f aca="false">F20</f>
        <v>670</v>
      </c>
      <c r="F59" s="19" t="n">
        <f aca="false">G20</f>
        <v>18530</v>
      </c>
    </row>
    <row r="60" customFormat="false" ht="12.8" hidden="false" customHeight="false" outlineLevel="0" collapsed="false">
      <c r="A60" s="7" t="str">
        <f aca="false">_xlfn.CONCAT($A$40, ".", $A21)</f>
        <v>AR.0.18</v>
      </c>
      <c r="B60" s="7" t="str">
        <f aca="false">_xlfn.CONCAT(B21, ": ", C21)</f>
        <v>Automotive &amp; Repair: Support</v>
      </c>
      <c r="C60" s="19" t="n">
        <f aca="false">D21</f>
        <v>10000</v>
      </c>
      <c r="D60" s="19" t="n">
        <f aca="false">E21</f>
        <v>400</v>
      </c>
      <c r="E60" s="19" t="n">
        <f aca="false">F21</f>
        <v>330</v>
      </c>
      <c r="F60" s="19" t="n">
        <f aca="false">G21</f>
        <v>9270</v>
      </c>
    </row>
    <row r="61" customFormat="false" ht="12.8" hidden="false" customHeight="false" outlineLevel="0" collapsed="false">
      <c r="A61" s="7" t="str">
        <f aca="false">_xlfn.CONCAT($A$40, ".", $A22)</f>
        <v>AR.0.19</v>
      </c>
      <c r="B61" s="7" t="str">
        <f aca="false">_xlfn.CONCAT(B22, ": ", C22)</f>
        <v>Healthcare &amp; Social Assistance: Worker</v>
      </c>
      <c r="C61" s="19" t="n">
        <f aca="false">D22</f>
        <v>93000</v>
      </c>
      <c r="D61" s="19" t="n">
        <f aca="false">E22</f>
        <v>3720</v>
      </c>
      <c r="E61" s="19" t="n">
        <f aca="false">F22</f>
        <v>3090</v>
      </c>
      <c r="F61" s="19" t="n">
        <f aca="false">G22</f>
        <v>86190</v>
      </c>
    </row>
    <row r="62" customFormat="false" ht="12.8" hidden="false" customHeight="false" outlineLevel="0" collapsed="false">
      <c r="A62" s="7" t="str">
        <f aca="false">_xlfn.CONCAT($A$40, ".", $A23)</f>
        <v>AR.0.20</v>
      </c>
      <c r="B62" s="7" t="str">
        <f aca="false">_xlfn.CONCAT(B23, ": ", C23)</f>
        <v>Healthcare &amp; Social Assistance: Support</v>
      </c>
      <c r="C62" s="19" t="n">
        <f aca="false">D23</f>
        <v>47000</v>
      </c>
      <c r="D62" s="19" t="n">
        <f aca="false">E23</f>
        <v>1880</v>
      </c>
      <c r="E62" s="19" t="n">
        <f aca="false">F23</f>
        <v>1560</v>
      </c>
      <c r="F62" s="19" t="n">
        <f aca="false">G23</f>
        <v>43560</v>
      </c>
    </row>
    <row r="63" customFormat="false" ht="12.8" hidden="false" customHeight="false" outlineLevel="0" collapsed="false">
      <c r="A63" s="7" t="str">
        <f aca="false">_xlfn.CONCAT($A$40, ".", $A24)</f>
        <v>AR.0.21</v>
      </c>
      <c r="B63" s="7" t="str">
        <f aca="false">_xlfn.CONCAT(B24, ": ", C24)</f>
        <v>Professional Services: Worker</v>
      </c>
      <c r="C63" s="19" t="n">
        <f aca="false">D24</f>
        <v>109000</v>
      </c>
      <c r="D63" s="19" t="n">
        <f aca="false">E24</f>
        <v>4360</v>
      </c>
      <c r="E63" s="19" t="n">
        <f aca="false">F24</f>
        <v>3620</v>
      </c>
      <c r="F63" s="19" t="n">
        <f aca="false">G24</f>
        <v>101020</v>
      </c>
    </row>
    <row r="64" customFormat="false" ht="12.8" hidden="false" customHeight="false" outlineLevel="0" collapsed="false">
      <c r="A64" s="7" t="str">
        <f aca="false">_xlfn.CONCAT($A$40, ".", $A25)</f>
        <v>AR.0.22</v>
      </c>
      <c r="B64" s="7" t="str">
        <f aca="false">_xlfn.CONCAT(B25, ": ", C25)</f>
        <v>Professional Services: Support</v>
      </c>
      <c r="C64" s="19" t="n">
        <f aca="false">D25</f>
        <v>55000</v>
      </c>
      <c r="D64" s="19" t="n">
        <f aca="false">E25</f>
        <v>2200</v>
      </c>
      <c r="E64" s="19" t="n">
        <f aca="false">F25</f>
        <v>1830</v>
      </c>
      <c r="F64" s="19" t="n">
        <f aca="false">G25</f>
        <v>51000</v>
      </c>
    </row>
    <row r="65" customFormat="false" ht="12.8" hidden="false" customHeight="false" outlineLevel="0" collapsed="false">
      <c r="A65" s="7" t="str">
        <f aca="false">_xlfn.CONCAT($A$40, ".", $A26)</f>
        <v>AR.0.23</v>
      </c>
      <c r="B65" s="7" t="str">
        <f aca="false">_xlfn.CONCAT(B26, ": ", C26)</f>
        <v>Educational Services: Worker</v>
      </c>
      <c r="C65" s="19" t="n">
        <f aca="false">D26</f>
        <v>56000</v>
      </c>
      <c r="D65" s="19" t="n">
        <f aca="false">E26</f>
        <v>2240</v>
      </c>
      <c r="E65" s="19" t="n">
        <f aca="false">F26</f>
        <v>1860</v>
      </c>
      <c r="F65" s="19" t="n">
        <f aca="false">G26</f>
        <v>51900</v>
      </c>
    </row>
    <row r="66" customFormat="false" ht="12.8" hidden="false" customHeight="false" outlineLevel="0" collapsed="false">
      <c r="A66" s="7" t="str">
        <f aca="false">_xlfn.CONCAT($A$40, ".", $A27)</f>
        <v>AR.0.24</v>
      </c>
      <c r="B66" s="7" t="str">
        <f aca="false">_xlfn.CONCAT(B27, ": ", C27)</f>
        <v>Educational Services: Support</v>
      </c>
      <c r="C66" s="19" t="n">
        <f aca="false">D27</f>
        <v>28000</v>
      </c>
      <c r="D66" s="19" t="n">
        <f aca="false">E27</f>
        <v>1120</v>
      </c>
      <c r="E66" s="19" t="n">
        <f aca="false">F27</f>
        <v>930</v>
      </c>
      <c r="F66" s="19" t="n">
        <f aca="false">G27</f>
        <v>25950</v>
      </c>
    </row>
    <row r="67" customFormat="false" ht="12.8" hidden="false" customHeight="false" outlineLevel="0" collapsed="false">
      <c r="A67" s="7" t="str">
        <f aca="false">_xlfn.CONCAT($A$40, ".", $A28)</f>
        <v>AR.0.25</v>
      </c>
      <c r="B67" s="7" t="str">
        <f aca="false">_xlfn.CONCAT(B28, ": ", C28)</f>
        <v>Finance &amp; Insurance: Worker</v>
      </c>
      <c r="C67" s="19" t="n">
        <f aca="false">D28</f>
        <v>47000</v>
      </c>
      <c r="D67" s="19" t="n">
        <f aca="false">E28</f>
        <v>1880</v>
      </c>
      <c r="E67" s="19" t="n">
        <f aca="false">F28</f>
        <v>1560</v>
      </c>
      <c r="F67" s="19" t="n">
        <f aca="false">G28</f>
        <v>43560</v>
      </c>
    </row>
    <row r="68" customFormat="false" ht="12.8" hidden="false" customHeight="false" outlineLevel="0" collapsed="false">
      <c r="A68" s="7" t="str">
        <f aca="false">_xlfn.CONCAT($A$40, ".", $A29)</f>
        <v>AR.0.26</v>
      </c>
      <c r="B68" s="7" t="str">
        <f aca="false">_xlfn.CONCAT(B29, ": ", C29)</f>
        <v>Finance &amp; Insurance: Support</v>
      </c>
      <c r="C68" s="19" t="n">
        <f aca="false">D29</f>
        <v>23000</v>
      </c>
      <c r="D68" s="19" t="n">
        <f aca="false">E29</f>
        <v>920</v>
      </c>
      <c r="E68" s="19" t="n">
        <f aca="false">F29</f>
        <v>760</v>
      </c>
      <c r="F68" s="19" t="n">
        <f aca="false">G29</f>
        <v>21320</v>
      </c>
    </row>
    <row r="69" customFormat="false" ht="12.8" hidden="false" customHeight="false" outlineLevel="0" collapsed="false">
      <c r="A69" s="7" t="str">
        <f aca="false">_xlfn.CONCAT($A$40, ".", $A30)</f>
        <v>AR.0.27</v>
      </c>
      <c r="B69" s="7" t="str">
        <f aca="false">_xlfn.CONCAT(B30, ": ", C30)</f>
        <v>Media and Information Technology: Worker</v>
      </c>
      <c r="C69" s="19" t="n">
        <f aca="false">D30</f>
        <v>7700</v>
      </c>
      <c r="D69" s="19" t="n">
        <f aca="false">E30</f>
        <v>310</v>
      </c>
      <c r="E69" s="19" t="n">
        <f aca="false">F30</f>
        <v>260</v>
      </c>
      <c r="F69" s="19" t="n">
        <f aca="false">G30</f>
        <v>7130</v>
      </c>
    </row>
    <row r="70" customFormat="false" ht="12.8" hidden="false" customHeight="false" outlineLevel="0" collapsed="false">
      <c r="A70" s="7" t="str">
        <f aca="false">_xlfn.CONCAT($A$40, ".", $A31)</f>
        <v>AR.0.28</v>
      </c>
      <c r="B70" s="7" t="str">
        <f aca="false">_xlfn.CONCAT(B31, ": ", C31)</f>
        <v>Media and Information Technology: Support</v>
      </c>
      <c r="C70" s="19" t="n">
        <f aca="false">D31</f>
        <v>3900</v>
      </c>
      <c r="D70" s="19" t="n">
        <f aca="false">E31</f>
        <v>160</v>
      </c>
      <c r="E70" s="19" t="n">
        <f aca="false">F31</f>
        <v>130</v>
      </c>
      <c r="F70" s="19" t="n">
        <f aca="false">G31</f>
        <v>3610</v>
      </c>
    </row>
    <row r="71" customFormat="false" ht="12.8" hidden="false" customHeight="false" outlineLevel="0" collapsed="false">
      <c r="A71" s="7" t="str">
        <f aca="false">_xlfn.CONCAT($A$40, ".", $A32)</f>
        <v>AR.0.29</v>
      </c>
      <c r="B71" s="7" t="str">
        <f aca="false">_xlfn.CONCAT(B32, ": ", C32)</f>
        <v>Government: Worker</v>
      </c>
      <c r="C71" s="19" t="n">
        <f aca="false">D32</f>
        <v>141000</v>
      </c>
      <c r="D71" s="19" t="n">
        <f aca="false">E32</f>
        <v>5640</v>
      </c>
      <c r="E71" s="19" t="n">
        <f aca="false">F32</f>
        <v>4690</v>
      </c>
      <c r="F71" s="19" t="n">
        <f aca="false">G32</f>
        <v>130670</v>
      </c>
    </row>
    <row r="72" customFormat="false" ht="12.8" hidden="false" customHeight="false" outlineLevel="0" collapsed="false">
      <c r="A72" s="7" t="str">
        <f aca="false">_xlfn.CONCAT($A$40, ".", $A33)</f>
        <v>AR.0.30</v>
      </c>
      <c r="B72" s="7" t="str">
        <f aca="false">_xlfn.CONCAT(B33, ": ", C33)</f>
        <v>Government: Support</v>
      </c>
      <c r="C72" s="19" t="n">
        <f aca="false">D33</f>
        <v>70000</v>
      </c>
      <c r="D72" s="19" t="n">
        <f aca="false">E33</f>
        <v>2800</v>
      </c>
      <c r="E72" s="19" t="n">
        <f aca="false">F33</f>
        <v>2330</v>
      </c>
      <c r="F72" s="19" t="n">
        <f aca="false">G33</f>
        <v>64870</v>
      </c>
    </row>
    <row r="73" customFormat="false" ht="12.8" hidden="false" customHeight="false" outlineLevel="0" collapsed="false">
      <c r="A73" s="7" t="str">
        <f aca="false">_xlfn.CONCAT($A$40, ".", $A34)</f>
        <v>AR.0.31</v>
      </c>
      <c r="B73" s="7" t="str">
        <f aca="false">_xlfn.CONCAT(B34, ": ", C34)</f>
        <v>Self-Employed / Non-Employer: Worker</v>
      </c>
      <c r="C73" s="19" t="n">
        <f aca="false">D34</f>
        <v>67500</v>
      </c>
      <c r="D73" s="19" t="n">
        <f aca="false">E34</f>
        <v>2700</v>
      </c>
      <c r="E73" s="19" t="n">
        <f aca="false">F34</f>
        <v>1350</v>
      </c>
      <c r="F73" s="19" t="n">
        <f aca="false">G34</f>
        <v>63450</v>
      </c>
    </row>
    <row r="74" customFormat="false" ht="12.8" hidden="false" customHeight="false" outlineLevel="0" collapsed="false">
      <c r="A74" s="7" t="str">
        <f aca="false">_xlfn.CONCAT($A$40, ".", $A35)</f>
        <v>AR.0.32</v>
      </c>
      <c r="B74" s="7" t="str">
        <f aca="false">_xlfn.CONCAT(B35, ": ", C35)</f>
        <v>Self-Employed / Non-Employer: Support</v>
      </c>
      <c r="C74" s="19" t="n">
        <f aca="false">D35</f>
        <v>7500</v>
      </c>
      <c r="D74" s="19" t="n">
        <f aca="false">E35</f>
        <v>300</v>
      </c>
      <c r="E74" s="19" t="n">
        <f aca="false">F35</f>
        <v>150</v>
      </c>
      <c r="F74" s="19" t="n">
        <f aca="false">G35</f>
        <v>7050</v>
      </c>
    </row>
    <row r="75" customFormat="false" ht="12.8" hidden="false" customHeight="false" outlineLevel="0" collapsed="false">
      <c r="A75" s="7" t="str">
        <f aca="false">_xlfn.CONCAT($A$40, ".", $A36)</f>
        <v>AR.0.33</v>
      </c>
      <c r="B75" s="7" t="str">
        <f aca="false">_xlfn.CONCAT(B36, ": ", C36)</f>
        <v>Other Services: Worker</v>
      </c>
      <c r="C75" s="19" t="n">
        <f aca="false">D36</f>
        <v>43000</v>
      </c>
      <c r="D75" s="19" t="n">
        <f aca="false">E36</f>
        <v>1720</v>
      </c>
      <c r="E75" s="19" t="n">
        <f aca="false">F36</f>
        <v>1430</v>
      </c>
      <c r="F75" s="19" t="n">
        <f aca="false">G36</f>
        <v>39850</v>
      </c>
    </row>
    <row r="76" customFormat="false" ht="12.8" hidden="false" customHeight="false" outlineLevel="0" collapsed="false">
      <c r="A76" s="7" t="str">
        <f aca="false">_xlfn.CONCAT($A$40, ".", $A37)</f>
        <v>AR.0.34</v>
      </c>
      <c r="B76" s="7" t="str">
        <f aca="false">_xlfn.CONCAT(B37, ": ", C37)</f>
        <v>Other Services: Support</v>
      </c>
      <c r="C76" s="19" t="n">
        <f aca="false">D37</f>
        <v>22000</v>
      </c>
      <c r="D76" s="19" t="n">
        <f aca="false">E37</f>
        <v>880</v>
      </c>
      <c r="E76" s="19" t="n">
        <f aca="false">F37</f>
        <v>730</v>
      </c>
      <c r="F76" s="19" t="n">
        <f aca="false">G37</f>
        <v>20390</v>
      </c>
    </row>
    <row r="77" customFormat="false" ht="12.8" hidden="false" customHeight="false" outlineLevel="0" collapsed="false">
      <c r="A77" s="7"/>
      <c r="B77" s="7"/>
      <c r="C77" s="19"/>
      <c r="D77" s="19"/>
      <c r="E77" s="19"/>
      <c r="F77" s="19"/>
    </row>
    <row r="78" customFormat="false" ht="12.8" hidden="false" customHeight="false" outlineLevel="0" collapsed="false">
      <c r="A78" s="7"/>
      <c r="B78" s="7"/>
      <c r="C78" s="19"/>
      <c r="D78" s="19"/>
      <c r="E78" s="19"/>
      <c r="F78" s="19"/>
    </row>
    <row r="174" customFormat="false" ht="12.8" hidden="false" customHeight="false" outlineLevel="0" collapsed="false">
      <c r="A174" s="5" t="s">
        <v>165</v>
      </c>
      <c r="B174" s="24" t="s">
        <v>9</v>
      </c>
      <c r="C174" s="25" t="s">
        <v>142</v>
      </c>
    </row>
    <row r="175" customFormat="false" ht="45.75" hidden="false" customHeight="false" outlineLevel="0" collapsed="false">
      <c r="A175" s="5" t="s">
        <v>26</v>
      </c>
      <c r="B175" s="26" t="s">
        <v>140</v>
      </c>
      <c r="C175" s="27" t="str">
        <f aca="false">H2</f>
        <v>Employment-to-Population Ratio</v>
      </c>
      <c r="D175" s="27" t="str">
        <f aca="false">I2</f>
        <v>Authorized Immigrant Employment-to-Population Ratio</v>
      </c>
      <c r="E175" s="27" t="str">
        <f aca="false">J2</f>
        <v>Unauthorized Immigrant Employment-to-Population Ratio</v>
      </c>
      <c r="F175" s="27" t="str">
        <f aca="false">K2</f>
        <v>American Employment-to-Population Ratio</v>
      </c>
    </row>
    <row r="176" customFormat="false" ht="12.8" hidden="false" customHeight="false" outlineLevel="0" collapsed="false">
      <c r="A176" s="1" t="str">
        <f aca="false">_xlfn.CONCAT($A$174, ".", A3)</f>
        <v>AR.1.0</v>
      </c>
      <c r="B176" s="5" t="str">
        <f aca="false">_xlfn.CONCAT(B3, ": ", C3)</f>
        <v>All Industries: All Roles</v>
      </c>
      <c r="C176" s="27" t="n">
        <f aca="false">H3</f>
        <v>0.959</v>
      </c>
      <c r="D176" s="27" t="n">
        <f aca="false">I3</f>
        <v>0.951</v>
      </c>
      <c r="E176" s="27" t="n">
        <f aca="false">J3</f>
        <v>0.945</v>
      </c>
      <c r="F176" s="27" t="n">
        <f aca="false">K3</f>
        <v>0.96</v>
      </c>
    </row>
    <row r="177" customFormat="false" ht="12.8" hidden="false" customHeight="false" outlineLevel="0" collapsed="false">
      <c r="A177" s="1" t="str">
        <f aca="false">_xlfn.CONCAT($A$174, ".", A4)</f>
        <v>AR.1.1</v>
      </c>
      <c r="B177" s="5" t="str">
        <f aca="false">_xlfn.CONCAT(B4, ": ", C4)</f>
        <v>Agriculture: Worker</v>
      </c>
      <c r="C177" s="27" t="n">
        <f aca="false">H4</f>
        <v>0.95</v>
      </c>
      <c r="D177" s="27" t="n">
        <f aca="false">I4</f>
        <v>0.93</v>
      </c>
      <c r="E177" s="27" t="n">
        <f aca="false">J4</f>
        <v>0.88</v>
      </c>
      <c r="F177" s="27" t="n">
        <f aca="false">K4</f>
        <v>0.95</v>
      </c>
    </row>
    <row r="178" customFormat="false" ht="12.8" hidden="false" customHeight="false" outlineLevel="0" collapsed="false">
      <c r="A178" s="1" t="str">
        <f aca="false">_xlfn.CONCAT($A$174, ".", A5)</f>
        <v>AR.1.2</v>
      </c>
      <c r="B178" s="5" t="str">
        <f aca="false">_xlfn.CONCAT(B5, ": ", C5)</f>
        <v>Agriculture: Support</v>
      </c>
      <c r="C178" s="27" t="n">
        <f aca="false">H5</f>
        <v>0.95</v>
      </c>
      <c r="D178" s="27" t="n">
        <f aca="false">I5</f>
        <v>0.93</v>
      </c>
      <c r="E178" s="27" t="n">
        <f aca="false">J5</f>
        <v>0.88</v>
      </c>
      <c r="F178" s="27" t="n">
        <f aca="false">K5</f>
        <v>0.95</v>
      </c>
    </row>
    <row r="179" customFormat="false" ht="12.8" hidden="false" customHeight="false" outlineLevel="0" collapsed="false">
      <c r="A179" s="1" t="str">
        <f aca="false">_xlfn.CONCAT($A$174, ".", A6)</f>
        <v>AR.1.3</v>
      </c>
      <c r="B179" s="5" t="str">
        <f aca="false">_xlfn.CONCAT(B6, ": ", C6)</f>
        <v>Construction: Worker</v>
      </c>
      <c r="C179" s="27" t="n">
        <f aca="false">H6</f>
        <v>0.965</v>
      </c>
      <c r="D179" s="27" t="n">
        <f aca="false">I6</f>
        <v>0.94</v>
      </c>
      <c r="E179" s="27" t="n">
        <f aca="false">J6</f>
        <v>0.89</v>
      </c>
      <c r="F179" s="27" t="n">
        <f aca="false">K6</f>
        <v>0.965</v>
      </c>
    </row>
    <row r="180" customFormat="false" ht="12.8" hidden="false" customHeight="false" outlineLevel="0" collapsed="false">
      <c r="A180" s="1" t="str">
        <f aca="false">_xlfn.CONCAT($A$174, ".", A7)</f>
        <v>AR.1.4</v>
      </c>
      <c r="B180" s="5" t="str">
        <f aca="false">_xlfn.CONCAT(B7, ": ", C7)</f>
        <v>Construction: Support</v>
      </c>
      <c r="C180" s="27" t="n">
        <f aca="false">H7</f>
        <v>0.965</v>
      </c>
      <c r="D180" s="27" t="n">
        <f aca="false">I7</f>
        <v>0.94</v>
      </c>
      <c r="E180" s="27" t="n">
        <f aca="false">J7</f>
        <v>0.89</v>
      </c>
      <c r="F180" s="27" t="n">
        <f aca="false">K7</f>
        <v>0.965</v>
      </c>
    </row>
    <row r="181" customFormat="false" ht="12.8" hidden="false" customHeight="false" outlineLevel="0" collapsed="false">
      <c r="A181" s="1" t="str">
        <f aca="false">_xlfn.CONCAT($A$174, ".", A8)</f>
        <v>AR.1.5</v>
      </c>
      <c r="B181" s="5" t="str">
        <f aca="false">_xlfn.CONCAT(B8, ": ", C8)</f>
        <v>Hospitality: Worker</v>
      </c>
      <c r="C181" s="27" t="n">
        <f aca="false">H8</f>
        <v>0.96</v>
      </c>
      <c r="D181" s="27" t="n">
        <f aca="false">I8</f>
        <v>0.93</v>
      </c>
      <c r="E181" s="27" t="n">
        <f aca="false">J8</f>
        <v>0.87</v>
      </c>
      <c r="F181" s="27" t="n">
        <f aca="false">K8</f>
        <v>0.96</v>
      </c>
    </row>
    <row r="182" customFormat="false" ht="12.8" hidden="false" customHeight="false" outlineLevel="0" collapsed="false">
      <c r="A182" s="1" t="str">
        <f aca="false">_xlfn.CONCAT($A$174, ".", A9)</f>
        <v>AR.1.6</v>
      </c>
      <c r="B182" s="5" t="str">
        <f aca="false">_xlfn.CONCAT(B9, ": ", C9)</f>
        <v>Hospitality: Support</v>
      </c>
      <c r="C182" s="27" t="n">
        <f aca="false">H9</f>
        <v>0.96</v>
      </c>
      <c r="D182" s="27" t="n">
        <f aca="false">I9</f>
        <v>0.93</v>
      </c>
      <c r="E182" s="27" t="n">
        <f aca="false">J9</f>
        <v>0.87</v>
      </c>
      <c r="F182" s="27" t="n">
        <f aca="false">K9</f>
        <v>0.96</v>
      </c>
    </row>
    <row r="183" customFormat="false" ht="12.8" hidden="false" customHeight="false" outlineLevel="0" collapsed="false">
      <c r="A183" s="1" t="str">
        <f aca="false">_xlfn.CONCAT($A$174, ".", A10)</f>
        <v>AR.1.7</v>
      </c>
      <c r="B183" s="5" t="str">
        <f aca="false">_xlfn.CONCAT(B10, ": ", C10)</f>
        <v>Cleaning &amp; Maintenance: Worker</v>
      </c>
      <c r="C183" s="27" t="n">
        <f aca="false">H10</f>
        <v>0.955</v>
      </c>
      <c r="D183" s="27" t="n">
        <f aca="false">I10</f>
        <v>0.92</v>
      </c>
      <c r="E183" s="27" t="n">
        <f aca="false">J10</f>
        <v>0.86</v>
      </c>
      <c r="F183" s="27" t="n">
        <f aca="false">K10</f>
        <v>0.955</v>
      </c>
    </row>
    <row r="184" customFormat="false" ht="12.8" hidden="false" customHeight="false" outlineLevel="0" collapsed="false">
      <c r="A184" s="1" t="str">
        <f aca="false">_xlfn.CONCAT($A$174, ".", A11)</f>
        <v>AR.1.8</v>
      </c>
      <c r="B184" s="5" t="str">
        <f aca="false">_xlfn.CONCAT(B11, ": ", C11)</f>
        <v>Cleaning &amp; Maintenance: Support</v>
      </c>
      <c r="C184" s="27" t="n">
        <f aca="false">H11</f>
        <v>0.955</v>
      </c>
      <c r="D184" s="27" t="n">
        <f aca="false">I11</f>
        <v>0.92</v>
      </c>
      <c r="E184" s="27" t="n">
        <f aca="false">J11</f>
        <v>0.86</v>
      </c>
      <c r="F184" s="27" t="n">
        <f aca="false">K11</f>
        <v>0.955</v>
      </c>
    </row>
    <row r="185" customFormat="false" ht="12.8" hidden="false" customHeight="false" outlineLevel="0" collapsed="false">
      <c r="A185" s="1" t="str">
        <f aca="false">_xlfn.CONCAT($A$174, ".", A12)</f>
        <v>AR.1.9</v>
      </c>
      <c r="B185" s="5" t="str">
        <f aca="false">_xlfn.CONCAT(B12, ": ", C12)</f>
        <v>Manufacturing: Worker</v>
      </c>
      <c r="C185" s="27" t="n">
        <f aca="false">H12</f>
        <v>0.975</v>
      </c>
      <c r="D185" s="27" t="n">
        <f aca="false">I12</f>
        <v>0.96</v>
      </c>
      <c r="E185" s="27" t="n">
        <f aca="false">J12</f>
        <v>0.92</v>
      </c>
      <c r="F185" s="27" t="n">
        <f aca="false">K12</f>
        <v>0.975</v>
      </c>
    </row>
    <row r="186" customFormat="false" ht="12.8" hidden="false" customHeight="false" outlineLevel="0" collapsed="false">
      <c r="A186" s="1" t="str">
        <f aca="false">_xlfn.CONCAT($A$174, ".", A13)</f>
        <v>AR.1.10</v>
      </c>
      <c r="B186" s="5" t="str">
        <f aca="false">_xlfn.CONCAT(B13, ": ", C13)</f>
        <v>Manufacturing: Support</v>
      </c>
      <c r="C186" s="27" t="n">
        <f aca="false">H13</f>
        <v>0.975</v>
      </c>
      <c r="D186" s="27" t="n">
        <f aca="false">I13</f>
        <v>0.96</v>
      </c>
      <c r="E186" s="27" t="n">
        <f aca="false">J13</f>
        <v>0.92</v>
      </c>
      <c r="F186" s="27" t="n">
        <f aca="false">K13</f>
        <v>0.975</v>
      </c>
    </row>
    <row r="187" customFormat="false" ht="12.8" hidden="false" customHeight="false" outlineLevel="0" collapsed="false">
      <c r="A187" s="1" t="str">
        <f aca="false">_xlfn.CONCAT($A$174, ".", A14)</f>
        <v>AR.1.11</v>
      </c>
      <c r="B187" s="5" t="str">
        <f aca="false">_xlfn.CONCAT(B14, ": ", C14)</f>
        <v>Transportation &amp; Warehousing: Worker</v>
      </c>
      <c r="C187" s="27" t="n">
        <f aca="false">H14</f>
        <v>0.97</v>
      </c>
      <c r="D187" s="27" t="n">
        <f aca="false">I14</f>
        <v>0.95</v>
      </c>
      <c r="E187" s="27" t="n">
        <f aca="false">J14</f>
        <v>0.91</v>
      </c>
      <c r="F187" s="27" t="n">
        <f aca="false">K14</f>
        <v>0.97</v>
      </c>
    </row>
    <row r="188" customFormat="false" ht="12.8" hidden="false" customHeight="false" outlineLevel="0" collapsed="false">
      <c r="A188" s="1" t="str">
        <f aca="false">_xlfn.CONCAT($A$174, ".", A15)</f>
        <v>AR.1.12</v>
      </c>
      <c r="B188" s="5" t="str">
        <f aca="false">_xlfn.CONCAT(B15, ": ", C15)</f>
        <v>Transportation &amp; Warehousing: Support</v>
      </c>
      <c r="C188" s="27" t="n">
        <f aca="false">H15</f>
        <v>0.97</v>
      </c>
      <c r="D188" s="27" t="n">
        <f aca="false">I15</f>
        <v>0.95</v>
      </c>
      <c r="E188" s="27" t="n">
        <f aca="false">J15</f>
        <v>0.91</v>
      </c>
      <c r="F188" s="27" t="n">
        <f aca="false">K15</f>
        <v>0.97</v>
      </c>
    </row>
    <row r="189" customFormat="false" ht="12.8" hidden="false" customHeight="false" outlineLevel="0" collapsed="false">
      <c r="A189" s="1" t="str">
        <f aca="false">_xlfn.CONCAT($A$174, ".", A16)</f>
        <v>AR.1.13</v>
      </c>
      <c r="B189" s="5" t="str">
        <f aca="false">_xlfn.CONCAT(B16, ": ", C16)</f>
        <v>Retail Trade: Worker</v>
      </c>
      <c r="C189" s="27" t="n">
        <f aca="false">H16</f>
        <v>0.96</v>
      </c>
      <c r="D189" s="27" t="n">
        <f aca="false">I16</f>
        <v>0.93</v>
      </c>
      <c r="E189" s="27" t="n">
        <f aca="false">J16</f>
        <v>0.88</v>
      </c>
      <c r="F189" s="27" t="n">
        <f aca="false">K16</f>
        <v>0.96</v>
      </c>
    </row>
    <row r="190" customFormat="false" ht="12.8" hidden="false" customHeight="false" outlineLevel="0" collapsed="false">
      <c r="A190" s="1" t="str">
        <f aca="false">_xlfn.CONCAT($A$174, ".", A17)</f>
        <v>AR.1.14</v>
      </c>
      <c r="B190" s="5" t="str">
        <f aca="false">_xlfn.CONCAT(B17, ": ", C17)</f>
        <v>Retail Trade: Support</v>
      </c>
      <c r="C190" s="27" t="n">
        <f aca="false">H17</f>
        <v>0.96</v>
      </c>
      <c r="D190" s="27" t="n">
        <f aca="false">I17</f>
        <v>0.93</v>
      </c>
      <c r="E190" s="27" t="n">
        <f aca="false">J17</f>
        <v>0.88</v>
      </c>
      <c r="F190" s="27" t="n">
        <f aca="false">K17</f>
        <v>0.96</v>
      </c>
    </row>
    <row r="191" customFormat="false" ht="12.8" hidden="false" customHeight="false" outlineLevel="0" collapsed="false">
      <c r="A191" s="1" t="str">
        <f aca="false">_xlfn.CONCAT($A$174, ".", A18)</f>
        <v>AR.1.15</v>
      </c>
      <c r="B191" s="5" t="str">
        <f aca="false">_xlfn.CONCAT(B18, ": ", C18)</f>
        <v>Landscaping / Groundskeeping: Worker</v>
      </c>
      <c r="C191" s="27" t="n">
        <f aca="false">H18</f>
        <v>0.95</v>
      </c>
      <c r="D191" s="27" t="n">
        <f aca="false">I18</f>
        <v>0.93</v>
      </c>
      <c r="E191" s="27" t="n">
        <f aca="false">J18</f>
        <v>0.88</v>
      </c>
      <c r="F191" s="27" t="n">
        <f aca="false">K18</f>
        <v>0.95</v>
      </c>
    </row>
    <row r="192" customFormat="false" ht="12.8" hidden="false" customHeight="false" outlineLevel="0" collapsed="false">
      <c r="A192" s="1" t="str">
        <f aca="false">_xlfn.CONCAT($A$174, ".", A19)</f>
        <v>AR.1.16</v>
      </c>
      <c r="B192" s="5" t="str">
        <f aca="false">_xlfn.CONCAT(B19, ": ", C19)</f>
        <v>Landscaping / Groundskeeping: Support</v>
      </c>
      <c r="C192" s="27" t="n">
        <f aca="false">H19</f>
        <v>0.95</v>
      </c>
      <c r="D192" s="27" t="n">
        <f aca="false">I19</f>
        <v>0.93</v>
      </c>
      <c r="E192" s="27" t="n">
        <f aca="false">J19</f>
        <v>0.88</v>
      </c>
      <c r="F192" s="27" t="n">
        <f aca="false">K19</f>
        <v>0.95</v>
      </c>
    </row>
    <row r="193" customFormat="false" ht="12.8" hidden="false" customHeight="false" outlineLevel="0" collapsed="false">
      <c r="A193" s="1" t="str">
        <f aca="false">_xlfn.CONCAT($A$174, ".", A20)</f>
        <v>AR.1.17</v>
      </c>
      <c r="B193" s="5" t="str">
        <f aca="false">_xlfn.CONCAT(B20, ": ", C20)</f>
        <v>Automotive &amp; Repair: Worker</v>
      </c>
      <c r="C193" s="27" t="n">
        <f aca="false">H20</f>
        <v>0.97</v>
      </c>
      <c r="D193" s="27" t="n">
        <f aca="false">I20</f>
        <v>0.95</v>
      </c>
      <c r="E193" s="27" t="n">
        <f aca="false">J20</f>
        <v>0.91</v>
      </c>
      <c r="F193" s="27" t="n">
        <f aca="false">K20</f>
        <v>0.97</v>
      </c>
    </row>
    <row r="194" customFormat="false" ht="12.8" hidden="false" customHeight="false" outlineLevel="0" collapsed="false">
      <c r="A194" s="1" t="str">
        <f aca="false">_xlfn.CONCAT($A$174, ".", A21)</f>
        <v>AR.1.18</v>
      </c>
      <c r="B194" s="5" t="str">
        <f aca="false">_xlfn.CONCAT(B21, ": ", C21)</f>
        <v>Automotive &amp; Repair: Support</v>
      </c>
      <c r="C194" s="27" t="n">
        <f aca="false">H21</f>
        <v>0.97</v>
      </c>
      <c r="D194" s="27" t="n">
        <f aca="false">I21</f>
        <v>0.95</v>
      </c>
      <c r="E194" s="27" t="n">
        <f aca="false">J21</f>
        <v>0.91</v>
      </c>
      <c r="F194" s="27" t="n">
        <f aca="false">K21</f>
        <v>0.97</v>
      </c>
    </row>
    <row r="195" customFormat="false" ht="12.8" hidden="false" customHeight="false" outlineLevel="0" collapsed="false">
      <c r="A195" s="1" t="str">
        <f aca="false">_xlfn.CONCAT($A$174, ".", A22)</f>
        <v>AR.1.19</v>
      </c>
      <c r="B195" s="5" t="str">
        <f aca="false">_xlfn.CONCAT(B22, ": ", C22)</f>
        <v>Healthcare &amp; Social Assistance: Worker</v>
      </c>
      <c r="C195" s="27" t="n">
        <f aca="false">H22</f>
        <v>0.975</v>
      </c>
      <c r="D195" s="27" t="n">
        <f aca="false">I22</f>
        <v>0.96</v>
      </c>
      <c r="E195" s="27" t="n">
        <f aca="false">J22</f>
        <v>0.92</v>
      </c>
      <c r="F195" s="27" t="n">
        <f aca="false">K22</f>
        <v>0.975</v>
      </c>
    </row>
    <row r="196" customFormat="false" ht="12.8" hidden="false" customHeight="false" outlineLevel="0" collapsed="false">
      <c r="A196" s="1" t="str">
        <f aca="false">_xlfn.CONCAT($A$174, ".", A23)</f>
        <v>AR.1.20</v>
      </c>
      <c r="B196" s="5" t="str">
        <f aca="false">_xlfn.CONCAT(B23, ": ", C23)</f>
        <v>Healthcare &amp; Social Assistance: Support</v>
      </c>
      <c r="C196" s="27" t="n">
        <f aca="false">H23</f>
        <v>0.975</v>
      </c>
      <c r="D196" s="27" t="n">
        <f aca="false">I23</f>
        <v>0.96</v>
      </c>
      <c r="E196" s="27" t="n">
        <f aca="false">J23</f>
        <v>0.92</v>
      </c>
      <c r="F196" s="27" t="n">
        <f aca="false">K23</f>
        <v>0.975</v>
      </c>
    </row>
    <row r="197" customFormat="false" ht="12.8" hidden="false" customHeight="false" outlineLevel="0" collapsed="false">
      <c r="A197" s="1" t="str">
        <f aca="false">_xlfn.CONCAT($A$174, ".", A24)</f>
        <v>AR.1.21</v>
      </c>
      <c r="B197" s="5" t="str">
        <f aca="false">_xlfn.CONCAT(B24, ": ", C24)</f>
        <v>Professional Services: Worker</v>
      </c>
      <c r="C197" s="27" t="n">
        <f aca="false">H24</f>
        <v>0.97</v>
      </c>
      <c r="D197" s="27" t="n">
        <f aca="false">I24</f>
        <v>0.95</v>
      </c>
      <c r="E197" s="27" t="n">
        <f aca="false">J24</f>
        <v>0.91</v>
      </c>
      <c r="F197" s="27" t="n">
        <f aca="false">K24</f>
        <v>0.97</v>
      </c>
    </row>
    <row r="198" customFormat="false" ht="12.8" hidden="false" customHeight="false" outlineLevel="0" collapsed="false">
      <c r="A198" s="1" t="str">
        <f aca="false">_xlfn.CONCAT($A$174, ".", A25)</f>
        <v>AR.1.22</v>
      </c>
      <c r="B198" s="5" t="str">
        <f aca="false">_xlfn.CONCAT(B25, ": ", C25)</f>
        <v>Professional Services: Support</v>
      </c>
      <c r="C198" s="27" t="n">
        <f aca="false">H25</f>
        <v>0.97</v>
      </c>
      <c r="D198" s="27" t="n">
        <f aca="false">I25</f>
        <v>0.95</v>
      </c>
      <c r="E198" s="27" t="n">
        <f aca="false">J25</f>
        <v>0.91</v>
      </c>
      <c r="F198" s="27" t="n">
        <f aca="false">K25</f>
        <v>0.97</v>
      </c>
    </row>
    <row r="199" customFormat="false" ht="12.8" hidden="false" customHeight="false" outlineLevel="0" collapsed="false">
      <c r="A199" s="1" t="str">
        <f aca="false">_xlfn.CONCAT($A$174, ".", A26)</f>
        <v>AR.1.23</v>
      </c>
      <c r="B199" s="5" t="str">
        <f aca="false">_xlfn.CONCAT(B26, ": ", C26)</f>
        <v>Educational Services: Worker</v>
      </c>
      <c r="C199" s="27" t="n">
        <f aca="false">H26</f>
        <v>0.975</v>
      </c>
      <c r="D199" s="27" t="n">
        <f aca="false">I26</f>
        <v>0.96</v>
      </c>
      <c r="E199" s="27" t="n">
        <f aca="false">J26</f>
        <v>0.92</v>
      </c>
      <c r="F199" s="27" t="n">
        <f aca="false">K26</f>
        <v>0.975</v>
      </c>
    </row>
    <row r="200" customFormat="false" ht="12.8" hidden="false" customHeight="false" outlineLevel="0" collapsed="false">
      <c r="A200" s="1" t="str">
        <f aca="false">_xlfn.CONCAT($A$174, ".", A27)</f>
        <v>AR.1.24</v>
      </c>
      <c r="B200" s="5" t="str">
        <f aca="false">_xlfn.CONCAT(B27, ": ", C27)</f>
        <v>Educational Services: Support</v>
      </c>
      <c r="C200" s="27" t="n">
        <f aca="false">H27</f>
        <v>0.975</v>
      </c>
      <c r="D200" s="27" t="n">
        <f aca="false">I27</f>
        <v>0.96</v>
      </c>
      <c r="E200" s="27" t="n">
        <f aca="false">J27</f>
        <v>0.92</v>
      </c>
      <c r="F200" s="27" t="n">
        <f aca="false">K27</f>
        <v>0.975</v>
      </c>
    </row>
    <row r="201" customFormat="false" ht="12.8" hidden="false" customHeight="false" outlineLevel="0" collapsed="false">
      <c r="A201" s="1" t="str">
        <f aca="false">_xlfn.CONCAT($A$174, ".", A28)</f>
        <v>AR.1.25</v>
      </c>
      <c r="B201" s="5" t="str">
        <f aca="false">_xlfn.CONCAT(B28, ": ", C28)</f>
        <v>Finance &amp; Insurance: Worker</v>
      </c>
      <c r="C201" s="27" t="n">
        <f aca="false">H28</f>
        <v>0.97</v>
      </c>
      <c r="D201" s="27" t="n">
        <f aca="false">I28</f>
        <v>0.95</v>
      </c>
      <c r="E201" s="27" t="n">
        <f aca="false">J28</f>
        <v>0.91</v>
      </c>
      <c r="F201" s="27" t="n">
        <f aca="false">K28</f>
        <v>0.97</v>
      </c>
    </row>
    <row r="202" customFormat="false" ht="12.8" hidden="false" customHeight="false" outlineLevel="0" collapsed="false">
      <c r="A202" s="1" t="str">
        <f aca="false">_xlfn.CONCAT($A$174, ".", A29)</f>
        <v>AR.1.26</v>
      </c>
      <c r="B202" s="5" t="str">
        <f aca="false">_xlfn.CONCAT(B29, ": ", C29)</f>
        <v>Finance &amp; Insurance: Support</v>
      </c>
      <c r="C202" s="27" t="n">
        <f aca="false">H29</f>
        <v>0.97</v>
      </c>
      <c r="D202" s="27" t="n">
        <f aca="false">I29</f>
        <v>0.95</v>
      </c>
      <c r="E202" s="27" t="n">
        <f aca="false">J29</f>
        <v>0.91</v>
      </c>
      <c r="F202" s="27" t="n">
        <f aca="false">K29</f>
        <v>0.97</v>
      </c>
    </row>
    <row r="203" customFormat="false" ht="12.8" hidden="false" customHeight="false" outlineLevel="0" collapsed="false">
      <c r="A203" s="1" t="str">
        <f aca="false">_xlfn.CONCAT($A$174, ".", A30)</f>
        <v>AR.1.27</v>
      </c>
      <c r="B203" s="5" t="str">
        <f aca="false">_xlfn.CONCAT(B30, ": ", C30)</f>
        <v>Media and Information Technology: Worker</v>
      </c>
      <c r="C203" s="27" t="n">
        <f aca="false">H30</f>
        <v>0.965</v>
      </c>
      <c r="D203" s="27" t="n">
        <f aca="false">I30</f>
        <v>0.95</v>
      </c>
      <c r="E203" s="27" t="n">
        <f aca="false">J30</f>
        <v>0.9</v>
      </c>
      <c r="F203" s="27" t="n">
        <f aca="false">K30</f>
        <v>0.965</v>
      </c>
    </row>
    <row r="204" customFormat="false" ht="12.8" hidden="false" customHeight="false" outlineLevel="0" collapsed="false">
      <c r="A204" s="1" t="str">
        <f aca="false">_xlfn.CONCAT($A$174, ".", A31)</f>
        <v>AR.1.28</v>
      </c>
      <c r="B204" s="5" t="str">
        <f aca="false">_xlfn.CONCAT(B31, ": ", C31)</f>
        <v>Media and Information Technology: Support</v>
      </c>
      <c r="C204" s="27" t="n">
        <f aca="false">H31</f>
        <v>0.965</v>
      </c>
      <c r="D204" s="27" t="n">
        <f aca="false">I31</f>
        <v>0.95</v>
      </c>
      <c r="E204" s="27" t="n">
        <f aca="false">J31</f>
        <v>0.9</v>
      </c>
      <c r="F204" s="27" t="n">
        <f aca="false">K31</f>
        <v>0.965</v>
      </c>
    </row>
    <row r="205" customFormat="false" ht="12.8" hidden="false" customHeight="false" outlineLevel="0" collapsed="false">
      <c r="A205" s="1" t="str">
        <f aca="false">_xlfn.CONCAT($A$174, ".", A32)</f>
        <v>AR.1.29</v>
      </c>
      <c r="B205" s="5" t="str">
        <f aca="false">_xlfn.CONCAT(B32, ": ", C32)</f>
        <v>Government: Worker</v>
      </c>
      <c r="C205" s="27" t="n">
        <f aca="false">H32</f>
        <v>0.975</v>
      </c>
      <c r="D205" s="27" t="n">
        <f aca="false">I32</f>
        <v>0.96</v>
      </c>
      <c r="E205" s="27" t="n">
        <f aca="false">J32</f>
        <v>0.94</v>
      </c>
      <c r="F205" s="27" t="n">
        <f aca="false">K32</f>
        <v>0.975</v>
      </c>
    </row>
    <row r="206" customFormat="false" ht="12.8" hidden="false" customHeight="false" outlineLevel="0" collapsed="false">
      <c r="A206" s="1" t="str">
        <f aca="false">_xlfn.CONCAT($A$174, ".", A33)</f>
        <v>AR.1.30</v>
      </c>
      <c r="B206" s="5" t="str">
        <f aca="false">_xlfn.CONCAT(B33, ": ", C33)</f>
        <v>Government: Support</v>
      </c>
      <c r="C206" s="27" t="n">
        <f aca="false">H33</f>
        <v>0.975</v>
      </c>
      <c r="D206" s="27" t="n">
        <f aca="false">I33</f>
        <v>0.96</v>
      </c>
      <c r="E206" s="27" t="n">
        <f aca="false">J33</f>
        <v>0.94</v>
      </c>
      <c r="F206" s="27" t="n">
        <f aca="false">K33</f>
        <v>0.975</v>
      </c>
    </row>
    <row r="207" customFormat="false" ht="12.8" hidden="false" customHeight="false" outlineLevel="0" collapsed="false">
      <c r="A207" s="1" t="str">
        <f aca="false">_xlfn.CONCAT($A$174, ".", A34)</f>
        <v>AR.1.31</v>
      </c>
      <c r="B207" s="5" t="str">
        <f aca="false">_xlfn.CONCAT(B34, ": ", C34)</f>
        <v>Self-Employed / Non-Employer: Worker</v>
      </c>
      <c r="C207" s="27" t="n">
        <f aca="false">H34</f>
        <v>0.965</v>
      </c>
      <c r="D207" s="27" t="n">
        <f aca="false">I34</f>
        <v>0.95</v>
      </c>
      <c r="E207" s="27" t="n">
        <f aca="false">J34</f>
        <v>0.9</v>
      </c>
      <c r="F207" s="27" t="n">
        <f aca="false">K34</f>
        <v>0.965</v>
      </c>
    </row>
    <row r="208" customFormat="false" ht="12.8" hidden="false" customHeight="false" outlineLevel="0" collapsed="false">
      <c r="A208" s="1" t="str">
        <f aca="false">_xlfn.CONCAT($A$174, ".", A35)</f>
        <v>AR.1.32</v>
      </c>
      <c r="B208" s="5" t="str">
        <f aca="false">_xlfn.CONCAT(B35, ": ", C35)</f>
        <v>Self-Employed / Non-Employer: Support</v>
      </c>
      <c r="C208" s="27" t="n">
        <f aca="false">H35</f>
        <v>0.965</v>
      </c>
      <c r="D208" s="27" t="n">
        <f aca="false">I35</f>
        <v>0.95</v>
      </c>
      <c r="E208" s="27" t="n">
        <f aca="false">J35</f>
        <v>0.9</v>
      </c>
      <c r="F208" s="27" t="n">
        <f aca="false">K35</f>
        <v>0.965</v>
      </c>
    </row>
    <row r="209" customFormat="false" ht="12.8" hidden="false" customHeight="false" outlineLevel="0" collapsed="false">
      <c r="A209" s="1" t="str">
        <f aca="false">_xlfn.CONCAT($A$174, ".", A36)</f>
        <v>AR.1.33</v>
      </c>
      <c r="B209" s="5" t="str">
        <f aca="false">_xlfn.CONCAT(B36, ": ", C36)</f>
        <v>Other Services: Worker</v>
      </c>
      <c r="C209" s="27" t="n">
        <f aca="false">H36</f>
        <v>0.96</v>
      </c>
      <c r="D209" s="27" t="n">
        <f aca="false">I36</f>
        <v>0.93</v>
      </c>
      <c r="E209" s="27" t="n">
        <f aca="false">J36</f>
        <v>0.88</v>
      </c>
      <c r="F209" s="27" t="n">
        <f aca="false">K36</f>
        <v>0.96</v>
      </c>
    </row>
    <row r="210" customFormat="false" ht="12.8" hidden="false" customHeight="false" outlineLevel="0" collapsed="false">
      <c r="A210" s="1" t="str">
        <f aca="false">_xlfn.CONCAT($A$174, ".", A37)</f>
        <v>AR.1.34</v>
      </c>
      <c r="B210" s="5" t="str">
        <f aca="false">_xlfn.CONCAT(B37, ": ", C37)</f>
        <v>Other Services: Support</v>
      </c>
      <c r="C210" s="27" t="n">
        <f aca="false">H37</f>
        <v>0.96</v>
      </c>
      <c r="D210" s="27" t="n">
        <f aca="false">I37</f>
        <v>0.93</v>
      </c>
      <c r="E210" s="27" t="n">
        <f aca="false">J37</f>
        <v>0.88</v>
      </c>
      <c r="F210" s="27" t="n">
        <f aca="false">K37</f>
        <v>0.96</v>
      </c>
    </row>
    <row r="211" customFormat="false" ht="12.8" hidden="false" customHeight="false" outlineLevel="0" collapsed="false">
      <c r="A211" s="1"/>
      <c r="B211" s="7"/>
      <c r="C211" s="27"/>
      <c r="D211" s="27"/>
      <c r="E211" s="27"/>
      <c r="F211" s="27"/>
    </row>
    <row r="308" customFormat="false" ht="12.8" hidden="false" customHeight="false" outlineLevel="0" collapsed="false">
      <c r="A308" s="5" t="s">
        <v>166</v>
      </c>
      <c r="B308" s="24" t="s">
        <v>9</v>
      </c>
      <c r="C308" s="25" t="s">
        <v>144</v>
      </c>
    </row>
    <row r="309" customFormat="false" ht="46.25" hidden="false" customHeight="false" outlineLevel="0" collapsed="false">
      <c r="A309" s="5" t="s">
        <v>26</v>
      </c>
      <c r="B309" s="26" t="s">
        <v>140</v>
      </c>
      <c r="C309" s="27" t="str">
        <f aca="false">L2</f>
        <v>Labor Force Participation Rate (LFPR)</v>
      </c>
      <c r="D309" s="27" t="str">
        <f aca="false">M2</f>
        <v>Authorized Immigrant Labor Force Participation Rate (LFPR)</v>
      </c>
      <c r="E309" s="27" t="str">
        <f aca="false">N2</f>
        <v>Unauthorized Immigrant Labor Force Participation Rate (LFPR)</v>
      </c>
      <c r="F309" s="27" t="str">
        <f aca="false">O2</f>
        <v>American Labor Force Participation Rate (LFPR)</v>
      </c>
    </row>
    <row r="310" customFormat="false" ht="12.8" hidden="false" customHeight="false" outlineLevel="0" collapsed="false">
      <c r="A310" s="1" t="str">
        <f aca="false">_xlfn.CONCAT($A$308, ".", A3)</f>
        <v>AR.2.0</v>
      </c>
      <c r="B310" s="5" t="str">
        <f aca="false">_xlfn.CONCAT(B3, ": ", C3)</f>
        <v>All Industries: All Roles</v>
      </c>
      <c r="C310" s="27" t="n">
        <f aca="false">L3</f>
        <v>0.595</v>
      </c>
      <c r="D310" s="27" t="n">
        <f aca="false">M3</f>
        <v>0.655</v>
      </c>
      <c r="E310" s="27" t="n">
        <f aca="false">N3</f>
        <v>0.71</v>
      </c>
      <c r="F310" s="27" t="n">
        <f aca="false">O3</f>
        <v>0.59</v>
      </c>
    </row>
    <row r="311" customFormat="false" ht="12.8" hidden="false" customHeight="false" outlineLevel="0" collapsed="false">
      <c r="A311" s="1" t="str">
        <f aca="false">_xlfn.CONCAT($A$308, ".", A4)</f>
        <v>AR.2.1</v>
      </c>
      <c r="B311" s="5" t="str">
        <f aca="false">_xlfn.CONCAT(B4, ": ", C4)</f>
        <v>Agriculture: Worker</v>
      </c>
      <c r="C311" s="27" t="n">
        <f aca="false">L4</f>
        <v>0.62</v>
      </c>
      <c r="D311" s="27" t="n">
        <f aca="false">M4</f>
        <v>0.68</v>
      </c>
      <c r="E311" s="27" t="n">
        <f aca="false">N4</f>
        <v>0.74</v>
      </c>
      <c r="F311" s="27" t="n">
        <f aca="false">O4</f>
        <v>0.615</v>
      </c>
    </row>
    <row r="312" customFormat="false" ht="12.8" hidden="false" customHeight="false" outlineLevel="0" collapsed="false">
      <c r="A312" s="1" t="str">
        <f aca="false">_xlfn.CONCAT($A$308, ".", A5)</f>
        <v>AR.2.2</v>
      </c>
      <c r="B312" s="5" t="str">
        <f aca="false">_xlfn.CONCAT(B5, ": ", C5)</f>
        <v>Agriculture: Support</v>
      </c>
      <c r="C312" s="27" t="n">
        <f aca="false">L5</f>
        <v>0.589</v>
      </c>
      <c r="D312" s="27" t="n">
        <f aca="false">M5</f>
        <v>0.646</v>
      </c>
      <c r="E312" s="27" t="n">
        <f aca="false">N5</f>
        <v>0.703</v>
      </c>
      <c r="F312" s="27" t="n">
        <f aca="false">O5</f>
        <v>0.585</v>
      </c>
    </row>
    <row r="313" customFormat="false" ht="12.8" hidden="false" customHeight="false" outlineLevel="0" collapsed="false">
      <c r="A313" s="1" t="str">
        <f aca="false">_xlfn.CONCAT($A$308, ".", A6)</f>
        <v>AR.2.3</v>
      </c>
      <c r="B313" s="5" t="str">
        <f aca="false">_xlfn.CONCAT(B6, ": ", C6)</f>
        <v>Construction: Worker</v>
      </c>
      <c r="C313" s="27" t="n">
        <f aca="false">L6</f>
        <v>0.59</v>
      </c>
      <c r="D313" s="27" t="n">
        <f aca="false">M6</f>
        <v>0.65</v>
      </c>
      <c r="E313" s="27" t="n">
        <f aca="false">N6</f>
        <v>0.7</v>
      </c>
      <c r="F313" s="27" t="n">
        <f aca="false">O6</f>
        <v>0.585</v>
      </c>
    </row>
    <row r="314" customFormat="false" ht="12.8" hidden="false" customHeight="false" outlineLevel="0" collapsed="false">
      <c r="A314" s="1" t="str">
        <f aca="false">_xlfn.CONCAT($A$308, ".", A7)</f>
        <v>AR.2.4</v>
      </c>
      <c r="B314" s="5" t="str">
        <f aca="false">_xlfn.CONCAT(B7, ": ", C7)</f>
        <v>Construction: Support</v>
      </c>
      <c r="C314" s="27" t="n">
        <f aca="false">L7</f>
        <v>0.561</v>
      </c>
      <c r="D314" s="27" t="n">
        <f aca="false">M7</f>
        <v>0.617</v>
      </c>
      <c r="E314" s="27" t="n">
        <f aca="false">N7</f>
        <v>0.665</v>
      </c>
      <c r="F314" s="27" t="n">
        <f aca="false">O7</f>
        <v>0.556</v>
      </c>
    </row>
    <row r="315" customFormat="false" ht="12.8" hidden="false" customHeight="false" outlineLevel="0" collapsed="false">
      <c r="A315" s="1" t="str">
        <f aca="false">_xlfn.CONCAT($A$308, ".", A8)</f>
        <v>AR.2.5</v>
      </c>
      <c r="B315" s="5" t="str">
        <f aca="false">_xlfn.CONCAT(B8, ": ", C8)</f>
        <v>Hospitality: Worker</v>
      </c>
      <c r="C315" s="27" t="n">
        <f aca="false">L8</f>
        <v>0.561</v>
      </c>
      <c r="D315" s="27" t="n">
        <f aca="false">M8</f>
        <v>0.617</v>
      </c>
      <c r="E315" s="27" t="n">
        <f aca="false">N8</f>
        <v>0.665</v>
      </c>
      <c r="F315" s="27" t="n">
        <f aca="false">O8</f>
        <v>0.556</v>
      </c>
    </row>
    <row r="316" customFormat="false" ht="12.8" hidden="false" customHeight="false" outlineLevel="0" collapsed="false">
      <c r="A316" s="1" t="str">
        <f aca="false">_xlfn.CONCAT($A$308, ".", A9)</f>
        <v>AR.2.6</v>
      </c>
      <c r="B316" s="5" t="str">
        <f aca="false">_xlfn.CONCAT(B9, ": ", C9)</f>
        <v>Hospitality: Support</v>
      </c>
      <c r="C316" s="27" t="n">
        <f aca="false">L9</f>
        <v>0.533</v>
      </c>
      <c r="D316" s="27" t="n">
        <f aca="false">M9</f>
        <v>0.586</v>
      </c>
      <c r="E316" s="27" t="n">
        <f aca="false">N9</f>
        <v>0.632</v>
      </c>
      <c r="F316" s="27" t="n">
        <f aca="false">O9</f>
        <v>0.528</v>
      </c>
    </row>
    <row r="317" customFormat="false" ht="12.8" hidden="false" customHeight="false" outlineLevel="0" collapsed="false">
      <c r="A317" s="1" t="str">
        <f aca="false">_xlfn.CONCAT($A$308, ".", A10)</f>
        <v>AR.2.7</v>
      </c>
      <c r="B317" s="5" t="str">
        <f aca="false">_xlfn.CONCAT(B10, ": ", C10)</f>
        <v>Cleaning &amp; Maintenance: Worker</v>
      </c>
      <c r="C317" s="27" t="n">
        <f aca="false">L10</f>
        <v>0.62</v>
      </c>
      <c r="D317" s="27" t="n">
        <f aca="false">M10</f>
        <v>0.68</v>
      </c>
      <c r="E317" s="27" t="n">
        <f aca="false">N10</f>
        <v>0.74</v>
      </c>
      <c r="F317" s="27" t="n">
        <f aca="false">O10</f>
        <v>0.615</v>
      </c>
    </row>
    <row r="318" customFormat="false" ht="12.8" hidden="false" customHeight="false" outlineLevel="0" collapsed="false">
      <c r="A318" s="1" t="str">
        <f aca="false">_xlfn.CONCAT($A$308, ".", A11)</f>
        <v>AR.2.8</v>
      </c>
      <c r="B318" s="5" t="str">
        <f aca="false">_xlfn.CONCAT(B11, ": ", C11)</f>
        <v>Cleaning &amp; Maintenance: Support</v>
      </c>
      <c r="C318" s="27" t="n">
        <f aca="false">L11</f>
        <v>0.589</v>
      </c>
      <c r="D318" s="27" t="n">
        <f aca="false">M11</f>
        <v>0.646</v>
      </c>
      <c r="E318" s="27" t="n">
        <f aca="false">N11</f>
        <v>0.703</v>
      </c>
      <c r="F318" s="27" t="n">
        <f aca="false">O11</f>
        <v>0.585</v>
      </c>
    </row>
    <row r="319" customFormat="false" ht="12.8" hidden="false" customHeight="false" outlineLevel="0" collapsed="false">
      <c r="A319" s="1" t="str">
        <f aca="false">_xlfn.CONCAT($A$308, ".", A12)</f>
        <v>AR.2.9</v>
      </c>
      <c r="B319" s="5" t="str">
        <f aca="false">_xlfn.CONCAT(B12, ": ", C12)</f>
        <v>Manufacturing: Worker</v>
      </c>
      <c r="C319" s="27" t="n">
        <f aca="false">L12</f>
        <v>0.561</v>
      </c>
      <c r="D319" s="27" t="n">
        <f aca="false">M12</f>
        <v>0.617</v>
      </c>
      <c r="E319" s="27" t="n">
        <f aca="false">N12</f>
        <v>0.665</v>
      </c>
      <c r="F319" s="27" t="n">
        <f aca="false">O12</f>
        <v>0.528</v>
      </c>
    </row>
    <row r="320" customFormat="false" ht="12.8" hidden="false" customHeight="false" outlineLevel="0" collapsed="false">
      <c r="A320" s="1" t="str">
        <f aca="false">_xlfn.CONCAT($A$308, ".", A13)</f>
        <v>AR.2.10</v>
      </c>
      <c r="B320" s="5" t="str">
        <f aca="false">_xlfn.CONCAT(B13, ": ", C13)</f>
        <v>Manufacturing: Support</v>
      </c>
      <c r="C320" s="27" t="n">
        <f aca="false">L13</f>
        <v>0.533</v>
      </c>
      <c r="D320" s="27" t="n">
        <f aca="false">M13</f>
        <v>0.586</v>
      </c>
      <c r="E320" s="27" t="n">
        <f aca="false">N13</f>
        <v>0.632</v>
      </c>
      <c r="F320" s="27" t="n">
        <f aca="false">O13</f>
        <v>0.528</v>
      </c>
    </row>
    <row r="321" customFormat="false" ht="12.8" hidden="false" customHeight="false" outlineLevel="0" collapsed="false">
      <c r="A321" s="1" t="str">
        <f aca="false">_xlfn.CONCAT($A$308, ".", A14)</f>
        <v>AR.2.11</v>
      </c>
      <c r="B321" s="5" t="str">
        <f aca="false">_xlfn.CONCAT(B14, ": ", C14)</f>
        <v>Transportation &amp; Warehousing: Worker</v>
      </c>
      <c r="C321" s="27" t="n">
        <f aca="false">L14</f>
        <v>0.59</v>
      </c>
      <c r="D321" s="27" t="n">
        <f aca="false">M14</f>
        <v>0.65</v>
      </c>
      <c r="E321" s="27" t="n">
        <f aca="false">N14</f>
        <v>0.7</v>
      </c>
      <c r="F321" s="27" t="n">
        <f aca="false">O14</f>
        <v>0.585</v>
      </c>
    </row>
    <row r="322" customFormat="false" ht="12.8" hidden="false" customHeight="false" outlineLevel="0" collapsed="false">
      <c r="A322" s="1" t="str">
        <f aca="false">_xlfn.CONCAT($A$308, ".", A15)</f>
        <v>AR.2.12</v>
      </c>
      <c r="B322" s="5" t="str">
        <f aca="false">_xlfn.CONCAT(B15, ": ", C15)</f>
        <v>Transportation &amp; Warehousing: Support</v>
      </c>
      <c r="C322" s="27" t="n">
        <f aca="false">L15</f>
        <v>0.561</v>
      </c>
      <c r="D322" s="27" t="n">
        <f aca="false">M15</f>
        <v>0.617</v>
      </c>
      <c r="E322" s="27" t="n">
        <f aca="false">N15</f>
        <v>0.665</v>
      </c>
      <c r="F322" s="27" t="n">
        <f aca="false">O15</f>
        <v>0.556</v>
      </c>
    </row>
    <row r="323" customFormat="false" ht="12.8" hidden="false" customHeight="false" outlineLevel="0" collapsed="false">
      <c r="A323" s="1" t="str">
        <f aca="false">_xlfn.CONCAT($A$308, ".", A16)</f>
        <v>AR.2.13</v>
      </c>
      <c r="B323" s="5" t="str">
        <f aca="false">_xlfn.CONCAT(B16, ": ", C16)</f>
        <v>Retail Trade: Worker</v>
      </c>
      <c r="C323" s="27" t="n">
        <f aca="false">L16</f>
        <v>0.561</v>
      </c>
      <c r="D323" s="27" t="n">
        <f aca="false">M16</f>
        <v>0.617</v>
      </c>
      <c r="E323" s="27" t="n">
        <f aca="false">N16</f>
        <v>0.665</v>
      </c>
      <c r="F323" s="27" t="n">
        <f aca="false">O16</f>
        <v>0.556</v>
      </c>
    </row>
    <row r="324" customFormat="false" ht="12.8" hidden="false" customHeight="false" outlineLevel="0" collapsed="false">
      <c r="A324" s="1" t="str">
        <f aca="false">_xlfn.CONCAT($A$308, ".", A17)</f>
        <v>AR.2.14</v>
      </c>
      <c r="B324" s="5" t="str">
        <f aca="false">_xlfn.CONCAT(B17, ": ", C17)</f>
        <v>Retail Trade: Support</v>
      </c>
      <c r="C324" s="27" t="n">
        <f aca="false">L17</f>
        <v>0.533</v>
      </c>
      <c r="D324" s="27" t="n">
        <f aca="false">M17</f>
        <v>0.586</v>
      </c>
      <c r="E324" s="27" t="n">
        <f aca="false">N17</f>
        <v>0.632</v>
      </c>
      <c r="F324" s="27" t="n">
        <f aca="false">O17</f>
        <v>0.528</v>
      </c>
    </row>
    <row r="325" customFormat="false" ht="12.8" hidden="false" customHeight="false" outlineLevel="0" collapsed="false">
      <c r="A325" s="1" t="str">
        <f aca="false">_xlfn.CONCAT($A$308, ".", A18)</f>
        <v>AR.2.15</v>
      </c>
      <c r="B325" s="5" t="str">
        <f aca="false">_xlfn.CONCAT(B18, ": ", C18)</f>
        <v>Landscaping / Groundskeeping: Worker</v>
      </c>
      <c r="C325" s="27" t="n">
        <f aca="false">L18</f>
        <v>0.62</v>
      </c>
      <c r="D325" s="27" t="n">
        <f aca="false">M18</f>
        <v>0.68</v>
      </c>
      <c r="E325" s="27" t="n">
        <f aca="false">N18</f>
        <v>0.74</v>
      </c>
      <c r="F325" s="27" t="n">
        <f aca="false">O18</f>
        <v>0.615</v>
      </c>
    </row>
    <row r="326" customFormat="false" ht="12.8" hidden="false" customHeight="false" outlineLevel="0" collapsed="false">
      <c r="A326" s="1" t="str">
        <f aca="false">_xlfn.CONCAT($A$308, ".", A19)</f>
        <v>AR.2.16</v>
      </c>
      <c r="B326" s="5" t="str">
        <f aca="false">_xlfn.CONCAT(B19, ": ", C19)</f>
        <v>Landscaping / Groundskeeping: Support</v>
      </c>
      <c r="C326" s="27" t="n">
        <f aca="false">L19</f>
        <v>0.589</v>
      </c>
      <c r="D326" s="27" t="n">
        <f aca="false">M19</f>
        <v>0.646</v>
      </c>
      <c r="E326" s="27" t="n">
        <f aca="false">N19</f>
        <v>0.703</v>
      </c>
      <c r="F326" s="27" t="n">
        <f aca="false">O19</f>
        <v>0.585</v>
      </c>
    </row>
    <row r="327" customFormat="false" ht="12.8" hidden="false" customHeight="false" outlineLevel="0" collapsed="false">
      <c r="A327" s="1" t="str">
        <f aca="false">_xlfn.CONCAT($A$308, ".", A20)</f>
        <v>AR.2.17</v>
      </c>
      <c r="B327" s="5" t="str">
        <f aca="false">_xlfn.CONCAT(B20, ": ", C20)</f>
        <v>Automotive &amp; Repair: Worker</v>
      </c>
      <c r="C327" s="27" t="n">
        <f aca="false">L20</f>
        <v>0.59</v>
      </c>
      <c r="D327" s="27" t="n">
        <f aca="false">M20</f>
        <v>0.65</v>
      </c>
      <c r="E327" s="27" t="n">
        <f aca="false">N20</f>
        <v>0.7</v>
      </c>
      <c r="F327" s="27" t="n">
        <f aca="false">O20</f>
        <v>0.585</v>
      </c>
    </row>
    <row r="328" customFormat="false" ht="12.8" hidden="false" customHeight="false" outlineLevel="0" collapsed="false">
      <c r="A328" s="1" t="str">
        <f aca="false">_xlfn.CONCAT($A$308, ".", A21)</f>
        <v>AR.2.18</v>
      </c>
      <c r="B328" s="5" t="str">
        <f aca="false">_xlfn.CONCAT(B21, ": ", C21)</f>
        <v>Automotive &amp; Repair: Support</v>
      </c>
      <c r="C328" s="27" t="n">
        <f aca="false">L21</f>
        <v>0.561</v>
      </c>
      <c r="D328" s="27" t="n">
        <f aca="false">M21</f>
        <v>0.617</v>
      </c>
      <c r="E328" s="27" t="n">
        <f aca="false">N21</f>
        <v>0.665</v>
      </c>
      <c r="F328" s="27" t="n">
        <f aca="false">O21</f>
        <v>0.556</v>
      </c>
    </row>
    <row r="329" customFormat="false" ht="12.8" hidden="false" customHeight="false" outlineLevel="0" collapsed="false">
      <c r="A329" s="1" t="str">
        <f aca="false">_xlfn.CONCAT($A$308, ".", A22)</f>
        <v>AR.2.19</v>
      </c>
      <c r="B329" s="5" t="str">
        <f aca="false">_xlfn.CONCAT(B22, ": ", C22)</f>
        <v>Healthcare &amp; Social Assistance: Worker</v>
      </c>
      <c r="C329" s="27" t="n">
        <f aca="false">L22</f>
        <v>0.531</v>
      </c>
      <c r="D329" s="27" t="n">
        <f aca="false">M22</f>
        <v>0.585</v>
      </c>
      <c r="E329" s="27" t="n">
        <f aca="false">N22</f>
        <v>0.63</v>
      </c>
      <c r="F329" s="27" t="n">
        <f aca="false">O22</f>
        <v>0.526</v>
      </c>
    </row>
    <row r="330" customFormat="false" ht="12.8" hidden="false" customHeight="false" outlineLevel="0" collapsed="false">
      <c r="A330" s="1" t="str">
        <f aca="false">_xlfn.CONCAT($A$308, ".", A23)</f>
        <v>AR.2.20</v>
      </c>
      <c r="B330" s="5" t="str">
        <f aca="false">_xlfn.CONCAT(B23, ": ", C23)</f>
        <v>Healthcare &amp; Social Assistance: Support</v>
      </c>
      <c r="C330" s="27" t="n">
        <f aca="false">L23</f>
        <v>0.504</v>
      </c>
      <c r="D330" s="27" t="n">
        <f aca="false">M23</f>
        <v>0.556</v>
      </c>
      <c r="E330" s="27" t="n">
        <f aca="false">N23</f>
        <v>0.599</v>
      </c>
      <c r="F330" s="27" t="n">
        <f aca="false">O23</f>
        <v>0.5</v>
      </c>
    </row>
    <row r="331" customFormat="false" ht="12.8" hidden="false" customHeight="false" outlineLevel="0" collapsed="false">
      <c r="A331" s="1" t="str">
        <f aca="false">_xlfn.CONCAT($A$308, ".", A24)</f>
        <v>AR.2.21</v>
      </c>
      <c r="B331" s="5" t="str">
        <f aca="false">_xlfn.CONCAT(B24, ": ", C24)</f>
        <v>Professional Services: Worker</v>
      </c>
      <c r="C331" s="27" t="n">
        <f aca="false">L24</f>
        <v>0.501</v>
      </c>
      <c r="D331" s="27" t="n">
        <f aca="false">M24</f>
        <v>0.552</v>
      </c>
      <c r="E331" s="27" t="n">
        <f aca="false">N24</f>
        <v>0.595</v>
      </c>
      <c r="F331" s="27" t="n">
        <f aca="false">O24</f>
        <v>0.497</v>
      </c>
    </row>
    <row r="332" customFormat="false" ht="12.8" hidden="false" customHeight="false" outlineLevel="0" collapsed="false">
      <c r="A332" s="1" t="str">
        <f aca="false">_xlfn.CONCAT($A$308, ".", A25)</f>
        <v>AR.2.22</v>
      </c>
      <c r="B332" s="5" t="str">
        <f aca="false">_xlfn.CONCAT(B25, ": ", C25)</f>
        <v>Professional Services: Support</v>
      </c>
      <c r="C332" s="27" t="n">
        <f aca="false">L25</f>
        <v>0.476</v>
      </c>
      <c r="D332" s="27" t="n">
        <f aca="false">M25</f>
        <v>0.524</v>
      </c>
      <c r="E332" s="27" t="n">
        <f aca="false">N25</f>
        <v>0.565</v>
      </c>
      <c r="F332" s="27" t="n">
        <f aca="false">O25</f>
        <v>0.472</v>
      </c>
    </row>
    <row r="333" customFormat="false" ht="12.8" hidden="false" customHeight="false" outlineLevel="0" collapsed="false">
      <c r="A333" s="1" t="str">
        <f aca="false">_xlfn.CONCAT($A$308, ".", A26)</f>
        <v>AR.2.23</v>
      </c>
      <c r="B333" s="5" t="str">
        <f aca="false">_xlfn.CONCAT(B26, ": ", C26)</f>
        <v>Educational Services: Worker</v>
      </c>
      <c r="C333" s="27" t="n">
        <f aca="false">L26</f>
        <v>0.501</v>
      </c>
      <c r="D333" s="27" t="n">
        <f aca="false">M26</f>
        <v>0.552</v>
      </c>
      <c r="E333" s="27" t="n">
        <f aca="false">N26</f>
        <v>0.595</v>
      </c>
      <c r="F333" s="27" t="n">
        <f aca="false">O26</f>
        <v>0.497</v>
      </c>
    </row>
    <row r="334" customFormat="false" ht="12.8" hidden="false" customHeight="false" outlineLevel="0" collapsed="false">
      <c r="A334" s="1" t="str">
        <f aca="false">_xlfn.CONCAT($A$308, ".", A27)</f>
        <v>AR.2.24</v>
      </c>
      <c r="B334" s="5" t="str">
        <f aca="false">_xlfn.CONCAT(B27, ": ", C27)</f>
        <v>Educational Services: Support</v>
      </c>
      <c r="C334" s="27" t="n">
        <f aca="false">L27</f>
        <v>0.476</v>
      </c>
      <c r="D334" s="27" t="n">
        <f aca="false">M27</f>
        <v>0.524</v>
      </c>
      <c r="E334" s="27" t="n">
        <f aca="false">N27</f>
        <v>0.565</v>
      </c>
      <c r="F334" s="27" t="n">
        <f aca="false">O27</f>
        <v>0.472</v>
      </c>
    </row>
    <row r="335" customFormat="false" ht="12.8" hidden="false" customHeight="false" outlineLevel="0" collapsed="false">
      <c r="A335" s="1" t="str">
        <f aca="false">_xlfn.CONCAT($A$308, ".", A28)</f>
        <v>AR.2.25</v>
      </c>
      <c r="B335" s="5" t="str">
        <f aca="false">_xlfn.CONCAT(B28, ": ", C28)</f>
        <v>Finance &amp; Insurance: Worker</v>
      </c>
      <c r="C335" s="27" t="n">
        <f aca="false">L28</f>
        <v>0.501</v>
      </c>
      <c r="D335" s="27" t="n">
        <f aca="false">M28</f>
        <v>0.552</v>
      </c>
      <c r="E335" s="27" t="n">
        <f aca="false">N28</f>
        <v>0.595</v>
      </c>
      <c r="F335" s="27" t="n">
        <f aca="false">O28</f>
        <v>0.497</v>
      </c>
    </row>
    <row r="336" customFormat="false" ht="12.8" hidden="false" customHeight="false" outlineLevel="0" collapsed="false">
      <c r="A336" s="1" t="str">
        <f aca="false">_xlfn.CONCAT($A$308, ".", A29)</f>
        <v>AR.2.26</v>
      </c>
      <c r="B336" s="5" t="str">
        <f aca="false">_xlfn.CONCAT(B29, ": ", C29)</f>
        <v>Finance &amp; Insurance: Support</v>
      </c>
      <c r="C336" s="27" t="n">
        <f aca="false">L29</f>
        <v>0.476</v>
      </c>
      <c r="D336" s="27" t="n">
        <f aca="false">M29</f>
        <v>0.524</v>
      </c>
      <c r="E336" s="27" t="n">
        <f aca="false">N29</f>
        <v>0.565</v>
      </c>
      <c r="F336" s="27" t="n">
        <f aca="false">O29</f>
        <v>0.472</v>
      </c>
    </row>
    <row r="337" customFormat="false" ht="12.8" hidden="false" customHeight="false" outlineLevel="0" collapsed="false">
      <c r="A337" s="1" t="str">
        <f aca="false">_xlfn.CONCAT($A$308, ".", A30)</f>
        <v>AR.2.27</v>
      </c>
      <c r="B337" s="5" t="str">
        <f aca="false">_xlfn.CONCAT(B30, ": ", C30)</f>
        <v>Media and Information Technology: Worker</v>
      </c>
      <c r="C337" s="27" t="n">
        <f aca="false">L30</f>
        <v>0.531</v>
      </c>
      <c r="D337" s="27" t="n">
        <f aca="false">M30</f>
        <v>0.585</v>
      </c>
      <c r="E337" s="27" t="n">
        <f aca="false">N30</f>
        <v>0.63</v>
      </c>
      <c r="F337" s="27" t="n">
        <f aca="false">O30</f>
        <v>0.526</v>
      </c>
    </row>
    <row r="338" customFormat="false" ht="12.8" hidden="false" customHeight="false" outlineLevel="0" collapsed="false">
      <c r="A338" s="1" t="str">
        <f aca="false">_xlfn.CONCAT($A$308, ".", A31)</f>
        <v>AR.2.28</v>
      </c>
      <c r="B338" s="5" t="str">
        <f aca="false">_xlfn.CONCAT(B31, ": ", C31)</f>
        <v>Media and Information Technology: Support</v>
      </c>
      <c r="C338" s="27" t="n">
        <f aca="false">L31</f>
        <v>0.504</v>
      </c>
      <c r="D338" s="27" t="n">
        <f aca="false">M31</f>
        <v>0.556</v>
      </c>
      <c r="E338" s="27" t="n">
        <f aca="false">N31</f>
        <v>0.599</v>
      </c>
      <c r="F338" s="27" t="n">
        <f aca="false">O31</f>
        <v>0.5</v>
      </c>
    </row>
    <row r="339" customFormat="false" ht="12.8" hidden="false" customHeight="false" outlineLevel="0" collapsed="false">
      <c r="A339" s="1" t="str">
        <f aca="false">_xlfn.CONCAT($A$308, ".", A32)</f>
        <v>AR.2.29</v>
      </c>
      <c r="B339" s="5" t="str">
        <f aca="false">_xlfn.CONCAT(B32, ": ", C32)</f>
        <v>Government: Worker</v>
      </c>
      <c r="C339" s="27" t="n">
        <f aca="false">L32</f>
        <v>0.501</v>
      </c>
      <c r="D339" s="27" t="n">
        <f aca="false">M32</f>
        <v>0.552</v>
      </c>
      <c r="E339" s="27" t="n">
        <f aca="false">N32</f>
        <v>0.595</v>
      </c>
      <c r="F339" s="27" t="n">
        <f aca="false">O32</f>
        <v>0.497</v>
      </c>
    </row>
    <row r="340" customFormat="false" ht="12.8" hidden="false" customHeight="false" outlineLevel="0" collapsed="false">
      <c r="A340" s="1" t="str">
        <f aca="false">_xlfn.CONCAT($A$308, ".", A33)</f>
        <v>AR.2.30</v>
      </c>
      <c r="B340" s="5" t="str">
        <f aca="false">_xlfn.CONCAT(B33, ": ", C33)</f>
        <v>Government: Support</v>
      </c>
      <c r="C340" s="27" t="n">
        <f aca="false">L33</f>
        <v>0.476</v>
      </c>
      <c r="D340" s="27" t="n">
        <f aca="false">M33</f>
        <v>0.524</v>
      </c>
      <c r="E340" s="27" t="n">
        <f aca="false">N33</f>
        <v>0.565</v>
      </c>
      <c r="F340" s="27" t="n">
        <f aca="false">O33</f>
        <v>0.472</v>
      </c>
    </row>
    <row r="341" customFormat="false" ht="12.8" hidden="false" customHeight="false" outlineLevel="0" collapsed="false">
      <c r="A341" s="1" t="str">
        <f aca="false">_xlfn.CONCAT($A$308, ".", A34)</f>
        <v>AR.2.31</v>
      </c>
      <c r="B341" s="5" t="str">
        <f aca="false">_xlfn.CONCAT(B34, ": ", C34)</f>
        <v>Self-Employed / Non-Employer: Worker</v>
      </c>
      <c r="C341" s="27" t="n">
        <f aca="false">L34</f>
        <v>0.68</v>
      </c>
      <c r="D341" s="27" t="n">
        <f aca="false">M34</f>
        <v>0.72</v>
      </c>
      <c r="E341" s="27" t="n">
        <f aca="false">N34</f>
        <v>0.75</v>
      </c>
      <c r="F341" s="27" t="n">
        <f aca="false">O34</f>
        <v>0.68</v>
      </c>
    </row>
    <row r="342" customFormat="false" ht="12.8" hidden="false" customHeight="false" outlineLevel="0" collapsed="false">
      <c r="A342" s="1" t="str">
        <f aca="false">_xlfn.CONCAT($A$308, ".", A35)</f>
        <v>AR.2.32</v>
      </c>
      <c r="B342" s="5" t="str">
        <f aca="false">_xlfn.CONCAT(B35, ": ", C35)</f>
        <v>Self-Employed / Non-Employer: Support</v>
      </c>
      <c r="C342" s="27" t="n">
        <f aca="false">L35</f>
        <v>0.646</v>
      </c>
      <c r="D342" s="27" t="n">
        <f aca="false">M35</f>
        <v>0.684</v>
      </c>
      <c r="E342" s="27" t="n">
        <f aca="false">N35</f>
        <v>0.713</v>
      </c>
      <c r="F342" s="27" t="n">
        <f aca="false">O35</f>
        <v>0.646</v>
      </c>
    </row>
    <row r="343" customFormat="false" ht="12.8" hidden="false" customHeight="false" outlineLevel="0" collapsed="false">
      <c r="A343" s="1" t="str">
        <f aca="false">_xlfn.CONCAT($A$308, ".", A36)</f>
        <v>AR.2.33</v>
      </c>
      <c r="B343" s="5" t="str">
        <f aca="false">_xlfn.CONCAT(B36, ": ", C36)</f>
        <v>Other Services: Worker</v>
      </c>
      <c r="C343" s="27" t="n">
        <f aca="false">L36</f>
        <v>0.561</v>
      </c>
      <c r="D343" s="27" t="n">
        <f aca="false">M36</f>
        <v>0.617</v>
      </c>
      <c r="E343" s="27" t="n">
        <f aca="false">N36</f>
        <v>0.665</v>
      </c>
      <c r="F343" s="27" t="n">
        <f aca="false">O36</f>
        <v>0.556</v>
      </c>
    </row>
    <row r="344" customFormat="false" ht="12.8" hidden="false" customHeight="false" outlineLevel="0" collapsed="false">
      <c r="A344" s="1" t="str">
        <f aca="false">_xlfn.CONCAT($A$308, ".", A37)</f>
        <v>AR.2.34</v>
      </c>
      <c r="B344" s="5" t="str">
        <f aca="false">_xlfn.CONCAT(B37, ": ", C37)</f>
        <v>Other Services: Support</v>
      </c>
      <c r="C344" s="27" t="n">
        <f aca="false">L37</f>
        <v>0.533</v>
      </c>
      <c r="D344" s="27" t="n">
        <f aca="false">M37</f>
        <v>0.586</v>
      </c>
      <c r="E344" s="27" t="n">
        <f aca="false">N37</f>
        <v>0.632</v>
      </c>
      <c r="F344" s="27" t="n">
        <f aca="false">O37</f>
        <v>0.528</v>
      </c>
    </row>
    <row r="345" customFormat="false" ht="12.8" hidden="false" customHeight="false" outlineLevel="0" collapsed="false">
      <c r="A345" s="1"/>
      <c r="B345" s="5"/>
      <c r="C345" s="27"/>
      <c r="D345" s="27"/>
      <c r="E345" s="27"/>
      <c r="F345" s="27"/>
    </row>
    <row r="442" customFormat="false" ht="12.8" hidden="false" customHeight="false" outlineLevel="0" collapsed="false">
      <c r="A442" s="5" t="s">
        <v>167</v>
      </c>
      <c r="B442" s="24" t="s">
        <v>9</v>
      </c>
      <c r="C442" s="25" t="s">
        <v>146</v>
      </c>
    </row>
    <row r="443" customFormat="false" ht="46.25" hidden="false" customHeight="false" outlineLevel="0" collapsed="false">
      <c r="A443" s="5" t="s">
        <v>26</v>
      </c>
      <c r="B443" s="26" t="s">
        <v>140</v>
      </c>
      <c r="C443" s="27" t="str">
        <f aca="false">P2</f>
        <v>Unemployment Rate</v>
      </c>
      <c r="D443" s="27" t="str">
        <f aca="false">Q2</f>
        <v>Authorized Immigrant Unemployment Rate</v>
      </c>
      <c r="E443" s="27" t="str">
        <f aca="false">R2</f>
        <v>Unauthorized Immigrant Unemployment Rate</v>
      </c>
      <c r="F443" s="27" t="str">
        <f aca="false">S2</f>
        <v>American Unemployment Rate</v>
      </c>
    </row>
    <row r="444" customFormat="false" ht="12.8" hidden="false" customHeight="false" outlineLevel="0" collapsed="false">
      <c r="A444" s="5" t="str">
        <f aca="false">_xlfn.CONCAT($A$442, ".", A3)</f>
        <v>AR.3.0</v>
      </c>
      <c r="B444" s="5" t="str">
        <f aca="false">_xlfn.CONCAT(B3, ": ", C3)</f>
        <v>All Industries: All Roles</v>
      </c>
      <c r="C444" s="27" t="n">
        <f aca="false">P3</f>
        <v>0.041</v>
      </c>
      <c r="D444" s="27" t="n">
        <f aca="false">Q3</f>
        <v>0.049</v>
      </c>
      <c r="E444" s="27" t="n">
        <f aca="false">R3</f>
        <v>0.055</v>
      </c>
      <c r="F444" s="27" t="n">
        <f aca="false">S3</f>
        <v>0.04</v>
      </c>
    </row>
    <row r="445" customFormat="false" ht="12.8" hidden="false" customHeight="false" outlineLevel="0" collapsed="false">
      <c r="A445" s="7" t="str">
        <f aca="false">_xlfn.CONCAT($A$442, ".", A4)</f>
        <v>AR.3.1</v>
      </c>
      <c r="B445" s="7" t="str">
        <f aca="false">_xlfn.CONCAT(B4, ": ", C4)</f>
        <v>Agriculture: Worker</v>
      </c>
      <c r="C445" s="16" t="n">
        <f aca="false">P4</f>
        <v>0.05</v>
      </c>
      <c r="D445" s="16" t="n">
        <f aca="false">Q4</f>
        <v>0.07</v>
      </c>
      <c r="E445" s="16" t="n">
        <f aca="false">R4</f>
        <v>0.12</v>
      </c>
      <c r="F445" s="16" t="n">
        <f aca="false">S4</f>
        <v>0.05</v>
      </c>
    </row>
    <row r="446" customFormat="false" ht="12.8" hidden="false" customHeight="false" outlineLevel="0" collapsed="false">
      <c r="A446" s="7" t="str">
        <f aca="false">_xlfn.CONCAT($A$442, ".", A5)</f>
        <v>AR.3.2</v>
      </c>
      <c r="B446" s="7" t="str">
        <f aca="false">_xlfn.CONCAT(B5, ": ", C5)</f>
        <v>Agriculture: Support</v>
      </c>
      <c r="C446" s="16" t="n">
        <f aca="false">P5</f>
        <v>0.05</v>
      </c>
      <c r="D446" s="16" t="n">
        <f aca="false">Q5</f>
        <v>0.07</v>
      </c>
      <c r="E446" s="16" t="n">
        <f aca="false">R5</f>
        <v>0.12</v>
      </c>
      <c r="F446" s="16" t="n">
        <f aca="false">S5</f>
        <v>0.05</v>
      </c>
    </row>
    <row r="447" customFormat="false" ht="12.8" hidden="false" customHeight="false" outlineLevel="0" collapsed="false">
      <c r="A447" s="7" t="str">
        <f aca="false">_xlfn.CONCAT($A$442, ".", A6)</f>
        <v>AR.3.3</v>
      </c>
      <c r="B447" s="7" t="str">
        <f aca="false">_xlfn.CONCAT(B6, ": ", C6)</f>
        <v>Construction: Worker</v>
      </c>
      <c r="C447" s="16" t="n">
        <f aca="false">P6</f>
        <v>0.035</v>
      </c>
      <c r="D447" s="16" t="n">
        <f aca="false">Q6</f>
        <v>0.06</v>
      </c>
      <c r="E447" s="16" t="n">
        <f aca="false">R6</f>
        <v>0.11</v>
      </c>
      <c r="F447" s="16" t="n">
        <f aca="false">S6</f>
        <v>0.035</v>
      </c>
    </row>
    <row r="448" customFormat="false" ht="12.8" hidden="false" customHeight="false" outlineLevel="0" collapsed="false">
      <c r="A448" s="7" t="str">
        <f aca="false">_xlfn.CONCAT($A$442, ".", A7)</f>
        <v>AR.3.4</v>
      </c>
      <c r="B448" s="7" t="str">
        <f aca="false">_xlfn.CONCAT(B7, ": ", C7)</f>
        <v>Construction: Support</v>
      </c>
      <c r="C448" s="16" t="n">
        <f aca="false">P7</f>
        <v>0.035</v>
      </c>
      <c r="D448" s="16" t="n">
        <f aca="false">Q7</f>
        <v>0.06</v>
      </c>
      <c r="E448" s="16" t="n">
        <f aca="false">R7</f>
        <v>0.11</v>
      </c>
      <c r="F448" s="16" t="n">
        <f aca="false">S7</f>
        <v>0.035</v>
      </c>
    </row>
    <row r="449" customFormat="false" ht="12.8" hidden="false" customHeight="false" outlineLevel="0" collapsed="false">
      <c r="A449" s="7" t="str">
        <f aca="false">_xlfn.CONCAT($A$442, ".", A8)</f>
        <v>AR.3.5</v>
      </c>
      <c r="B449" s="7" t="str">
        <f aca="false">_xlfn.CONCAT(B8, ": ", C8)</f>
        <v>Hospitality: Worker</v>
      </c>
      <c r="C449" s="16" t="n">
        <f aca="false">P8</f>
        <v>0.04</v>
      </c>
      <c r="D449" s="16" t="n">
        <f aca="false">Q8</f>
        <v>0.07</v>
      </c>
      <c r="E449" s="16" t="n">
        <f aca="false">R8</f>
        <v>0.13</v>
      </c>
      <c r="F449" s="16" t="n">
        <f aca="false">S8</f>
        <v>0.04</v>
      </c>
    </row>
    <row r="450" customFormat="false" ht="12.8" hidden="false" customHeight="false" outlineLevel="0" collapsed="false">
      <c r="A450" s="7" t="str">
        <f aca="false">_xlfn.CONCAT($A$442, ".", A9)</f>
        <v>AR.3.6</v>
      </c>
      <c r="B450" s="7" t="str">
        <f aca="false">_xlfn.CONCAT(B9, ": ", C9)</f>
        <v>Hospitality: Support</v>
      </c>
      <c r="C450" s="16" t="n">
        <f aca="false">P9</f>
        <v>0.04</v>
      </c>
      <c r="D450" s="16" t="n">
        <f aca="false">Q9</f>
        <v>0.07</v>
      </c>
      <c r="E450" s="16" t="n">
        <f aca="false">R9</f>
        <v>0.13</v>
      </c>
      <c r="F450" s="16" t="n">
        <f aca="false">S9</f>
        <v>0.04</v>
      </c>
    </row>
    <row r="451" customFormat="false" ht="12.8" hidden="false" customHeight="false" outlineLevel="0" collapsed="false">
      <c r="A451" s="7" t="str">
        <f aca="false">_xlfn.CONCAT($A$442, ".", A10)</f>
        <v>AR.3.7</v>
      </c>
      <c r="B451" s="7" t="str">
        <f aca="false">_xlfn.CONCAT(B10, ": ", C10)</f>
        <v>Cleaning &amp; Maintenance: Worker</v>
      </c>
      <c r="C451" s="16" t="n">
        <f aca="false">P10</f>
        <v>0.045</v>
      </c>
      <c r="D451" s="16" t="n">
        <f aca="false">Q10</f>
        <v>0.08</v>
      </c>
      <c r="E451" s="16" t="n">
        <f aca="false">R10</f>
        <v>0.14</v>
      </c>
      <c r="F451" s="16" t="n">
        <f aca="false">S10</f>
        <v>0.045</v>
      </c>
    </row>
    <row r="452" customFormat="false" ht="12.8" hidden="false" customHeight="false" outlineLevel="0" collapsed="false">
      <c r="A452" s="7" t="str">
        <f aca="false">_xlfn.CONCAT($A$442, ".", A11)</f>
        <v>AR.3.8</v>
      </c>
      <c r="B452" s="7" t="str">
        <f aca="false">_xlfn.CONCAT(B11, ": ", C11)</f>
        <v>Cleaning &amp; Maintenance: Support</v>
      </c>
      <c r="C452" s="16" t="n">
        <f aca="false">P11</f>
        <v>0.045</v>
      </c>
      <c r="D452" s="16" t="n">
        <f aca="false">Q11</f>
        <v>0.08</v>
      </c>
      <c r="E452" s="16" t="n">
        <f aca="false">R11</f>
        <v>0.14</v>
      </c>
      <c r="F452" s="16" t="n">
        <f aca="false">S11</f>
        <v>0.045</v>
      </c>
    </row>
    <row r="453" customFormat="false" ht="12.8" hidden="false" customHeight="false" outlineLevel="0" collapsed="false">
      <c r="A453" s="7" t="str">
        <f aca="false">_xlfn.CONCAT($A$442, ".", A12)</f>
        <v>AR.3.9</v>
      </c>
      <c r="B453" s="7" t="str">
        <f aca="false">_xlfn.CONCAT(B12, ": ", C12)</f>
        <v>Manufacturing: Worker</v>
      </c>
      <c r="C453" s="16" t="n">
        <f aca="false">P12</f>
        <v>0.025</v>
      </c>
      <c r="D453" s="16" t="n">
        <f aca="false">Q12</f>
        <v>0.045</v>
      </c>
      <c r="E453" s="16" t="n">
        <f aca="false">R12</f>
        <v>0.08</v>
      </c>
      <c r="F453" s="16" t="n">
        <f aca="false">S12</f>
        <v>0.025</v>
      </c>
    </row>
    <row r="454" customFormat="false" ht="12.8" hidden="false" customHeight="false" outlineLevel="0" collapsed="false">
      <c r="A454" s="7" t="str">
        <f aca="false">_xlfn.CONCAT($A$442, ".", A13)</f>
        <v>AR.3.10</v>
      </c>
      <c r="B454" s="7" t="str">
        <f aca="false">_xlfn.CONCAT(B13, ": ", C13)</f>
        <v>Manufacturing: Support</v>
      </c>
      <c r="C454" s="16" t="n">
        <f aca="false">P13</f>
        <v>0.025</v>
      </c>
      <c r="D454" s="16" t="n">
        <f aca="false">Q13</f>
        <v>0.045</v>
      </c>
      <c r="E454" s="16" t="n">
        <f aca="false">R13</f>
        <v>0.08</v>
      </c>
      <c r="F454" s="16" t="n">
        <f aca="false">S13</f>
        <v>0.025</v>
      </c>
    </row>
    <row r="455" customFormat="false" ht="12.8" hidden="false" customHeight="false" outlineLevel="0" collapsed="false">
      <c r="A455" s="7" t="str">
        <f aca="false">_xlfn.CONCAT($A$442, ".", A14)</f>
        <v>AR.3.11</v>
      </c>
      <c r="B455" s="7" t="str">
        <f aca="false">_xlfn.CONCAT(B14, ": ", C14)</f>
        <v>Transportation &amp; Warehousing: Worker</v>
      </c>
      <c r="C455" s="16" t="n">
        <f aca="false">P14</f>
        <v>0.03</v>
      </c>
      <c r="D455" s="16" t="n">
        <f aca="false">Q14</f>
        <v>0.055</v>
      </c>
      <c r="E455" s="16" t="n">
        <f aca="false">R14</f>
        <v>0.09</v>
      </c>
      <c r="F455" s="16" t="n">
        <f aca="false">S14</f>
        <v>0.03</v>
      </c>
    </row>
    <row r="456" customFormat="false" ht="12.8" hidden="false" customHeight="false" outlineLevel="0" collapsed="false">
      <c r="A456" s="7" t="str">
        <f aca="false">_xlfn.CONCAT($A$442, ".", A15)</f>
        <v>AR.3.12</v>
      </c>
      <c r="B456" s="7" t="str">
        <f aca="false">_xlfn.CONCAT(B15, ": ", C15)</f>
        <v>Transportation &amp; Warehousing: Support</v>
      </c>
      <c r="C456" s="16" t="n">
        <f aca="false">P15</f>
        <v>0.03</v>
      </c>
      <c r="D456" s="16" t="n">
        <f aca="false">Q15</f>
        <v>0.055</v>
      </c>
      <c r="E456" s="16" t="n">
        <f aca="false">R15</f>
        <v>0.09</v>
      </c>
      <c r="F456" s="16" t="n">
        <f aca="false">S15</f>
        <v>0.03</v>
      </c>
    </row>
    <row r="457" customFormat="false" ht="12.8" hidden="false" customHeight="false" outlineLevel="0" collapsed="false">
      <c r="A457" s="7" t="str">
        <f aca="false">_xlfn.CONCAT($A$442, ".", A16)</f>
        <v>AR.3.13</v>
      </c>
      <c r="B457" s="7" t="str">
        <f aca="false">_xlfn.CONCAT(B16, ": ", C16)</f>
        <v>Retail Trade: Worker</v>
      </c>
      <c r="C457" s="16" t="n">
        <f aca="false">P16</f>
        <v>0.04</v>
      </c>
      <c r="D457" s="16" t="n">
        <f aca="false">Q16</f>
        <v>0.07</v>
      </c>
      <c r="E457" s="16" t="n">
        <f aca="false">R16</f>
        <v>0.12</v>
      </c>
      <c r="F457" s="16" t="n">
        <f aca="false">S16</f>
        <v>0.04</v>
      </c>
    </row>
    <row r="458" customFormat="false" ht="12.8" hidden="false" customHeight="false" outlineLevel="0" collapsed="false">
      <c r="A458" s="7" t="str">
        <f aca="false">_xlfn.CONCAT($A$442, ".", A17)</f>
        <v>AR.3.14</v>
      </c>
      <c r="B458" s="7" t="str">
        <f aca="false">_xlfn.CONCAT(B17, ": ", C17)</f>
        <v>Retail Trade: Support</v>
      </c>
      <c r="C458" s="16" t="n">
        <f aca="false">P17</f>
        <v>0.04</v>
      </c>
      <c r="D458" s="16" t="n">
        <f aca="false">Q17</f>
        <v>0.07</v>
      </c>
      <c r="E458" s="16" t="n">
        <f aca="false">R17</f>
        <v>0.12</v>
      </c>
      <c r="F458" s="16" t="n">
        <f aca="false">S17</f>
        <v>0.04</v>
      </c>
    </row>
    <row r="459" customFormat="false" ht="12.8" hidden="false" customHeight="false" outlineLevel="0" collapsed="false">
      <c r="A459" s="7" t="str">
        <f aca="false">_xlfn.CONCAT($A$442, ".", A18)</f>
        <v>AR.3.15</v>
      </c>
      <c r="B459" s="7" t="str">
        <f aca="false">_xlfn.CONCAT(B18, ": ", C18)</f>
        <v>Landscaping / Groundskeeping: Worker</v>
      </c>
      <c r="C459" s="16" t="n">
        <f aca="false">P18</f>
        <v>0.05</v>
      </c>
      <c r="D459" s="16" t="n">
        <f aca="false">Q18</f>
        <v>0.07</v>
      </c>
      <c r="E459" s="16" t="n">
        <f aca="false">R18</f>
        <v>0.12</v>
      </c>
      <c r="F459" s="16" t="n">
        <f aca="false">S18</f>
        <v>0.05</v>
      </c>
    </row>
    <row r="460" customFormat="false" ht="12.8" hidden="false" customHeight="false" outlineLevel="0" collapsed="false">
      <c r="A460" s="7" t="str">
        <f aca="false">_xlfn.CONCAT($A$442, ".", A19)</f>
        <v>AR.3.16</v>
      </c>
      <c r="B460" s="7" t="str">
        <f aca="false">_xlfn.CONCAT(B19, ": ", C19)</f>
        <v>Landscaping / Groundskeeping: Support</v>
      </c>
      <c r="C460" s="16" t="n">
        <f aca="false">P19</f>
        <v>0.05</v>
      </c>
      <c r="D460" s="16" t="n">
        <f aca="false">Q19</f>
        <v>0.07</v>
      </c>
      <c r="E460" s="16" t="n">
        <f aca="false">R19</f>
        <v>0.12</v>
      </c>
      <c r="F460" s="16" t="n">
        <f aca="false">S19</f>
        <v>0.05</v>
      </c>
    </row>
    <row r="461" customFormat="false" ht="12.8" hidden="false" customHeight="false" outlineLevel="0" collapsed="false">
      <c r="A461" s="7" t="str">
        <f aca="false">_xlfn.CONCAT($A$442, ".", A20)</f>
        <v>AR.3.17</v>
      </c>
      <c r="B461" s="7" t="str">
        <f aca="false">_xlfn.CONCAT(B20, ": ", C20)</f>
        <v>Automotive &amp; Repair: Worker</v>
      </c>
      <c r="C461" s="16" t="n">
        <f aca="false">P20</f>
        <v>0.03</v>
      </c>
      <c r="D461" s="16" t="n">
        <f aca="false">Q20</f>
        <v>0.055</v>
      </c>
      <c r="E461" s="16" t="n">
        <f aca="false">R20</f>
        <v>0.09</v>
      </c>
      <c r="F461" s="16" t="n">
        <f aca="false">S20</f>
        <v>0.03</v>
      </c>
    </row>
    <row r="462" customFormat="false" ht="12.8" hidden="false" customHeight="false" outlineLevel="0" collapsed="false">
      <c r="A462" s="7" t="str">
        <f aca="false">_xlfn.CONCAT($A$442, ".", A21)</f>
        <v>AR.3.18</v>
      </c>
      <c r="B462" s="7" t="str">
        <f aca="false">_xlfn.CONCAT(B21, ": ", C21)</f>
        <v>Automotive &amp; Repair: Support</v>
      </c>
      <c r="C462" s="16" t="n">
        <f aca="false">P21</f>
        <v>0.03</v>
      </c>
      <c r="D462" s="16" t="n">
        <f aca="false">Q21</f>
        <v>0.055</v>
      </c>
      <c r="E462" s="16" t="n">
        <f aca="false">R21</f>
        <v>0.09</v>
      </c>
      <c r="F462" s="16" t="n">
        <f aca="false">S21</f>
        <v>0.03</v>
      </c>
    </row>
    <row r="463" customFormat="false" ht="12.8" hidden="false" customHeight="false" outlineLevel="0" collapsed="false">
      <c r="A463" s="7" t="str">
        <f aca="false">_xlfn.CONCAT($A$442, ".", A22)</f>
        <v>AR.3.19</v>
      </c>
      <c r="B463" s="7" t="str">
        <f aca="false">_xlfn.CONCAT(B22, ": ", C22)</f>
        <v>Healthcare &amp; Social Assistance: Worker</v>
      </c>
      <c r="C463" s="16" t="n">
        <f aca="false">P22</f>
        <v>0.025</v>
      </c>
      <c r="D463" s="16" t="n">
        <f aca="false">Q22</f>
        <v>0.045</v>
      </c>
      <c r="E463" s="16" t="n">
        <f aca="false">R22</f>
        <v>0.08</v>
      </c>
      <c r="F463" s="16" t="n">
        <f aca="false">S22</f>
        <v>0.025</v>
      </c>
    </row>
    <row r="464" customFormat="false" ht="12.8" hidden="false" customHeight="false" outlineLevel="0" collapsed="false">
      <c r="A464" s="7" t="str">
        <f aca="false">_xlfn.CONCAT($A$442, ".", A23)</f>
        <v>AR.3.20</v>
      </c>
      <c r="B464" s="7" t="str">
        <f aca="false">_xlfn.CONCAT(B23, ": ", C23)</f>
        <v>Healthcare &amp; Social Assistance: Support</v>
      </c>
      <c r="C464" s="16" t="n">
        <f aca="false">P23</f>
        <v>0.025</v>
      </c>
      <c r="D464" s="16" t="n">
        <f aca="false">Q23</f>
        <v>0.045</v>
      </c>
      <c r="E464" s="16" t="n">
        <f aca="false">R23</f>
        <v>0.08</v>
      </c>
      <c r="F464" s="16" t="n">
        <f aca="false">S23</f>
        <v>0.025</v>
      </c>
    </row>
    <row r="465" customFormat="false" ht="12.8" hidden="false" customHeight="false" outlineLevel="0" collapsed="false">
      <c r="A465" s="7" t="str">
        <f aca="false">_xlfn.CONCAT($A$442, ".", A24)</f>
        <v>AR.3.21</v>
      </c>
      <c r="B465" s="7" t="str">
        <f aca="false">_xlfn.CONCAT(B24, ": ", C24)</f>
        <v>Professional Services: Worker</v>
      </c>
      <c r="C465" s="16" t="n">
        <f aca="false">P24</f>
        <v>0.03</v>
      </c>
      <c r="D465" s="16" t="n">
        <f aca="false">Q24</f>
        <v>0.05</v>
      </c>
      <c r="E465" s="16" t="n">
        <f aca="false">R24</f>
        <v>0.09</v>
      </c>
      <c r="F465" s="16" t="n">
        <f aca="false">S24</f>
        <v>0.03</v>
      </c>
    </row>
    <row r="466" customFormat="false" ht="12.8" hidden="false" customHeight="false" outlineLevel="0" collapsed="false">
      <c r="A466" s="7" t="str">
        <f aca="false">_xlfn.CONCAT($A$442, ".", A25)</f>
        <v>AR.3.22</v>
      </c>
      <c r="B466" s="7" t="str">
        <f aca="false">_xlfn.CONCAT(B25, ": ", C25)</f>
        <v>Professional Services: Support</v>
      </c>
      <c r="C466" s="16" t="n">
        <f aca="false">P25</f>
        <v>0.03</v>
      </c>
      <c r="D466" s="16" t="n">
        <f aca="false">Q25</f>
        <v>0.05</v>
      </c>
      <c r="E466" s="16" t="n">
        <f aca="false">R25</f>
        <v>0.09</v>
      </c>
      <c r="F466" s="16" t="n">
        <f aca="false">S25</f>
        <v>0.03</v>
      </c>
    </row>
    <row r="467" customFormat="false" ht="12.8" hidden="false" customHeight="false" outlineLevel="0" collapsed="false">
      <c r="A467" s="7" t="str">
        <f aca="false">_xlfn.CONCAT($A$442, ".", A26)</f>
        <v>AR.3.23</v>
      </c>
      <c r="B467" s="7" t="str">
        <f aca="false">_xlfn.CONCAT(B26, ": ", C26)</f>
        <v>Educational Services: Worker</v>
      </c>
      <c r="C467" s="16" t="n">
        <f aca="false">P26</f>
        <v>0.025</v>
      </c>
      <c r="D467" s="16" t="n">
        <f aca="false">Q26</f>
        <v>0.045</v>
      </c>
      <c r="E467" s="16" t="n">
        <f aca="false">R26</f>
        <v>0.08</v>
      </c>
      <c r="F467" s="16" t="n">
        <f aca="false">S26</f>
        <v>0.025</v>
      </c>
    </row>
    <row r="468" customFormat="false" ht="12.8" hidden="false" customHeight="false" outlineLevel="0" collapsed="false">
      <c r="A468" s="7" t="str">
        <f aca="false">_xlfn.CONCAT($A$442, ".", A27)</f>
        <v>AR.3.24</v>
      </c>
      <c r="B468" s="7" t="str">
        <f aca="false">_xlfn.CONCAT(B27, ": ", C27)</f>
        <v>Educational Services: Support</v>
      </c>
      <c r="C468" s="16" t="n">
        <f aca="false">P27</f>
        <v>0.025</v>
      </c>
      <c r="D468" s="16" t="n">
        <f aca="false">Q27</f>
        <v>0.045</v>
      </c>
      <c r="E468" s="16" t="n">
        <f aca="false">R27</f>
        <v>0.08</v>
      </c>
      <c r="F468" s="16" t="n">
        <f aca="false">S27</f>
        <v>0.025</v>
      </c>
    </row>
    <row r="469" customFormat="false" ht="12.8" hidden="false" customHeight="false" outlineLevel="0" collapsed="false">
      <c r="A469" s="7" t="str">
        <f aca="false">_xlfn.CONCAT($A$442, ".", A28)</f>
        <v>AR.3.25</v>
      </c>
      <c r="B469" s="7" t="str">
        <f aca="false">_xlfn.CONCAT(B28, ": ", C28)</f>
        <v>Finance &amp; Insurance: Worker</v>
      </c>
      <c r="C469" s="16" t="n">
        <f aca="false">P28</f>
        <v>0.03</v>
      </c>
      <c r="D469" s="16" t="n">
        <f aca="false">Q28</f>
        <v>0.05</v>
      </c>
      <c r="E469" s="16" t="n">
        <f aca="false">R28</f>
        <v>0.09</v>
      </c>
      <c r="F469" s="16" t="n">
        <f aca="false">S28</f>
        <v>0.03</v>
      </c>
    </row>
    <row r="470" customFormat="false" ht="12.8" hidden="false" customHeight="false" outlineLevel="0" collapsed="false">
      <c r="A470" s="7" t="str">
        <f aca="false">_xlfn.CONCAT($A$442, ".", A29)</f>
        <v>AR.3.26</v>
      </c>
      <c r="B470" s="7" t="str">
        <f aca="false">_xlfn.CONCAT(B29, ": ", C29)</f>
        <v>Finance &amp; Insurance: Support</v>
      </c>
      <c r="C470" s="16" t="n">
        <f aca="false">P29</f>
        <v>0.03</v>
      </c>
      <c r="D470" s="16" t="n">
        <f aca="false">Q29</f>
        <v>0.05</v>
      </c>
      <c r="E470" s="16" t="n">
        <f aca="false">R29</f>
        <v>0.09</v>
      </c>
      <c r="F470" s="16" t="n">
        <f aca="false">S29</f>
        <v>0.03</v>
      </c>
    </row>
    <row r="471" customFormat="false" ht="12.8" hidden="false" customHeight="false" outlineLevel="0" collapsed="false">
      <c r="A471" s="7" t="str">
        <f aca="false">_xlfn.CONCAT($A$442, ".", A30)</f>
        <v>AR.3.27</v>
      </c>
      <c r="B471" s="7" t="str">
        <f aca="false">_xlfn.CONCAT(B30, ": ", C30)</f>
        <v>Media and Information Technology: Worker</v>
      </c>
      <c r="C471" s="16" t="n">
        <f aca="false">P30</f>
        <v>0.035</v>
      </c>
      <c r="D471" s="16" t="n">
        <f aca="false">Q30</f>
        <v>0.055</v>
      </c>
      <c r="E471" s="16" t="n">
        <f aca="false">R30</f>
        <v>0.1</v>
      </c>
      <c r="F471" s="16" t="n">
        <f aca="false">S30</f>
        <v>0.035</v>
      </c>
    </row>
    <row r="472" customFormat="false" ht="12.8" hidden="false" customHeight="false" outlineLevel="0" collapsed="false">
      <c r="A472" s="7" t="str">
        <f aca="false">_xlfn.CONCAT($A$442, ".", A31)</f>
        <v>AR.3.28</v>
      </c>
      <c r="B472" s="7" t="str">
        <f aca="false">_xlfn.CONCAT(B31, ": ", C31)</f>
        <v>Media and Information Technology: Support</v>
      </c>
      <c r="C472" s="16" t="n">
        <f aca="false">P31</f>
        <v>0.035</v>
      </c>
      <c r="D472" s="16" t="n">
        <f aca="false">Q31</f>
        <v>0.055</v>
      </c>
      <c r="E472" s="16" t="n">
        <f aca="false">R31</f>
        <v>0.1</v>
      </c>
      <c r="F472" s="16" t="n">
        <f aca="false">S31</f>
        <v>0.035</v>
      </c>
    </row>
    <row r="473" customFormat="false" ht="12.8" hidden="false" customHeight="false" outlineLevel="0" collapsed="false">
      <c r="A473" s="7" t="str">
        <f aca="false">_xlfn.CONCAT($A$442, ".", A32)</f>
        <v>AR.3.29</v>
      </c>
      <c r="B473" s="7" t="str">
        <f aca="false">_xlfn.CONCAT(B32, ": ", C32)</f>
        <v>Government: Worker</v>
      </c>
      <c r="C473" s="16" t="n">
        <f aca="false">P32</f>
        <v>0.025</v>
      </c>
      <c r="D473" s="16" t="n">
        <f aca="false">Q32</f>
        <v>0.04</v>
      </c>
      <c r="E473" s="16" t="n">
        <f aca="false">R32</f>
        <v>0.06</v>
      </c>
      <c r="F473" s="16" t="n">
        <f aca="false">S32</f>
        <v>0.025</v>
      </c>
    </row>
    <row r="474" customFormat="false" ht="12.8" hidden="false" customHeight="false" outlineLevel="0" collapsed="false">
      <c r="A474" s="7" t="str">
        <f aca="false">_xlfn.CONCAT($A$442, ".", A33)</f>
        <v>AR.3.30</v>
      </c>
      <c r="B474" s="7" t="str">
        <f aca="false">_xlfn.CONCAT(B33, ": ", C33)</f>
        <v>Government: Support</v>
      </c>
      <c r="C474" s="16" t="n">
        <f aca="false">P33</f>
        <v>0.025</v>
      </c>
      <c r="D474" s="16" t="n">
        <f aca="false">Q33</f>
        <v>0.04</v>
      </c>
      <c r="E474" s="16" t="n">
        <f aca="false">R33</f>
        <v>0.06</v>
      </c>
      <c r="F474" s="16" t="n">
        <f aca="false">S33</f>
        <v>0.025</v>
      </c>
    </row>
    <row r="475" customFormat="false" ht="12.8" hidden="false" customHeight="false" outlineLevel="0" collapsed="false">
      <c r="A475" s="7" t="str">
        <f aca="false">_xlfn.CONCAT($A$442, ".", A34)</f>
        <v>AR.3.31</v>
      </c>
      <c r="B475" s="7" t="str">
        <f aca="false">_xlfn.CONCAT(B34, ": ", C34)</f>
        <v>Self-Employed / Non-Employer: Worker</v>
      </c>
      <c r="C475" s="16" t="n">
        <f aca="false">P34</f>
        <v>0.035</v>
      </c>
      <c r="D475" s="16" t="n">
        <f aca="false">Q34</f>
        <v>0.045</v>
      </c>
      <c r="E475" s="16" t="n">
        <f aca="false">R34</f>
        <v>0.06</v>
      </c>
      <c r="F475" s="16" t="n">
        <f aca="false">S34</f>
        <v>0.035</v>
      </c>
    </row>
    <row r="476" customFormat="false" ht="12.8" hidden="false" customHeight="false" outlineLevel="0" collapsed="false">
      <c r="A476" s="7" t="str">
        <f aca="false">_xlfn.CONCAT($A$442, ".", A35)</f>
        <v>AR.3.32</v>
      </c>
      <c r="B476" s="7" t="str">
        <f aca="false">_xlfn.CONCAT(B35, ": ", C35)</f>
        <v>Self-Employed / Non-Employer: Support</v>
      </c>
      <c r="C476" s="16" t="n">
        <f aca="false">P35</f>
        <v>0.035</v>
      </c>
      <c r="D476" s="16" t="n">
        <f aca="false">Q35</f>
        <v>0.045</v>
      </c>
      <c r="E476" s="16" t="n">
        <f aca="false">R35</f>
        <v>0.06</v>
      </c>
      <c r="F476" s="16" t="n">
        <f aca="false">S35</f>
        <v>0.035</v>
      </c>
    </row>
    <row r="477" customFormat="false" ht="12.8" hidden="false" customHeight="false" outlineLevel="0" collapsed="false">
      <c r="A477" s="7" t="str">
        <f aca="false">_xlfn.CONCAT($A$442, ".", A36)</f>
        <v>AR.3.33</v>
      </c>
      <c r="B477" s="7" t="str">
        <f aca="false">_xlfn.CONCAT(B36, ": ", C36)</f>
        <v>Other Services: Worker</v>
      </c>
      <c r="C477" s="16" t="n">
        <f aca="false">P36</f>
        <v>0.04</v>
      </c>
      <c r="D477" s="16" t="n">
        <f aca="false">Q36</f>
        <v>0.07</v>
      </c>
      <c r="E477" s="16" t="n">
        <f aca="false">R36</f>
        <v>0.12</v>
      </c>
      <c r="F477" s="16" t="n">
        <f aca="false">S36</f>
        <v>0.04</v>
      </c>
    </row>
    <row r="478" customFormat="false" ht="12.8" hidden="false" customHeight="false" outlineLevel="0" collapsed="false">
      <c r="A478" s="7" t="str">
        <f aca="false">_xlfn.CONCAT($A$442, ".", A37)</f>
        <v>AR.3.34</v>
      </c>
      <c r="B478" s="7" t="str">
        <f aca="false">_xlfn.CONCAT(B37, ": ", C37)</f>
        <v>Other Services: Support</v>
      </c>
      <c r="C478" s="16" t="n">
        <f aca="false">P37</f>
        <v>0.04</v>
      </c>
      <c r="D478" s="16" t="n">
        <f aca="false">Q37</f>
        <v>0.07</v>
      </c>
      <c r="E478" s="16" t="n">
        <f aca="false">R37</f>
        <v>0.12</v>
      </c>
      <c r="F478" s="16" t="n">
        <f aca="false">S37</f>
        <v>0.04</v>
      </c>
    </row>
    <row r="576" customFormat="false" ht="12.8" hidden="false" customHeight="false" outlineLevel="0" collapsed="false">
      <c r="A576" s="5" t="s">
        <v>168</v>
      </c>
      <c r="B576" s="24" t="s">
        <v>9</v>
      </c>
      <c r="C576" s="25" t="s">
        <v>148</v>
      </c>
    </row>
    <row r="577" customFormat="false" ht="46.25" hidden="false" customHeight="false" outlineLevel="0" collapsed="false">
      <c r="A577" s="5" t="s">
        <v>26</v>
      </c>
      <c r="B577" s="26" t="s">
        <v>140</v>
      </c>
      <c r="C577" s="27" t="str">
        <f aca="false">T2</f>
        <v>Underemployment Rate</v>
      </c>
      <c r="D577" s="27" t="str">
        <f aca="false">U2</f>
        <v>Authorized Immigrant Underemployment Rate</v>
      </c>
      <c r="E577" s="27" t="str">
        <f aca="false">V2</f>
        <v>Unauthorized Immigrant Underemployment Rate</v>
      </c>
      <c r="F577" s="27" t="str">
        <f aca="false">W2</f>
        <v>American Underemployment Rate</v>
      </c>
    </row>
    <row r="578" customFormat="false" ht="12.8" hidden="false" customHeight="false" outlineLevel="0" collapsed="false">
      <c r="A578" s="1" t="str">
        <f aca="false">_xlfn.CONCAT($A$576, ".", A3)</f>
        <v>AR.4.0</v>
      </c>
      <c r="B578" s="5" t="str">
        <f aca="false">_xlfn.CONCAT(B3, ": ", C3)</f>
        <v>All Industries: All Roles</v>
      </c>
      <c r="C578" s="16" t="n">
        <f aca="false">T3</f>
        <v>0.08</v>
      </c>
      <c r="D578" s="16" t="n">
        <f aca="false">U3</f>
        <v>0.092</v>
      </c>
      <c r="E578" s="16" t="n">
        <f aca="false">V3</f>
        <v>0.105</v>
      </c>
      <c r="F578" s="16" t="n">
        <f aca="false">W3</f>
        <v>0.078</v>
      </c>
    </row>
    <row r="579" customFormat="false" ht="12.8" hidden="false" customHeight="false" outlineLevel="0" collapsed="false">
      <c r="A579" s="1" t="str">
        <f aca="false">_xlfn.CONCAT($A$576, ".", A4)</f>
        <v>AR.4.1</v>
      </c>
      <c r="B579" s="7" t="str">
        <f aca="false">_xlfn.CONCAT(B4, ": ", C4)</f>
        <v>Agriculture: Worker</v>
      </c>
      <c r="C579" s="16" t="n">
        <f aca="false">T4</f>
        <v>0.099</v>
      </c>
      <c r="D579" s="16" t="n">
        <f aca="false">U4</f>
        <v>0.115</v>
      </c>
      <c r="E579" s="16" t="n">
        <f aca="false">V4</f>
        <v>0.131</v>
      </c>
      <c r="F579" s="16" t="n">
        <f aca="false">W4</f>
        <v>0.097</v>
      </c>
    </row>
    <row r="580" customFormat="false" ht="12.8" hidden="false" customHeight="false" outlineLevel="0" collapsed="false">
      <c r="A580" s="1" t="str">
        <f aca="false">_xlfn.CONCAT($A$576, ".", A5)</f>
        <v>AR.4.2</v>
      </c>
      <c r="B580" s="7" t="str">
        <f aca="false">_xlfn.CONCAT(B5, ": ", C5)</f>
        <v>Agriculture: Support</v>
      </c>
      <c r="C580" s="16" t="n">
        <f aca="false">T5</f>
        <v>0.109</v>
      </c>
      <c r="D580" s="16" t="n">
        <f aca="false">U5</f>
        <v>0.126</v>
      </c>
      <c r="E580" s="16" t="n">
        <f aca="false">V5</f>
        <v>0.144</v>
      </c>
      <c r="F580" s="16" t="n">
        <f aca="false">W5</f>
        <v>0.107</v>
      </c>
    </row>
    <row r="581" customFormat="false" ht="12.8" hidden="false" customHeight="false" outlineLevel="0" collapsed="false">
      <c r="A581" s="1" t="str">
        <f aca="false">_xlfn.CONCAT($A$576, ".", A6)</f>
        <v>AR.4.3</v>
      </c>
      <c r="B581" s="7" t="str">
        <f aca="false">_xlfn.CONCAT(B6, ": ", C6)</f>
        <v>Construction: Worker</v>
      </c>
      <c r="C581" s="16" t="n">
        <f aca="false">T6</f>
        <v>0.091</v>
      </c>
      <c r="D581" s="16" t="n">
        <f aca="false">U6</f>
        <v>0.105</v>
      </c>
      <c r="E581" s="16" t="n">
        <f aca="false">V6</f>
        <v>0.12</v>
      </c>
      <c r="F581" s="16" t="n">
        <f aca="false">W6</f>
        <v>0.089</v>
      </c>
    </row>
    <row r="582" customFormat="false" ht="12.8" hidden="false" customHeight="false" outlineLevel="0" collapsed="false">
      <c r="A582" s="1" t="str">
        <f aca="false">_xlfn.CONCAT($A$576, ".", A7)</f>
        <v>AR.4.4</v>
      </c>
      <c r="B582" s="7" t="str">
        <f aca="false">_xlfn.CONCAT(B7, ": ", C7)</f>
        <v>Construction: Support</v>
      </c>
      <c r="C582" s="16" t="n">
        <f aca="false">T7</f>
        <v>0.1</v>
      </c>
      <c r="D582" s="16" t="n">
        <f aca="false">U7</f>
        <v>0.115</v>
      </c>
      <c r="E582" s="16" t="n">
        <f aca="false">V7</f>
        <v>0.132</v>
      </c>
      <c r="F582" s="16" t="n">
        <f aca="false">W7</f>
        <v>0.098</v>
      </c>
    </row>
    <row r="583" customFormat="false" ht="12.8" hidden="false" customHeight="false" outlineLevel="0" collapsed="false">
      <c r="A583" s="1" t="str">
        <f aca="false">_xlfn.CONCAT($A$576, ".", A8)</f>
        <v>AR.4.5</v>
      </c>
      <c r="B583" s="7" t="str">
        <f aca="false">_xlfn.CONCAT(B8, ": ", C8)</f>
        <v>Hospitality: Worker</v>
      </c>
      <c r="C583" s="16" t="n">
        <f aca="false">T8</f>
        <v>0.103</v>
      </c>
      <c r="D583" s="16" t="n">
        <f aca="false">U8</f>
        <v>0.119</v>
      </c>
      <c r="E583" s="16" t="n">
        <f aca="false">V8</f>
        <v>0.136</v>
      </c>
      <c r="F583" s="16" t="n">
        <f aca="false">W8</f>
        <v>0.1</v>
      </c>
    </row>
    <row r="584" customFormat="false" ht="12.8" hidden="false" customHeight="false" outlineLevel="0" collapsed="false">
      <c r="A584" s="1" t="str">
        <f aca="false">_xlfn.CONCAT($A$576, ".", A9)</f>
        <v>AR.4.6</v>
      </c>
      <c r="B584" s="7" t="str">
        <f aca="false">_xlfn.CONCAT(B9, ": ", C9)</f>
        <v>Hospitality: Support</v>
      </c>
      <c r="C584" s="16" t="n">
        <f aca="false">T9</f>
        <v>0.113</v>
      </c>
      <c r="D584" s="16" t="n">
        <f aca="false">U9</f>
        <v>0.131</v>
      </c>
      <c r="E584" s="16" t="n">
        <f aca="false">V9</f>
        <v>0.15</v>
      </c>
      <c r="F584" s="16" t="n">
        <f aca="false">W9</f>
        <v>0.11</v>
      </c>
    </row>
    <row r="585" customFormat="false" ht="12.8" hidden="false" customHeight="false" outlineLevel="0" collapsed="false">
      <c r="A585" s="1" t="str">
        <f aca="false">_xlfn.CONCAT($A$576, ".", A10)</f>
        <v>AR.4.7</v>
      </c>
      <c r="B585" s="7" t="str">
        <f aca="false">_xlfn.CONCAT(B10, ": ", C10)</f>
        <v>Cleaning &amp; Maintenance: Worker</v>
      </c>
      <c r="C585" s="16" t="n">
        <f aca="false">T10</f>
        <v>0.107</v>
      </c>
      <c r="D585" s="16" t="n">
        <f aca="false">U10</f>
        <v>0.124</v>
      </c>
      <c r="E585" s="16" t="n">
        <f aca="false">V10</f>
        <v>0.142</v>
      </c>
      <c r="F585" s="16" t="n">
        <f aca="false">W10</f>
        <v>0.105</v>
      </c>
    </row>
    <row r="586" customFormat="false" ht="12.8" hidden="false" customHeight="false" outlineLevel="0" collapsed="false">
      <c r="A586" s="1" t="str">
        <f aca="false">_xlfn.CONCAT($A$576, ".", A11)</f>
        <v>AR.4.8</v>
      </c>
      <c r="B586" s="7" t="str">
        <f aca="false">_xlfn.CONCAT(B11, ": ", C11)</f>
        <v>Cleaning &amp; Maintenance: Support</v>
      </c>
      <c r="C586" s="16" t="n">
        <f aca="false">T11</f>
        <v>0.118</v>
      </c>
      <c r="D586" s="16" t="n">
        <f aca="false">U11</f>
        <v>0.137</v>
      </c>
      <c r="E586" s="16" t="n">
        <f aca="false">V11</f>
        <v>0.156</v>
      </c>
      <c r="F586" s="16" t="n">
        <f aca="false">W11</f>
        <v>0.115</v>
      </c>
    </row>
    <row r="587" customFormat="false" ht="12.8" hidden="false" customHeight="false" outlineLevel="0" collapsed="false">
      <c r="A587" s="1" t="str">
        <f aca="false">_xlfn.CONCAT($A$576, ".", A12)</f>
        <v>AR.4.9</v>
      </c>
      <c r="B587" s="7" t="str">
        <f aca="false">_xlfn.CONCAT(B12, ": ", C12)</f>
        <v>Manufacturing: Worker</v>
      </c>
      <c r="C587" s="16" t="n">
        <f aca="false">T12</f>
        <v>0.071</v>
      </c>
      <c r="D587" s="16" t="n">
        <f aca="false">U12</f>
        <v>0.082</v>
      </c>
      <c r="E587" s="16" t="n">
        <f aca="false">V12</f>
        <v>0.094</v>
      </c>
      <c r="F587" s="16" t="n">
        <f aca="false">W12</f>
        <v>0.069</v>
      </c>
    </row>
    <row r="588" customFormat="false" ht="12.8" hidden="false" customHeight="false" outlineLevel="0" collapsed="false">
      <c r="A588" s="1" t="str">
        <f aca="false">_xlfn.CONCAT($A$576, ".", A13)</f>
        <v>AR.4.10</v>
      </c>
      <c r="B588" s="7" t="str">
        <f aca="false">_xlfn.CONCAT(B13, ": ", C13)</f>
        <v>Manufacturing: Support</v>
      </c>
      <c r="C588" s="16" t="n">
        <f aca="false">T13</f>
        <v>0.078</v>
      </c>
      <c r="D588" s="16" t="n">
        <f aca="false">U13</f>
        <v>0.09</v>
      </c>
      <c r="E588" s="16" t="n">
        <f aca="false">V13</f>
        <v>0.103</v>
      </c>
      <c r="F588" s="16" t="n">
        <f aca="false">W13</f>
        <v>0.076</v>
      </c>
    </row>
    <row r="589" customFormat="false" ht="12.8" hidden="false" customHeight="false" outlineLevel="0" collapsed="false">
      <c r="A589" s="1" t="str">
        <f aca="false">_xlfn.CONCAT($A$576, ".", A14)</f>
        <v>AR.4.11</v>
      </c>
      <c r="B589" s="7" t="str">
        <f aca="false">_xlfn.CONCAT(B14, ": ", C14)</f>
        <v>Transportation &amp; Warehousing: Worker</v>
      </c>
      <c r="C589" s="16" t="n">
        <f aca="false">T14</f>
        <v>0.079</v>
      </c>
      <c r="D589" s="16" t="n">
        <f aca="false">U14</f>
        <v>0.092</v>
      </c>
      <c r="E589" s="16" t="n">
        <f aca="false">V14</f>
        <v>0.105</v>
      </c>
      <c r="F589" s="16" t="n">
        <f aca="false">W14</f>
        <v>0.077</v>
      </c>
    </row>
    <row r="590" customFormat="false" ht="12.8" hidden="false" customHeight="false" outlineLevel="0" collapsed="false">
      <c r="A590" s="1" t="str">
        <f aca="false">_xlfn.CONCAT($A$576, ".", A15)</f>
        <v>AR.4.12</v>
      </c>
      <c r="B590" s="7" t="str">
        <f aca="false">_xlfn.CONCAT(B15, ": ", C15)</f>
        <v>Transportation &amp; Warehousing: Support</v>
      </c>
      <c r="C590" s="16" t="n">
        <f aca="false">T15</f>
        <v>0.087</v>
      </c>
      <c r="D590" s="16" t="n">
        <f aca="false">U15</f>
        <v>0.101</v>
      </c>
      <c r="E590" s="16" t="n">
        <f aca="false">V15</f>
        <v>0.115</v>
      </c>
      <c r="F590" s="16" t="n">
        <f aca="false">W15</f>
        <v>0.085</v>
      </c>
    </row>
    <row r="591" customFormat="false" ht="12.8" hidden="false" customHeight="false" outlineLevel="0" collapsed="false">
      <c r="A591" s="1" t="str">
        <f aca="false">_xlfn.CONCAT($A$576, ".", A16)</f>
        <v>AR.4.13</v>
      </c>
      <c r="B591" s="7" t="str">
        <f aca="false">_xlfn.CONCAT(B16, ": ", C16)</f>
        <v>Retail Trade: Worker</v>
      </c>
      <c r="C591" s="16" t="n">
        <f aca="false">T16</f>
        <v>0.095</v>
      </c>
      <c r="D591" s="16" t="n">
        <f aca="false">U16</f>
        <v>0.11</v>
      </c>
      <c r="E591" s="16" t="n">
        <f aca="false">V16</f>
        <v>0.126</v>
      </c>
      <c r="F591" s="16" t="n">
        <f aca="false">W16</f>
        <v>0.093</v>
      </c>
    </row>
    <row r="592" customFormat="false" ht="12.8" hidden="false" customHeight="false" outlineLevel="0" collapsed="false">
      <c r="A592" s="1" t="str">
        <f aca="false">_xlfn.CONCAT($A$576, ".", A17)</f>
        <v>AR.4.14</v>
      </c>
      <c r="B592" s="7" t="str">
        <f aca="false">_xlfn.CONCAT(B17, ": ", C17)</f>
        <v>Retail Trade: Support</v>
      </c>
      <c r="C592" s="16" t="n">
        <f aca="false">T17</f>
        <v>0.105</v>
      </c>
      <c r="D592" s="16" t="n">
        <f aca="false">U17</f>
        <v>0.121</v>
      </c>
      <c r="E592" s="16" t="n">
        <f aca="false">V17</f>
        <v>0.138</v>
      </c>
      <c r="F592" s="16" t="n">
        <f aca="false">W17</f>
        <v>0.102</v>
      </c>
    </row>
    <row r="593" customFormat="false" ht="12.8" hidden="false" customHeight="false" outlineLevel="0" collapsed="false">
      <c r="A593" s="1" t="str">
        <f aca="false">_xlfn.CONCAT($A$576, ".", A18)</f>
        <v>AR.4.15</v>
      </c>
      <c r="B593" s="7" t="str">
        <f aca="false">_xlfn.CONCAT(B18, ": ", C18)</f>
        <v>Landscaping / Groundskeeping: Worker</v>
      </c>
      <c r="C593" s="16" t="n">
        <f aca="false">T18</f>
        <v>0.099</v>
      </c>
      <c r="D593" s="16" t="n">
        <f aca="false">U18</f>
        <v>0.115</v>
      </c>
      <c r="E593" s="16" t="n">
        <f aca="false">V18</f>
        <v>0.131</v>
      </c>
      <c r="F593" s="16" t="n">
        <f aca="false">W18</f>
        <v>0.097</v>
      </c>
    </row>
    <row r="594" customFormat="false" ht="12.8" hidden="false" customHeight="false" outlineLevel="0" collapsed="false">
      <c r="A594" s="1" t="str">
        <f aca="false">_xlfn.CONCAT($A$576, ".", A19)</f>
        <v>AR.4.16</v>
      </c>
      <c r="B594" s="7" t="str">
        <f aca="false">_xlfn.CONCAT(B19, ": ", C19)</f>
        <v>Landscaping / Groundskeeping: Support</v>
      </c>
      <c r="C594" s="16" t="n">
        <f aca="false">T19</f>
        <v>0.109</v>
      </c>
      <c r="D594" s="16" t="n">
        <f aca="false">U19</f>
        <v>0.126</v>
      </c>
      <c r="E594" s="16" t="n">
        <f aca="false">V19</f>
        <v>0.144</v>
      </c>
      <c r="F594" s="16" t="n">
        <f aca="false">W19</f>
        <v>0.107</v>
      </c>
    </row>
    <row r="595" customFormat="false" ht="12.8" hidden="false" customHeight="false" outlineLevel="0" collapsed="false">
      <c r="A595" s="1" t="str">
        <f aca="false">_xlfn.CONCAT($A$576, ".", A20)</f>
        <v>AR.4.17</v>
      </c>
      <c r="B595" s="7" t="str">
        <f aca="false">_xlfn.CONCAT(B20, ": ", C20)</f>
        <v>Automotive &amp; Repair: Worker</v>
      </c>
      <c r="C595" s="16" t="n">
        <f aca="false">T20</f>
        <v>0.079</v>
      </c>
      <c r="D595" s="16" t="n">
        <f aca="false">U20</f>
        <v>0.092</v>
      </c>
      <c r="E595" s="16" t="n">
        <f aca="false">V20</f>
        <v>0.105</v>
      </c>
      <c r="F595" s="16" t="n">
        <f aca="false">W20</f>
        <v>0.077</v>
      </c>
    </row>
    <row r="596" customFormat="false" ht="12.8" hidden="false" customHeight="false" outlineLevel="0" collapsed="false">
      <c r="A596" s="1" t="str">
        <f aca="false">_xlfn.CONCAT($A$576, ".", A21)</f>
        <v>AR.4.18</v>
      </c>
      <c r="B596" s="7" t="str">
        <f aca="false">_xlfn.CONCAT(B21, ": ", C21)</f>
        <v>Automotive &amp; Repair: Support</v>
      </c>
      <c r="C596" s="16" t="n">
        <f aca="false">T21</f>
        <v>0.087</v>
      </c>
      <c r="D596" s="16" t="n">
        <f aca="false">U21</f>
        <v>0.101</v>
      </c>
      <c r="E596" s="16" t="n">
        <f aca="false">V21</f>
        <v>0.115</v>
      </c>
      <c r="F596" s="16" t="n">
        <f aca="false">W21</f>
        <v>0.085</v>
      </c>
    </row>
    <row r="597" customFormat="false" ht="12.8" hidden="false" customHeight="false" outlineLevel="0" collapsed="false">
      <c r="A597" s="1" t="str">
        <f aca="false">_xlfn.CONCAT($A$576, ".", A22)</f>
        <v>AR.4.19</v>
      </c>
      <c r="B597" s="7" t="str">
        <f aca="false">_xlfn.CONCAT(B22, ": ", C22)</f>
        <v>Healthcare &amp; Social Assistance: Worker</v>
      </c>
      <c r="C597" s="16" t="n">
        <f aca="false">T22</f>
        <v>0.063</v>
      </c>
      <c r="D597" s="16" t="n">
        <f aca="false">U22</f>
        <v>0.073</v>
      </c>
      <c r="E597" s="16" t="n">
        <f aca="false">V22</f>
        <v>0.083</v>
      </c>
      <c r="F597" s="16" t="n">
        <f aca="false">W22</f>
        <v>0.061</v>
      </c>
    </row>
    <row r="598" customFormat="false" ht="12.8" hidden="false" customHeight="false" outlineLevel="0" collapsed="false">
      <c r="A598" s="1" t="str">
        <f aca="false">_xlfn.CONCAT($A$576, ".", A23)</f>
        <v>AR.4.20</v>
      </c>
      <c r="B598" s="7" t="str">
        <f aca="false">_xlfn.CONCAT(B23, ": ", C23)</f>
        <v>Healthcare &amp; Social Assistance: Support</v>
      </c>
      <c r="C598" s="16" t="n">
        <f aca="false">T23</f>
        <v>0.069</v>
      </c>
      <c r="D598" s="16" t="n">
        <f aca="false">U23</f>
        <v>0.08</v>
      </c>
      <c r="E598" s="16" t="n">
        <f aca="false">V23</f>
        <v>0.092</v>
      </c>
      <c r="F598" s="16" t="n">
        <f aca="false">W23</f>
        <v>0.067</v>
      </c>
    </row>
    <row r="599" customFormat="false" ht="12.8" hidden="false" customHeight="false" outlineLevel="0" collapsed="false">
      <c r="A599" s="1" t="str">
        <f aca="false">_xlfn.CONCAT($A$576, ".", A24)</f>
        <v>AR.4.21</v>
      </c>
      <c r="B599" s="7" t="str">
        <f aca="false">_xlfn.CONCAT(B24, ": ", C24)</f>
        <v>Professional Services: Worker</v>
      </c>
      <c r="C599" s="16" t="n">
        <f aca="false">T24</f>
        <v>0.055</v>
      </c>
      <c r="D599" s="16" t="n">
        <f aca="false">U24</f>
        <v>0.064</v>
      </c>
      <c r="E599" s="16" t="n">
        <f aca="false">V24</f>
        <v>0.073</v>
      </c>
      <c r="F599" s="16" t="n">
        <f aca="false">W24</f>
        <v>0.054</v>
      </c>
    </row>
    <row r="600" customFormat="false" ht="12.8" hidden="false" customHeight="false" outlineLevel="0" collapsed="false">
      <c r="A600" s="1" t="str">
        <f aca="false">_xlfn.CONCAT($A$576, ".", A25)</f>
        <v>AR.4.22</v>
      </c>
      <c r="B600" s="7" t="str">
        <f aca="false">_xlfn.CONCAT(B25, ": ", C25)</f>
        <v>Professional Services: Support</v>
      </c>
      <c r="C600" s="16" t="n">
        <f aca="false">T25</f>
        <v>0.061</v>
      </c>
      <c r="D600" s="16" t="n">
        <f aca="false">U25</f>
        <v>0.07</v>
      </c>
      <c r="E600" s="16" t="n">
        <f aca="false">V25</f>
        <v>0.08</v>
      </c>
      <c r="F600" s="16" t="n">
        <f aca="false">W25</f>
        <v>0.059</v>
      </c>
    </row>
    <row r="601" customFormat="false" ht="12.8" hidden="false" customHeight="false" outlineLevel="0" collapsed="false">
      <c r="A601" s="1" t="str">
        <f aca="false">_xlfn.CONCAT($A$576, ".", A26)</f>
        <v>AR.4.23</v>
      </c>
      <c r="B601" s="7" t="str">
        <f aca="false">_xlfn.CONCAT(B26, ": ", C26)</f>
        <v>Educational Services: Worker</v>
      </c>
      <c r="C601" s="16" t="n">
        <f aca="false">T26</f>
        <v>0.055</v>
      </c>
      <c r="D601" s="16" t="n">
        <f aca="false">U26</f>
        <v>0.064</v>
      </c>
      <c r="E601" s="16" t="n">
        <f aca="false">V26</f>
        <v>0.073</v>
      </c>
      <c r="F601" s="16" t="n">
        <f aca="false">W26</f>
        <v>0.054</v>
      </c>
    </row>
    <row r="602" customFormat="false" ht="12.8" hidden="false" customHeight="false" outlineLevel="0" collapsed="false">
      <c r="A602" s="1" t="str">
        <f aca="false">_xlfn.CONCAT($A$576, ".", A27)</f>
        <v>AR.4.24</v>
      </c>
      <c r="B602" s="7" t="str">
        <f aca="false">_xlfn.CONCAT(B27, ": ", C27)</f>
        <v>Educational Services: Support</v>
      </c>
      <c r="C602" s="16" t="n">
        <f aca="false">T27</f>
        <v>0.061</v>
      </c>
      <c r="D602" s="16" t="n">
        <f aca="false">U27</f>
        <v>0.07</v>
      </c>
      <c r="E602" s="16" t="n">
        <f aca="false">V27</f>
        <v>0.08</v>
      </c>
      <c r="F602" s="16" t="n">
        <f aca="false">W27</f>
        <v>0.059</v>
      </c>
    </row>
    <row r="603" customFormat="false" ht="12.8" hidden="false" customHeight="false" outlineLevel="0" collapsed="false">
      <c r="A603" s="1" t="str">
        <f aca="false">_xlfn.CONCAT($A$576, ".", A28)</f>
        <v>AR.4.25</v>
      </c>
      <c r="B603" s="7" t="str">
        <f aca="false">_xlfn.CONCAT(B28, ": ", C28)</f>
        <v>Finance &amp; Insurance: Worker</v>
      </c>
      <c r="C603" s="16" t="n">
        <f aca="false">T28</f>
        <v>0.055</v>
      </c>
      <c r="D603" s="16" t="n">
        <f aca="false">U28</f>
        <v>0.064</v>
      </c>
      <c r="E603" s="16" t="n">
        <f aca="false">V28</f>
        <v>0.073</v>
      </c>
      <c r="F603" s="16" t="n">
        <f aca="false">W28</f>
        <v>0.054</v>
      </c>
    </row>
    <row r="604" customFormat="false" ht="12.8" hidden="false" customHeight="false" outlineLevel="0" collapsed="false">
      <c r="A604" s="1" t="str">
        <f aca="false">_xlfn.CONCAT($A$576, ".", A29)</f>
        <v>AR.4.26</v>
      </c>
      <c r="B604" s="7" t="str">
        <f aca="false">_xlfn.CONCAT(B29, ": ", C29)</f>
        <v>Finance &amp; Insurance: Support</v>
      </c>
      <c r="C604" s="16" t="n">
        <f aca="false">T29</f>
        <v>0.061</v>
      </c>
      <c r="D604" s="16" t="n">
        <f aca="false">U29</f>
        <v>0.07</v>
      </c>
      <c r="E604" s="16" t="n">
        <f aca="false">V29</f>
        <v>0.08</v>
      </c>
      <c r="F604" s="16" t="n">
        <f aca="false">W29</f>
        <v>0.059</v>
      </c>
    </row>
    <row r="605" customFormat="false" ht="12.8" hidden="false" customHeight="false" outlineLevel="0" collapsed="false">
      <c r="A605" s="1" t="str">
        <f aca="false">_xlfn.CONCAT($A$576, ".", A30)</f>
        <v>AR.4.27</v>
      </c>
      <c r="B605" s="7" t="str">
        <f aca="false">_xlfn.CONCAT(B30, ": ", C30)</f>
        <v>Media and Information Technology: Worker</v>
      </c>
      <c r="C605" s="16" t="n">
        <f aca="false">T30</f>
        <v>0.063</v>
      </c>
      <c r="D605" s="16" t="n">
        <f aca="false">U30</f>
        <v>0.073</v>
      </c>
      <c r="E605" s="16" t="n">
        <f aca="false">V30</f>
        <v>0.083</v>
      </c>
      <c r="F605" s="16" t="n">
        <f aca="false">W30</f>
        <v>0.061</v>
      </c>
    </row>
    <row r="606" customFormat="false" ht="12.8" hidden="false" customHeight="false" outlineLevel="0" collapsed="false">
      <c r="A606" s="1" t="str">
        <f aca="false">_xlfn.CONCAT($A$576, ".", A31)</f>
        <v>AR.4.28</v>
      </c>
      <c r="B606" s="7" t="str">
        <f aca="false">_xlfn.CONCAT(B31, ": ", C31)</f>
        <v>Media and Information Technology: Support</v>
      </c>
      <c r="C606" s="16" t="n">
        <f aca="false">T31</f>
        <v>0.069</v>
      </c>
      <c r="D606" s="16" t="n">
        <f aca="false">U31</f>
        <v>0.08</v>
      </c>
      <c r="E606" s="16" t="n">
        <f aca="false">V31</f>
        <v>0.092</v>
      </c>
      <c r="F606" s="16" t="n">
        <f aca="false">W31</f>
        <v>0.067</v>
      </c>
    </row>
    <row r="607" customFormat="false" ht="12.8" hidden="false" customHeight="false" outlineLevel="0" collapsed="false">
      <c r="A607" s="1" t="str">
        <f aca="false">_xlfn.CONCAT($A$576, ".", A32)</f>
        <v>AR.4.29</v>
      </c>
      <c r="B607" s="7" t="str">
        <f aca="false">_xlfn.CONCAT(B32, ": ", C32)</f>
        <v>Government: Worker</v>
      </c>
      <c r="C607" s="16" t="n">
        <f aca="false">T32</f>
        <v>0.055</v>
      </c>
      <c r="D607" s="16" t="n">
        <f aca="false">U32</f>
        <v>0.064</v>
      </c>
      <c r="E607" s="16" t="n">
        <f aca="false">V32</f>
        <v>0.073</v>
      </c>
      <c r="F607" s="16" t="n">
        <f aca="false">W32</f>
        <v>0.054</v>
      </c>
    </row>
    <row r="608" customFormat="false" ht="12.8" hidden="false" customHeight="false" outlineLevel="0" collapsed="false">
      <c r="A608" s="1" t="str">
        <f aca="false">_xlfn.CONCAT($A$576, ".", A33)</f>
        <v>AR.4.30</v>
      </c>
      <c r="B608" s="7" t="str">
        <f aca="false">_xlfn.CONCAT(B33, ": ", C33)</f>
        <v>Government: Support</v>
      </c>
      <c r="C608" s="16" t="n">
        <f aca="false">T33</f>
        <v>0.061</v>
      </c>
      <c r="D608" s="16" t="n">
        <f aca="false">U33</f>
        <v>0.07</v>
      </c>
      <c r="E608" s="16" t="n">
        <f aca="false">V33</f>
        <v>0.08</v>
      </c>
      <c r="F608" s="16" t="n">
        <f aca="false">W33</f>
        <v>0.059</v>
      </c>
    </row>
    <row r="609" customFormat="false" ht="12.8" hidden="false" customHeight="false" outlineLevel="0" collapsed="false">
      <c r="A609" s="1" t="str">
        <f aca="false">_xlfn.CONCAT($A$576, ".", A34)</f>
        <v>AR.4.31</v>
      </c>
      <c r="B609" s="7" t="str">
        <f aca="false">_xlfn.CONCAT(B34, ": ", C34)</f>
        <v>Self-Employed / Non-Employer: Worker</v>
      </c>
      <c r="C609" s="16" t="n">
        <f aca="false">T34</f>
        <v>0.11</v>
      </c>
      <c r="D609" s="16" t="n">
        <f aca="false">U34</f>
        <v>0.127</v>
      </c>
      <c r="E609" s="16" t="n">
        <f aca="false">V34</f>
        <v>0.145</v>
      </c>
      <c r="F609" s="16" t="n">
        <f aca="false">W34</f>
        <v>0.108</v>
      </c>
    </row>
    <row r="610" customFormat="false" ht="12.8" hidden="false" customHeight="false" outlineLevel="0" collapsed="false">
      <c r="A610" s="1" t="str">
        <f aca="false">_xlfn.CONCAT($A$576, ".", A35)</f>
        <v>AR.4.32</v>
      </c>
      <c r="B610" s="7" t="str">
        <f aca="false">_xlfn.CONCAT(B35, ": ", C35)</f>
        <v>Self-Employed / Non-Employer: Support</v>
      </c>
      <c r="C610" s="16" t="n">
        <f aca="false">T35</f>
        <v>0.121</v>
      </c>
      <c r="D610" s="16" t="n">
        <f aca="false">U35</f>
        <v>0.14</v>
      </c>
      <c r="E610" s="16" t="n">
        <f aca="false">V35</f>
        <v>0.16</v>
      </c>
      <c r="F610" s="16" t="n">
        <f aca="false">W35</f>
        <v>0.119</v>
      </c>
    </row>
    <row r="611" customFormat="false" ht="12.8" hidden="false" customHeight="false" outlineLevel="0" collapsed="false">
      <c r="A611" s="1" t="str">
        <f aca="false">_xlfn.CONCAT($A$576, ".", A36)</f>
        <v>AR.4.33</v>
      </c>
      <c r="B611" s="7" t="str">
        <f aca="false">_xlfn.CONCAT(B36, ": ", C36)</f>
        <v>Other Services: Worker</v>
      </c>
      <c r="C611" s="16" t="n">
        <f aca="false">T36</f>
        <v>0.087</v>
      </c>
      <c r="D611" s="16" t="n">
        <f aca="false">U36</f>
        <v>0.101</v>
      </c>
      <c r="E611" s="16" t="n">
        <f aca="false">V36</f>
        <v>0.115</v>
      </c>
      <c r="F611" s="16" t="n">
        <f aca="false">W36</f>
        <v>0.085</v>
      </c>
    </row>
    <row r="612" customFormat="false" ht="12.8" hidden="false" customHeight="false" outlineLevel="0" collapsed="false">
      <c r="A612" s="1" t="str">
        <f aca="false">_xlfn.CONCAT($A$576, ".", A37)</f>
        <v>AR.4.34</v>
      </c>
      <c r="B612" s="7" t="str">
        <f aca="false">_xlfn.CONCAT(B37, ": ", C37)</f>
        <v>Other Services: Support</v>
      </c>
      <c r="C612" s="16" t="n">
        <f aca="false">T37</f>
        <v>0.096</v>
      </c>
      <c r="D612" s="16" t="n">
        <f aca="false">U37</f>
        <v>0.111</v>
      </c>
      <c r="E612" s="16" t="n">
        <f aca="false">V37</f>
        <v>0.127</v>
      </c>
      <c r="F612" s="16" t="n">
        <f aca="false">W37</f>
        <v>0.094</v>
      </c>
    </row>
    <row r="613" customFormat="false" ht="12.8" hidden="false" customHeight="false" outlineLevel="0" collapsed="false">
      <c r="A613" s="1"/>
      <c r="B613" s="7"/>
      <c r="C613" s="16"/>
      <c r="D613" s="16"/>
      <c r="E613" s="16"/>
      <c r="F613" s="16"/>
    </row>
    <row r="614" customFormat="false" ht="12.8" hidden="false" customHeight="false" outlineLevel="0" collapsed="false">
      <c r="A614" s="1"/>
      <c r="B614" s="7"/>
      <c r="C614" s="16"/>
      <c r="D614" s="16"/>
      <c r="E614" s="16"/>
      <c r="F614" s="16"/>
    </row>
    <row r="615" customFormat="false" ht="12.8" hidden="false" customHeight="false" outlineLevel="0" collapsed="false">
      <c r="A615" s="1"/>
      <c r="B615" s="7"/>
      <c r="C615" s="16"/>
      <c r="D615" s="16"/>
      <c r="E615" s="16"/>
      <c r="F615" s="16"/>
    </row>
    <row r="616" customFormat="false" ht="12.8" hidden="false" customHeight="false" outlineLevel="0" collapsed="false">
      <c r="A616" s="1"/>
      <c r="B616" s="7"/>
      <c r="C616" s="16"/>
      <c r="D616" s="16"/>
      <c r="E616" s="16"/>
      <c r="F616" s="16"/>
    </row>
    <row r="617" customFormat="false" ht="12.8" hidden="false" customHeight="false" outlineLevel="0" collapsed="false">
      <c r="A617" s="1"/>
      <c r="B617" s="7"/>
      <c r="C617" s="16"/>
      <c r="D617" s="16"/>
      <c r="E617" s="16"/>
      <c r="F617" s="16"/>
    </row>
    <row r="618" customFormat="false" ht="12.8" hidden="false" customHeight="false" outlineLevel="0" collapsed="false">
      <c r="A618" s="1"/>
      <c r="B618" s="7"/>
      <c r="C618" s="16"/>
      <c r="D618" s="16"/>
      <c r="E618" s="16"/>
      <c r="F618" s="16"/>
    </row>
    <row r="619" customFormat="false" ht="12.8" hidden="false" customHeight="false" outlineLevel="0" collapsed="false">
      <c r="A619" s="1"/>
      <c r="B619" s="7"/>
      <c r="C619" s="16"/>
      <c r="D619" s="16"/>
      <c r="E619" s="16"/>
      <c r="F619" s="16"/>
    </row>
    <row r="620" customFormat="false" ht="12.8" hidden="false" customHeight="false" outlineLevel="0" collapsed="false">
      <c r="A620" s="1"/>
      <c r="B620" s="7"/>
      <c r="C620" s="16"/>
      <c r="D620" s="16"/>
      <c r="E620" s="16"/>
      <c r="F620" s="16"/>
    </row>
    <row r="621" customFormat="false" ht="12.8" hidden="false" customHeight="false" outlineLevel="0" collapsed="false">
      <c r="A621" s="1"/>
      <c r="B621" s="7"/>
      <c r="C621" s="16"/>
      <c r="D621" s="16"/>
      <c r="E621" s="16"/>
      <c r="F621" s="16"/>
    </row>
    <row r="622" customFormat="false" ht="12.8" hidden="false" customHeight="false" outlineLevel="0" collapsed="false">
      <c r="A622" s="1"/>
      <c r="B622" s="7"/>
      <c r="C622" s="16"/>
      <c r="D622" s="16"/>
      <c r="E622" s="16"/>
      <c r="F622" s="16"/>
    </row>
    <row r="623" customFormat="false" ht="12.8" hidden="false" customHeight="false" outlineLevel="0" collapsed="false">
      <c r="A623" s="1"/>
      <c r="B623" s="7"/>
      <c r="C623" s="16"/>
      <c r="D623" s="16"/>
      <c r="E623" s="16"/>
      <c r="F623" s="16"/>
    </row>
    <row r="624" customFormat="false" ht="12.8" hidden="false" customHeight="false" outlineLevel="0" collapsed="false">
      <c r="A624" s="1"/>
      <c r="B624" s="7"/>
      <c r="C624" s="16"/>
      <c r="D624" s="16"/>
      <c r="E624" s="16"/>
      <c r="F624" s="16"/>
    </row>
    <row r="625" customFormat="false" ht="12.8" hidden="false" customHeight="false" outlineLevel="0" collapsed="false">
      <c r="A625" s="1"/>
      <c r="B625" s="7"/>
      <c r="C625" s="16"/>
      <c r="D625" s="16"/>
      <c r="E625" s="16"/>
      <c r="F625" s="16"/>
    </row>
    <row r="626" customFormat="false" ht="12.8" hidden="false" customHeight="false" outlineLevel="0" collapsed="false">
      <c r="A626" s="1"/>
      <c r="B626" s="7"/>
      <c r="C626" s="16"/>
      <c r="D626" s="16"/>
      <c r="E626" s="16"/>
      <c r="F626" s="16"/>
    </row>
    <row r="627" customFormat="false" ht="12.8" hidden="false" customHeight="false" outlineLevel="0" collapsed="false">
      <c r="A627" s="1"/>
      <c r="B627" s="7"/>
      <c r="C627" s="16"/>
      <c r="D627" s="16"/>
      <c r="E627" s="16"/>
      <c r="F627" s="16"/>
    </row>
    <row r="628" customFormat="false" ht="12.8" hidden="false" customHeight="false" outlineLevel="0" collapsed="false">
      <c r="A628" s="1"/>
      <c r="B628" s="7"/>
      <c r="C628" s="16"/>
      <c r="D628" s="16"/>
      <c r="E628" s="16"/>
      <c r="F628" s="16"/>
    </row>
    <row r="629" customFormat="false" ht="12.8" hidden="false" customHeight="false" outlineLevel="0" collapsed="false">
      <c r="A629" s="1"/>
      <c r="B629" s="7"/>
      <c r="C629" s="16"/>
      <c r="D629" s="16"/>
      <c r="E629" s="16"/>
      <c r="F629" s="16"/>
    </row>
    <row r="630" customFormat="false" ht="12.8" hidden="false" customHeight="false" outlineLevel="0" collapsed="false">
      <c r="A630" s="1"/>
      <c r="B630" s="7"/>
      <c r="C630" s="16"/>
      <c r="D630" s="16"/>
      <c r="E630" s="16"/>
      <c r="F630" s="16"/>
    </row>
    <row r="631" customFormat="false" ht="12.8" hidden="false" customHeight="false" outlineLevel="0" collapsed="false">
      <c r="A631" s="1"/>
      <c r="B631" s="7"/>
      <c r="C631" s="16"/>
      <c r="D631" s="16"/>
      <c r="E631" s="16"/>
      <c r="F631" s="16"/>
    </row>
    <row r="710" customFormat="false" ht="12.8" hidden="false" customHeight="false" outlineLevel="0" collapsed="false">
      <c r="A710" s="5" t="s">
        <v>169</v>
      </c>
      <c r="B710" s="24" t="s">
        <v>9</v>
      </c>
      <c r="C710" s="25" t="s">
        <v>150</v>
      </c>
    </row>
    <row r="711" customFormat="false" ht="35.05" hidden="false" customHeight="false" outlineLevel="0" collapsed="false">
      <c r="A711" s="5" t="s">
        <v>26</v>
      </c>
      <c r="B711" s="5" t="str">
        <f aca="false">_xlfn.CONCAT(B2, ": ", C2)</f>
        <v>Industry: Role</v>
      </c>
      <c r="C711" s="26" t="str">
        <f aca="false">X2</f>
        <v>Wage Average ($/hr)</v>
      </c>
      <c r="D711" s="26" t="str">
        <f aca="false">AD2</f>
        <v>Authorized Immigrant Wage Average ($/hr)</v>
      </c>
      <c r="E711" s="26" t="str">
        <f aca="false">AJ2</f>
        <v>Unauthorized Immigrant Wage Average ($/hr)</v>
      </c>
      <c r="F711" s="26" t="str">
        <f aca="false">AP2</f>
        <v>American Wage Average ($/hr)</v>
      </c>
    </row>
    <row r="712" customFormat="false" ht="12.8" hidden="false" customHeight="false" outlineLevel="0" collapsed="false">
      <c r="A712" s="1" t="str">
        <f aca="false">_xlfn.CONCAT($A$710, ".", A3)</f>
        <v>AR.5.0</v>
      </c>
      <c r="B712" s="5" t="str">
        <f aca="false">_xlfn.CONCAT(B3, ": ", C3)</f>
        <v>All Industries: All Roles</v>
      </c>
      <c r="C712" s="28" t="n">
        <f aca="false">X3</f>
        <v>26.1</v>
      </c>
      <c r="D712" s="29" t="n">
        <f aca="false">AD3</f>
        <v>25.3</v>
      </c>
      <c r="E712" s="29" t="n">
        <f aca="false">AJ3</f>
        <v>22.1</v>
      </c>
      <c r="F712" s="29" t="n">
        <f aca="false">AP3</f>
        <v>26.5</v>
      </c>
    </row>
    <row r="713" customFormat="false" ht="12.8" hidden="false" customHeight="false" outlineLevel="0" collapsed="false">
      <c r="A713" s="7" t="str">
        <f aca="false">_xlfn.CONCAT($A$710, ".", A4)</f>
        <v>AR.5.1</v>
      </c>
      <c r="B713" s="7" t="str">
        <f aca="false">_xlfn.CONCAT(B4, ": ", C4)</f>
        <v>Agriculture: Worker</v>
      </c>
      <c r="C713" s="20" t="n">
        <f aca="false">X4</f>
        <v>17</v>
      </c>
      <c r="D713" s="22" t="n">
        <f aca="false">AD4</f>
        <v>16.5</v>
      </c>
      <c r="E713" s="22" t="n">
        <f aca="false">AJ4</f>
        <v>13.2</v>
      </c>
      <c r="F713" s="22" t="n">
        <f aca="false">AP4</f>
        <v>17.3</v>
      </c>
    </row>
    <row r="714" customFormat="false" ht="12.8" hidden="false" customHeight="false" outlineLevel="0" collapsed="false">
      <c r="A714" s="7" t="str">
        <f aca="false">_xlfn.CONCAT($A$710, ".", A5)</f>
        <v>AR.5.2</v>
      </c>
      <c r="B714" s="7" t="str">
        <f aca="false">_xlfn.CONCAT(B5, ": ", C5)</f>
        <v>Agriculture: Support</v>
      </c>
      <c r="C714" s="20" t="n">
        <f aca="false">X5</f>
        <v>14.5</v>
      </c>
      <c r="D714" s="22" t="n">
        <f aca="false">AD5</f>
        <v>14</v>
      </c>
      <c r="E714" s="22" t="n">
        <f aca="false">AJ5</f>
        <v>11.6</v>
      </c>
      <c r="F714" s="22" t="n">
        <f aca="false">AP5</f>
        <v>14.7</v>
      </c>
    </row>
    <row r="715" customFormat="false" ht="12.8" hidden="false" customHeight="false" outlineLevel="0" collapsed="false">
      <c r="A715" s="7" t="str">
        <f aca="false">_xlfn.CONCAT($A$710, ".", A6)</f>
        <v>AR.5.3</v>
      </c>
      <c r="B715" s="7" t="str">
        <f aca="false">_xlfn.CONCAT(B6, ": ", C6)</f>
        <v>Construction: Worker</v>
      </c>
      <c r="C715" s="20" t="n">
        <f aca="false">X6</f>
        <v>23.2</v>
      </c>
      <c r="D715" s="22" t="n">
        <f aca="false">AD6</f>
        <v>22.5</v>
      </c>
      <c r="E715" s="22" t="n">
        <f aca="false">AJ6</f>
        <v>19.7</v>
      </c>
      <c r="F715" s="22" t="n">
        <f aca="false">AP6</f>
        <v>23.5</v>
      </c>
    </row>
    <row r="716" customFormat="false" ht="12.8" hidden="false" customHeight="false" outlineLevel="0" collapsed="false">
      <c r="A716" s="7" t="str">
        <f aca="false">_xlfn.CONCAT($A$710, ".", A7)</f>
        <v>AR.5.4</v>
      </c>
      <c r="B716" s="7" t="str">
        <f aca="false">_xlfn.CONCAT(B7, ": ", C7)</f>
        <v>Construction: Support</v>
      </c>
      <c r="C716" s="20" t="n">
        <f aca="false">X7</f>
        <v>19.7</v>
      </c>
      <c r="D716" s="22" t="n">
        <f aca="false">AD7</f>
        <v>19.1</v>
      </c>
      <c r="E716" s="22" t="n">
        <f aca="false">AJ7</f>
        <v>16.7</v>
      </c>
      <c r="F716" s="22" t="n">
        <f aca="false">AP7</f>
        <v>20</v>
      </c>
    </row>
    <row r="717" customFormat="false" ht="12.8" hidden="false" customHeight="false" outlineLevel="0" collapsed="false">
      <c r="A717" s="7" t="str">
        <f aca="false">_xlfn.CONCAT($A$710, ".", A8)</f>
        <v>AR.5.5</v>
      </c>
      <c r="B717" s="7" t="str">
        <f aca="false">_xlfn.CONCAT(B8, ": ", C8)</f>
        <v>Hospitality: Worker</v>
      </c>
      <c r="C717" s="20" t="n">
        <f aca="false">X8</f>
        <v>16.3</v>
      </c>
      <c r="D717" s="22" t="n">
        <f aca="false">AD8</f>
        <v>15.8</v>
      </c>
      <c r="E717" s="22" t="n">
        <f aca="false">AJ8</f>
        <v>13.4</v>
      </c>
      <c r="F717" s="22" t="n">
        <f aca="false">AP8</f>
        <v>16.5</v>
      </c>
    </row>
    <row r="718" customFormat="false" ht="12.8" hidden="false" customHeight="false" outlineLevel="0" collapsed="false">
      <c r="A718" s="7" t="str">
        <f aca="false">_xlfn.CONCAT($A$710, ".", A9)</f>
        <v>AR.5.6</v>
      </c>
      <c r="B718" s="7" t="str">
        <f aca="false">_xlfn.CONCAT(B9, ": ", C9)</f>
        <v>Hospitality: Support</v>
      </c>
      <c r="C718" s="20" t="n">
        <f aca="false">X9</f>
        <v>13.9</v>
      </c>
      <c r="D718" s="22" t="n">
        <f aca="false">AD9</f>
        <v>13.5</v>
      </c>
      <c r="E718" s="22" t="n">
        <f aca="false">AJ9</f>
        <v>11.4</v>
      </c>
      <c r="F718" s="22" t="n">
        <f aca="false">AP9</f>
        <v>14.1</v>
      </c>
    </row>
    <row r="719" customFormat="false" ht="12.8" hidden="false" customHeight="false" outlineLevel="0" collapsed="false">
      <c r="A719" s="7" t="str">
        <f aca="false">_xlfn.CONCAT($A$710, ".", A10)</f>
        <v>AR.5.7</v>
      </c>
      <c r="B719" s="7" t="str">
        <f aca="false">_xlfn.CONCAT(B10, ": ", C10)</f>
        <v>Cleaning &amp; Maintenance: Worker</v>
      </c>
      <c r="C719" s="20" t="n">
        <f aca="false">X10</f>
        <v>16</v>
      </c>
      <c r="D719" s="22" t="n">
        <f aca="false">AD10</f>
        <v>15.5</v>
      </c>
      <c r="E719" s="22" t="n">
        <f aca="false">AJ10</f>
        <v>12.4</v>
      </c>
      <c r="F719" s="22" t="n">
        <f aca="false">AP10</f>
        <v>16.2</v>
      </c>
    </row>
    <row r="720" customFormat="false" ht="12.8" hidden="false" customHeight="false" outlineLevel="0" collapsed="false">
      <c r="A720" s="7" t="str">
        <f aca="false">_xlfn.CONCAT($A$710, ".", A11)</f>
        <v>AR.5.8</v>
      </c>
      <c r="B720" s="7" t="str">
        <f aca="false">_xlfn.CONCAT(B11, ": ", C11)</f>
        <v>Cleaning &amp; Maintenance: Support</v>
      </c>
      <c r="C720" s="20" t="n">
        <f aca="false">X11</f>
        <v>13.6</v>
      </c>
      <c r="D720" s="22" t="n">
        <f aca="false">AD11</f>
        <v>13.2</v>
      </c>
      <c r="E720" s="22" t="n">
        <f aca="false">AJ11</f>
        <v>10.5</v>
      </c>
      <c r="F720" s="22" t="n">
        <f aca="false">AP11</f>
        <v>13.8</v>
      </c>
    </row>
    <row r="721" customFormat="false" ht="12.8" hidden="false" customHeight="false" outlineLevel="0" collapsed="false">
      <c r="A721" s="7" t="str">
        <f aca="false">_xlfn.CONCAT($A$710, ".", A12)</f>
        <v>AR.5.9</v>
      </c>
      <c r="B721" s="7" t="str">
        <f aca="false">_xlfn.CONCAT(B12, ": ", C12)</f>
        <v>Manufacturing: Worker</v>
      </c>
      <c r="C721" s="20" t="n">
        <f aca="false">X12</f>
        <v>22.2</v>
      </c>
      <c r="D721" s="22" t="n">
        <f aca="false">AD12</f>
        <v>21.5</v>
      </c>
      <c r="E721" s="22" t="n">
        <f aca="false">AJ12</f>
        <v>19.4</v>
      </c>
      <c r="F721" s="22" t="n">
        <f aca="false">AP12</f>
        <v>22.5</v>
      </c>
    </row>
    <row r="722" customFormat="false" ht="12.8" hidden="false" customHeight="false" outlineLevel="0" collapsed="false">
      <c r="A722" s="7" t="str">
        <f aca="false">_xlfn.CONCAT($A$710, ".", A13)</f>
        <v>AR.5.10</v>
      </c>
      <c r="B722" s="7" t="str">
        <f aca="false">_xlfn.CONCAT(B13, ": ", C13)</f>
        <v>Manufacturing: Support</v>
      </c>
      <c r="C722" s="20" t="n">
        <f aca="false">X13</f>
        <v>18.9</v>
      </c>
      <c r="D722" s="22" t="n">
        <f aca="false">AD13</f>
        <v>18.3</v>
      </c>
      <c r="E722" s="22" t="n">
        <f aca="false">AJ13</f>
        <v>16.5</v>
      </c>
      <c r="F722" s="22" t="n">
        <f aca="false">AP13</f>
        <v>19.1</v>
      </c>
    </row>
    <row r="723" customFormat="false" ht="12.8" hidden="false" customHeight="false" outlineLevel="0" collapsed="false">
      <c r="A723" s="7" t="str">
        <f aca="false">_xlfn.CONCAT($A$710, ".", A14)</f>
        <v>AR.5.11</v>
      </c>
      <c r="B723" s="7" t="str">
        <f aca="false">_xlfn.CONCAT(B14, ": ", C14)</f>
        <v>Transportation &amp; Warehousing: Worker</v>
      </c>
      <c r="C723" s="20" t="n">
        <f aca="false">X14</f>
        <v>21.6</v>
      </c>
      <c r="D723" s="22" t="n">
        <f aca="false">AD14</f>
        <v>21</v>
      </c>
      <c r="E723" s="22" t="n">
        <f aca="false">AJ14</f>
        <v>18.9</v>
      </c>
      <c r="F723" s="22" t="n">
        <f aca="false">AP14</f>
        <v>21.9</v>
      </c>
    </row>
    <row r="724" customFormat="false" ht="12.8" hidden="false" customHeight="false" outlineLevel="0" collapsed="false">
      <c r="A724" s="7" t="str">
        <f aca="false">_xlfn.CONCAT($A$710, ".", A15)</f>
        <v>AR.5.12</v>
      </c>
      <c r="B724" s="7" t="str">
        <f aca="false">_xlfn.CONCAT(B15, ": ", C15)</f>
        <v>Transportation &amp; Warehousing: Support</v>
      </c>
      <c r="C724" s="20" t="n">
        <f aca="false">X15</f>
        <v>18.4</v>
      </c>
      <c r="D724" s="22" t="n">
        <f aca="false">AD15</f>
        <v>17.9</v>
      </c>
      <c r="E724" s="22" t="n">
        <f aca="false">AJ15</f>
        <v>16.1</v>
      </c>
      <c r="F724" s="22" t="n">
        <f aca="false">AP15</f>
        <v>18.6</v>
      </c>
    </row>
    <row r="725" customFormat="false" ht="12.8" hidden="false" customHeight="false" outlineLevel="0" collapsed="false">
      <c r="A725" s="7" t="str">
        <f aca="false">_xlfn.CONCAT($A$710, ".", A16)</f>
        <v>AR.5.13</v>
      </c>
      <c r="B725" s="7" t="str">
        <f aca="false">_xlfn.CONCAT(B16, ": ", C16)</f>
        <v>Retail Trade: Worker</v>
      </c>
      <c r="C725" s="20" t="n">
        <f aca="false">X16</f>
        <v>21.1</v>
      </c>
      <c r="D725" s="22" t="n">
        <f aca="false">AD16</f>
        <v>20.5</v>
      </c>
      <c r="E725" s="22" t="n">
        <f aca="false">AJ16</f>
        <v>17.4</v>
      </c>
      <c r="F725" s="22" t="n">
        <f aca="false">AP16</f>
        <v>21.4</v>
      </c>
    </row>
    <row r="726" customFormat="false" ht="12.8" hidden="false" customHeight="false" outlineLevel="0" collapsed="false">
      <c r="A726" s="7" t="str">
        <f aca="false">_xlfn.CONCAT($A$710, ".", A17)</f>
        <v>AR.5.14</v>
      </c>
      <c r="B726" s="7" t="str">
        <f aca="false">_xlfn.CONCAT(B17, ": ", C17)</f>
        <v>Retail Trade: Support</v>
      </c>
      <c r="C726" s="20" t="n">
        <f aca="false">X17</f>
        <v>18</v>
      </c>
      <c r="D726" s="22" t="n">
        <f aca="false">AD17</f>
        <v>17.4</v>
      </c>
      <c r="E726" s="22" t="n">
        <f aca="false">AJ17</f>
        <v>14.8</v>
      </c>
      <c r="F726" s="22" t="n">
        <f aca="false">AP17</f>
        <v>18.2</v>
      </c>
    </row>
    <row r="727" customFormat="false" ht="12.8" hidden="false" customHeight="false" outlineLevel="0" collapsed="false">
      <c r="A727" s="7" t="str">
        <f aca="false">_xlfn.CONCAT($A$710, ".", A18)</f>
        <v>AR.5.15</v>
      </c>
      <c r="B727" s="7" t="str">
        <f aca="false">_xlfn.CONCAT(B18, ": ", C18)</f>
        <v>Landscaping / Groundskeeping: Worker</v>
      </c>
      <c r="C727" s="20" t="n">
        <f aca="false">X18</f>
        <v>16.5</v>
      </c>
      <c r="D727" s="22" t="n">
        <f aca="false">AD18</f>
        <v>16</v>
      </c>
      <c r="E727" s="22" t="n">
        <f aca="false">AJ18</f>
        <v>12.8</v>
      </c>
      <c r="F727" s="22" t="n">
        <f aca="false">AP18</f>
        <v>16.7</v>
      </c>
    </row>
    <row r="728" customFormat="false" ht="12.8" hidden="false" customHeight="false" outlineLevel="0" collapsed="false">
      <c r="A728" s="7" t="str">
        <f aca="false">_xlfn.CONCAT($A$710, ".", A19)</f>
        <v>AR.5.16</v>
      </c>
      <c r="B728" s="7" t="str">
        <f aca="false">_xlfn.CONCAT(B19, ": ", C19)</f>
        <v>Landscaping / Groundskeeping: Support</v>
      </c>
      <c r="C728" s="20" t="n">
        <f aca="false">X19</f>
        <v>14</v>
      </c>
      <c r="D728" s="22" t="n">
        <f aca="false">AD19</f>
        <v>13.6</v>
      </c>
      <c r="E728" s="22" t="n">
        <f aca="false">AJ19</f>
        <v>11.2</v>
      </c>
      <c r="F728" s="22" t="n">
        <f aca="false">AP19</f>
        <v>14.2</v>
      </c>
    </row>
    <row r="729" customFormat="false" ht="12.8" hidden="false" customHeight="false" outlineLevel="0" collapsed="false">
      <c r="A729" s="7" t="str">
        <f aca="false">_xlfn.CONCAT($A$710, ".", A20)</f>
        <v>AR.5.17</v>
      </c>
      <c r="B729" s="7" t="str">
        <f aca="false">_xlfn.CONCAT(B20, ": ", C20)</f>
        <v>Automotive &amp; Repair: Worker</v>
      </c>
      <c r="C729" s="20" t="n">
        <f aca="false">X20</f>
        <v>24.7</v>
      </c>
      <c r="D729" s="22" t="n">
        <f aca="false">AD20</f>
        <v>24</v>
      </c>
      <c r="E729" s="22" t="n">
        <f aca="false">AJ20</f>
        <v>21.6</v>
      </c>
      <c r="F729" s="22" t="n">
        <f aca="false">AP20</f>
        <v>25</v>
      </c>
    </row>
    <row r="730" customFormat="false" ht="12.8" hidden="false" customHeight="false" outlineLevel="0" collapsed="false">
      <c r="A730" s="7" t="str">
        <f aca="false">_xlfn.CONCAT($A$710, ".", A21)</f>
        <v>AR.5.18</v>
      </c>
      <c r="B730" s="7" t="str">
        <f aca="false">_xlfn.CONCAT(B21, ": ", C21)</f>
        <v>Automotive &amp; Repair: Support</v>
      </c>
      <c r="C730" s="20" t="n">
        <f aca="false">X21</f>
        <v>21</v>
      </c>
      <c r="D730" s="22" t="n">
        <f aca="false">AD21</f>
        <v>20.4</v>
      </c>
      <c r="E730" s="22" t="n">
        <f aca="false">AJ21</f>
        <v>18.4</v>
      </c>
      <c r="F730" s="22" t="n">
        <f aca="false">AP21</f>
        <v>21.3</v>
      </c>
    </row>
    <row r="731" customFormat="false" ht="12.8" hidden="false" customHeight="false" outlineLevel="0" collapsed="false">
      <c r="A731" s="7" t="str">
        <f aca="false">_xlfn.CONCAT($A$710, ".", A22)</f>
        <v>AR.5.19</v>
      </c>
      <c r="B731" s="7" t="str">
        <f aca="false">_xlfn.CONCAT(B22, ": ", C22)</f>
        <v>Healthcare &amp; Social Assistance: Worker</v>
      </c>
      <c r="C731" s="20" t="n">
        <f aca="false">X22</f>
        <v>30.9</v>
      </c>
      <c r="D731" s="22" t="n">
        <f aca="false">AD22</f>
        <v>30</v>
      </c>
      <c r="E731" s="22" t="n">
        <f aca="false">AJ22</f>
        <v>28.5</v>
      </c>
      <c r="F731" s="22" t="n">
        <f aca="false">AP22</f>
        <v>31.3</v>
      </c>
    </row>
    <row r="732" customFormat="false" ht="12.8" hidden="false" customHeight="false" outlineLevel="0" collapsed="false">
      <c r="A732" s="7" t="str">
        <f aca="false">_xlfn.CONCAT($A$710, ".", A23)</f>
        <v>AR.5.20</v>
      </c>
      <c r="B732" s="7" t="str">
        <f aca="false">_xlfn.CONCAT(B23, ": ", C23)</f>
        <v>Healthcare &amp; Social Assistance: Support</v>
      </c>
      <c r="C732" s="20" t="n">
        <f aca="false">X23</f>
        <v>26.3</v>
      </c>
      <c r="D732" s="22" t="n">
        <f aca="false">AD23</f>
        <v>25.5</v>
      </c>
      <c r="E732" s="22" t="n">
        <f aca="false">AJ23</f>
        <v>24.3</v>
      </c>
      <c r="F732" s="22" t="n">
        <f aca="false">AP23</f>
        <v>26.6</v>
      </c>
    </row>
    <row r="733" customFormat="false" ht="12.8" hidden="false" customHeight="false" outlineLevel="0" collapsed="false">
      <c r="A733" s="7" t="str">
        <f aca="false">_xlfn.CONCAT($A$710, ".", A24)</f>
        <v>AR.5.21</v>
      </c>
      <c r="B733" s="7" t="str">
        <f aca="false">_xlfn.CONCAT(B24, ": ", C24)</f>
        <v>Professional Services: Worker</v>
      </c>
      <c r="C733" s="20" t="n">
        <f aca="false">X24</f>
        <v>36.1</v>
      </c>
      <c r="D733" s="22" t="n">
        <f aca="false">AD24</f>
        <v>35</v>
      </c>
      <c r="E733" s="22" t="n">
        <f aca="false">AJ24</f>
        <v>33.3</v>
      </c>
      <c r="F733" s="22" t="n">
        <f aca="false">AP24</f>
        <v>36.5</v>
      </c>
    </row>
    <row r="734" customFormat="false" ht="12.8" hidden="false" customHeight="false" outlineLevel="0" collapsed="false">
      <c r="A734" s="7" t="str">
        <f aca="false">_xlfn.CONCAT($A$710, ".", A25)</f>
        <v>AR.5.22</v>
      </c>
      <c r="B734" s="7" t="str">
        <f aca="false">_xlfn.CONCAT(B25, ": ", C25)</f>
        <v>Professional Services: Support</v>
      </c>
      <c r="C734" s="20" t="n">
        <f aca="false">X25</f>
        <v>30.7</v>
      </c>
      <c r="D734" s="22" t="n">
        <f aca="false">AD25</f>
        <v>29.8</v>
      </c>
      <c r="E734" s="22" t="n">
        <f aca="false">AJ25</f>
        <v>28.3</v>
      </c>
      <c r="F734" s="22" t="n">
        <f aca="false">AP25</f>
        <v>31.1</v>
      </c>
    </row>
    <row r="735" customFormat="false" ht="12.8" hidden="false" customHeight="false" outlineLevel="0" collapsed="false">
      <c r="A735" s="7" t="str">
        <f aca="false">_xlfn.CONCAT($A$710, ".", A26)</f>
        <v>AR.5.23</v>
      </c>
      <c r="B735" s="7" t="str">
        <f aca="false">_xlfn.CONCAT(B26, ": ", C26)</f>
        <v>Educational Services: Worker</v>
      </c>
      <c r="C735" s="20" t="n">
        <f aca="false">X26</f>
        <v>28.8</v>
      </c>
      <c r="D735" s="22" t="n">
        <f aca="false">AD26</f>
        <v>28</v>
      </c>
      <c r="E735" s="22" t="n">
        <f aca="false">AJ26</f>
        <v>26.6</v>
      </c>
      <c r="F735" s="22" t="n">
        <f aca="false">AP26</f>
        <v>29.2</v>
      </c>
    </row>
    <row r="736" customFormat="false" ht="12.8" hidden="false" customHeight="false" outlineLevel="0" collapsed="false">
      <c r="A736" s="7" t="str">
        <f aca="false">_xlfn.CONCAT($A$710, ".", A27)</f>
        <v>AR.5.24</v>
      </c>
      <c r="B736" s="7" t="str">
        <f aca="false">_xlfn.CONCAT(B27, ": ", C27)</f>
        <v>Educational Services: Support</v>
      </c>
      <c r="C736" s="20" t="n">
        <f aca="false">X27</f>
        <v>24.5</v>
      </c>
      <c r="D736" s="22" t="n">
        <f aca="false">AD27</f>
        <v>23.8</v>
      </c>
      <c r="E736" s="22" t="n">
        <f aca="false">AJ27</f>
        <v>22.6</v>
      </c>
      <c r="F736" s="22" t="n">
        <f aca="false">AP27</f>
        <v>24.9</v>
      </c>
    </row>
    <row r="737" customFormat="false" ht="12.8" hidden="false" customHeight="false" outlineLevel="0" collapsed="false">
      <c r="A737" s="7" t="str">
        <f aca="false">_xlfn.CONCAT($A$710, ".", A28)</f>
        <v>AR.5.25</v>
      </c>
      <c r="B737" s="7" t="str">
        <f aca="false">_xlfn.CONCAT(B28, ": ", C28)</f>
        <v>Finance &amp; Insurance: Worker</v>
      </c>
      <c r="C737" s="20" t="n">
        <f aca="false">X28</f>
        <v>36.6</v>
      </c>
      <c r="D737" s="22" t="n">
        <f aca="false">AD28</f>
        <v>35.5</v>
      </c>
      <c r="E737" s="22" t="n">
        <f aca="false">AJ28</f>
        <v>33.8</v>
      </c>
      <c r="F737" s="22" t="n">
        <f aca="false">AP28</f>
        <v>37</v>
      </c>
    </row>
    <row r="738" customFormat="false" ht="12.8" hidden="false" customHeight="false" outlineLevel="0" collapsed="false">
      <c r="A738" s="7" t="str">
        <f aca="false">_xlfn.CONCAT($A$710, ".", A29)</f>
        <v>AR.5.26</v>
      </c>
      <c r="B738" s="7" t="str">
        <f aca="false">_xlfn.CONCAT(B29, ": ", C29)</f>
        <v>Finance &amp; Insurance: Support</v>
      </c>
      <c r="C738" s="20" t="n">
        <f aca="false">X29</f>
        <v>31.1</v>
      </c>
      <c r="D738" s="22" t="n">
        <f aca="false">AD29</f>
        <v>30.2</v>
      </c>
      <c r="E738" s="22" t="n">
        <f aca="false">AJ29</f>
        <v>28.8</v>
      </c>
      <c r="F738" s="22" t="n">
        <f aca="false">AP29</f>
        <v>31.5</v>
      </c>
    </row>
    <row r="739" customFormat="false" ht="12.8" hidden="false" customHeight="false" outlineLevel="0" collapsed="false">
      <c r="A739" s="7" t="str">
        <f aca="false">_xlfn.CONCAT($A$710, ".", A30)</f>
        <v>AR.5.27</v>
      </c>
      <c r="B739" s="7" t="str">
        <f aca="false">_xlfn.CONCAT(B30, ": ", C30)</f>
        <v>Media and Information Technology: Worker</v>
      </c>
      <c r="C739" s="20" t="n">
        <f aca="false">X30</f>
        <v>35</v>
      </c>
      <c r="D739" s="22" t="n">
        <f aca="false">AD30</f>
        <v>34</v>
      </c>
      <c r="E739" s="22" t="n">
        <f aca="false">AJ30</f>
        <v>32.3</v>
      </c>
      <c r="F739" s="22" t="n">
        <f aca="false">AP30</f>
        <v>35.5</v>
      </c>
    </row>
    <row r="740" customFormat="false" ht="12.8" hidden="false" customHeight="false" outlineLevel="0" collapsed="false">
      <c r="A740" s="7" t="str">
        <f aca="false">_xlfn.CONCAT($A$710, ".", A31)</f>
        <v>AR.5.28</v>
      </c>
      <c r="B740" s="7" t="str">
        <f aca="false">_xlfn.CONCAT(B31, ": ", C31)</f>
        <v>Media and Information Technology: Support</v>
      </c>
      <c r="C740" s="20" t="n">
        <f aca="false">X31</f>
        <v>29.8</v>
      </c>
      <c r="D740" s="22" t="n">
        <f aca="false">AD31</f>
        <v>28.9</v>
      </c>
      <c r="E740" s="22" t="n">
        <f aca="false">AJ31</f>
        <v>27.6</v>
      </c>
      <c r="F740" s="22" t="n">
        <f aca="false">AP31</f>
        <v>30.2</v>
      </c>
    </row>
    <row r="741" customFormat="false" ht="12.8" hidden="false" customHeight="false" outlineLevel="0" collapsed="false">
      <c r="A741" s="7" t="str">
        <f aca="false">_xlfn.CONCAT($A$710, ".", A32)</f>
        <v>AR.5.29</v>
      </c>
      <c r="B741" s="7" t="str">
        <f aca="false">_xlfn.CONCAT(B32, ": ", C32)</f>
        <v>Government: Worker</v>
      </c>
      <c r="C741" s="20" t="n">
        <f aca="false">X32</f>
        <v>28.8</v>
      </c>
      <c r="D741" s="22" t="n">
        <f aca="false">AD32</f>
        <v>28</v>
      </c>
      <c r="E741" s="22" t="n">
        <f aca="false">AJ32</f>
        <v>26.6</v>
      </c>
      <c r="F741" s="22" t="n">
        <f aca="false">AP32</f>
        <v>29.2</v>
      </c>
    </row>
    <row r="742" customFormat="false" ht="12.8" hidden="false" customHeight="false" outlineLevel="0" collapsed="false">
      <c r="A742" s="7" t="str">
        <f aca="false">_xlfn.CONCAT($A$710, ".", A33)</f>
        <v>AR.5.30</v>
      </c>
      <c r="B742" s="7" t="str">
        <f aca="false">_xlfn.CONCAT(B33, ": ", C33)</f>
        <v>Government: Support</v>
      </c>
      <c r="C742" s="20" t="n">
        <f aca="false">X33</f>
        <v>24.5</v>
      </c>
      <c r="D742" s="22" t="n">
        <f aca="false">AD33</f>
        <v>23.8</v>
      </c>
      <c r="E742" s="22" t="n">
        <f aca="false">AJ33</f>
        <v>22.6</v>
      </c>
      <c r="F742" s="22" t="n">
        <f aca="false">AP33</f>
        <v>24.9</v>
      </c>
    </row>
    <row r="743" customFormat="false" ht="12.8" hidden="false" customHeight="false" outlineLevel="0" collapsed="false">
      <c r="A743" s="7" t="str">
        <f aca="false">_xlfn.CONCAT($A$710, ".", A34)</f>
        <v>AR.5.31</v>
      </c>
      <c r="B743" s="7" t="str">
        <f aca="false">_xlfn.CONCAT(B34, ": ", C34)</f>
        <v>Self-Employed / Non-Employer: Worker</v>
      </c>
      <c r="C743" s="20" t="n">
        <f aca="false">X34</f>
        <v>22.3</v>
      </c>
      <c r="D743" s="22" t="n">
        <f aca="false">AD34</f>
        <v>21.6</v>
      </c>
      <c r="E743" s="22" t="n">
        <f aca="false">AJ34</f>
        <v>20.1</v>
      </c>
      <c r="F743" s="22" t="n">
        <f aca="false">AP34</f>
        <v>22.6</v>
      </c>
    </row>
    <row r="744" customFormat="false" ht="12.8" hidden="false" customHeight="false" outlineLevel="0" collapsed="false">
      <c r="A744" s="7" t="str">
        <f aca="false">_xlfn.CONCAT($A$710, ".", A35)</f>
        <v>AR.5.32</v>
      </c>
      <c r="B744" s="7" t="str">
        <f aca="false">_xlfn.CONCAT(B35, ": ", C35)</f>
        <v>Self-Employed / Non-Employer: Support</v>
      </c>
      <c r="C744" s="20" t="n">
        <f aca="false">X35</f>
        <v>19</v>
      </c>
      <c r="D744" s="22" t="n">
        <f aca="false">AD35</f>
        <v>18.4</v>
      </c>
      <c r="E744" s="22" t="n">
        <f aca="false">AJ35</f>
        <v>17.1</v>
      </c>
      <c r="F744" s="22" t="n">
        <f aca="false">AP35</f>
        <v>19.3</v>
      </c>
    </row>
    <row r="745" customFormat="false" ht="12.8" hidden="false" customHeight="false" outlineLevel="0" collapsed="false">
      <c r="A745" s="7" t="str">
        <f aca="false">_xlfn.CONCAT($A$710, ".", A36)</f>
        <v>AR.5.33</v>
      </c>
      <c r="B745" s="7" t="str">
        <f aca="false">_xlfn.CONCAT(B36, ": ", C36)</f>
        <v>Other Services: Worker</v>
      </c>
      <c r="C745" s="20" t="n">
        <f aca="false">X36</f>
        <v>19.6</v>
      </c>
      <c r="D745" s="22" t="n">
        <f aca="false">AD36</f>
        <v>19</v>
      </c>
      <c r="E745" s="22" t="n">
        <f aca="false">AJ36</f>
        <v>16.2</v>
      </c>
      <c r="F745" s="22" t="n">
        <f aca="false">AP36</f>
        <v>19.9</v>
      </c>
    </row>
    <row r="746" customFormat="false" ht="12.8" hidden="false" customHeight="false" outlineLevel="0" collapsed="false">
      <c r="A746" s="7" t="str">
        <f aca="false">_xlfn.CONCAT($A$710, ".", A37)</f>
        <v>AR.5.34</v>
      </c>
      <c r="B746" s="7" t="str">
        <f aca="false">_xlfn.CONCAT(B37, ": ", C37)</f>
        <v>Other Services: Support</v>
      </c>
      <c r="C746" s="20" t="n">
        <f aca="false">X37</f>
        <v>16.7</v>
      </c>
      <c r="D746" s="22" t="n">
        <f aca="false">AD37</f>
        <v>16.2</v>
      </c>
      <c r="E746" s="22" t="n">
        <f aca="false">AJ37</f>
        <v>13.8</v>
      </c>
      <c r="F746" s="22" t="n">
        <f aca="false">AP37</f>
        <v>16.9</v>
      </c>
    </row>
    <row r="844" customFormat="false" ht="12.8" hidden="false" customHeight="false" outlineLevel="0" collapsed="false">
      <c r="A844" s="5" t="s">
        <v>170</v>
      </c>
      <c r="B844" s="24" t="s">
        <v>9</v>
      </c>
      <c r="C844" s="25" t="s">
        <v>152</v>
      </c>
    </row>
    <row r="845" customFormat="false" ht="46.25" hidden="false" customHeight="false" outlineLevel="0" collapsed="false">
      <c r="A845" s="5" t="s">
        <v>26</v>
      </c>
      <c r="B845" s="5" t="str">
        <f aca="false">_xlfn.CONCAT(B2, ": ", C2)</f>
        <v>Industry: Role</v>
      </c>
      <c r="C845" s="30" t="str">
        <f aca="false">AA2</f>
        <v>Annual Income ($)</v>
      </c>
      <c r="D845" s="30" t="str">
        <f aca="false">AG2</f>
        <v>Authorized Immigrant Annual Income Average ($)</v>
      </c>
      <c r="E845" s="30" t="str">
        <f aca="false">AM2</f>
        <v>Unauthorized Immigrant Annual Income Average ($)</v>
      </c>
      <c r="F845" s="30" t="str">
        <f aca="false">AS2</f>
        <v>American Annual Income Average ($)</v>
      </c>
    </row>
    <row r="846" customFormat="false" ht="12.8" hidden="false" customHeight="false" outlineLevel="0" collapsed="false">
      <c r="A846" s="1" t="str">
        <f aca="false">_xlfn.CONCAT($A$844, ".", A3)</f>
        <v>AR.6.0</v>
      </c>
      <c r="B846" s="5" t="str">
        <f aca="false">_xlfn.CONCAT(B3, ": ", C3)</f>
        <v>All Industries: All Roles</v>
      </c>
      <c r="C846" s="30" t="n">
        <f aca="false">AA3</f>
        <v>54328</v>
      </c>
      <c r="D846" s="30" t="n">
        <f aca="false">AG3</f>
        <v>52624</v>
      </c>
      <c r="E846" s="30" t="n">
        <f aca="false">AM3</f>
        <v>45968</v>
      </c>
      <c r="F846" s="30" t="n">
        <f aca="false">AS3</f>
        <v>55120</v>
      </c>
    </row>
    <row r="847" customFormat="false" ht="12.8" hidden="false" customHeight="false" outlineLevel="0" collapsed="false">
      <c r="A847" s="1" t="str">
        <f aca="false">_xlfn.CONCAT($A$844, ".", A4)</f>
        <v>AR.6.1</v>
      </c>
      <c r="B847" s="7" t="str">
        <f aca="false">_xlfn.CONCAT(B4, ": ", C4)</f>
        <v>Agriculture: Worker</v>
      </c>
      <c r="C847" s="30" t="n">
        <f aca="false">AA4</f>
        <v>35360</v>
      </c>
      <c r="D847" s="30" t="n">
        <f aca="false">AG4</f>
        <v>34320</v>
      </c>
      <c r="E847" s="30" t="n">
        <f aca="false">AM4</f>
        <v>27456</v>
      </c>
      <c r="F847" s="30" t="n">
        <f aca="false">AS4</f>
        <v>35984</v>
      </c>
    </row>
    <row r="848" customFormat="false" ht="12.8" hidden="false" customHeight="false" outlineLevel="0" collapsed="false">
      <c r="A848" s="1" t="str">
        <f aca="false">_xlfn.CONCAT($A$844, ".", A5)</f>
        <v>AR.6.2</v>
      </c>
      <c r="B848" s="7" t="str">
        <f aca="false">_xlfn.CONCAT(B5, ": ", C5)</f>
        <v>Agriculture: Support</v>
      </c>
      <c r="C848" s="30" t="n">
        <f aca="false">AA5</f>
        <v>30160</v>
      </c>
      <c r="D848" s="30" t="n">
        <f aca="false">AG5</f>
        <v>29120</v>
      </c>
      <c r="E848" s="30" t="n">
        <f aca="false">AM5</f>
        <v>24128</v>
      </c>
      <c r="F848" s="30" t="n">
        <f aca="false">AS5</f>
        <v>30576</v>
      </c>
    </row>
    <row r="849" customFormat="false" ht="12.8" hidden="false" customHeight="false" outlineLevel="0" collapsed="false">
      <c r="A849" s="1" t="str">
        <f aca="false">_xlfn.CONCAT($A$844, ".", A6)</f>
        <v>AR.6.3</v>
      </c>
      <c r="B849" s="7" t="str">
        <f aca="false">_xlfn.CONCAT(B6, ": ", C6)</f>
        <v>Construction: Worker</v>
      </c>
      <c r="C849" s="30" t="n">
        <f aca="false">AA6</f>
        <v>48256</v>
      </c>
      <c r="D849" s="30" t="n">
        <f aca="false">AG6</f>
        <v>46800</v>
      </c>
      <c r="E849" s="30" t="n">
        <f aca="false">AM6</f>
        <v>40976</v>
      </c>
      <c r="F849" s="30" t="n">
        <f aca="false">AS6</f>
        <v>48928</v>
      </c>
    </row>
    <row r="850" customFormat="false" ht="12.8" hidden="false" customHeight="false" outlineLevel="0" collapsed="false">
      <c r="A850" s="1" t="str">
        <f aca="false">_xlfn.CONCAT($A$844, ".", A7)</f>
        <v>AR.6.4</v>
      </c>
      <c r="B850" s="7" t="str">
        <f aca="false">_xlfn.CONCAT(B7, ": ", C7)</f>
        <v>Construction: Support</v>
      </c>
      <c r="C850" s="30" t="n">
        <f aca="false">AA7</f>
        <v>40976</v>
      </c>
      <c r="D850" s="30" t="n">
        <f aca="false">AG7</f>
        <v>39728</v>
      </c>
      <c r="E850" s="30" t="n">
        <f aca="false">AM7</f>
        <v>34736</v>
      </c>
      <c r="F850" s="30" t="n">
        <f aca="false">AS7</f>
        <v>41600</v>
      </c>
    </row>
    <row r="851" customFormat="false" ht="12.8" hidden="false" customHeight="false" outlineLevel="0" collapsed="false">
      <c r="A851" s="1" t="str">
        <f aca="false">_xlfn.CONCAT($A$844, ".", A8)</f>
        <v>AR.6.5</v>
      </c>
      <c r="B851" s="7" t="str">
        <f aca="false">_xlfn.CONCAT(B8, ": ", C8)</f>
        <v>Hospitality: Worker</v>
      </c>
      <c r="C851" s="30" t="n">
        <f aca="false">AA8</f>
        <v>33904</v>
      </c>
      <c r="D851" s="30" t="n">
        <f aca="false">AG8</f>
        <v>32864</v>
      </c>
      <c r="E851" s="30" t="n">
        <f aca="false">AM8</f>
        <v>27872</v>
      </c>
      <c r="F851" s="30" t="n">
        <f aca="false">AS8</f>
        <v>34320</v>
      </c>
    </row>
    <row r="852" customFormat="false" ht="12.8" hidden="false" customHeight="false" outlineLevel="0" collapsed="false">
      <c r="A852" s="1" t="str">
        <f aca="false">_xlfn.CONCAT($A$844, ".", A9)</f>
        <v>AR.6.6</v>
      </c>
      <c r="B852" s="7" t="str">
        <f aca="false">_xlfn.CONCAT(B9, ": ", C9)</f>
        <v>Hospitality: Support</v>
      </c>
      <c r="C852" s="30" t="n">
        <f aca="false">AA9</f>
        <v>28912</v>
      </c>
      <c r="D852" s="30" t="n">
        <f aca="false">AG9</f>
        <v>28080</v>
      </c>
      <c r="E852" s="30" t="n">
        <f aca="false">AM9</f>
        <v>23712</v>
      </c>
      <c r="F852" s="30" t="n">
        <f aca="false">AS9</f>
        <v>29328</v>
      </c>
    </row>
    <row r="853" customFormat="false" ht="12.8" hidden="false" customHeight="false" outlineLevel="0" collapsed="false">
      <c r="A853" s="1" t="str">
        <f aca="false">_xlfn.CONCAT($A$844, ".", A10)</f>
        <v>AR.6.7</v>
      </c>
      <c r="B853" s="7" t="str">
        <f aca="false">_xlfn.CONCAT(B10, ": ", C10)</f>
        <v>Cleaning &amp; Maintenance: Worker</v>
      </c>
      <c r="C853" s="30" t="n">
        <f aca="false">AA10</f>
        <v>33280</v>
      </c>
      <c r="D853" s="30" t="n">
        <f aca="false">AG10</f>
        <v>32240</v>
      </c>
      <c r="E853" s="30" t="n">
        <f aca="false">AM10</f>
        <v>25760</v>
      </c>
      <c r="F853" s="30" t="n">
        <f aca="false">AS10</f>
        <v>33696</v>
      </c>
    </row>
    <row r="854" customFormat="false" ht="12.8" hidden="false" customHeight="false" outlineLevel="0" collapsed="false">
      <c r="A854" s="1" t="str">
        <f aca="false">_xlfn.CONCAT($A$844, ".", A11)</f>
        <v>AR.6.8</v>
      </c>
      <c r="B854" s="7" t="str">
        <f aca="false">_xlfn.CONCAT(B11, ": ", C11)</f>
        <v>Cleaning &amp; Maintenance: Support</v>
      </c>
      <c r="C854" s="30" t="n">
        <f aca="false">AA11</f>
        <v>28304</v>
      </c>
      <c r="D854" s="30" t="n">
        <f aca="false">AG11</f>
        <v>27456</v>
      </c>
      <c r="E854" s="30" t="n">
        <f aca="false">AM11</f>
        <v>21840</v>
      </c>
      <c r="F854" s="30" t="n">
        <f aca="false">AS11</f>
        <v>28720</v>
      </c>
    </row>
    <row r="855" customFormat="false" ht="12.8" hidden="false" customHeight="false" outlineLevel="0" collapsed="false">
      <c r="A855" s="1" t="str">
        <f aca="false">_xlfn.CONCAT($A$844, ".", A12)</f>
        <v>AR.6.9</v>
      </c>
      <c r="B855" s="7" t="str">
        <f aca="false">_xlfn.CONCAT(B12, ": ", C12)</f>
        <v>Manufacturing: Worker</v>
      </c>
      <c r="C855" s="30" t="n">
        <f aca="false">AA12</f>
        <v>46176</v>
      </c>
      <c r="D855" s="30" t="n">
        <f aca="false">AG12</f>
        <v>44720</v>
      </c>
      <c r="E855" s="30" t="n">
        <f aca="false">AM12</f>
        <v>40352</v>
      </c>
      <c r="F855" s="30" t="n">
        <f aca="false">AS12</f>
        <v>46800</v>
      </c>
    </row>
    <row r="856" customFormat="false" ht="12.8" hidden="false" customHeight="false" outlineLevel="0" collapsed="false">
      <c r="A856" s="1" t="str">
        <f aca="false">_xlfn.CONCAT($A$844, ".", A13)</f>
        <v>AR.6.10</v>
      </c>
      <c r="B856" s="7" t="str">
        <f aca="false">_xlfn.CONCAT(B13, ": ", C13)</f>
        <v>Manufacturing: Support</v>
      </c>
      <c r="C856" s="30" t="n">
        <f aca="false">AA13</f>
        <v>39296</v>
      </c>
      <c r="D856" s="30" t="n">
        <f aca="false">AG13</f>
        <v>38064</v>
      </c>
      <c r="E856" s="30" t="n">
        <f aca="false">AM13</f>
        <v>34320</v>
      </c>
      <c r="F856" s="30" t="n">
        <f aca="false">AS13</f>
        <v>39728</v>
      </c>
    </row>
    <row r="857" customFormat="false" ht="12.8" hidden="false" customHeight="false" outlineLevel="0" collapsed="false">
      <c r="A857" s="1" t="str">
        <f aca="false">_xlfn.CONCAT($A$844, ".", A14)</f>
        <v>AR.6.11</v>
      </c>
      <c r="B857" s="7" t="str">
        <f aca="false">_xlfn.CONCAT(B14, ": ", C14)</f>
        <v>Transportation &amp; Warehousing: Worker</v>
      </c>
      <c r="C857" s="30" t="n">
        <f aca="false">AA14</f>
        <v>44928</v>
      </c>
      <c r="D857" s="30" t="n">
        <f aca="false">AG14</f>
        <v>43680</v>
      </c>
      <c r="E857" s="30" t="n">
        <f aca="false">AM14</f>
        <v>39312</v>
      </c>
      <c r="F857" s="30" t="n">
        <f aca="false">AS14</f>
        <v>45552</v>
      </c>
    </row>
    <row r="858" customFormat="false" ht="12.8" hidden="false" customHeight="false" outlineLevel="0" collapsed="false">
      <c r="A858" s="1" t="str">
        <f aca="false">_xlfn.CONCAT($A$844, ".", A15)</f>
        <v>AR.6.12</v>
      </c>
      <c r="B858" s="7" t="str">
        <f aca="false">_xlfn.CONCAT(B15, ": ", C15)</f>
        <v>Transportation &amp; Warehousing: Support</v>
      </c>
      <c r="C858" s="30" t="n">
        <f aca="false">AA15</f>
        <v>38272</v>
      </c>
      <c r="D858" s="30" t="n">
        <f aca="false">AG15</f>
        <v>37232</v>
      </c>
      <c r="E858" s="30" t="n">
        <f aca="false">AM15</f>
        <v>33536</v>
      </c>
      <c r="F858" s="30" t="n">
        <f aca="false">AS15</f>
        <v>38704</v>
      </c>
    </row>
    <row r="859" customFormat="false" ht="12.8" hidden="false" customHeight="false" outlineLevel="0" collapsed="false">
      <c r="A859" s="1" t="str">
        <f aca="false">_xlfn.CONCAT($A$844, ".", A16)</f>
        <v>AR.6.13</v>
      </c>
      <c r="B859" s="7" t="str">
        <f aca="false">_xlfn.CONCAT(B16, ": ", C16)</f>
        <v>Retail Trade: Worker</v>
      </c>
      <c r="C859" s="30" t="n">
        <f aca="false">AA16</f>
        <v>43888</v>
      </c>
      <c r="D859" s="30" t="n">
        <f aca="false">AG16</f>
        <v>42640</v>
      </c>
      <c r="E859" s="30" t="n">
        <f aca="false">AM16</f>
        <v>36208</v>
      </c>
      <c r="F859" s="30" t="n">
        <f aca="false">AS16</f>
        <v>44512</v>
      </c>
    </row>
    <row r="860" customFormat="false" ht="12.8" hidden="false" customHeight="false" outlineLevel="0" collapsed="false">
      <c r="A860" s="1" t="str">
        <f aca="false">_xlfn.CONCAT($A$844, ".", A17)</f>
        <v>AR.6.14</v>
      </c>
      <c r="B860" s="7" t="str">
        <f aca="false">_xlfn.CONCAT(B17, ": ", C17)</f>
        <v>Retail Trade: Support</v>
      </c>
      <c r="C860" s="30" t="n">
        <f aca="false">AA17</f>
        <v>37440</v>
      </c>
      <c r="D860" s="30" t="n">
        <f aca="false">AG17</f>
        <v>36192</v>
      </c>
      <c r="E860" s="30" t="n">
        <f aca="false">AM17</f>
        <v>30784</v>
      </c>
      <c r="F860" s="30" t="n">
        <f aca="false">AS17</f>
        <v>37856</v>
      </c>
    </row>
    <row r="861" customFormat="false" ht="12.8" hidden="false" customHeight="false" outlineLevel="0" collapsed="false">
      <c r="A861" s="1" t="str">
        <f aca="false">_xlfn.CONCAT($A$844, ".", A18)</f>
        <v>AR.6.15</v>
      </c>
      <c r="B861" s="7" t="str">
        <f aca="false">_xlfn.CONCAT(B18, ": ", C18)</f>
        <v>Landscaping / Groundskeeping: Worker</v>
      </c>
      <c r="C861" s="30" t="n">
        <f aca="false">AA18</f>
        <v>34320</v>
      </c>
      <c r="D861" s="30" t="n">
        <f aca="false">AG18</f>
        <v>33280</v>
      </c>
      <c r="E861" s="30" t="n">
        <f aca="false">AM18</f>
        <v>26624</v>
      </c>
      <c r="F861" s="30" t="n">
        <f aca="false">AS18</f>
        <v>34736</v>
      </c>
    </row>
    <row r="862" customFormat="false" ht="12.8" hidden="false" customHeight="false" outlineLevel="0" collapsed="false">
      <c r="A862" s="1" t="str">
        <f aca="false">_xlfn.CONCAT($A$844, ".", A19)</f>
        <v>AR.6.16</v>
      </c>
      <c r="B862" s="7" t="str">
        <f aca="false">_xlfn.CONCAT(B19, ": ", C19)</f>
        <v>Landscaping / Groundskeeping: Support</v>
      </c>
      <c r="C862" s="30" t="n">
        <f aca="false">AA19</f>
        <v>29120</v>
      </c>
      <c r="D862" s="30" t="n">
        <f aca="false">AG19</f>
        <v>28288</v>
      </c>
      <c r="E862" s="30" t="n">
        <f aca="false">AM19</f>
        <v>23296</v>
      </c>
      <c r="F862" s="30" t="n">
        <f aca="false">AS19</f>
        <v>29536</v>
      </c>
    </row>
    <row r="863" customFormat="false" ht="12.8" hidden="false" customHeight="false" outlineLevel="0" collapsed="false">
      <c r="A863" s="1" t="str">
        <f aca="false">_xlfn.CONCAT($A$844, ".", A20)</f>
        <v>AR.6.17</v>
      </c>
      <c r="B863" s="7" t="str">
        <f aca="false">_xlfn.CONCAT(B20, ": ", C20)</f>
        <v>Automotive &amp; Repair: Worker</v>
      </c>
      <c r="C863" s="30" t="n">
        <f aca="false">AA20</f>
        <v>51344</v>
      </c>
      <c r="D863" s="30" t="n">
        <f aca="false">AG20</f>
        <v>49920</v>
      </c>
      <c r="E863" s="30" t="n">
        <f aca="false">AM20</f>
        <v>44928</v>
      </c>
      <c r="F863" s="30" t="n">
        <f aca="false">AS20</f>
        <v>52000</v>
      </c>
    </row>
    <row r="864" customFormat="false" ht="12.8" hidden="false" customHeight="false" outlineLevel="0" collapsed="false">
      <c r="A864" s="1" t="str">
        <f aca="false">_xlfn.CONCAT($A$844, ".", A21)</f>
        <v>AR.6.18</v>
      </c>
      <c r="B864" s="7" t="str">
        <f aca="false">_xlfn.CONCAT(B21, ": ", C21)</f>
        <v>Automotive &amp; Repair: Support</v>
      </c>
      <c r="C864" s="30" t="n">
        <f aca="false">AA21</f>
        <v>43680</v>
      </c>
      <c r="D864" s="30" t="n">
        <f aca="false">AG21</f>
        <v>42432</v>
      </c>
      <c r="E864" s="30" t="n">
        <f aca="false">AM21</f>
        <v>38272</v>
      </c>
      <c r="F864" s="30" t="n">
        <f aca="false">AS21</f>
        <v>44304</v>
      </c>
    </row>
    <row r="865" customFormat="false" ht="12.8" hidden="false" customHeight="false" outlineLevel="0" collapsed="false">
      <c r="A865" s="1" t="str">
        <f aca="false">_xlfn.CONCAT($A$844, ".", A22)</f>
        <v>AR.6.19</v>
      </c>
      <c r="B865" s="7" t="str">
        <f aca="false">_xlfn.CONCAT(B22, ": ", C22)</f>
        <v>Healthcare &amp; Social Assistance: Worker</v>
      </c>
      <c r="C865" s="30" t="n">
        <f aca="false">AA22</f>
        <v>64288</v>
      </c>
      <c r="D865" s="30" t="n">
        <f aca="false">AG22</f>
        <v>62400</v>
      </c>
      <c r="E865" s="30" t="n">
        <f aca="false">AM22</f>
        <v>59280</v>
      </c>
      <c r="F865" s="30" t="n">
        <f aca="false">AS22</f>
        <v>65024</v>
      </c>
    </row>
    <row r="866" customFormat="false" ht="12.8" hidden="false" customHeight="false" outlineLevel="0" collapsed="false">
      <c r="A866" s="1" t="str">
        <f aca="false">_xlfn.CONCAT($A$844, ".", A23)</f>
        <v>AR.6.20</v>
      </c>
      <c r="B866" s="7" t="str">
        <f aca="false">_xlfn.CONCAT(B23, ": ", C23)</f>
        <v>Healthcare &amp; Social Assistance: Support</v>
      </c>
      <c r="C866" s="30" t="n">
        <f aca="false">AA23</f>
        <v>54768</v>
      </c>
      <c r="D866" s="30" t="n">
        <f aca="false">AG23</f>
        <v>53040</v>
      </c>
      <c r="E866" s="30" t="n">
        <f aca="false">AM23</f>
        <v>50544</v>
      </c>
      <c r="F866" s="30" t="n">
        <f aca="false">AS23</f>
        <v>55360</v>
      </c>
    </row>
    <row r="867" customFormat="false" ht="12.8" hidden="false" customHeight="false" outlineLevel="0" collapsed="false">
      <c r="A867" s="1" t="str">
        <f aca="false">_xlfn.CONCAT($A$844, ".", A24)</f>
        <v>AR.6.21</v>
      </c>
      <c r="B867" s="7" t="str">
        <f aca="false">_xlfn.CONCAT(B24, ": ", C24)</f>
        <v>Professional Services: Worker</v>
      </c>
      <c r="C867" s="30" t="n">
        <f aca="false">AA24</f>
        <v>75088</v>
      </c>
      <c r="D867" s="30" t="n">
        <f aca="false">AG24</f>
        <v>72800</v>
      </c>
      <c r="E867" s="30" t="n">
        <f aca="false">AM24</f>
        <v>69264</v>
      </c>
      <c r="F867" s="30" t="n">
        <f aca="false">AS24</f>
        <v>75920</v>
      </c>
    </row>
    <row r="868" customFormat="false" ht="12.8" hidden="false" customHeight="false" outlineLevel="0" collapsed="false">
      <c r="A868" s="1" t="str">
        <f aca="false">_xlfn.CONCAT($A$844, ".", A25)</f>
        <v>AR.6.22</v>
      </c>
      <c r="B868" s="7" t="str">
        <f aca="false">_xlfn.CONCAT(B25, ": ", C25)</f>
        <v>Professional Services: Support</v>
      </c>
      <c r="C868" s="30" t="n">
        <f aca="false">AA25</f>
        <v>63856</v>
      </c>
      <c r="D868" s="30" t="n">
        <f aca="false">AG25</f>
        <v>61984</v>
      </c>
      <c r="E868" s="30" t="n">
        <f aca="false">AM25</f>
        <v>58880</v>
      </c>
      <c r="F868" s="30" t="n">
        <f aca="false">AS25</f>
        <v>64688</v>
      </c>
    </row>
    <row r="869" customFormat="false" ht="12.8" hidden="false" customHeight="false" outlineLevel="0" collapsed="false">
      <c r="A869" s="1" t="str">
        <f aca="false">_xlfn.CONCAT($A$844, ".", A26)</f>
        <v>AR.6.23</v>
      </c>
      <c r="B869" s="7" t="str">
        <f aca="false">_xlfn.CONCAT(B26, ": ", C26)</f>
        <v>Educational Services: Worker</v>
      </c>
      <c r="C869" s="30" t="n">
        <f aca="false">AA26</f>
        <v>59904</v>
      </c>
      <c r="D869" s="30" t="n">
        <f aca="false">AG26</f>
        <v>58240</v>
      </c>
      <c r="E869" s="30" t="n">
        <f aca="false">AM26</f>
        <v>55360</v>
      </c>
      <c r="F869" s="30" t="n">
        <f aca="false">AS26</f>
        <v>60736</v>
      </c>
    </row>
    <row r="870" customFormat="false" ht="12.8" hidden="false" customHeight="false" outlineLevel="0" collapsed="false">
      <c r="A870" s="1" t="str">
        <f aca="false">_xlfn.CONCAT($A$844, ".", A27)</f>
        <v>AR.6.24</v>
      </c>
      <c r="B870" s="7" t="str">
        <f aca="false">_xlfn.CONCAT(B27, ": ", C27)</f>
        <v>Educational Services: Support</v>
      </c>
      <c r="C870" s="30" t="n">
        <f aca="false">AA27</f>
        <v>50944</v>
      </c>
      <c r="D870" s="30" t="n">
        <f aca="false">AG27</f>
        <v>49504</v>
      </c>
      <c r="E870" s="30" t="n">
        <f aca="false">AM27</f>
        <v>47008</v>
      </c>
      <c r="F870" s="30" t="n">
        <f aca="false">AS27</f>
        <v>51776</v>
      </c>
    </row>
    <row r="871" customFormat="false" ht="12.8" hidden="false" customHeight="false" outlineLevel="0" collapsed="false">
      <c r="A871" s="1" t="str">
        <f aca="false">_xlfn.CONCAT($A$844, ".", A28)</f>
        <v>AR.6.25</v>
      </c>
      <c r="B871" s="7" t="str">
        <f aca="false">_xlfn.CONCAT(B28, ": ", C28)</f>
        <v>Finance &amp; Insurance: Worker</v>
      </c>
      <c r="C871" s="30" t="n">
        <f aca="false">AA28</f>
        <v>76032</v>
      </c>
      <c r="D871" s="30" t="n">
        <f aca="false">AG28</f>
        <v>73840</v>
      </c>
      <c r="E871" s="30" t="n">
        <f aca="false">AM28</f>
        <v>70304</v>
      </c>
      <c r="F871" s="30" t="n">
        <f aca="false">AS28</f>
        <v>76960</v>
      </c>
    </row>
    <row r="872" customFormat="false" ht="12.8" hidden="false" customHeight="false" outlineLevel="0" collapsed="false">
      <c r="A872" s="1" t="str">
        <f aca="false">_xlfn.CONCAT($A$844, ".", A29)</f>
        <v>AR.6.26</v>
      </c>
      <c r="B872" s="7" t="str">
        <f aca="false">_xlfn.CONCAT(B29, ": ", C29)</f>
        <v>Finance &amp; Insurance: Support</v>
      </c>
      <c r="C872" s="30" t="n">
        <f aca="false">AA29</f>
        <v>64736</v>
      </c>
      <c r="D872" s="30" t="n">
        <f aca="false">AG29</f>
        <v>62832</v>
      </c>
      <c r="E872" s="30" t="n">
        <f aca="false">AM29</f>
        <v>59904</v>
      </c>
      <c r="F872" s="30" t="n">
        <f aca="false">AS29</f>
        <v>65568</v>
      </c>
    </row>
    <row r="873" customFormat="false" ht="12.8" hidden="false" customHeight="false" outlineLevel="0" collapsed="false">
      <c r="A873" s="1" t="str">
        <f aca="false">_xlfn.CONCAT($A$844, ".", A30)</f>
        <v>AR.6.27</v>
      </c>
      <c r="B873" s="7" t="str">
        <f aca="false">_xlfn.CONCAT(B30, ": ", C30)</f>
        <v>Media and Information Technology: Worker</v>
      </c>
      <c r="C873" s="30" t="n">
        <f aca="false">AA30</f>
        <v>72800</v>
      </c>
      <c r="D873" s="30" t="n">
        <f aca="false">AG30</f>
        <v>70720</v>
      </c>
      <c r="E873" s="30" t="n">
        <f aca="false">AM30</f>
        <v>67264</v>
      </c>
      <c r="F873" s="30" t="n">
        <f aca="false">AS30</f>
        <v>73840</v>
      </c>
    </row>
    <row r="874" customFormat="false" ht="12.8" hidden="false" customHeight="false" outlineLevel="0" collapsed="false">
      <c r="A874" s="1" t="str">
        <f aca="false">_xlfn.CONCAT($A$844, ".", A31)</f>
        <v>AR.6.28</v>
      </c>
      <c r="B874" s="7" t="str">
        <f aca="false">_xlfn.CONCAT(B31, ": ", C31)</f>
        <v>Media and Information Technology: Support</v>
      </c>
      <c r="C874" s="30" t="n">
        <f aca="false">AA31</f>
        <v>61984</v>
      </c>
      <c r="D874" s="30" t="n">
        <f aca="false">AG31</f>
        <v>60128</v>
      </c>
      <c r="E874" s="30" t="n">
        <f aca="false">AM31</f>
        <v>57408</v>
      </c>
      <c r="F874" s="30" t="n">
        <f aca="false">AS31</f>
        <v>62832</v>
      </c>
    </row>
    <row r="875" customFormat="false" ht="12.8" hidden="false" customHeight="false" outlineLevel="0" collapsed="false">
      <c r="A875" s="1" t="str">
        <f aca="false">_xlfn.CONCAT($A$844, ".", A32)</f>
        <v>AR.6.29</v>
      </c>
      <c r="B875" s="7" t="str">
        <f aca="false">_xlfn.CONCAT(B32, ": ", C32)</f>
        <v>Government: Worker</v>
      </c>
      <c r="C875" s="30" t="n">
        <f aca="false">AA32</f>
        <v>59904</v>
      </c>
      <c r="D875" s="30" t="n">
        <f aca="false">AG32</f>
        <v>58240</v>
      </c>
      <c r="E875" s="30" t="n">
        <f aca="false">AM32</f>
        <v>55360</v>
      </c>
      <c r="F875" s="30" t="n">
        <f aca="false">AS32</f>
        <v>60736</v>
      </c>
    </row>
    <row r="876" customFormat="false" ht="12.8" hidden="false" customHeight="false" outlineLevel="0" collapsed="false">
      <c r="A876" s="1" t="str">
        <f aca="false">_xlfn.CONCAT($A$844, ".", A33)</f>
        <v>AR.6.30</v>
      </c>
      <c r="B876" s="7" t="str">
        <f aca="false">_xlfn.CONCAT(B33, ": ", C33)</f>
        <v>Government: Support</v>
      </c>
      <c r="C876" s="30" t="n">
        <f aca="false">AA33</f>
        <v>50944</v>
      </c>
      <c r="D876" s="30" t="n">
        <f aca="false">AG33</f>
        <v>49504</v>
      </c>
      <c r="E876" s="30" t="n">
        <f aca="false">AM33</f>
        <v>47008</v>
      </c>
      <c r="F876" s="30" t="n">
        <f aca="false">AS33</f>
        <v>51776</v>
      </c>
    </row>
    <row r="877" customFormat="false" ht="12.8" hidden="false" customHeight="false" outlineLevel="0" collapsed="false">
      <c r="A877" s="1" t="str">
        <f aca="false">_xlfn.CONCAT($A$844, ".", A34)</f>
        <v>AR.6.31</v>
      </c>
      <c r="B877" s="7" t="str">
        <f aca="false">_xlfn.CONCAT(B34, ": ", C34)</f>
        <v>Self-Employed / Non-Employer: Worker</v>
      </c>
      <c r="C877" s="30" t="n">
        <f aca="false">AA34</f>
        <v>46384</v>
      </c>
      <c r="D877" s="30" t="n">
        <f aca="false">AG34</f>
        <v>44928</v>
      </c>
      <c r="E877" s="30" t="n">
        <f aca="false">AM34</f>
        <v>41808</v>
      </c>
      <c r="F877" s="30" t="n">
        <f aca="false">AS34</f>
        <v>47008</v>
      </c>
    </row>
    <row r="878" customFormat="false" ht="12.8" hidden="false" customHeight="false" outlineLevel="0" collapsed="false">
      <c r="A878" s="1" t="str">
        <f aca="false">_xlfn.CONCAT($A$844, ".", A35)</f>
        <v>AR.6.32</v>
      </c>
      <c r="B878" s="7" t="str">
        <f aca="false">_xlfn.CONCAT(B35, ": ", C35)</f>
        <v>Self-Employed / Non-Employer: Support</v>
      </c>
      <c r="C878" s="30" t="n">
        <f aca="false">AA35</f>
        <v>39520</v>
      </c>
      <c r="D878" s="30" t="n">
        <f aca="false">AG35</f>
        <v>38272</v>
      </c>
      <c r="E878" s="30" t="n">
        <f aca="false">AM35</f>
        <v>35568</v>
      </c>
      <c r="F878" s="30" t="n">
        <f aca="false">AS35</f>
        <v>40144</v>
      </c>
    </row>
    <row r="879" customFormat="false" ht="12.8" hidden="false" customHeight="false" outlineLevel="0" collapsed="false">
      <c r="A879" s="1" t="str">
        <f aca="false">_xlfn.CONCAT($A$844, ".", A36)</f>
        <v>AR.6.33</v>
      </c>
      <c r="B879" s="7" t="str">
        <f aca="false">_xlfn.CONCAT(B36, ": ", C36)</f>
        <v>Other Services: Worker</v>
      </c>
      <c r="C879" s="30" t="n">
        <f aca="false">AA36</f>
        <v>40768</v>
      </c>
      <c r="D879" s="30" t="n">
        <f aca="false">AG36</f>
        <v>39520</v>
      </c>
      <c r="E879" s="30" t="n">
        <f aca="false">AM36</f>
        <v>33696</v>
      </c>
      <c r="F879" s="30" t="n">
        <f aca="false">AS36</f>
        <v>41408</v>
      </c>
    </row>
    <row r="880" customFormat="false" ht="12.8" hidden="false" customHeight="false" outlineLevel="0" collapsed="false">
      <c r="A880" s="1" t="str">
        <f aca="false">_xlfn.CONCAT($A$844, ".", A37)</f>
        <v>AR.6.34</v>
      </c>
      <c r="B880" s="7" t="str">
        <f aca="false">_xlfn.CONCAT(B37, ": ", C37)</f>
        <v>Other Services: Support</v>
      </c>
      <c r="C880" s="30" t="n">
        <f aca="false">AA37</f>
        <v>34736</v>
      </c>
      <c r="D880" s="30" t="n">
        <f aca="false">AG37</f>
        <v>33696</v>
      </c>
      <c r="E880" s="30" t="n">
        <f aca="false">AM37</f>
        <v>28720</v>
      </c>
      <c r="F880" s="30" t="n">
        <f aca="false">AS37</f>
        <v>35152</v>
      </c>
    </row>
    <row r="881" customFormat="false" ht="12.8" hidden="false" customHeight="false" outlineLevel="0" collapsed="false">
      <c r="A881" s="1"/>
      <c r="B881" s="7"/>
      <c r="C881" s="30"/>
      <c r="D881" s="30"/>
      <c r="E881" s="30"/>
      <c r="F881" s="30"/>
    </row>
    <row r="882" customFormat="false" ht="12.8" hidden="false" customHeight="false" outlineLevel="0" collapsed="false">
      <c r="A882" s="1"/>
      <c r="B882" s="7"/>
      <c r="C882" s="30"/>
      <c r="D882" s="30"/>
      <c r="E882" s="30"/>
      <c r="F882" s="30"/>
    </row>
    <row r="978" customFormat="false" ht="12.8" hidden="false" customHeight="false" outlineLevel="0" collapsed="false">
      <c r="A978" s="5" t="s">
        <v>171</v>
      </c>
      <c r="B978" s="24" t="s">
        <v>9</v>
      </c>
      <c r="C978" s="25" t="s">
        <v>154</v>
      </c>
    </row>
    <row r="979" customFormat="false" ht="46.25" hidden="false" customHeight="false" outlineLevel="0" collapsed="false">
      <c r="A979" s="5" t="s">
        <v>26</v>
      </c>
      <c r="B979" s="5" t="str">
        <f aca="false">_xlfn.CONCAT(B2, ": ", C2)</f>
        <v>Industry: Role</v>
      </c>
      <c r="C979" s="31" t="str">
        <f aca="false">AV2</f>
        <v>Federal Personal Income Tax Revenue ($)</v>
      </c>
      <c r="D979" s="31" t="str">
        <f aca="false">AW2</f>
        <v>Authorized Immigrant Federal Personal Income Tax Revenue ($)</v>
      </c>
      <c r="E979" s="31" t="str">
        <f aca="false">AX2</f>
        <v>Unauthorized Immigrant Federal Personal Income Tax Revenue ($)</v>
      </c>
      <c r="F979" s="31" t="str">
        <f aca="false">AY2</f>
        <v>American Federal Personal Income Tax Revenue ($)</v>
      </c>
    </row>
    <row r="980" customFormat="false" ht="12.8" hidden="false" customHeight="false" outlineLevel="0" collapsed="false">
      <c r="A980" s="7" t="str">
        <f aca="false">_xlfn.CONCAT($A$978, ".", A3)</f>
        <v>AR.7.0</v>
      </c>
      <c r="B980" s="7" t="str">
        <f aca="false">_xlfn.CONCAT(B3, ": ", C3)</f>
        <v>All Industries: All Roles</v>
      </c>
      <c r="C980" s="31" t="n">
        <f aca="false">AV3</f>
        <v>765000000</v>
      </c>
      <c r="D980" s="31" t="n">
        <f aca="false">AW3</f>
        <v>28900000</v>
      </c>
      <c r="E980" s="31" t="n">
        <f aca="false">AX3</f>
        <v>118000000</v>
      </c>
      <c r="F980" s="31" t="n">
        <f aca="false">AY3</f>
        <v>618200000</v>
      </c>
    </row>
    <row r="981" customFormat="false" ht="12.8" hidden="false" customHeight="false" outlineLevel="0" collapsed="false">
      <c r="A981" s="7" t="str">
        <f aca="false">_xlfn.CONCAT($A$978, ".", A4)</f>
        <v>AR.7.1</v>
      </c>
      <c r="B981" s="7" t="str">
        <f aca="false">_xlfn.CONCAT(B4, ": ", C4)</f>
        <v>Agriculture: Worker</v>
      </c>
      <c r="C981" s="31" t="n">
        <f aca="false">AV4</f>
        <v>2900000</v>
      </c>
      <c r="D981" s="31" t="n">
        <f aca="false">AW4</f>
        <v>90000</v>
      </c>
      <c r="E981" s="31" t="n">
        <f aca="false">AX4</f>
        <v>40000</v>
      </c>
      <c r="F981" s="31" t="n">
        <f aca="false">AY4</f>
        <v>2770000</v>
      </c>
    </row>
    <row r="982" customFormat="false" ht="12.8" hidden="false" customHeight="false" outlineLevel="0" collapsed="false">
      <c r="A982" s="7" t="str">
        <f aca="false">_xlfn.CONCAT($A$978, ".", A5)</f>
        <v>AR.7.2</v>
      </c>
      <c r="B982" s="7" t="str">
        <f aca="false">_xlfn.CONCAT(B5, ": ", C5)</f>
        <v>Agriculture: Support</v>
      </c>
      <c r="C982" s="31" t="n">
        <f aca="false">AV5</f>
        <v>1400000</v>
      </c>
      <c r="D982" s="31" t="n">
        <f aca="false">AW5</f>
        <v>40000</v>
      </c>
      <c r="E982" s="31" t="n">
        <f aca="false">AX5</f>
        <v>20000</v>
      </c>
      <c r="F982" s="31" t="n">
        <f aca="false">AY5</f>
        <v>1340000</v>
      </c>
    </row>
    <row r="983" customFormat="false" ht="12.8" hidden="false" customHeight="false" outlineLevel="0" collapsed="false">
      <c r="A983" s="7" t="str">
        <f aca="false">_xlfn.CONCAT($A$978, ".", A6)</f>
        <v>AR.7.3</v>
      </c>
      <c r="B983" s="7" t="str">
        <f aca="false">_xlfn.CONCAT(B6, ": ", C6)</f>
        <v>Construction: Worker</v>
      </c>
      <c r="C983" s="31" t="n">
        <f aca="false">AV6</f>
        <v>6300000</v>
      </c>
      <c r="D983" s="31" t="n">
        <f aca="false">AW6</f>
        <v>190000</v>
      </c>
      <c r="E983" s="31" t="n">
        <f aca="false">AX6</f>
        <v>90000</v>
      </c>
      <c r="F983" s="31" t="n">
        <f aca="false">AY6</f>
        <v>6040000</v>
      </c>
    </row>
    <row r="984" customFormat="false" ht="12.8" hidden="false" customHeight="false" outlineLevel="0" collapsed="false">
      <c r="A984" s="7" t="str">
        <f aca="false">_xlfn.CONCAT($A$978, ".", A7)</f>
        <v>AR.7.4</v>
      </c>
      <c r="B984" s="7" t="str">
        <f aca="false">_xlfn.CONCAT(B7, ": ", C7)</f>
        <v>Construction: Support</v>
      </c>
      <c r="C984" s="31" t="n">
        <f aca="false">AV7</f>
        <v>3200000</v>
      </c>
      <c r="D984" s="31" t="n">
        <f aca="false">AW7</f>
        <v>90000</v>
      </c>
      <c r="E984" s="31" t="n">
        <f aca="false">AX7</f>
        <v>50000</v>
      </c>
      <c r="F984" s="31" t="n">
        <f aca="false">AY7</f>
        <v>3060000</v>
      </c>
    </row>
    <row r="985" customFormat="false" ht="12.8" hidden="false" customHeight="false" outlineLevel="0" collapsed="false">
      <c r="A985" s="7" t="str">
        <f aca="false">_xlfn.CONCAT($A$978, ".", A8)</f>
        <v>AR.7.5</v>
      </c>
      <c r="B985" s="7" t="str">
        <f aca="false">_xlfn.CONCAT(B8, ": ", C8)</f>
        <v>Hospitality: Worker</v>
      </c>
      <c r="C985" s="31" t="n">
        <f aca="false">AV8</f>
        <v>8700000</v>
      </c>
      <c r="D985" s="31" t="n">
        <f aca="false">AW8</f>
        <v>260000</v>
      </c>
      <c r="E985" s="31" t="n">
        <f aca="false">AX8</f>
        <v>130000</v>
      </c>
      <c r="F985" s="31" t="n">
        <f aca="false">AY8</f>
        <v>8310000</v>
      </c>
    </row>
    <row r="986" customFormat="false" ht="12.8" hidden="false" customHeight="false" outlineLevel="0" collapsed="false">
      <c r="A986" s="7" t="str">
        <f aca="false">_xlfn.CONCAT($A$978, ".", A9)</f>
        <v>AR.7.6</v>
      </c>
      <c r="B986" s="7" t="str">
        <f aca="false">_xlfn.CONCAT(B9, ": ", C9)</f>
        <v>Hospitality: Support</v>
      </c>
      <c r="C986" s="31" t="n">
        <f aca="false">AV9</f>
        <v>4300000</v>
      </c>
      <c r="D986" s="31" t="n">
        <f aca="false">AW9</f>
        <v>130000</v>
      </c>
      <c r="E986" s="31" t="n">
        <f aca="false">AX9</f>
        <v>60000</v>
      </c>
      <c r="F986" s="31" t="n">
        <f aca="false">AY9</f>
        <v>4105000</v>
      </c>
    </row>
    <row r="987" customFormat="false" ht="12.8" hidden="false" customHeight="false" outlineLevel="0" collapsed="false">
      <c r="A987" s="7" t="str">
        <f aca="false">_xlfn.CONCAT($A$978, ".", A10)</f>
        <v>AR.7.7</v>
      </c>
      <c r="B987" s="7" t="str">
        <f aca="false">_xlfn.CONCAT(B10, ": ", C10)</f>
        <v>Cleaning &amp; Maintenance: Worker</v>
      </c>
      <c r="C987" s="31" t="n">
        <f aca="false">AV10</f>
        <v>4300000</v>
      </c>
      <c r="D987" s="31" t="n">
        <f aca="false">AW10</f>
        <v>130000</v>
      </c>
      <c r="E987" s="31" t="n">
        <f aca="false">AX10</f>
        <v>60000</v>
      </c>
      <c r="F987" s="31" t="n">
        <f aca="false">AY10</f>
        <v>4110000</v>
      </c>
    </row>
    <row r="988" customFormat="false" ht="12.8" hidden="false" customHeight="false" outlineLevel="0" collapsed="false">
      <c r="A988" s="7" t="str">
        <f aca="false">_xlfn.CONCAT($A$978, ".", A11)</f>
        <v>AR.7.8</v>
      </c>
      <c r="B988" s="7" t="str">
        <f aca="false">_xlfn.CONCAT(B11, ": ", C11)</f>
        <v>Cleaning &amp; Maintenance: Support</v>
      </c>
      <c r="C988" s="31" t="n">
        <f aca="false">AV11</f>
        <v>2100000</v>
      </c>
      <c r="D988" s="31" t="n">
        <f aca="false">AW11</f>
        <v>60000</v>
      </c>
      <c r="E988" s="31" t="n">
        <f aca="false">AX11</f>
        <v>30000</v>
      </c>
      <c r="F988" s="31" t="n">
        <f aca="false">AY11</f>
        <v>2010000</v>
      </c>
    </row>
    <row r="989" customFormat="false" ht="12.8" hidden="false" customHeight="false" outlineLevel="0" collapsed="false">
      <c r="A989" s="7" t="str">
        <f aca="false">_xlfn.CONCAT($A$978, ".", A12)</f>
        <v>AR.7.9</v>
      </c>
      <c r="B989" s="7" t="str">
        <f aca="false">_xlfn.CONCAT(B12, ": ", C12)</f>
        <v>Manufacturing: Worker</v>
      </c>
      <c r="C989" s="31" t="n">
        <f aca="false">AV12</f>
        <v>1480000000</v>
      </c>
      <c r="D989" s="31" t="n">
        <f aca="false">AW12</f>
        <v>312000000</v>
      </c>
      <c r="E989" s="31" t="n">
        <f aca="false">AX12</f>
        <v>30000000</v>
      </c>
      <c r="F989" s="31" t="n">
        <f aca="false">AY12</f>
        <v>1138000000</v>
      </c>
    </row>
    <row r="990" customFormat="false" ht="12.8" hidden="false" customHeight="false" outlineLevel="0" collapsed="false">
      <c r="A990" s="7" t="str">
        <f aca="false">_xlfn.CONCAT($A$978, ".", A13)</f>
        <v>AR.7.10</v>
      </c>
      <c r="B990" s="7" t="str">
        <f aca="false">_xlfn.CONCAT(B13, ": ", C13)</f>
        <v>Manufacturing: Support</v>
      </c>
      <c r="C990" s="31" t="n">
        <f aca="false">AV13</f>
        <v>630000000</v>
      </c>
      <c r="D990" s="31" t="n">
        <f aca="false">AW13</f>
        <v>133000000</v>
      </c>
      <c r="E990" s="31" t="n">
        <f aca="false">AX13</f>
        <v>13000000</v>
      </c>
      <c r="F990" s="31" t="n">
        <f aca="false">AY13</f>
        <v>484000000</v>
      </c>
    </row>
    <row r="991" customFormat="false" ht="12.8" hidden="false" customHeight="false" outlineLevel="0" collapsed="false">
      <c r="A991" s="7" t="str">
        <f aca="false">_xlfn.CONCAT($A$978, ".", A14)</f>
        <v>AR.7.11</v>
      </c>
      <c r="B991" s="7" t="str">
        <f aca="false">_xlfn.CONCAT(B14, ": ", C14)</f>
        <v>Transportation &amp; Warehousing: Worker</v>
      </c>
      <c r="C991" s="31" t="n">
        <f aca="false">AV14</f>
        <v>1360000000</v>
      </c>
      <c r="D991" s="31" t="n">
        <f aca="false">AW14</f>
        <v>287000000</v>
      </c>
      <c r="E991" s="31" t="n">
        <f aca="false">AX14</f>
        <v>28000000</v>
      </c>
      <c r="F991" s="31" t="n">
        <f aca="false">AY14</f>
        <v>1045000000</v>
      </c>
    </row>
    <row r="992" customFormat="false" ht="12.8" hidden="false" customHeight="false" outlineLevel="0" collapsed="false">
      <c r="A992" s="7" t="str">
        <f aca="false">_xlfn.CONCAT($A$978, ".", A15)</f>
        <v>AR.7.12</v>
      </c>
      <c r="B992" s="7" t="str">
        <f aca="false">_xlfn.CONCAT(B15, ": ", C15)</f>
        <v>Transportation &amp; Warehousing: Support</v>
      </c>
      <c r="C992" s="31" t="n">
        <f aca="false">AV15</f>
        <v>578000000</v>
      </c>
      <c r="D992" s="31" t="n">
        <f aca="false">AW15</f>
        <v>122000000</v>
      </c>
      <c r="E992" s="31" t="n">
        <f aca="false">AX15</f>
        <v>12000000</v>
      </c>
      <c r="F992" s="31" t="n">
        <f aca="false">AY15</f>
        <v>444000000</v>
      </c>
    </row>
    <row r="993" customFormat="false" ht="12.8" hidden="false" customHeight="false" outlineLevel="0" collapsed="false">
      <c r="A993" s="7" t="str">
        <f aca="false">_xlfn.CONCAT($A$978, ".", A16)</f>
        <v>AR.7.13</v>
      </c>
      <c r="B993" s="7" t="str">
        <f aca="false">_xlfn.CONCAT(B16, ": ", C16)</f>
        <v>Retail Trade: Worker</v>
      </c>
      <c r="C993" s="31" t="n">
        <f aca="false">AV16</f>
        <v>4840000000</v>
      </c>
      <c r="D993" s="31" t="n">
        <f aca="false">AW16</f>
        <v>1022000000</v>
      </c>
      <c r="E993" s="31" t="n">
        <f aca="false">AX16</f>
        <v>95000000</v>
      </c>
      <c r="F993" s="31" t="n">
        <f aca="false">AY16</f>
        <v>3723000000</v>
      </c>
    </row>
    <row r="994" customFormat="false" ht="12.8" hidden="false" customHeight="false" outlineLevel="0" collapsed="false">
      <c r="A994" s="7" t="str">
        <f aca="false">_xlfn.CONCAT($A$978, ".", A17)</f>
        <v>AR.7.14</v>
      </c>
      <c r="B994" s="7" t="str">
        <f aca="false">_xlfn.CONCAT(B17, ": ", C17)</f>
        <v>Retail Trade: Support</v>
      </c>
      <c r="C994" s="31" t="n">
        <f aca="false">AV17</f>
        <v>2050000000</v>
      </c>
      <c r="D994" s="31" t="n">
        <f aca="false">AW17</f>
        <v>433000000</v>
      </c>
      <c r="E994" s="31" t="n">
        <f aca="false">AX17</f>
        <v>40000000</v>
      </c>
      <c r="F994" s="31" t="n">
        <f aca="false">AY17</f>
        <v>1577000000</v>
      </c>
    </row>
    <row r="995" customFormat="false" ht="12.8" hidden="false" customHeight="false" outlineLevel="0" collapsed="false">
      <c r="A995" s="7" t="str">
        <f aca="false">_xlfn.CONCAT($A$978, ".", A18)</f>
        <v>AR.7.15</v>
      </c>
      <c r="B995" s="7" t="str">
        <f aca="false">_xlfn.CONCAT(B18, ": ", C18)</f>
        <v>Landscaping / Groundskeeping: Worker</v>
      </c>
      <c r="C995" s="31" t="n">
        <f aca="false">AV18</f>
        <v>280000000</v>
      </c>
      <c r="D995" s="31" t="n">
        <f aca="false">AW18</f>
        <v>59000000</v>
      </c>
      <c r="E995" s="31" t="n">
        <f aca="false">AX18</f>
        <v>5500000</v>
      </c>
      <c r="F995" s="31" t="n">
        <f aca="false">AY18</f>
        <v>215500000</v>
      </c>
    </row>
    <row r="996" customFormat="false" ht="12.8" hidden="false" customHeight="false" outlineLevel="0" collapsed="false">
      <c r="A996" s="7" t="str">
        <f aca="false">_xlfn.CONCAT($A$978, ".", A19)</f>
        <v>AR.7.16</v>
      </c>
      <c r="B996" s="7" t="str">
        <f aca="false">_xlfn.CONCAT(B19, ": ", C19)</f>
        <v>Landscaping / Groundskeeping: Support</v>
      </c>
      <c r="C996" s="31" t="n">
        <f aca="false">AV19</f>
        <v>119000000</v>
      </c>
      <c r="D996" s="31" t="n">
        <f aca="false">AW19</f>
        <v>25000000</v>
      </c>
      <c r="E996" s="31" t="n">
        <f aca="false">AX19</f>
        <v>2500000</v>
      </c>
      <c r="F996" s="31" t="n">
        <f aca="false">AY19</f>
        <v>91500000</v>
      </c>
    </row>
    <row r="997" customFormat="false" ht="12.8" hidden="false" customHeight="false" outlineLevel="0" collapsed="false">
      <c r="A997" s="7" t="str">
        <f aca="false">_xlfn.CONCAT($A$978, ".", A20)</f>
        <v>AR.7.17</v>
      </c>
      <c r="B997" s="7" t="str">
        <f aca="false">_xlfn.CONCAT(B20, ": ", C20)</f>
        <v>Automotive &amp; Repair: Worker</v>
      </c>
      <c r="C997" s="31" t="n">
        <f aca="false">AV20</f>
        <v>315000000</v>
      </c>
      <c r="D997" s="31" t="n">
        <f aca="false">AW20</f>
        <v>66000000</v>
      </c>
      <c r="E997" s="31" t="n">
        <f aca="false">AX20</f>
        <v>6500000</v>
      </c>
      <c r="F997" s="31" t="n">
        <f aca="false">AY20</f>
        <v>242500000</v>
      </c>
    </row>
    <row r="998" customFormat="false" ht="12.8" hidden="false" customHeight="false" outlineLevel="0" collapsed="false">
      <c r="A998" s="7" t="str">
        <f aca="false">_xlfn.CONCAT($A$978, ".", A21)</f>
        <v>AR.7.18</v>
      </c>
      <c r="B998" s="7" t="str">
        <f aca="false">_xlfn.CONCAT(B21, ": ", C21)</f>
        <v>Automotive &amp; Repair: Support</v>
      </c>
      <c r="C998" s="31" t="n">
        <f aca="false">AV21</f>
        <v>133000000</v>
      </c>
      <c r="D998" s="31" t="n">
        <f aca="false">AW21</f>
        <v>28000000</v>
      </c>
      <c r="E998" s="31" t="n">
        <f aca="false">AX21</f>
        <v>3000000</v>
      </c>
      <c r="F998" s="31" t="n">
        <f aca="false">AY21</f>
        <v>102000000</v>
      </c>
    </row>
    <row r="999" customFormat="false" ht="12.8" hidden="false" customHeight="false" outlineLevel="0" collapsed="false">
      <c r="A999" s="7" t="str">
        <f aca="false">_xlfn.CONCAT($A$978, ".", A22)</f>
        <v>AR.7.19</v>
      </c>
      <c r="B999" s="7" t="str">
        <f aca="false">_xlfn.CONCAT(B22, ": ", C22)</f>
        <v>Healthcare &amp; Social Assistance: Worker</v>
      </c>
      <c r="C999" s="31" t="n">
        <f aca="false">AV22</f>
        <v>5700000000</v>
      </c>
      <c r="D999" s="31" t="n">
        <f aca="false">AW22</f>
        <v>1200000000</v>
      </c>
      <c r="E999" s="31" t="n">
        <f aca="false">AX22</f>
        <v>125000000</v>
      </c>
      <c r="F999" s="31" t="n">
        <f aca="false">AY22</f>
        <v>4375000000</v>
      </c>
    </row>
    <row r="1000" customFormat="false" ht="12.8" hidden="false" customHeight="false" outlineLevel="0" collapsed="false">
      <c r="A1000" s="7" t="str">
        <f aca="false">_xlfn.CONCAT($A$978, ".", A23)</f>
        <v>AR.7.20</v>
      </c>
      <c r="B1000" s="7" t="str">
        <f aca="false">_xlfn.CONCAT(B23, ": ", C23)</f>
        <v>Healthcare &amp; Social Assistance: Support</v>
      </c>
      <c r="C1000" s="31" t="n">
        <f aca="false">AV23</f>
        <v>2420000000</v>
      </c>
      <c r="D1000" s="31" t="n">
        <f aca="false">AW23</f>
        <v>510000000</v>
      </c>
      <c r="E1000" s="31" t="n">
        <f aca="false">AX23</f>
        <v>53000000</v>
      </c>
      <c r="F1000" s="31" t="n">
        <f aca="false">AY23</f>
        <v>1859000000</v>
      </c>
    </row>
    <row r="1001" customFormat="false" ht="12.8" hidden="false" customHeight="false" outlineLevel="0" collapsed="false">
      <c r="A1001" s="7" t="str">
        <f aca="false">_xlfn.CONCAT($A$978, ".", A24)</f>
        <v>AR.7.21</v>
      </c>
      <c r="B1001" s="7" t="str">
        <f aca="false">_xlfn.CONCAT(B24, ": ", C24)</f>
        <v>Professional Services: Worker</v>
      </c>
      <c r="C1001" s="31" t="n">
        <f aca="false">AV24</f>
        <v>10400000000</v>
      </c>
      <c r="D1001" s="31" t="n">
        <f aca="false">AW24</f>
        <v>2190000000</v>
      </c>
      <c r="E1001" s="31" t="n">
        <f aca="false">AX24</f>
        <v>230000000</v>
      </c>
      <c r="F1001" s="31" t="n">
        <f aca="false">AY24</f>
        <v>8000000000</v>
      </c>
    </row>
    <row r="1002" customFormat="false" ht="12.8" hidden="false" customHeight="false" outlineLevel="0" collapsed="false">
      <c r="A1002" s="7" t="str">
        <f aca="false">_xlfn.CONCAT($A$978, ".", A25)</f>
        <v>AR.7.22</v>
      </c>
      <c r="B1002" s="7" t="str">
        <f aca="false">_xlfn.CONCAT(B25, ": ", C25)</f>
        <v>Professional Services: Support</v>
      </c>
      <c r="C1002" s="31" t="n">
        <f aca="false">AV25</f>
        <v>4420000000</v>
      </c>
      <c r="D1002" s="31" t="n">
        <f aca="false">AW25</f>
        <v>930000000</v>
      </c>
      <c r="E1002" s="31" t="n">
        <f aca="false">AX25</f>
        <v>98000000</v>
      </c>
      <c r="F1002" s="31" t="n">
        <f aca="false">AY25</f>
        <v>3390000000</v>
      </c>
    </row>
    <row r="1003" customFormat="false" ht="12.8" hidden="false" customHeight="false" outlineLevel="0" collapsed="false">
      <c r="A1003" s="7" t="str">
        <f aca="false">_xlfn.CONCAT($A$978, ".", A26)</f>
        <v>AR.7.23</v>
      </c>
      <c r="B1003" s="7" t="str">
        <f aca="false">_xlfn.CONCAT(B26, ": ", C26)</f>
        <v>Educational Services: Worker</v>
      </c>
      <c r="C1003" s="31" t="n">
        <f aca="false">AV26</f>
        <v>1870000000</v>
      </c>
      <c r="D1003" s="31" t="n">
        <f aca="false">AW26</f>
        <v>394000000</v>
      </c>
      <c r="E1003" s="31" t="n">
        <f aca="false">AX26</f>
        <v>40000000</v>
      </c>
      <c r="F1003" s="31" t="n">
        <f aca="false">AY26</f>
        <v>1436000000</v>
      </c>
    </row>
    <row r="1004" customFormat="false" ht="12.8" hidden="false" customHeight="false" outlineLevel="0" collapsed="false">
      <c r="A1004" s="7" t="str">
        <f aca="false">_xlfn.CONCAT($A$978, ".", A27)</f>
        <v>AR.7.24</v>
      </c>
      <c r="B1004" s="7" t="str">
        <f aca="false">_xlfn.CONCAT(B27, ": ", C27)</f>
        <v>Educational Services: Support</v>
      </c>
      <c r="C1004" s="31" t="n">
        <f aca="false">AV27</f>
        <v>794000000</v>
      </c>
      <c r="D1004" s="31" t="n">
        <f aca="false">AW27</f>
        <v>167000000</v>
      </c>
      <c r="E1004" s="31" t="n">
        <f aca="false">AX27</f>
        <v>17000000</v>
      </c>
      <c r="F1004" s="31" t="n">
        <f aca="false">AY27</f>
        <v>610000000</v>
      </c>
    </row>
    <row r="1005" customFormat="false" ht="12.8" hidden="false" customHeight="false" outlineLevel="0" collapsed="false">
      <c r="A1005" s="7" t="str">
        <f aca="false">_xlfn.CONCAT($A$978, ".", A28)</f>
        <v>AR.7.25</v>
      </c>
      <c r="B1005" s="7" t="str">
        <f aca="false">_xlfn.CONCAT(B28, ": ", C28)</f>
        <v>Finance &amp; Insurance: Worker</v>
      </c>
      <c r="C1005" s="31" t="n">
        <f aca="false">AV28</f>
        <v>4560000000</v>
      </c>
      <c r="D1005" s="31" t="n">
        <f aca="false">AW28</f>
        <v>960000000</v>
      </c>
      <c r="E1005" s="31" t="n">
        <f aca="false">AX28</f>
        <v>100000000</v>
      </c>
      <c r="F1005" s="31" t="n">
        <f aca="false">AY28</f>
        <v>3500000000</v>
      </c>
    </row>
    <row r="1006" customFormat="false" ht="12.8" hidden="false" customHeight="false" outlineLevel="0" collapsed="false">
      <c r="A1006" s="7" t="str">
        <f aca="false">_xlfn.CONCAT($A$978, ".", A29)</f>
        <v>AR.7.26</v>
      </c>
      <c r="B1006" s="7" t="str">
        <f aca="false">_xlfn.CONCAT(B29, ": ", C29)</f>
        <v>Finance &amp; Insurance: Support</v>
      </c>
      <c r="C1006" s="31" t="n">
        <f aca="false">AV29</f>
        <v>1930000000</v>
      </c>
      <c r="D1006" s="31" t="n">
        <f aca="false">AW29</f>
        <v>406000000</v>
      </c>
      <c r="E1006" s="31" t="n">
        <f aca="false">AX29</f>
        <v>43000000</v>
      </c>
      <c r="F1006" s="31" t="n">
        <f aca="false">AY29</f>
        <v>1481000000</v>
      </c>
    </row>
    <row r="1007" customFormat="false" ht="12.8" hidden="false" customHeight="false" outlineLevel="0" collapsed="false">
      <c r="A1007" s="7" t="str">
        <f aca="false">_xlfn.CONCAT($A$978, ".", A30)</f>
        <v>AR.7.27</v>
      </c>
      <c r="B1007" s="7" t="str">
        <f aca="false">_xlfn.CONCAT(B30, ": ", C30)</f>
        <v>Media and Information Technology: Worker</v>
      </c>
      <c r="C1007" s="31" t="n">
        <f aca="false">AV30</f>
        <v>950000000</v>
      </c>
      <c r="D1007" s="31" t="n">
        <f aca="false">AW30</f>
        <v>200000000</v>
      </c>
      <c r="E1007" s="31" t="n">
        <f aca="false">AX30</f>
        <v>21000000</v>
      </c>
      <c r="F1007" s="31" t="n">
        <f aca="false">AY30</f>
        <v>729000000</v>
      </c>
    </row>
    <row r="1008" customFormat="false" ht="12.8" hidden="false" customHeight="false" outlineLevel="0" collapsed="false">
      <c r="A1008" s="7" t="str">
        <f aca="false">_xlfn.CONCAT($A$978, ".", A31)</f>
        <v>AR.7.28</v>
      </c>
      <c r="B1008" s="7" t="str">
        <f aca="false">_xlfn.CONCAT(B31, ": ", C31)</f>
        <v>Media and Information Technology: Support</v>
      </c>
      <c r="C1008" s="31" t="n">
        <f aca="false">AV31</f>
        <v>403000000</v>
      </c>
      <c r="D1008" s="31" t="n">
        <f aca="false">AW31</f>
        <v>85000000</v>
      </c>
      <c r="E1008" s="31" t="n">
        <f aca="false">AX31</f>
        <v>9000000</v>
      </c>
      <c r="F1008" s="31" t="n">
        <f aca="false">AY31</f>
        <v>309000000</v>
      </c>
    </row>
    <row r="1009" customFormat="false" ht="12.8" hidden="false" customHeight="false" outlineLevel="0" collapsed="false">
      <c r="A1009" s="7" t="str">
        <f aca="false">_xlfn.CONCAT($A$978, ".", A32)</f>
        <v>AR.7.29</v>
      </c>
      <c r="B1009" s="7" t="str">
        <f aca="false">_xlfn.CONCAT(B32, ": ", C32)</f>
        <v>Government: Worker</v>
      </c>
      <c r="C1009" s="31" t="n">
        <f aca="false">AV32</f>
        <v>4200000000</v>
      </c>
      <c r="D1009" s="31" t="n">
        <f aca="false">AW32</f>
        <v>884000000</v>
      </c>
      <c r="E1009" s="31" t="n">
        <f aca="false">AX32</f>
        <v>90000000</v>
      </c>
      <c r="F1009" s="31" t="n">
        <f aca="false">AY32</f>
        <v>3226000000</v>
      </c>
    </row>
    <row r="1010" customFormat="false" ht="12.8" hidden="false" customHeight="false" outlineLevel="0" collapsed="false">
      <c r="A1010" s="7" t="str">
        <f aca="false">_xlfn.CONCAT($A$978, ".", A33)</f>
        <v>AR.7.30</v>
      </c>
      <c r="B1010" s="7" t="str">
        <f aca="false">_xlfn.CONCAT(B33, ": ", C33)</f>
        <v>Government: Support</v>
      </c>
      <c r="C1010" s="31" t="n">
        <f aca="false">AV33</f>
        <v>1780000000</v>
      </c>
      <c r="D1010" s="31" t="n">
        <f aca="false">AW33</f>
        <v>375000000</v>
      </c>
      <c r="E1010" s="31" t="n">
        <f aca="false">AX33</f>
        <v>38000000</v>
      </c>
      <c r="F1010" s="31" t="n">
        <f aca="false">AY33</f>
        <v>1367000000</v>
      </c>
    </row>
    <row r="1011" customFormat="false" ht="12.8" hidden="false" customHeight="false" outlineLevel="0" collapsed="false">
      <c r="A1011" s="7" t="str">
        <f aca="false">_xlfn.CONCAT($A$978, ".", A34)</f>
        <v>AR.7.31</v>
      </c>
      <c r="B1011" s="7" t="str">
        <f aca="false">_xlfn.CONCAT(B34, ": ", C34)</f>
        <v>Self-Employed / Non-Employer: Worker</v>
      </c>
      <c r="C1011" s="31" t="n">
        <f aca="false">AV34</f>
        <v>750000000</v>
      </c>
      <c r="D1011" s="31" t="n">
        <f aca="false">AW34</f>
        <v>30000000</v>
      </c>
      <c r="E1011" s="31" t="n">
        <f aca="false">AX34</f>
        <v>15000000</v>
      </c>
      <c r="F1011" s="31" t="n">
        <f aca="false">AY34</f>
        <v>705000000</v>
      </c>
    </row>
    <row r="1012" customFormat="false" ht="12.8" hidden="false" customHeight="false" outlineLevel="0" collapsed="false">
      <c r="A1012" s="7" t="str">
        <f aca="false">_xlfn.CONCAT($A$978, ".", A35)</f>
        <v>AR.7.32</v>
      </c>
      <c r="B1012" s="7" t="str">
        <f aca="false">_xlfn.CONCAT(B35, ": ", C35)</f>
        <v>Self-Employed / Non-Employer: Support</v>
      </c>
      <c r="C1012" s="31" t="n">
        <f aca="false">AV35</f>
        <v>83000000</v>
      </c>
      <c r="D1012" s="31" t="n">
        <f aca="false">AW35</f>
        <v>3300000</v>
      </c>
      <c r="E1012" s="31" t="n">
        <f aca="false">AX35</f>
        <v>1700000</v>
      </c>
      <c r="F1012" s="31" t="n">
        <f aca="false">AY35</f>
        <v>77900000</v>
      </c>
    </row>
    <row r="1013" customFormat="false" ht="12.8" hidden="false" customHeight="false" outlineLevel="0" collapsed="false">
      <c r="A1013" s="7" t="str">
        <f aca="false">_xlfn.CONCAT($A$978, ".", A36)</f>
        <v>AR.7.33</v>
      </c>
      <c r="B1013" s="7" t="str">
        <f aca="false">_xlfn.CONCAT(B36, ": ", C36)</f>
        <v>Other Services: Worker</v>
      </c>
      <c r="C1013" s="31" t="n">
        <f aca="false">AV36</f>
        <v>1005000000</v>
      </c>
      <c r="D1013" s="31" t="n">
        <f aca="false">AW36</f>
        <v>212000000</v>
      </c>
      <c r="E1013" s="31" t="n">
        <f aca="false">AX36</f>
        <v>20000000</v>
      </c>
      <c r="F1013" s="31" t="n">
        <f aca="false">AY36</f>
        <v>772000000</v>
      </c>
    </row>
    <row r="1014" customFormat="false" ht="12.8" hidden="false" customHeight="false" outlineLevel="0" collapsed="false">
      <c r="A1014" s="7" t="str">
        <f aca="false">_xlfn.CONCAT($A$978, ".", A37)</f>
        <v>AR.7.34</v>
      </c>
      <c r="B1014" s="7" t="str">
        <f aca="false">_xlfn.CONCAT(B37, ": ", C37)</f>
        <v>Other Services: Support</v>
      </c>
      <c r="C1014" s="31" t="n">
        <f aca="false">AV37</f>
        <v>427000000</v>
      </c>
      <c r="D1014" s="31" t="n">
        <f aca="false">AW37</f>
        <v>90000000</v>
      </c>
      <c r="E1014" s="31" t="n">
        <f aca="false">AX37</f>
        <v>8500000</v>
      </c>
      <c r="F1014" s="31" t="n">
        <f aca="false">AY37</f>
        <v>328000000</v>
      </c>
    </row>
    <row r="1112" customFormat="false" ht="12.8" hidden="false" customHeight="false" outlineLevel="0" collapsed="false">
      <c r="A1112" s="5" t="s">
        <v>172</v>
      </c>
      <c r="B1112" s="24" t="s">
        <v>9</v>
      </c>
      <c r="C1112" s="25" t="s">
        <v>156</v>
      </c>
    </row>
    <row r="1113" customFormat="false" ht="34.4" hidden="false" customHeight="false" outlineLevel="0" collapsed="false">
      <c r="A1113" s="5" t="s">
        <v>26</v>
      </c>
      <c r="B1113" s="5" t="str">
        <f aca="false">_xlfn.CONCAT(B2, ": ", C2)</f>
        <v>Industry: Role</v>
      </c>
      <c r="C1113" s="31" t="str">
        <f aca="false">AZ2</f>
        <v>Payroll Tax Revenue ($)</v>
      </c>
      <c r="D1113" s="31" t="str">
        <f aca="false">BA2</f>
        <v>Authorized Immigrant Payroll Tax Revenue ($)</v>
      </c>
      <c r="E1113" s="31" t="str">
        <f aca="false">BB2</f>
        <v>Unauthorized Immigrant Payroll Tax Revenue ($)</v>
      </c>
      <c r="F1113" s="31" t="str">
        <f aca="false">BC2</f>
        <v>American Payroll Tax Revenue ($)</v>
      </c>
    </row>
    <row r="1114" customFormat="false" ht="12.8" hidden="false" customHeight="false" outlineLevel="0" collapsed="false">
      <c r="A1114" s="5" t="str">
        <f aca="false">_xlfn.CONCAT($A$978, ".", A3)</f>
        <v>AR.7.0</v>
      </c>
      <c r="B1114" s="5" t="str">
        <f aca="false">_xlfn.CONCAT(B3, ": ", C3)</f>
        <v>All Industries: All Roles</v>
      </c>
      <c r="C1114" s="31" t="n">
        <f aca="false">AZ3</f>
        <v>395000000</v>
      </c>
      <c r="D1114" s="31" t="n">
        <f aca="false">BA3</f>
        <v>14300000</v>
      </c>
      <c r="E1114" s="31" t="n">
        <f aca="false">BB3</f>
        <v>59500000</v>
      </c>
      <c r="F1114" s="31" t="n">
        <f aca="false">BC3</f>
        <v>321200000</v>
      </c>
    </row>
    <row r="1115" customFormat="false" ht="12.8" hidden="false" customHeight="false" outlineLevel="0" collapsed="false">
      <c r="A1115" s="7" t="str">
        <f aca="false">_xlfn.CONCAT($A$978, ".", A4)</f>
        <v>AR.7.1</v>
      </c>
      <c r="B1115" s="7" t="str">
        <f aca="false">_xlfn.CONCAT(B4, ": ", C4)</f>
        <v>Agriculture: Worker</v>
      </c>
      <c r="C1115" s="17" t="n">
        <f aca="false">AZ4</f>
        <v>1500000</v>
      </c>
      <c r="D1115" s="17" t="n">
        <f aca="false">BA4</f>
        <v>50000</v>
      </c>
      <c r="E1115" s="17" t="n">
        <f aca="false">BB4</f>
        <v>20000</v>
      </c>
      <c r="F1115" s="17" t="n">
        <f aca="false">BC4</f>
        <v>1150000</v>
      </c>
    </row>
    <row r="1116" customFormat="false" ht="12.8" hidden="false" customHeight="false" outlineLevel="0" collapsed="false">
      <c r="A1116" s="7" t="str">
        <f aca="false">_xlfn.CONCAT($A$978, ".", A5)</f>
        <v>AR.7.2</v>
      </c>
      <c r="B1116" s="7" t="str">
        <f aca="false">_xlfn.CONCAT(B5, ": ", C5)</f>
        <v>Agriculture: Support</v>
      </c>
      <c r="C1116" s="17" t="n">
        <f aca="false">AZ5</f>
        <v>700000</v>
      </c>
      <c r="D1116" s="17" t="n">
        <f aca="false">BA5</f>
        <v>20000</v>
      </c>
      <c r="E1116" s="17" t="n">
        <f aca="false">BB5</f>
        <v>10000</v>
      </c>
      <c r="F1116" s="17" t="n">
        <f aca="false">BC5</f>
        <v>550000</v>
      </c>
    </row>
    <row r="1117" customFormat="false" ht="12.8" hidden="false" customHeight="false" outlineLevel="0" collapsed="false">
      <c r="A1117" s="7" t="str">
        <f aca="false">_xlfn.CONCAT($A$978, ".", A6)</f>
        <v>AR.7.3</v>
      </c>
      <c r="B1117" s="7" t="str">
        <f aca="false">_xlfn.CONCAT(B6, ": ", C6)</f>
        <v>Construction: Worker</v>
      </c>
      <c r="C1117" s="17" t="n">
        <f aca="false">AZ6</f>
        <v>3200000</v>
      </c>
      <c r="D1117" s="17" t="n">
        <f aca="false">BA6</f>
        <v>90000</v>
      </c>
      <c r="E1117" s="17" t="n">
        <f aca="false">BB6</f>
        <v>40000</v>
      </c>
      <c r="F1117" s="17" t="n">
        <f aca="false">BC6</f>
        <v>3080000</v>
      </c>
    </row>
    <row r="1118" customFormat="false" ht="12.8" hidden="false" customHeight="false" outlineLevel="0" collapsed="false">
      <c r="A1118" s="7" t="str">
        <f aca="false">_xlfn.CONCAT($A$978, ".", A7)</f>
        <v>AR.7.4</v>
      </c>
      <c r="B1118" s="7" t="str">
        <f aca="false">_xlfn.CONCAT(B7, ": ", C7)</f>
        <v>Construction: Support</v>
      </c>
      <c r="C1118" s="17" t="n">
        <f aca="false">AZ7</f>
        <v>1600000</v>
      </c>
      <c r="D1118" s="17" t="n">
        <f aca="false">BA7</f>
        <v>50000</v>
      </c>
      <c r="E1118" s="17" t="n">
        <f aca="false">BB7</f>
        <v>20000</v>
      </c>
      <c r="F1118" s="17" t="n">
        <f aca="false">BC7</f>
        <v>1540000</v>
      </c>
    </row>
    <row r="1119" customFormat="false" ht="12.8" hidden="false" customHeight="false" outlineLevel="0" collapsed="false">
      <c r="A1119" s="7" t="str">
        <f aca="false">_xlfn.CONCAT($A$978, ".", A8)</f>
        <v>AR.7.5</v>
      </c>
      <c r="B1119" s="7" t="str">
        <f aca="false">_xlfn.CONCAT(B8, ": ", C8)</f>
        <v>Hospitality: Worker</v>
      </c>
      <c r="C1119" s="17" t="n">
        <f aca="false">AZ8</f>
        <v>4400000</v>
      </c>
      <c r="D1119" s="17" t="n">
        <f aca="false">BA8</f>
        <v>130000</v>
      </c>
      <c r="E1119" s="17" t="n">
        <f aca="false">BB8</f>
        <v>60000</v>
      </c>
      <c r="F1119" s="17" t="n">
        <f aca="false">BC8</f>
        <v>4210000</v>
      </c>
    </row>
    <row r="1120" customFormat="false" ht="12.8" hidden="false" customHeight="false" outlineLevel="0" collapsed="false">
      <c r="A1120" s="7" t="str">
        <f aca="false">_xlfn.CONCAT($A$978, ".", A9)</f>
        <v>AR.7.6</v>
      </c>
      <c r="B1120" s="7" t="str">
        <f aca="false">_xlfn.CONCAT(B9, ": ", C9)</f>
        <v>Hospitality: Support</v>
      </c>
      <c r="C1120" s="17" t="n">
        <f aca="false">AZ9</f>
        <v>2200000</v>
      </c>
      <c r="D1120" s="17" t="n">
        <f aca="false">BA9</f>
        <v>60000</v>
      </c>
      <c r="E1120" s="17" t="n">
        <f aca="false">BB9</f>
        <v>30000</v>
      </c>
      <c r="F1120" s="17" t="n">
        <f aca="false">BC9</f>
        <v>2105000</v>
      </c>
    </row>
    <row r="1121" customFormat="false" ht="12.8" hidden="false" customHeight="false" outlineLevel="0" collapsed="false">
      <c r="A1121" s="7" t="str">
        <f aca="false">_xlfn.CONCAT($A$978, ".", A10)</f>
        <v>AR.7.7</v>
      </c>
      <c r="B1121" s="7" t="str">
        <f aca="false">_xlfn.CONCAT(B10, ": ", C10)</f>
        <v>Cleaning &amp; Maintenance: Worker</v>
      </c>
      <c r="C1121" s="17" t="n">
        <f aca="false">AZ10</f>
        <v>2200000</v>
      </c>
      <c r="D1121" s="17" t="n">
        <f aca="false">BA10</f>
        <v>60000</v>
      </c>
      <c r="E1121" s="17" t="n">
        <f aca="false">BB10</f>
        <v>30000</v>
      </c>
      <c r="F1121" s="17" t="n">
        <f aca="false">BC10</f>
        <v>2110000</v>
      </c>
    </row>
    <row r="1122" customFormat="false" ht="12.8" hidden="false" customHeight="false" outlineLevel="0" collapsed="false">
      <c r="A1122" s="7" t="str">
        <f aca="false">_xlfn.CONCAT($A$978, ".", A11)</f>
        <v>AR.7.8</v>
      </c>
      <c r="B1122" s="7" t="str">
        <f aca="false">_xlfn.CONCAT(B11, ": ", C11)</f>
        <v>Cleaning &amp; Maintenance: Support</v>
      </c>
      <c r="C1122" s="17" t="n">
        <f aca="false">AZ11</f>
        <v>1100000</v>
      </c>
      <c r="D1122" s="17" t="n">
        <f aca="false">BA11</f>
        <v>30000</v>
      </c>
      <c r="E1122" s="17" t="n">
        <f aca="false">BB11</f>
        <v>15000</v>
      </c>
      <c r="F1122" s="17" t="n">
        <f aca="false">BC11</f>
        <v>1055000</v>
      </c>
    </row>
    <row r="1123" customFormat="false" ht="12.8" hidden="false" customHeight="false" outlineLevel="0" collapsed="false">
      <c r="A1123" s="7" t="str">
        <f aca="false">_xlfn.CONCAT($A$978, ".", A12)</f>
        <v>AR.7.9</v>
      </c>
      <c r="B1123" s="7" t="str">
        <f aca="false">_xlfn.CONCAT(B12, ": ", C12)</f>
        <v>Manufacturing: Worker</v>
      </c>
      <c r="C1123" s="17" t="n">
        <f aca="false">AZ12</f>
        <v>978000000</v>
      </c>
      <c r="D1123" s="17" t="n">
        <f aca="false">BA12</f>
        <v>207000000</v>
      </c>
      <c r="E1123" s="17" t="n">
        <f aca="false">BB12</f>
        <v>13000000</v>
      </c>
      <c r="F1123" s="17" t="n">
        <f aca="false">BC12</f>
        <v>758000000</v>
      </c>
    </row>
    <row r="1124" customFormat="false" ht="12.8" hidden="false" customHeight="false" outlineLevel="0" collapsed="false">
      <c r="A1124" s="7" t="str">
        <f aca="false">_xlfn.CONCAT($A$978, ".", A13)</f>
        <v>AR.7.10</v>
      </c>
      <c r="B1124" s="7" t="str">
        <f aca="false">_xlfn.CONCAT(B13, ": ", C13)</f>
        <v>Manufacturing: Support</v>
      </c>
      <c r="C1124" s="17" t="n">
        <f aca="false">AZ13</f>
        <v>416000000</v>
      </c>
      <c r="D1124" s="17" t="n">
        <f aca="false">BA13</f>
        <v>88000000</v>
      </c>
      <c r="E1124" s="17" t="n">
        <f aca="false">BB13</f>
        <v>5000000</v>
      </c>
      <c r="F1124" s="17" t="n">
        <f aca="false">BC13</f>
        <v>322000000</v>
      </c>
    </row>
    <row r="1125" customFormat="false" ht="12.8" hidden="false" customHeight="false" outlineLevel="0" collapsed="false">
      <c r="A1125" s="7" t="str">
        <f aca="false">_xlfn.CONCAT($A$978, ".", A14)</f>
        <v>AR.7.11</v>
      </c>
      <c r="B1125" s="7" t="str">
        <f aca="false">_xlfn.CONCAT(B14, ": ", C14)</f>
        <v>Transportation &amp; Warehousing: Worker</v>
      </c>
      <c r="C1125" s="17" t="n">
        <f aca="false">AZ14</f>
        <v>984000000</v>
      </c>
      <c r="D1125" s="17" t="n">
        <f aca="false">BA14</f>
        <v>209000000</v>
      </c>
      <c r="E1125" s="17" t="n">
        <f aca="false">BB14</f>
        <v>13000000</v>
      </c>
      <c r="F1125" s="17" t="n">
        <f aca="false">BC14</f>
        <v>762000000</v>
      </c>
    </row>
    <row r="1126" customFormat="false" ht="12.8" hidden="false" customHeight="false" outlineLevel="0" collapsed="false">
      <c r="A1126" s="7" t="str">
        <f aca="false">_xlfn.CONCAT($A$978, ".", A15)</f>
        <v>AR.7.12</v>
      </c>
      <c r="B1126" s="7" t="str">
        <f aca="false">_xlfn.CONCAT(B15, ": ", C15)</f>
        <v>Transportation &amp; Warehousing: Support</v>
      </c>
      <c r="C1126" s="17" t="n">
        <f aca="false">AZ15</f>
        <v>418000000</v>
      </c>
      <c r="D1126" s="17" t="n">
        <f aca="false">BA15</f>
        <v>89000000</v>
      </c>
      <c r="E1126" s="17" t="n">
        <f aca="false">BB15</f>
        <v>6000000</v>
      </c>
      <c r="F1126" s="17" t="n">
        <f aca="false">BC15</f>
        <v>323000000</v>
      </c>
    </row>
    <row r="1127" customFormat="false" ht="12.8" hidden="false" customHeight="false" outlineLevel="0" collapsed="false">
      <c r="A1127" s="7" t="str">
        <f aca="false">_xlfn.CONCAT($A$978, ".", A16)</f>
        <v>AR.7.13</v>
      </c>
      <c r="B1127" s="7" t="str">
        <f aca="false">_xlfn.CONCAT(B16, ": ", C16)</f>
        <v>Retail Trade: Worker</v>
      </c>
      <c r="C1127" s="17" t="n">
        <f aca="false">AZ16</f>
        <v>3870000000</v>
      </c>
      <c r="D1127" s="17" t="n">
        <f aca="false">BA16</f>
        <v>823000000</v>
      </c>
      <c r="E1127" s="17" t="n">
        <f aca="false">BB16</f>
        <v>50000000</v>
      </c>
      <c r="F1127" s="17" t="n">
        <f aca="false">BC16</f>
        <v>2995000000</v>
      </c>
    </row>
    <row r="1128" customFormat="false" ht="12.8" hidden="false" customHeight="false" outlineLevel="0" collapsed="false">
      <c r="A1128" s="7" t="str">
        <f aca="false">_xlfn.CONCAT($A$978, ".", A17)</f>
        <v>AR.7.14</v>
      </c>
      <c r="B1128" s="7" t="str">
        <f aca="false">_xlfn.CONCAT(B17, ": ", C17)</f>
        <v>Retail Trade: Support</v>
      </c>
      <c r="C1128" s="17" t="n">
        <f aca="false">AZ17</f>
        <v>1640000000</v>
      </c>
      <c r="D1128" s="17" t="n">
        <f aca="false">BA17</f>
        <v>349000000</v>
      </c>
      <c r="E1128" s="17" t="n">
        <f aca="false">BB17</f>
        <v>20000000</v>
      </c>
      <c r="F1128" s="17" t="n">
        <f aca="false">BC17</f>
        <v>1270000000</v>
      </c>
    </row>
    <row r="1129" customFormat="false" ht="12.8" hidden="false" customHeight="false" outlineLevel="0" collapsed="false">
      <c r="A1129" s="7" t="str">
        <f aca="false">_xlfn.CONCAT($A$978, ".", A18)</f>
        <v>AR.7.15</v>
      </c>
      <c r="B1129" s="7" t="str">
        <f aca="false">_xlfn.CONCAT(B18, ": ", C18)</f>
        <v>Landscaping / Groundskeeping: Worker</v>
      </c>
      <c r="C1129" s="17" t="n">
        <f aca="false">AZ18</f>
        <v>284000000</v>
      </c>
      <c r="D1129" s="17" t="n">
        <f aca="false">BA18</f>
        <v>60000000</v>
      </c>
      <c r="E1129" s="17" t="n">
        <f aca="false">BB18</f>
        <v>3500000</v>
      </c>
      <c r="F1129" s="17" t="n">
        <f aca="false">BC18</f>
        <v>220500000</v>
      </c>
    </row>
    <row r="1130" customFormat="false" ht="12.8" hidden="false" customHeight="false" outlineLevel="0" collapsed="false">
      <c r="A1130" s="7" t="str">
        <f aca="false">_xlfn.CONCAT($A$978, ".", A19)</f>
        <v>AR.7.16</v>
      </c>
      <c r="B1130" s="7" t="str">
        <f aca="false">_xlfn.CONCAT(B19, ": ", C19)</f>
        <v>Landscaping / Groundskeeping: Support</v>
      </c>
      <c r="C1130" s="17" t="n">
        <f aca="false">AZ19</f>
        <v>120000000</v>
      </c>
      <c r="D1130" s="17" t="n">
        <f aca="false">BA19</f>
        <v>25500000</v>
      </c>
      <c r="E1130" s="17" t="n">
        <f aca="false">BB19</f>
        <v>1500000</v>
      </c>
      <c r="F1130" s="17" t="n">
        <f aca="false">BC19</f>
        <v>93500000</v>
      </c>
    </row>
    <row r="1131" customFormat="false" ht="12.8" hidden="false" customHeight="false" outlineLevel="0" collapsed="false">
      <c r="A1131" s="7" t="str">
        <f aca="false">_xlfn.CONCAT($A$978, ".", A20)</f>
        <v>AR.7.17</v>
      </c>
      <c r="B1131" s="7" t="str">
        <f aca="false">_xlfn.CONCAT(B20, ": ", C20)</f>
        <v>Automotive &amp; Repair: Worker</v>
      </c>
      <c r="C1131" s="17" t="n">
        <f aca="false">AZ20</f>
        <v>228000000</v>
      </c>
      <c r="D1131" s="17" t="n">
        <f aca="false">BA20</f>
        <v>48500000</v>
      </c>
      <c r="E1131" s="17" t="n">
        <f aca="false">BB20</f>
        <v>3000000</v>
      </c>
      <c r="F1131" s="17" t="n">
        <f aca="false">BC20</f>
        <v>176500000</v>
      </c>
    </row>
    <row r="1132" customFormat="false" ht="12.8" hidden="false" customHeight="false" outlineLevel="0" collapsed="false">
      <c r="A1132" s="7" t="str">
        <f aca="false">_xlfn.CONCAT($A$978, ".", A21)</f>
        <v>AR.7.18</v>
      </c>
      <c r="B1132" s="7" t="str">
        <f aca="false">_xlfn.CONCAT(B21, ": ", C21)</f>
        <v>Automotive &amp; Repair: Support</v>
      </c>
      <c r="C1132" s="17" t="n">
        <f aca="false">AZ21</f>
        <v>96000000</v>
      </c>
      <c r="D1132" s="17" t="n">
        <f aca="false">BA21</f>
        <v>20500000</v>
      </c>
      <c r="E1132" s="17" t="n">
        <f aca="false">BB21</f>
        <v>1500000</v>
      </c>
      <c r="F1132" s="17" t="n">
        <f aca="false">BC21</f>
        <v>74500000</v>
      </c>
    </row>
    <row r="1133" customFormat="false" ht="12.8" hidden="false" customHeight="false" outlineLevel="0" collapsed="false">
      <c r="A1133" s="7" t="str">
        <f aca="false">_xlfn.CONCAT($A$978, ".", A22)</f>
        <v>AR.7.19</v>
      </c>
      <c r="B1133" s="7" t="str">
        <f aca="false">_xlfn.CONCAT(B22, ": ", C22)</f>
        <v>Healthcare &amp; Social Assistance: Worker</v>
      </c>
      <c r="C1133" s="17" t="n">
        <f aca="false">AZ22</f>
        <v>4120000000</v>
      </c>
      <c r="D1133" s="17" t="n">
        <f aca="false">BA22</f>
        <v>875000000</v>
      </c>
      <c r="E1133" s="17" t="n">
        <f aca="false">BB22</f>
        <v>60000000</v>
      </c>
      <c r="F1133" s="17" t="n">
        <f aca="false">BC22</f>
        <v>3187000000</v>
      </c>
    </row>
    <row r="1134" customFormat="false" ht="12.8" hidden="false" customHeight="false" outlineLevel="0" collapsed="false">
      <c r="A1134" s="7" t="str">
        <f aca="false">_xlfn.CONCAT($A$978, ".", A23)</f>
        <v>AR.7.20</v>
      </c>
      <c r="B1134" s="7" t="str">
        <f aca="false">_xlfn.CONCAT(B23, ": ", C23)</f>
        <v>Healthcare &amp; Social Assistance: Support</v>
      </c>
      <c r="C1134" s="17" t="n">
        <f aca="false">AZ23</f>
        <v>1750000000</v>
      </c>
      <c r="D1134" s="17" t="n">
        <f aca="false">BA23</f>
        <v>372000000</v>
      </c>
      <c r="E1134" s="17" t="n">
        <f aca="false">BB23</f>
        <v>25000000</v>
      </c>
      <c r="F1134" s="17" t="n">
        <f aca="false">BC23</f>
        <v>1353000000</v>
      </c>
    </row>
    <row r="1135" customFormat="false" ht="12.8" hidden="false" customHeight="false" outlineLevel="0" collapsed="false">
      <c r="A1135" s="7" t="str">
        <f aca="false">_xlfn.CONCAT($A$978, ".", A24)</f>
        <v>AR.7.21</v>
      </c>
      <c r="B1135" s="7" t="str">
        <f aca="false">_xlfn.CONCAT(B24, ": ", C24)</f>
        <v>Professional Services: Worker</v>
      </c>
      <c r="C1135" s="17" t="n">
        <f aca="false">AZ24</f>
        <v>6320000000</v>
      </c>
      <c r="D1135" s="17" t="n">
        <f aca="false">BA24</f>
        <v>1340000000</v>
      </c>
      <c r="E1135" s="17" t="n">
        <f aca="false">BB24</f>
        <v>90000000</v>
      </c>
      <c r="F1135" s="17" t="n">
        <f aca="false">BC24</f>
        <v>4890000000</v>
      </c>
    </row>
    <row r="1136" customFormat="false" ht="12.8" hidden="false" customHeight="false" outlineLevel="0" collapsed="false">
      <c r="A1136" s="7" t="str">
        <f aca="false">_xlfn.CONCAT($A$978, ".", A25)</f>
        <v>AR.7.22</v>
      </c>
      <c r="B1136" s="7" t="str">
        <f aca="false">_xlfn.CONCAT(B25, ": ", C25)</f>
        <v>Professional Services: Support</v>
      </c>
      <c r="C1136" s="17" t="n">
        <f aca="false">AZ25</f>
        <v>2680000000</v>
      </c>
      <c r="D1136" s="17" t="n">
        <f aca="false">BA25</f>
        <v>569000000</v>
      </c>
      <c r="E1136" s="17" t="n">
        <f aca="false">BB25</f>
        <v>38000000</v>
      </c>
      <c r="F1136" s="17" t="n">
        <f aca="false">BC25</f>
        <v>2072000000</v>
      </c>
    </row>
    <row r="1137" customFormat="false" ht="12.8" hidden="false" customHeight="false" outlineLevel="0" collapsed="false">
      <c r="A1137" s="7" t="str">
        <f aca="false">_xlfn.CONCAT($A$978, ".", A26)</f>
        <v>AR.7.23</v>
      </c>
      <c r="B1137" s="7" t="str">
        <f aca="false">_xlfn.CONCAT(B26, ": ", C26)</f>
        <v>Educational Services: Worker</v>
      </c>
      <c r="C1137" s="17" t="n">
        <f aca="false">AZ26</f>
        <v>1350000000</v>
      </c>
      <c r="D1137" s="17" t="n">
        <f aca="false">BA26</f>
        <v>287000000</v>
      </c>
      <c r="E1137" s="17" t="n">
        <f aca="false">BB26</f>
        <v>19000000</v>
      </c>
      <c r="F1137" s="17" t="n">
        <f aca="false">BC26</f>
        <v>1046000000</v>
      </c>
    </row>
    <row r="1138" customFormat="false" ht="12.8" hidden="false" customHeight="false" outlineLevel="0" collapsed="false">
      <c r="A1138" s="7" t="str">
        <f aca="false">_xlfn.CONCAT($A$978, ".", A27)</f>
        <v>AR.7.24</v>
      </c>
      <c r="B1138" s="7" t="str">
        <f aca="false">_xlfn.CONCAT(B27, ": ", C27)</f>
        <v>Educational Services: Support</v>
      </c>
      <c r="C1138" s="17" t="n">
        <f aca="false">AZ27</f>
        <v>573000000</v>
      </c>
      <c r="D1138" s="17" t="n">
        <f aca="false">BA27</f>
        <v>122000000</v>
      </c>
      <c r="E1138" s="17" t="n">
        <f aca="false">BB27</f>
        <v>8000000</v>
      </c>
      <c r="F1138" s="17" t="n">
        <f aca="false">BC27</f>
        <v>443000000</v>
      </c>
    </row>
    <row r="1139" customFormat="false" ht="12.8" hidden="false" customHeight="false" outlineLevel="0" collapsed="false">
      <c r="A1139" s="7" t="str">
        <f aca="false">_xlfn.CONCAT($A$978, ".", A28)</f>
        <v>AR.7.25</v>
      </c>
      <c r="B1139" s="7" t="str">
        <f aca="false">_xlfn.CONCAT(B28, ": ", C28)</f>
        <v>Finance &amp; Insurance: Worker</v>
      </c>
      <c r="C1139" s="17" t="n">
        <f aca="false">AZ28</f>
        <v>2770000000</v>
      </c>
      <c r="D1139" s="17" t="n">
        <f aca="false">BA28</f>
        <v>588000000</v>
      </c>
      <c r="E1139" s="17" t="n">
        <f aca="false">BB28</f>
        <v>40000000</v>
      </c>
      <c r="F1139" s="17" t="n">
        <f aca="false">BC28</f>
        <v>2142000000</v>
      </c>
    </row>
    <row r="1140" customFormat="false" ht="12.8" hidden="false" customHeight="false" outlineLevel="0" collapsed="false">
      <c r="A1140" s="7" t="str">
        <f aca="false">_xlfn.CONCAT($A$978, ".", A29)</f>
        <v>AR.7.26</v>
      </c>
      <c r="B1140" s="7" t="str">
        <f aca="false">_xlfn.CONCAT(B29, ": ", C29)</f>
        <v>Finance &amp; Insurance: Support</v>
      </c>
      <c r="C1140" s="17" t="n">
        <f aca="false">AZ29</f>
        <v>1170000000</v>
      </c>
      <c r="D1140" s="17" t="n">
        <f aca="false">BA29</f>
        <v>249000000</v>
      </c>
      <c r="E1140" s="17" t="n">
        <f aca="false">BB29</f>
        <v>17000000</v>
      </c>
      <c r="F1140" s="17" t="n">
        <f aca="false">BC29</f>
        <v>903000000</v>
      </c>
    </row>
    <row r="1141" customFormat="false" ht="12.8" hidden="false" customHeight="false" outlineLevel="0" collapsed="false">
      <c r="A1141" s="7" t="str">
        <f aca="false">_xlfn.CONCAT($A$978, ".", A30)</f>
        <v>AR.7.27</v>
      </c>
      <c r="B1141" s="7" t="str">
        <f aca="false">_xlfn.CONCAT(B30, ": ", C30)</f>
        <v>Media and Information Technology: Worker</v>
      </c>
      <c r="C1141" s="17" t="n">
        <f aca="false">AZ30</f>
        <v>627000000</v>
      </c>
      <c r="D1141" s="17" t="n">
        <f aca="false">BA30</f>
        <v>133000000</v>
      </c>
      <c r="E1141" s="17" t="n">
        <f aca="false">BB30</f>
        <v>9000000</v>
      </c>
      <c r="F1141" s="17" t="n">
        <f aca="false">BC30</f>
        <v>484000000</v>
      </c>
    </row>
    <row r="1142" customFormat="false" ht="12.8" hidden="false" customHeight="false" outlineLevel="0" collapsed="false">
      <c r="A1142" s="7" t="str">
        <f aca="false">_xlfn.CONCAT($A$978, ".", A31)</f>
        <v>AR.7.28</v>
      </c>
      <c r="B1142" s="7" t="str">
        <f aca="false">_xlfn.CONCAT(B31, ": ", C31)</f>
        <v>Media and Information Technology: Support</v>
      </c>
      <c r="C1142" s="17" t="n">
        <f aca="false">AZ31</f>
        <v>266000000</v>
      </c>
      <c r="D1142" s="17" t="n">
        <f aca="false">BA31</f>
        <v>56500000</v>
      </c>
      <c r="E1142" s="17" t="n">
        <f aca="false">BB31</f>
        <v>4000000</v>
      </c>
      <c r="F1142" s="17" t="n">
        <f aca="false">BC31</f>
        <v>205500000</v>
      </c>
    </row>
    <row r="1143" customFormat="false" ht="12.8" hidden="false" customHeight="false" outlineLevel="0" collapsed="false">
      <c r="A1143" s="7" t="str">
        <f aca="false">_xlfn.CONCAT($A$978, ".", A32)</f>
        <v>AR.7.29</v>
      </c>
      <c r="B1143" s="7" t="str">
        <f aca="false">_xlfn.CONCAT(B32, ": ", C32)</f>
        <v>Government: Worker</v>
      </c>
      <c r="C1143" s="17" t="n">
        <f aca="false">AZ32</f>
        <v>2550000000</v>
      </c>
      <c r="D1143" s="17" t="n">
        <f aca="false">BA32</f>
        <v>541000000</v>
      </c>
      <c r="E1143" s="17" t="n">
        <f aca="false">BB32</f>
        <v>37000000</v>
      </c>
      <c r="F1143" s="17" t="n">
        <f aca="false">BC32</f>
        <v>1972000000</v>
      </c>
    </row>
    <row r="1144" customFormat="false" ht="12.8" hidden="false" customHeight="false" outlineLevel="0" collapsed="false">
      <c r="A1144" s="7" t="str">
        <f aca="false">_xlfn.CONCAT($A$978, ".", A33)</f>
        <v>AR.7.30</v>
      </c>
      <c r="B1144" s="7" t="str">
        <f aca="false">_xlfn.CONCAT(B33, ": ", C33)</f>
        <v>Government: Support</v>
      </c>
      <c r="C1144" s="17" t="n">
        <f aca="false">AZ33</f>
        <v>1080000000</v>
      </c>
      <c r="D1144" s="17" t="n">
        <f aca="false">BA33</f>
        <v>229000000</v>
      </c>
      <c r="E1144" s="17" t="n">
        <f aca="false">BB33</f>
        <v>16000000</v>
      </c>
      <c r="F1144" s="17" t="n">
        <f aca="false">BC33</f>
        <v>833000000</v>
      </c>
    </row>
    <row r="1145" customFormat="false" ht="12.8" hidden="false" customHeight="false" outlineLevel="0" collapsed="false">
      <c r="A1145" s="7" t="str">
        <f aca="false">_xlfn.CONCAT($A$978, ".", A34)</f>
        <v>AR.7.31</v>
      </c>
      <c r="B1145" s="7" t="str">
        <f aca="false">_xlfn.CONCAT(B34, ": ", C34)</f>
        <v>Self-Employed / Non-Employer: Worker</v>
      </c>
      <c r="C1145" s="17" t="n">
        <f aca="false">AZ34</f>
        <v>390000000</v>
      </c>
      <c r="D1145" s="17" t="n">
        <f aca="false">BA34</f>
        <v>15000000</v>
      </c>
      <c r="E1145" s="17" t="n">
        <f aca="false">BB34</f>
        <v>7500000</v>
      </c>
      <c r="F1145" s="17" t="n">
        <f aca="false">BC34</f>
        <v>360000000</v>
      </c>
    </row>
    <row r="1146" customFormat="false" ht="12.8" hidden="false" customHeight="false" outlineLevel="0" collapsed="false">
      <c r="A1146" s="7" t="str">
        <f aca="false">_xlfn.CONCAT($A$978, ".", A35)</f>
        <v>AR.7.32</v>
      </c>
      <c r="B1146" s="7" t="str">
        <f aca="false">_xlfn.CONCAT(B35, ": ", C35)</f>
        <v>Self-Employed / Non-Employer: Support</v>
      </c>
      <c r="C1146" s="17" t="n">
        <f aca="false">AZ35</f>
        <v>43000000</v>
      </c>
      <c r="D1146" s="17" t="n">
        <f aca="false">BA35</f>
        <v>1700000</v>
      </c>
      <c r="E1146" s="17" t="n">
        <f aca="false">BB35</f>
        <v>800000</v>
      </c>
      <c r="F1146" s="17" t="n">
        <f aca="false">BC35</f>
        <v>39800000</v>
      </c>
    </row>
    <row r="1147" customFormat="false" ht="12.8" hidden="false" customHeight="false" outlineLevel="0" collapsed="false">
      <c r="A1147" s="7" t="str">
        <f aca="false">_xlfn.CONCAT($A$978, ".", A36)</f>
        <v>AR.7.33</v>
      </c>
      <c r="B1147" s="7" t="str">
        <f aca="false">_xlfn.CONCAT(B36, ": ", C36)</f>
        <v>Other Services: Worker</v>
      </c>
      <c r="C1147" s="17" t="n">
        <f aca="false">AZ36</f>
        <v>805000000</v>
      </c>
      <c r="D1147" s="17" t="n">
        <f aca="false">BA36</f>
        <v>171000000</v>
      </c>
      <c r="E1147" s="17" t="n">
        <f aca="false">BB36</f>
        <v>10000000</v>
      </c>
      <c r="F1147" s="17" t="n">
        <f aca="false">BC36</f>
        <v>624000000</v>
      </c>
    </row>
    <row r="1148" customFormat="false" ht="12.8" hidden="false" customHeight="false" outlineLevel="0" collapsed="false">
      <c r="A1148" s="7" t="str">
        <f aca="false">_xlfn.CONCAT($A$978, ".", A37)</f>
        <v>AR.7.34</v>
      </c>
      <c r="B1148" s="7" t="str">
        <f aca="false">_xlfn.CONCAT(B37, ": ", C37)</f>
        <v>Other Services: Support</v>
      </c>
      <c r="C1148" s="17" t="n">
        <f aca="false">AZ37</f>
        <v>342000000</v>
      </c>
      <c r="D1148" s="17" t="n">
        <f aca="false">BA37</f>
        <v>72600000</v>
      </c>
      <c r="E1148" s="17" t="n">
        <f aca="false">BB37</f>
        <v>4000000</v>
      </c>
      <c r="F1148" s="17" t="n">
        <f aca="false">BC37</f>
        <v>265000000</v>
      </c>
    </row>
    <row r="1149" customFormat="false" ht="12.8" hidden="false" customHeight="false" outlineLevel="0" collapsed="false">
      <c r="B1149" s="7"/>
      <c r="C1149" s="31"/>
      <c r="D1149" s="31"/>
      <c r="E1149" s="31"/>
      <c r="F1149" s="31"/>
    </row>
    <row r="1150" customFormat="false" ht="12.8" hidden="false" customHeight="false" outlineLevel="0" collapsed="false">
      <c r="B1150" s="7"/>
      <c r="C1150" s="31"/>
      <c r="D1150" s="31"/>
      <c r="E1150" s="31"/>
      <c r="F1150" s="31"/>
    </row>
    <row r="1151" customFormat="false" ht="12.8" hidden="false" customHeight="false" outlineLevel="0" collapsed="false">
      <c r="B1151" s="7"/>
      <c r="C1151" s="31"/>
      <c r="D1151" s="31"/>
      <c r="E1151" s="31"/>
      <c r="F1151" s="31"/>
    </row>
    <row r="1152" customFormat="false" ht="12.8" hidden="false" customHeight="false" outlineLevel="0" collapsed="false">
      <c r="B1152" s="7"/>
      <c r="C1152" s="31"/>
      <c r="D1152" s="31"/>
      <c r="E1152" s="31"/>
      <c r="F1152" s="31"/>
    </row>
    <row r="1153" customFormat="false" ht="12.8" hidden="false" customHeight="false" outlineLevel="0" collapsed="false">
      <c r="B1153" s="7"/>
      <c r="C1153" s="31"/>
      <c r="D1153" s="31"/>
      <c r="E1153" s="31"/>
      <c r="F1153" s="31"/>
    </row>
    <row r="1246" customFormat="false" ht="12.8" hidden="false" customHeight="false" outlineLevel="0" collapsed="false">
      <c r="A1246" s="5" t="s">
        <v>173</v>
      </c>
      <c r="B1246" s="24" t="s">
        <v>9</v>
      </c>
      <c r="C1246" s="25" t="s">
        <v>158</v>
      </c>
    </row>
    <row r="1247" customFormat="false" ht="35.05" hidden="false" customHeight="false" outlineLevel="0" collapsed="false">
      <c r="A1247" s="5" t="s">
        <v>26</v>
      </c>
      <c r="B1247" s="5" t="str">
        <f aca="false">_xlfn.CONCAT(B2, ": ", C2)</f>
        <v>Industry: Role</v>
      </c>
      <c r="C1247" s="31" t="str">
        <f aca="false">BD2</f>
        <v>EITC Credit Refund</v>
      </c>
      <c r="D1247" s="31" t="str">
        <f aca="false">BE2</f>
        <v>Authorized Immigrant EITC Credit Refund</v>
      </c>
      <c r="E1247" s="31" t="str">
        <f aca="false">BF2</f>
        <v>Unauthorized Immigrant EITC Credit Refund</v>
      </c>
      <c r="F1247" s="31" t="str">
        <f aca="false">BG2</f>
        <v>American Effective Tax EITC Credit Refund</v>
      </c>
    </row>
    <row r="1248" customFormat="false" ht="12.8" hidden="false" customHeight="false" outlineLevel="0" collapsed="false">
      <c r="A1248" s="7" t="str">
        <f aca="false">_xlfn.CONCAT($A$978, ".", A3)</f>
        <v>AR.7.0</v>
      </c>
      <c r="B1248" s="7" t="str">
        <f aca="false">_xlfn.CONCAT(B3, ": ", C3)</f>
        <v>All Industries: All Roles</v>
      </c>
      <c r="C1248" s="17" t="n">
        <f aca="false">BD3</f>
        <v>1105000000</v>
      </c>
      <c r="D1248" s="17" t="n">
        <f aca="false">BE3</f>
        <v>348000000</v>
      </c>
      <c r="E1248" s="17" t="n">
        <f aca="false">BF3</f>
        <v>0</v>
      </c>
      <c r="F1248" s="17" t="n">
        <f aca="false">BG3</f>
        <v>1070000000</v>
      </c>
    </row>
    <row r="1249" customFormat="false" ht="12.8" hidden="false" customHeight="false" outlineLevel="0" collapsed="false">
      <c r="A1249" s="7" t="str">
        <f aca="false">_xlfn.CONCAT($A$978, ".", A4)</f>
        <v>AR.7.1</v>
      </c>
      <c r="B1249" s="7" t="str">
        <f aca="false">_xlfn.CONCAT(B4, ": ", C4)</f>
        <v>Agriculture: Worker</v>
      </c>
      <c r="C1249" s="17" t="n">
        <f aca="false">BD4</f>
        <v>3300000</v>
      </c>
      <c r="D1249" s="17" t="n">
        <f aca="false">BE4</f>
        <v>1000000</v>
      </c>
      <c r="E1249" s="17" t="n">
        <f aca="false">BF4</f>
        <v>0</v>
      </c>
      <c r="F1249" s="17" t="n">
        <f aca="false">BG4</f>
        <v>2300000</v>
      </c>
    </row>
    <row r="1250" customFormat="false" ht="12.8" hidden="false" customHeight="false" outlineLevel="0" collapsed="false">
      <c r="A1250" s="7" t="str">
        <f aca="false">_xlfn.CONCAT($A$978, ".", A5)</f>
        <v>AR.7.2</v>
      </c>
      <c r="B1250" s="7" t="str">
        <f aca="false">_xlfn.CONCAT(B5, ": ", C5)</f>
        <v>Agriculture: Support</v>
      </c>
      <c r="C1250" s="17" t="n">
        <f aca="false">BD5</f>
        <v>1600000</v>
      </c>
      <c r="D1250" s="17" t="n">
        <f aca="false">BE5</f>
        <v>500000</v>
      </c>
      <c r="E1250" s="17" t="n">
        <f aca="false">BF5</f>
        <v>0</v>
      </c>
      <c r="F1250" s="17" t="n">
        <f aca="false">BG5</f>
        <v>1100000</v>
      </c>
    </row>
    <row r="1251" customFormat="false" ht="12.8" hidden="false" customHeight="false" outlineLevel="0" collapsed="false">
      <c r="A1251" s="7" t="str">
        <f aca="false">_xlfn.CONCAT($A$978, ".", A6)</f>
        <v>AR.7.3</v>
      </c>
      <c r="B1251" s="7" t="str">
        <f aca="false">_xlfn.CONCAT(B6, ": ", C6)</f>
        <v>Construction: Worker</v>
      </c>
      <c r="C1251" s="17" t="n">
        <f aca="false">BD6</f>
        <v>7200000</v>
      </c>
      <c r="D1251" s="17" t="n">
        <f aca="false">BE6</f>
        <v>2000000</v>
      </c>
      <c r="E1251" s="17" t="n">
        <f aca="false">BF6</f>
        <v>0</v>
      </c>
      <c r="F1251" s="17" t="n">
        <f aca="false">BG6</f>
        <v>5200000</v>
      </c>
    </row>
    <row r="1252" customFormat="false" ht="12.8" hidden="false" customHeight="false" outlineLevel="0" collapsed="false">
      <c r="A1252" s="7" t="str">
        <f aca="false">_xlfn.CONCAT($A$978, ".", A7)</f>
        <v>AR.7.4</v>
      </c>
      <c r="B1252" s="7" t="str">
        <f aca="false">_xlfn.CONCAT(B7, ": ", C7)</f>
        <v>Construction: Support</v>
      </c>
      <c r="C1252" s="17" t="n">
        <f aca="false">BD7</f>
        <v>3600000</v>
      </c>
      <c r="D1252" s="17" t="n">
        <f aca="false">BE7</f>
        <v>1000000</v>
      </c>
      <c r="E1252" s="17" t="n">
        <f aca="false">BF7</f>
        <v>0</v>
      </c>
      <c r="F1252" s="17" t="n">
        <f aca="false">BG7</f>
        <v>2600000</v>
      </c>
    </row>
    <row r="1253" customFormat="false" ht="12.8" hidden="false" customHeight="false" outlineLevel="0" collapsed="false">
      <c r="A1253" s="7" t="str">
        <f aca="false">_xlfn.CONCAT($A$978, ".", A8)</f>
        <v>AR.7.5</v>
      </c>
      <c r="B1253" s="7" t="str">
        <f aca="false">_xlfn.CONCAT(B8, ": ", C8)</f>
        <v>Hospitality: Worker</v>
      </c>
      <c r="C1253" s="17" t="n">
        <f aca="false">BD8</f>
        <v>10000000</v>
      </c>
      <c r="D1253" s="17" t="n">
        <f aca="false">BE8</f>
        <v>3000000</v>
      </c>
      <c r="E1253" s="17" t="n">
        <f aca="false">BF8</f>
        <v>0</v>
      </c>
      <c r="F1253" s="17" t="n">
        <f aca="false">BG8</f>
        <v>7000000</v>
      </c>
    </row>
    <row r="1254" customFormat="false" ht="12.8" hidden="false" customHeight="false" outlineLevel="0" collapsed="false">
      <c r="A1254" s="7" t="str">
        <f aca="false">_xlfn.CONCAT($A$978, ".", A9)</f>
        <v>AR.7.6</v>
      </c>
      <c r="B1254" s="7" t="str">
        <f aca="false">_xlfn.CONCAT(B9, ": ", C9)</f>
        <v>Hospitality: Support</v>
      </c>
      <c r="C1254" s="17" t="n">
        <f aca="false">BD9</f>
        <v>5000000</v>
      </c>
      <c r="D1254" s="17" t="n">
        <f aca="false">BE9</f>
        <v>1500000</v>
      </c>
      <c r="E1254" s="17" t="n">
        <f aca="false">BF9</f>
        <v>0</v>
      </c>
      <c r="F1254" s="17" t="n">
        <f aca="false">BG9</f>
        <v>3500000</v>
      </c>
    </row>
    <row r="1255" customFormat="false" ht="12.8" hidden="false" customHeight="false" outlineLevel="0" collapsed="false">
      <c r="A1255" s="7" t="str">
        <f aca="false">_xlfn.CONCAT($A$978, ".", A10)</f>
        <v>AR.7.7</v>
      </c>
      <c r="B1255" s="7" t="str">
        <f aca="false">_xlfn.CONCAT(B10, ": ", C10)</f>
        <v>Cleaning &amp; Maintenance: Worker</v>
      </c>
      <c r="C1255" s="17" t="n">
        <f aca="false">BD10</f>
        <v>5000000</v>
      </c>
      <c r="D1255" s="17" t="n">
        <f aca="false">BE10</f>
        <v>1500000</v>
      </c>
      <c r="E1255" s="17" t="n">
        <f aca="false">BF10</f>
        <v>0</v>
      </c>
      <c r="F1255" s="17" t="n">
        <f aca="false">BG10</f>
        <v>3500000</v>
      </c>
    </row>
    <row r="1256" customFormat="false" ht="12.8" hidden="false" customHeight="false" outlineLevel="0" collapsed="false">
      <c r="A1256" s="7" t="str">
        <f aca="false">_xlfn.CONCAT($A$978, ".", A11)</f>
        <v>AR.7.8</v>
      </c>
      <c r="B1256" s="7" t="str">
        <f aca="false">_xlfn.CONCAT(B11, ": ", C11)</f>
        <v>Cleaning &amp; Maintenance: Support</v>
      </c>
      <c r="C1256" s="17" t="n">
        <f aca="false">BD11</f>
        <v>2500000</v>
      </c>
      <c r="D1256" s="17" t="n">
        <f aca="false">BE11</f>
        <v>750000</v>
      </c>
      <c r="E1256" s="17" t="n">
        <f aca="false">BF11</f>
        <v>0</v>
      </c>
      <c r="F1256" s="17" t="n">
        <f aca="false">BG11</f>
        <v>1750000</v>
      </c>
    </row>
    <row r="1257" customFormat="false" ht="12.8" hidden="false" customHeight="false" outlineLevel="0" collapsed="false">
      <c r="A1257" s="7" t="str">
        <f aca="false">_xlfn.CONCAT($A$978, ".", A12)</f>
        <v>AR.7.9</v>
      </c>
      <c r="B1257" s="7" t="str">
        <f aca="false">_xlfn.CONCAT(B12, ": ", C12)</f>
        <v>Manufacturing: Worker</v>
      </c>
      <c r="C1257" s="17" t="n">
        <f aca="false">BD12</f>
        <v>1695000000</v>
      </c>
      <c r="D1257" s="17" t="n">
        <f aca="false">BE12</f>
        <v>376000000</v>
      </c>
      <c r="E1257" s="17" t="n">
        <f aca="false">BF12</f>
        <v>0</v>
      </c>
      <c r="F1257" s="17" t="n">
        <f aca="false">BG12</f>
        <v>1319000000</v>
      </c>
    </row>
    <row r="1258" customFormat="false" ht="12.8" hidden="false" customHeight="false" outlineLevel="0" collapsed="false">
      <c r="A1258" s="7" t="str">
        <f aca="false">_xlfn.CONCAT($A$978, ".", A13)</f>
        <v>AR.7.10</v>
      </c>
      <c r="B1258" s="7" t="str">
        <f aca="false">_xlfn.CONCAT(B13, ": ", C13)</f>
        <v>Manufacturing: Support</v>
      </c>
      <c r="C1258" s="17" t="n">
        <f aca="false">BD13</f>
        <v>840000000</v>
      </c>
      <c r="D1258" s="17" t="n">
        <f aca="false">BE13</f>
        <v>186000000</v>
      </c>
      <c r="E1258" s="17" t="n">
        <f aca="false">BF13</f>
        <v>0</v>
      </c>
      <c r="F1258" s="17" t="n">
        <f aca="false">BG13</f>
        <v>654000000</v>
      </c>
    </row>
    <row r="1259" customFormat="false" ht="12.8" hidden="false" customHeight="false" outlineLevel="0" collapsed="false">
      <c r="A1259" s="7" t="str">
        <f aca="false">_xlfn.CONCAT($A$978, ".", A14)</f>
        <v>AR.7.11</v>
      </c>
      <c r="B1259" s="7" t="str">
        <f aca="false">_xlfn.CONCAT(B14, ": ", C14)</f>
        <v>Transportation &amp; Warehousing: Worker</v>
      </c>
      <c r="C1259" s="17" t="n">
        <f aca="false">BD14</f>
        <v>1660000000</v>
      </c>
      <c r="D1259" s="17" t="n">
        <f aca="false">BE14</f>
        <v>368000000</v>
      </c>
      <c r="E1259" s="17" t="n">
        <f aca="false">BF14</f>
        <v>0</v>
      </c>
      <c r="F1259" s="17" t="n">
        <f aca="false">BG14</f>
        <v>1292000000</v>
      </c>
    </row>
    <row r="1260" customFormat="false" ht="12.8" hidden="false" customHeight="false" outlineLevel="0" collapsed="false">
      <c r="A1260" s="7" t="str">
        <f aca="false">_xlfn.CONCAT($A$978, ".", A15)</f>
        <v>AR.7.12</v>
      </c>
      <c r="B1260" s="7" t="str">
        <f aca="false">_xlfn.CONCAT(B15, ": ", C15)</f>
        <v>Transportation &amp; Warehousing: Support</v>
      </c>
      <c r="C1260" s="17" t="n">
        <f aca="false">BD15</f>
        <v>830000000</v>
      </c>
      <c r="D1260" s="17" t="n">
        <f aca="false">BE15</f>
        <v>184000000</v>
      </c>
      <c r="E1260" s="17" t="n">
        <f aca="false">BF15</f>
        <v>0</v>
      </c>
      <c r="F1260" s="17" t="n">
        <f aca="false">BG15</f>
        <v>646000000</v>
      </c>
    </row>
    <row r="1261" customFormat="false" ht="12.8" hidden="false" customHeight="false" outlineLevel="0" collapsed="false">
      <c r="A1261" s="7" t="str">
        <f aca="false">_xlfn.CONCAT($A$978, ".", A16)</f>
        <v>AR.7.13</v>
      </c>
      <c r="B1261" s="7" t="str">
        <f aca="false">_xlfn.CONCAT(B16, ": ", C16)</f>
        <v>Retail Trade: Worker</v>
      </c>
      <c r="C1261" s="17" t="n">
        <f aca="false">BD16</f>
        <v>6340000000</v>
      </c>
      <c r="D1261" s="17" t="n">
        <f aca="false">BE16</f>
        <v>1403000000</v>
      </c>
      <c r="E1261" s="17" t="n">
        <f aca="false">BF16</f>
        <v>0</v>
      </c>
      <c r="F1261" s="17" t="n">
        <f aca="false">BG16</f>
        <v>4937000000</v>
      </c>
    </row>
    <row r="1262" customFormat="false" ht="12.8" hidden="false" customHeight="false" outlineLevel="0" collapsed="false">
      <c r="A1262" s="7" t="str">
        <f aca="false">_xlfn.CONCAT($A$978, ".", A17)</f>
        <v>AR.7.14</v>
      </c>
      <c r="B1262" s="7" t="str">
        <f aca="false">_xlfn.CONCAT(B17, ": ", C17)</f>
        <v>Retail Trade: Support</v>
      </c>
      <c r="C1262" s="17" t="n">
        <f aca="false">BD17</f>
        <v>3180000000</v>
      </c>
      <c r="D1262" s="17" t="n">
        <f aca="false">BE17</f>
        <v>704000000</v>
      </c>
      <c r="E1262" s="17" t="n">
        <f aca="false">BF17</f>
        <v>0</v>
      </c>
      <c r="F1262" s="17" t="n">
        <f aca="false">BG17</f>
        <v>2474000000</v>
      </c>
    </row>
    <row r="1263" customFormat="false" ht="12.8" hidden="false" customHeight="false" outlineLevel="0" collapsed="false">
      <c r="A1263" s="7" t="str">
        <f aca="false">_xlfn.CONCAT($A$978, ".", A18)</f>
        <v>AR.7.15</v>
      </c>
      <c r="B1263" s="7" t="str">
        <f aca="false">_xlfn.CONCAT(B18, ": ", C18)</f>
        <v>Landscaping / Groundskeeping: Worker</v>
      </c>
      <c r="C1263" s="17" t="n">
        <f aca="false">BD18</f>
        <v>630000000</v>
      </c>
      <c r="D1263" s="17" t="n">
        <f aca="false">BE18</f>
        <v>139000000</v>
      </c>
      <c r="E1263" s="17" t="n">
        <f aca="false">BF18</f>
        <v>0</v>
      </c>
      <c r="F1263" s="17" t="n">
        <f aca="false">BG18</f>
        <v>491000000</v>
      </c>
    </row>
    <row r="1264" customFormat="false" ht="12.8" hidden="false" customHeight="false" outlineLevel="0" collapsed="false">
      <c r="A1264" s="7" t="str">
        <f aca="false">_xlfn.CONCAT($A$978, ".", A19)</f>
        <v>AR.7.16</v>
      </c>
      <c r="B1264" s="7" t="str">
        <f aca="false">_xlfn.CONCAT(B19, ": ", C19)</f>
        <v>Landscaping / Groundskeeping: Support</v>
      </c>
      <c r="C1264" s="17" t="n">
        <f aca="false">BD19</f>
        <v>315000000</v>
      </c>
      <c r="D1264" s="17" t="n">
        <f aca="false">BE19</f>
        <v>69500000</v>
      </c>
      <c r="E1264" s="17" t="n">
        <f aca="false">BF19</f>
        <v>0</v>
      </c>
      <c r="F1264" s="17" t="n">
        <f aca="false">BG19</f>
        <v>245500000</v>
      </c>
    </row>
    <row r="1265" customFormat="false" ht="12.8" hidden="false" customHeight="false" outlineLevel="0" collapsed="false">
      <c r="A1265" s="7" t="str">
        <f aca="false">_xlfn.CONCAT($A$978, ".", A20)</f>
        <v>AR.7.17</v>
      </c>
      <c r="B1265" s="7" t="str">
        <f aca="false">_xlfn.CONCAT(B20, ": ", C20)</f>
        <v>Automotive &amp; Repair: Worker</v>
      </c>
      <c r="C1265" s="17" t="n">
        <f aca="false">BD20</f>
        <v>337000000</v>
      </c>
      <c r="D1265" s="17" t="n">
        <f aca="false">BE20</f>
        <v>74500000</v>
      </c>
      <c r="E1265" s="17" t="n">
        <f aca="false">BF20</f>
        <v>0</v>
      </c>
      <c r="F1265" s="17" t="n">
        <f aca="false">BG20</f>
        <v>262500000</v>
      </c>
    </row>
    <row r="1266" customFormat="false" ht="12.8" hidden="false" customHeight="false" outlineLevel="0" collapsed="false">
      <c r="A1266" s="7" t="str">
        <f aca="false">_xlfn.CONCAT($A$978, ".", A21)</f>
        <v>AR.7.18</v>
      </c>
      <c r="B1266" s="7" t="str">
        <f aca="false">_xlfn.CONCAT(B21, ": ", C21)</f>
        <v>Automotive &amp; Repair: Support</v>
      </c>
      <c r="C1266" s="17" t="n">
        <f aca="false">BD21</f>
        <v>168000000</v>
      </c>
      <c r="D1266" s="17" t="n">
        <f aca="false">BE21</f>
        <v>37000000</v>
      </c>
      <c r="E1266" s="17" t="n">
        <f aca="false">BF21</f>
        <v>0</v>
      </c>
      <c r="F1266" s="17" t="n">
        <f aca="false">BG21</f>
        <v>131000000</v>
      </c>
    </row>
    <row r="1267" customFormat="false" ht="12.8" hidden="false" customHeight="false" outlineLevel="0" collapsed="false">
      <c r="A1267" s="7" t="str">
        <f aca="false">_xlfn.CONCAT($A$978, ".", A22)</f>
        <v>AR.7.19</v>
      </c>
      <c r="B1267" s="7" t="str">
        <f aca="false">_xlfn.CONCAT(B22, ": ", C22)</f>
        <v>Healthcare &amp; Social Assistance: Worker</v>
      </c>
      <c r="C1267" s="17" t="n">
        <f aca="false">BD22</f>
        <v>4670000000</v>
      </c>
      <c r="D1267" s="17" t="n">
        <f aca="false">BE22</f>
        <v>1030000000</v>
      </c>
      <c r="E1267" s="17" t="n">
        <f aca="false">BF22</f>
        <v>0</v>
      </c>
      <c r="F1267" s="17" t="n">
        <f aca="false">BG22</f>
        <v>3637000000</v>
      </c>
    </row>
    <row r="1268" customFormat="false" ht="12.8" hidden="false" customHeight="false" outlineLevel="0" collapsed="false">
      <c r="A1268" s="7" t="str">
        <f aca="false">_xlfn.CONCAT($A$978, ".", A23)</f>
        <v>AR.7.20</v>
      </c>
      <c r="B1268" s="7" t="str">
        <f aca="false">_xlfn.CONCAT(B23, ": ", C23)</f>
        <v>Healthcare &amp; Social Assistance: Support</v>
      </c>
      <c r="C1268" s="17" t="n">
        <f aca="false">BD23</f>
        <v>2330000000</v>
      </c>
      <c r="D1268" s="17" t="n">
        <f aca="false">BE23</f>
        <v>515000000</v>
      </c>
      <c r="E1268" s="17" t="n">
        <f aca="false">BF23</f>
        <v>0</v>
      </c>
      <c r="F1268" s="17" t="n">
        <f aca="false">BG23</f>
        <v>1815000000</v>
      </c>
    </row>
    <row r="1269" customFormat="false" ht="12.8" hidden="false" customHeight="false" outlineLevel="0" collapsed="false">
      <c r="A1269" s="7" t="str">
        <f aca="false">_xlfn.CONCAT($A$978, ".", A24)</f>
        <v>AR.7.21</v>
      </c>
      <c r="B1269" s="7" t="str">
        <f aca="false">_xlfn.CONCAT(B24, ": ", C24)</f>
        <v>Professional Services: Worker</v>
      </c>
      <c r="C1269" s="17" t="n">
        <f aca="false">BD24</f>
        <v>6270000000</v>
      </c>
      <c r="D1269" s="17" t="n">
        <f aca="false">BE24</f>
        <v>1380000000</v>
      </c>
      <c r="E1269" s="17" t="n">
        <f aca="false">BF24</f>
        <v>0</v>
      </c>
      <c r="F1269" s="17" t="n">
        <f aca="false">BG24</f>
        <v>4850000000</v>
      </c>
    </row>
    <row r="1270" customFormat="false" ht="12.8" hidden="false" customHeight="false" outlineLevel="0" collapsed="false">
      <c r="A1270" s="7" t="str">
        <f aca="false">_xlfn.CONCAT($A$978, ".", A25)</f>
        <v>AR.7.22</v>
      </c>
      <c r="B1270" s="7" t="str">
        <f aca="false">_xlfn.CONCAT(B25, ": ", C25)</f>
        <v>Professional Services: Support</v>
      </c>
      <c r="C1270" s="17" t="n">
        <f aca="false">BD25</f>
        <v>3130000000</v>
      </c>
      <c r="D1270" s="17" t="n">
        <f aca="false">BE25</f>
        <v>692000000</v>
      </c>
      <c r="E1270" s="17" t="n">
        <f aca="false">BF25</f>
        <v>0</v>
      </c>
      <c r="F1270" s="17" t="n">
        <f aca="false">BG25</f>
        <v>2438000000</v>
      </c>
    </row>
    <row r="1271" customFormat="false" ht="12.8" hidden="false" customHeight="false" outlineLevel="0" collapsed="false">
      <c r="A1271" s="7" t="str">
        <f aca="false">_xlfn.CONCAT($A$978, ".", A26)</f>
        <v>AR.7.23</v>
      </c>
      <c r="B1271" s="7" t="str">
        <f aca="false">_xlfn.CONCAT(B26, ": ", C26)</f>
        <v>Educational Services: Worker</v>
      </c>
      <c r="C1271" s="17" t="n">
        <f aca="false">BD26</f>
        <v>1670000000</v>
      </c>
      <c r="D1271" s="17" t="n">
        <f aca="false">BE26</f>
        <v>370000000</v>
      </c>
      <c r="E1271" s="17" t="n">
        <f aca="false">BF26</f>
        <v>0</v>
      </c>
      <c r="F1271" s="17" t="n">
        <f aca="false">BG26</f>
        <v>1300000000</v>
      </c>
    </row>
    <row r="1272" customFormat="false" ht="12.8" hidden="false" customHeight="false" outlineLevel="0" collapsed="false">
      <c r="A1272" s="7" t="str">
        <f aca="false">_xlfn.CONCAT($A$978, ".", A27)</f>
        <v>AR.7.24</v>
      </c>
      <c r="B1272" s="7" t="str">
        <f aca="false">_xlfn.CONCAT(B27, ": ", C27)</f>
        <v>Educational Services: Support</v>
      </c>
      <c r="C1272" s="17" t="n">
        <f aca="false">BD27</f>
        <v>836000000</v>
      </c>
      <c r="D1272" s="17" t="n">
        <f aca="false">BE27</f>
        <v>185000000</v>
      </c>
      <c r="E1272" s="17" t="n">
        <f aca="false">BF27</f>
        <v>0</v>
      </c>
      <c r="F1272" s="17" t="n">
        <f aca="false">BG27</f>
        <v>651000000</v>
      </c>
    </row>
    <row r="1273" customFormat="false" ht="12.8" hidden="false" customHeight="false" outlineLevel="0" collapsed="false">
      <c r="A1273" s="7" t="str">
        <f aca="false">_xlfn.CONCAT($A$978, ".", A28)</f>
        <v>AR.7.25</v>
      </c>
      <c r="B1273" s="7" t="str">
        <f aca="false">_xlfn.CONCAT(B28, ": ", C28)</f>
        <v>Finance &amp; Insurance: Worker</v>
      </c>
      <c r="C1273" s="17" t="n">
        <f aca="false">BD28</f>
        <v>2750000000</v>
      </c>
      <c r="D1273" s="17" t="n">
        <f aca="false">BE28</f>
        <v>608000000</v>
      </c>
      <c r="E1273" s="17" t="n">
        <f aca="false">BF28</f>
        <v>0</v>
      </c>
      <c r="F1273" s="17" t="n">
        <f aca="false">BG28</f>
        <v>2142000000</v>
      </c>
    </row>
    <row r="1274" customFormat="false" ht="12.8" hidden="false" customHeight="false" outlineLevel="0" collapsed="false">
      <c r="A1274" s="7" t="str">
        <f aca="false">_xlfn.CONCAT($A$978, ".", A29)</f>
        <v>AR.7.26</v>
      </c>
      <c r="B1274" s="7" t="str">
        <f aca="false">_xlfn.CONCAT(B29, ": ", C29)</f>
        <v>Finance &amp; Insurance: Support</v>
      </c>
      <c r="C1274" s="17" t="n">
        <f aca="false">BD29</f>
        <v>1370000000</v>
      </c>
      <c r="D1274" s="17" t="n">
        <f aca="false">BE29</f>
        <v>303000000</v>
      </c>
      <c r="E1274" s="17" t="n">
        <f aca="false">BF29</f>
        <v>0</v>
      </c>
      <c r="F1274" s="17" t="n">
        <f aca="false">BG29</f>
        <v>1067000000</v>
      </c>
    </row>
    <row r="1275" customFormat="false" ht="12.8" hidden="false" customHeight="false" outlineLevel="0" collapsed="false">
      <c r="A1275" s="7" t="str">
        <f aca="false">_xlfn.CONCAT($A$978, ".", A30)</f>
        <v>AR.7.27</v>
      </c>
      <c r="B1275" s="7" t="str">
        <f aca="false">_xlfn.CONCAT(B30, ": ", C30)</f>
        <v>Media and Information Technology: Worker</v>
      </c>
      <c r="C1275" s="17" t="n">
        <f aca="false">BD30</f>
        <v>620000000</v>
      </c>
      <c r="D1275" s="17" t="n">
        <f aca="false">BE30</f>
        <v>137000000</v>
      </c>
      <c r="E1275" s="17" t="n">
        <f aca="false">BF30</f>
        <v>0</v>
      </c>
      <c r="F1275" s="17" t="n">
        <f aca="false">BG30</f>
        <v>483000000</v>
      </c>
    </row>
    <row r="1276" customFormat="false" ht="12.8" hidden="false" customHeight="false" outlineLevel="0" collapsed="false">
      <c r="A1276" s="7" t="str">
        <f aca="false">_xlfn.CONCAT($A$978, ".", A31)</f>
        <v>AR.7.28</v>
      </c>
      <c r="B1276" s="7" t="str">
        <f aca="false">_xlfn.CONCAT(B31, ": ", C31)</f>
        <v>Media and Information Technology: Support</v>
      </c>
      <c r="C1276" s="17" t="n">
        <f aca="false">BD31</f>
        <v>310000000</v>
      </c>
      <c r="D1276" s="17" t="n">
        <f aca="false">BE31</f>
        <v>68600000</v>
      </c>
      <c r="E1276" s="17" t="n">
        <f aca="false">BF31</f>
        <v>0</v>
      </c>
      <c r="F1276" s="17" t="n">
        <f aca="false">BG31</f>
        <v>241400000</v>
      </c>
    </row>
    <row r="1277" customFormat="false" ht="12.8" hidden="false" customHeight="false" outlineLevel="0" collapsed="false">
      <c r="A1277" s="7" t="str">
        <f aca="false">_xlfn.CONCAT($A$978, ".", A32)</f>
        <v>AR.7.29</v>
      </c>
      <c r="B1277" s="7" t="str">
        <f aca="false">_xlfn.CONCAT(B32, ": ", C32)</f>
        <v>Government: Worker</v>
      </c>
      <c r="C1277" s="17" t="n">
        <f aca="false">BD32</f>
        <v>2980000000</v>
      </c>
      <c r="D1277" s="17" t="n">
        <f aca="false">BE32</f>
        <v>659000000</v>
      </c>
      <c r="E1277" s="17" t="n">
        <f aca="false">BF32</f>
        <v>0</v>
      </c>
      <c r="F1277" s="17" t="n">
        <f aca="false">BG32</f>
        <v>2319000000</v>
      </c>
    </row>
    <row r="1278" customFormat="false" ht="12.8" hidden="false" customHeight="false" outlineLevel="0" collapsed="false">
      <c r="A1278" s="7" t="str">
        <f aca="false">_xlfn.CONCAT($A$978, ".", A33)</f>
        <v>AR.7.30</v>
      </c>
      <c r="B1278" s="7" t="str">
        <f aca="false">_xlfn.CONCAT(B33, ": ", C33)</f>
        <v>Government: Support</v>
      </c>
      <c r="C1278" s="17" t="n">
        <f aca="false">BD33</f>
        <v>1490000000</v>
      </c>
      <c r="D1278" s="17" t="n">
        <f aca="false">BE33</f>
        <v>330000000</v>
      </c>
      <c r="E1278" s="17" t="n">
        <f aca="false">BF33</f>
        <v>0</v>
      </c>
      <c r="F1278" s="17" t="n">
        <f aca="false">BG33</f>
        <v>1160000000</v>
      </c>
    </row>
    <row r="1279" customFormat="false" ht="12.8" hidden="false" customHeight="false" outlineLevel="0" collapsed="false">
      <c r="A1279" s="7" t="str">
        <f aca="false">_xlfn.CONCAT($A$978, ".", A34)</f>
        <v>AR.7.31</v>
      </c>
      <c r="B1279" s="7" t="str">
        <f aca="false">_xlfn.CONCAT(B34, ": ", C34)</f>
        <v>Self-Employed / Non-Employer: Worker</v>
      </c>
      <c r="C1279" s="17" t="n">
        <f aca="false">BD34</f>
        <v>850000000</v>
      </c>
      <c r="D1279" s="17" t="n">
        <f aca="false">BE34</f>
        <v>340000000</v>
      </c>
      <c r="E1279" s="17" t="n">
        <f aca="false">BF34</f>
        <v>0</v>
      </c>
      <c r="F1279" s="17" t="n">
        <f aca="false">BG34</f>
        <v>816000000</v>
      </c>
    </row>
    <row r="1280" customFormat="false" ht="12.8" hidden="false" customHeight="false" outlineLevel="0" collapsed="false">
      <c r="A1280" s="7" t="str">
        <f aca="false">_xlfn.CONCAT($A$978, ".", A35)</f>
        <v>AR.7.32</v>
      </c>
      <c r="B1280" s="7" t="str">
        <f aca="false">_xlfn.CONCAT(B35, ": ", C35)</f>
        <v>Self-Employed / Non-Employer: Support</v>
      </c>
      <c r="C1280" s="17" t="n">
        <f aca="false">BD35</f>
        <v>94000000</v>
      </c>
      <c r="D1280" s="17" t="n">
        <f aca="false">BE35</f>
        <v>38000000</v>
      </c>
      <c r="E1280" s="17" t="n">
        <f aca="false">BF35</f>
        <v>0</v>
      </c>
      <c r="F1280" s="17" t="n">
        <f aca="false">BG35</f>
        <v>90200000</v>
      </c>
    </row>
    <row r="1281" customFormat="false" ht="12.8" hidden="false" customHeight="false" outlineLevel="0" collapsed="false">
      <c r="A1281" s="7" t="str">
        <f aca="false">_xlfn.CONCAT($A$978, ".", A36)</f>
        <v>AR.7.33</v>
      </c>
      <c r="B1281" s="7" t="str">
        <f aca="false">_xlfn.CONCAT(B36, ": ", C36)</f>
        <v>Other Services: Worker</v>
      </c>
      <c r="C1281" s="17" t="n">
        <f aca="false">BD36</f>
        <v>1525000000</v>
      </c>
      <c r="D1281" s="17" t="n">
        <f aca="false">BE36</f>
        <v>337000000</v>
      </c>
      <c r="E1281" s="17" t="n">
        <f aca="false">BF36</f>
        <v>0</v>
      </c>
      <c r="F1281" s="17" t="n">
        <f aca="false">BG36</f>
        <v>1188000000</v>
      </c>
    </row>
    <row r="1282" customFormat="false" ht="12.8" hidden="false" customHeight="false" outlineLevel="0" collapsed="false">
      <c r="A1282" s="7" t="str">
        <f aca="false">_xlfn.CONCAT($A$978, ".", A37)</f>
        <v>AR.7.34</v>
      </c>
      <c r="B1282" s="7" t="str">
        <f aca="false">_xlfn.CONCAT(B37, ": ", C37)</f>
        <v>Other Services: Support</v>
      </c>
      <c r="C1282" s="17" t="n">
        <f aca="false">BD37</f>
        <v>765000000</v>
      </c>
      <c r="D1282" s="17" t="n">
        <f aca="false">BE37</f>
        <v>169000000</v>
      </c>
      <c r="E1282" s="17" t="n">
        <f aca="false">BF37</f>
        <v>0</v>
      </c>
      <c r="F1282" s="17" t="n">
        <f aca="false">BG37</f>
        <v>596000000</v>
      </c>
    </row>
    <row r="1380" customFormat="false" ht="12.8" hidden="false" customHeight="false" outlineLevel="0" collapsed="false">
      <c r="A1380" s="5" t="s">
        <v>174</v>
      </c>
      <c r="B1380" s="24" t="s">
        <v>9</v>
      </c>
      <c r="C1380" s="25" t="s">
        <v>160</v>
      </c>
    </row>
    <row r="1381" customFormat="false" ht="35.05" hidden="false" customHeight="false" outlineLevel="0" collapsed="false">
      <c r="A1381" s="5" t="s">
        <v>26</v>
      </c>
      <c r="B1381" s="5" t="str">
        <f aca="false">_xlfn.CONCAT(B2, ": ", C2)</f>
        <v>Industry: Role</v>
      </c>
      <c r="C1381" s="31" t="str">
        <f aca="false">BH2</f>
        <v>ACTC Credit Refund</v>
      </c>
      <c r="D1381" s="31" t="str">
        <f aca="false">BI2</f>
        <v>Authorized Immigrant ACTC Credit Refund</v>
      </c>
      <c r="E1381" s="31" t="str">
        <f aca="false">BJ2</f>
        <v>Unauthorized Immigrant ACTC Credit Refund</v>
      </c>
      <c r="F1381" s="31" t="str">
        <f aca="false">BK2</f>
        <v>American Effective Tax ACTC Credit Refund</v>
      </c>
    </row>
    <row r="1382" customFormat="false" ht="12.8" hidden="false" customHeight="false" outlineLevel="0" collapsed="false">
      <c r="A1382" s="7" t="str">
        <f aca="false">_xlfn.CONCAT($A$978, ".", A3)</f>
        <v>AR.7.0</v>
      </c>
      <c r="B1382" s="7" t="str">
        <f aca="false">_xlfn.CONCAT(B3, ": ", C3)</f>
        <v>All Industries: All Roles</v>
      </c>
      <c r="C1382" s="31" t="n">
        <f aca="false">BH3</f>
        <v>785000000</v>
      </c>
      <c r="D1382" s="31" t="n">
        <f aca="false">BI3</f>
        <v>265000000</v>
      </c>
      <c r="E1382" s="31" t="n">
        <f aca="false">BJ3</f>
        <v>0</v>
      </c>
      <c r="F1382" s="31" t="n">
        <f aca="false">BK3</f>
        <v>520000000</v>
      </c>
    </row>
    <row r="1383" customFormat="false" ht="12.8" hidden="false" customHeight="false" outlineLevel="0" collapsed="false">
      <c r="A1383" s="7" t="str">
        <f aca="false">_xlfn.CONCAT($A$978, ".", A4)</f>
        <v>AR.7.1</v>
      </c>
      <c r="B1383" s="7" t="str">
        <f aca="false">_xlfn.CONCAT(B4, ": ", C4)</f>
        <v>Agriculture: Worker</v>
      </c>
      <c r="C1383" s="31" t="n">
        <f aca="false">BH4</f>
        <v>2400000</v>
      </c>
      <c r="D1383" s="31" t="n">
        <f aca="false">BI4</f>
        <v>700000</v>
      </c>
      <c r="E1383" s="31" t="n">
        <f aca="false">BJ4</f>
        <v>0</v>
      </c>
      <c r="F1383" s="31" t="n">
        <f aca="false">BK4</f>
        <v>1700000</v>
      </c>
    </row>
    <row r="1384" customFormat="false" ht="12.8" hidden="false" customHeight="false" outlineLevel="0" collapsed="false">
      <c r="A1384" s="7" t="str">
        <f aca="false">_xlfn.CONCAT($A$978, ".", A5)</f>
        <v>AR.7.2</v>
      </c>
      <c r="B1384" s="7" t="str">
        <f aca="false">_xlfn.CONCAT(B5, ": ", C5)</f>
        <v>Agriculture: Support</v>
      </c>
      <c r="C1384" s="31" t="n">
        <f aca="false">BH5</f>
        <v>1200000</v>
      </c>
      <c r="D1384" s="31" t="n">
        <f aca="false">BI5</f>
        <v>300000</v>
      </c>
      <c r="E1384" s="31" t="n">
        <f aca="false">BJ5</f>
        <v>0</v>
      </c>
      <c r="F1384" s="31" t="n">
        <f aca="false">BK5</f>
        <v>900000</v>
      </c>
    </row>
    <row r="1385" customFormat="false" ht="12.8" hidden="false" customHeight="false" outlineLevel="0" collapsed="false">
      <c r="A1385" s="7" t="str">
        <f aca="false">_xlfn.CONCAT($A$978, ".", A6)</f>
        <v>AR.7.3</v>
      </c>
      <c r="B1385" s="7" t="str">
        <f aca="false">_xlfn.CONCAT(B6, ": ", C6)</f>
        <v>Construction: Worker</v>
      </c>
      <c r="C1385" s="31" t="n">
        <f aca="false">BH6</f>
        <v>5700000</v>
      </c>
      <c r="D1385" s="31" t="n">
        <f aca="false">BI6</f>
        <v>1500000</v>
      </c>
      <c r="E1385" s="31" t="n">
        <f aca="false">BJ6</f>
        <v>0</v>
      </c>
      <c r="F1385" s="31" t="n">
        <f aca="false">BK6</f>
        <v>4200000</v>
      </c>
    </row>
    <row r="1386" customFormat="false" ht="12.8" hidden="false" customHeight="false" outlineLevel="0" collapsed="false">
      <c r="A1386" s="7" t="str">
        <f aca="false">_xlfn.CONCAT($A$978, ".", A7)</f>
        <v>AR.7.4</v>
      </c>
      <c r="B1386" s="7" t="str">
        <f aca="false">_xlfn.CONCAT(B7, ": ", C7)</f>
        <v>Construction: Support</v>
      </c>
      <c r="C1386" s="31" t="n">
        <f aca="false">BH7</f>
        <v>2850000</v>
      </c>
      <c r="D1386" s="31" t="n">
        <f aca="false">BI7</f>
        <v>750000</v>
      </c>
      <c r="E1386" s="31" t="n">
        <f aca="false">BJ7</f>
        <v>0</v>
      </c>
      <c r="F1386" s="31" t="n">
        <f aca="false">BK7</f>
        <v>2100000</v>
      </c>
    </row>
    <row r="1387" customFormat="false" ht="12.8" hidden="false" customHeight="false" outlineLevel="0" collapsed="false">
      <c r="A1387" s="7" t="str">
        <f aca="false">_xlfn.CONCAT($A$978, ".", A8)</f>
        <v>AR.7.5</v>
      </c>
      <c r="B1387" s="7" t="str">
        <f aca="false">_xlfn.CONCAT(B8, ": ", C8)</f>
        <v>Hospitality: Worker</v>
      </c>
      <c r="C1387" s="31" t="n">
        <f aca="false">BH8</f>
        <v>7900000</v>
      </c>
      <c r="D1387" s="31" t="n">
        <f aca="false">BI8</f>
        <v>2000000</v>
      </c>
      <c r="E1387" s="31" t="n">
        <f aca="false">BJ8</f>
        <v>0</v>
      </c>
      <c r="F1387" s="31" t="n">
        <f aca="false">BK8</f>
        <v>5900000</v>
      </c>
    </row>
    <row r="1388" customFormat="false" ht="12.8" hidden="false" customHeight="false" outlineLevel="0" collapsed="false">
      <c r="A1388" s="7" t="str">
        <f aca="false">_xlfn.CONCAT($A$978, ".", A9)</f>
        <v>AR.7.6</v>
      </c>
      <c r="B1388" s="7" t="str">
        <f aca="false">_xlfn.CONCAT(B9, ": ", C9)</f>
        <v>Hospitality: Support</v>
      </c>
      <c r="C1388" s="31" t="n">
        <f aca="false">BH9</f>
        <v>3950000</v>
      </c>
      <c r="D1388" s="31" t="n">
        <f aca="false">BI9</f>
        <v>1000000</v>
      </c>
      <c r="E1388" s="31" t="n">
        <f aca="false">BJ9</f>
        <v>0</v>
      </c>
      <c r="F1388" s="31" t="n">
        <f aca="false">BK9</f>
        <v>2950000</v>
      </c>
    </row>
    <row r="1389" customFormat="false" ht="12.8" hidden="false" customHeight="false" outlineLevel="0" collapsed="false">
      <c r="A1389" s="7" t="str">
        <f aca="false">_xlfn.CONCAT($A$978, ".", A10)</f>
        <v>AR.7.7</v>
      </c>
      <c r="B1389" s="7" t="str">
        <f aca="false">_xlfn.CONCAT(B10, ": ", C10)</f>
        <v>Cleaning &amp; Maintenance: Worker</v>
      </c>
      <c r="C1389" s="31" t="n">
        <f aca="false">BH10</f>
        <v>3950000</v>
      </c>
      <c r="D1389" s="31" t="n">
        <f aca="false">BI10</f>
        <v>1000000</v>
      </c>
      <c r="E1389" s="31" t="n">
        <f aca="false">BJ10</f>
        <v>0</v>
      </c>
      <c r="F1389" s="31" t="n">
        <f aca="false">BK10</f>
        <v>2950000</v>
      </c>
    </row>
    <row r="1390" customFormat="false" ht="12.8" hidden="false" customHeight="false" outlineLevel="0" collapsed="false">
      <c r="A1390" s="7" t="str">
        <f aca="false">_xlfn.CONCAT($A$978, ".", A11)</f>
        <v>AR.7.8</v>
      </c>
      <c r="B1390" s="7" t="str">
        <f aca="false">_xlfn.CONCAT(B11, ": ", C11)</f>
        <v>Cleaning &amp; Maintenance: Support</v>
      </c>
      <c r="C1390" s="31" t="n">
        <f aca="false">BH11</f>
        <v>1975000</v>
      </c>
      <c r="D1390" s="31" t="n">
        <f aca="false">BI11</f>
        <v>500000</v>
      </c>
      <c r="E1390" s="31" t="n">
        <f aca="false">BJ11</f>
        <v>0</v>
      </c>
      <c r="F1390" s="31" t="n">
        <f aca="false">BK11</f>
        <v>1475000</v>
      </c>
    </row>
    <row r="1391" customFormat="false" ht="12.8" hidden="false" customHeight="false" outlineLevel="0" collapsed="false">
      <c r="A1391" s="7" t="str">
        <f aca="false">_xlfn.CONCAT($A$978, ".", A12)</f>
        <v>AR.7.9</v>
      </c>
      <c r="B1391" s="7" t="str">
        <f aca="false">_xlfn.CONCAT(B12, ": ", C12)</f>
        <v>Manufacturing: Worker</v>
      </c>
      <c r="C1391" s="31" t="n">
        <f aca="false">BH12</f>
        <v>778000000</v>
      </c>
      <c r="D1391" s="31" t="n">
        <f aca="false">BI12</f>
        <v>198000000</v>
      </c>
      <c r="E1391" s="31" t="n">
        <f aca="false">BJ12</f>
        <v>0</v>
      </c>
      <c r="F1391" s="31" t="n">
        <f aca="false">BK12</f>
        <v>580000000</v>
      </c>
    </row>
    <row r="1392" customFormat="false" ht="12.8" hidden="false" customHeight="false" outlineLevel="0" collapsed="false">
      <c r="A1392" s="7" t="str">
        <f aca="false">_xlfn.CONCAT($A$978, ".", A13)</f>
        <v>AR.7.10</v>
      </c>
      <c r="B1392" s="7" t="str">
        <f aca="false">_xlfn.CONCAT(B13, ": ", C13)</f>
        <v>Manufacturing: Support</v>
      </c>
      <c r="C1392" s="31" t="n">
        <f aca="false">BH13</f>
        <v>389000000</v>
      </c>
      <c r="D1392" s="31" t="n">
        <f aca="false">BI13</f>
        <v>99000000</v>
      </c>
      <c r="E1392" s="31" t="n">
        <f aca="false">BJ13</f>
        <v>0</v>
      </c>
      <c r="F1392" s="31" t="n">
        <f aca="false">BK13</f>
        <v>290000000</v>
      </c>
    </row>
    <row r="1393" customFormat="false" ht="12.8" hidden="false" customHeight="false" outlineLevel="0" collapsed="false">
      <c r="A1393" s="7" t="str">
        <f aca="false">_xlfn.CONCAT($A$978, ".", A14)</f>
        <v>AR.7.11</v>
      </c>
      <c r="B1393" s="7" t="str">
        <f aca="false">_xlfn.CONCAT(B14, ": ", C14)</f>
        <v>Transportation &amp; Warehousing: Worker</v>
      </c>
      <c r="C1393" s="31" t="n">
        <f aca="false">BH14</f>
        <v>760000000</v>
      </c>
      <c r="D1393" s="31" t="n">
        <f aca="false">BI14</f>
        <v>194000000</v>
      </c>
      <c r="E1393" s="31" t="n">
        <f aca="false">BJ14</f>
        <v>0</v>
      </c>
      <c r="F1393" s="31" t="n">
        <f aca="false">BK14</f>
        <v>566000000</v>
      </c>
    </row>
    <row r="1394" customFormat="false" ht="12.8" hidden="false" customHeight="false" outlineLevel="0" collapsed="false">
      <c r="A1394" s="7" t="str">
        <f aca="false">_xlfn.CONCAT($A$978, ".", A15)</f>
        <v>AR.7.12</v>
      </c>
      <c r="B1394" s="7" t="str">
        <f aca="false">_xlfn.CONCAT(B15, ": ", C15)</f>
        <v>Transportation &amp; Warehousing: Support</v>
      </c>
      <c r="C1394" s="31" t="n">
        <f aca="false">BH15</f>
        <v>380000000</v>
      </c>
      <c r="D1394" s="31" t="n">
        <f aca="false">BI15</f>
        <v>97000000</v>
      </c>
      <c r="E1394" s="31" t="n">
        <f aca="false">BJ15</f>
        <v>0</v>
      </c>
      <c r="F1394" s="31" t="n">
        <f aca="false">BK15</f>
        <v>283000000</v>
      </c>
    </row>
    <row r="1395" customFormat="false" ht="12.8" hidden="false" customHeight="false" outlineLevel="0" collapsed="false">
      <c r="A1395" s="7" t="str">
        <f aca="false">_xlfn.CONCAT($A$978, ".", A16)</f>
        <v>AR.7.13</v>
      </c>
      <c r="B1395" s="7" t="str">
        <f aca="false">_xlfn.CONCAT(B16, ": ", C16)</f>
        <v>Retail Trade: Worker</v>
      </c>
      <c r="C1395" s="31" t="n">
        <f aca="false">BH16</f>
        <v>2900000000</v>
      </c>
      <c r="D1395" s="31" t="n">
        <f aca="false">BI16</f>
        <v>739000000</v>
      </c>
      <c r="E1395" s="31" t="n">
        <f aca="false">BJ16</f>
        <v>0</v>
      </c>
      <c r="F1395" s="31" t="n">
        <f aca="false">BK16</f>
        <v>2161000000</v>
      </c>
    </row>
    <row r="1396" customFormat="false" ht="12.8" hidden="false" customHeight="false" outlineLevel="0" collapsed="false">
      <c r="A1396" s="7" t="str">
        <f aca="false">_xlfn.CONCAT($A$978, ".", A17)</f>
        <v>AR.7.14</v>
      </c>
      <c r="B1396" s="7" t="str">
        <f aca="false">_xlfn.CONCAT(B17, ": ", C17)</f>
        <v>Retail Trade: Support</v>
      </c>
      <c r="C1396" s="31" t="n">
        <f aca="false">BH17</f>
        <v>1450000000</v>
      </c>
      <c r="D1396" s="31" t="n">
        <f aca="false">BI17</f>
        <v>369000000</v>
      </c>
      <c r="E1396" s="31" t="n">
        <f aca="false">BJ17</f>
        <v>0</v>
      </c>
      <c r="F1396" s="31" t="n">
        <f aca="false">BK17</f>
        <v>1081000000</v>
      </c>
    </row>
    <row r="1397" customFormat="false" ht="12.8" hidden="false" customHeight="false" outlineLevel="0" collapsed="false">
      <c r="A1397" s="7" t="str">
        <f aca="false">_xlfn.CONCAT($A$978, ".", A18)</f>
        <v>AR.7.15</v>
      </c>
      <c r="B1397" s="7" t="str">
        <f aca="false">_xlfn.CONCAT(B18, ": ", C18)</f>
        <v>Landscaping / Groundskeeping: Worker</v>
      </c>
      <c r="C1397" s="31" t="n">
        <f aca="false">BH18</f>
        <v>290000000</v>
      </c>
      <c r="D1397" s="31" t="n">
        <f aca="false">BI18</f>
        <v>74000000</v>
      </c>
      <c r="E1397" s="31" t="n">
        <f aca="false">BJ18</f>
        <v>0</v>
      </c>
      <c r="F1397" s="31" t="n">
        <f aca="false">BK18</f>
        <v>216000000</v>
      </c>
    </row>
    <row r="1398" customFormat="false" ht="12.8" hidden="false" customHeight="false" outlineLevel="0" collapsed="false">
      <c r="A1398" s="7" t="str">
        <f aca="false">_xlfn.CONCAT($A$978, ".", A19)</f>
        <v>AR.7.16</v>
      </c>
      <c r="B1398" s="7" t="str">
        <f aca="false">_xlfn.CONCAT(B19, ": ", C19)</f>
        <v>Landscaping / Groundskeeping: Support</v>
      </c>
      <c r="C1398" s="31" t="n">
        <f aca="false">BH19</f>
        <v>145000000</v>
      </c>
      <c r="D1398" s="31" t="n">
        <f aca="false">BI19</f>
        <v>37000000</v>
      </c>
      <c r="E1398" s="31" t="n">
        <f aca="false">BJ19</f>
        <v>0</v>
      </c>
      <c r="F1398" s="31" t="n">
        <f aca="false">BK19</f>
        <v>108000000</v>
      </c>
    </row>
    <row r="1399" customFormat="false" ht="12.8" hidden="false" customHeight="false" outlineLevel="0" collapsed="false">
      <c r="A1399" s="7" t="str">
        <f aca="false">_xlfn.CONCAT($A$978, ".", A20)</f>
        <v>AR.7.17</v>
      </c>
      <c r="B1399" s="7" t="str">
        <f aca="false">_xlfn.CONCAT(B20, ": ", C20)</f>
        <v>Automotive &amp; Repair: Worker</v>
      </c>
      <c r="C1399" s="31" t="n">
        <f aca="false">BH20</f>
        <v>154000000</v>
      </c>
      <c r="D1399" s="31" t="n">
        <f aca="false">BI20</f>
        <v>39000000</v>
      </c>
      <c r="E1399" s="31" t="n">
        <f aca="false">BJ20</f>
        <v>0</v>
      </c>
      <c r="F1399" s="31" t="n">
        <f aca="false">BK20</f>
        <v>115000000</v>
      </c>
    </row>
    <row r="1400" customFormat="false" ht="12.8" hidden="false" customHeight="false" outlineLevel="0" collapsed="false">
      <c r="A1400" s="7" t="str">
        <f aca="false">_xlfn.CONCAT($A$978, ".", A21)</f>
        <v>AR.7.18</v>
      </c>
      <c r="B1400" s="7" t="str">
        <f aca="false">_xlfn.CONCAT(B21, ": ", C21)</f>
        <v>Automotive &amp; Repair: Support</v>
      </c>
      <c r="C1400" s="31" t="n">
        <f aca="false">BH21</f>
        <v>77000000</v>
      </c>
      <c r="D1400" s="31" t="n">
        <f aca="false">BI21</f>
        <v>19500000</v>
      </c>
      <c r="E1400" s="31" t="n">
        <f aca="false">BJ21</f>
        <v>0</v>
      </c>
      <c r="F1400" s="31" t="n">
        <f aca="false">BK21</f>
        <v>57500000</v>
      </c>
    </row>
    <row r="1401" customFormat="false" ht="12.8" hidden="false" customHeight="false" outlineLevel="0" collapsed="false">
      <c r="A1401" s="7" t="str">
        <f aca="false">_xlfn.CONCAT($A$978, ".", A22)</f>
        <v>AR.7.19</v>
      </c>
      <c r="B1401" s="7" t="str">
        <f aca="false">_xlfn.CONCAT(B22, ": ", C22)</f>
        <v>Healthcare &amp; Social Assistance: Worker</v>
      </c>
      <c r="C1401" s="31" t="n">
        <f aca="false">BH22</f>
        <v>2140000000</v>
      </c>
      <c r="D1401" s="31" t="n">
        <f aca="false">BI22</f>
        <v>546000000</v>
      </c>
      <c r="E1401" s="31" t="n">
        <f aca="false">BJ22</f>
        <v>0</v>
      </c>
      <c r="F1401" s="31" t="n">
        <f aca="false">BK22</f>
        <v>1594000000</v>
      </c>
    </row>
    <row r="1402" customFormat="false" ht="12.8" hidden="false" customHeight="false" outlineLevel="0" collapsed="false">
      <c r="A1402" s="7" t="str">
        <f aca="false">_xlfn.CONCAT($A$978, ".", A23)</f>
        <v>AR.7.20</v>
      </c>
      <c r="B1402" s="7" t="str">
        <f aca="false">_xlfn.CONCAT(B23, ": ", C23)</f>
        <v>Healthcare &amp; Social Assistance: Support</v>
      </c>
      <c r="C1402" s="31" t="n">
        <f aca="false">BH23</f>
        <v>1070000000</v>
      </c>
      <c r="D1402" s="31" t="n">
        <f aca="false">BI23</f>
        <v>273000000</v>
      </c>
      <c r="E1402" s="31" t="n">
        <f aca="false">BJ23</f>
        <v>0</v>
      </c>
      <c r="F1402" s="31" t="n">
        <f aca="false">BK23</f>
        <v>797000000</v>
      </c>
    </row>
    <row r="1403" customFormat="false" ht="12.8" hidden="false" customHeight="false" outlineLevel="0" collapsed="false">
      <c r="A1403" s="7" t="str">
        <f aca="false">_xlfn.CONCAT($A$978, ".", A24)</f>
        <v>AR.7.21</v>
      </c>
      <c r="B1403" s="7" t="str">
        <f aca="false">_xlfn.CONCAT(B24, ": ", C24)</f>
        <v>Professional Services: Worker</v>
      </c>
      <c r="C1403" s="31" t="n">
        <f aca="false">BH24</f>
        <v>2880000000</v>
      </c>
      <c r="D1403" s="31" t="n">
        <f aca="false">BI24</f>
        <v>734000000</v>
      </c>
      <c r="E1403" s="31" t="n">
        <f aca="false">BJ24</f>
        <v>0</v>
      </c>
      <c r="F1403" s="31" t="n">
        <f aca="false">BK24</f>
        <v>2146000000</v>
      </c>
    </row>
    <row r="1404" customFormat="false" ht="12.8" hidden="false" customHeight="false" outlineLevel="0" collapsed="false">
      <c r="A1404" s="7" t="str">
        <f aca="false">_xlfn.CONCAT($A$978, ".", A25)</f>
        <v>AR.7.22</v>
      </c>
      <c r="B1404" s="7" t="str">
        <f aca="false">_xlfn.CONCAT(B25, ": ", C25)</f>
        <v>Professional Services: Support</v>
      </c>
      <c r="C1404" s="31" t="n">
        <f aca="false">BH25</f>
        <v>1440000000</v>
      </c>
      <c r="D1404" s="31" t="n">
        <f aca="false">BI25</f>
        <v>367000000</v>
      </c>
      <c r="E1404" s="31" t="n">
        <f aca="false">BJ25</f>
        <v>0</v>
      </c>
      <c r="F1404" s="31" t="n">
        <f aca="false">BK25</f>
        <v>1073000000</v>
      </c>
    </row>
    <row r="1405" customFormat="false" ht="12.8" hidden="false" customHeight="false" outlineLevel="0" collapsed="false">
      <c r="A1405" s="7" t="str">
        <f aca="false">_xlfn.CONCAT($A$978, ".", A26)</f>
        <v>AR.7.23</v>
      </c>
      <c r="B1405" s="7" t="str">
        <f aca="false">_xlfn.CONCAT(B26, ": ", C26)</f>
        <v>Educational Services: Worker</v>
      </c>
      <c r="C1405" s="31" t="n">
        <f aca="false">BH26</f>
        <v>767000000</v>
      </c>
      <c r="D1405" s="31" t="n">
        <f aca="false">BI26</f>
        <v>195000000</v>
      </c>
      <c r="E1405" s="31" t="n">
        <f aca="false">BJ26</f>
        <v>0</v>
      </c>
      <c r="F1405" s="31" t="n">
        <f aca="false">BK26</f>
        <v>572000000</v>
      </c>
    </row>
    <row r="1406" customFormat="false" ht="12.8" hidden="false" customHeight="false" outlineLevel="0" collapsed="false">
      <c r="A1406" s="7" t="str">
        <f aca="false">_xlfn.CONCAT($A$978, ".", A27)</f>
        <v>AR.7.24</v>
      </c>
      <c r="B1406" s="7" t="str">
        <f aca="false">_xlfn.CONCAT(B27, ": ", C27)</f>
        <v>Educational Services: Support</v>
      </c>
      <c r="C1406" s="31" t="n">
        <f aca="false">BH27</f>
        <v>383000000</v>
      </c>
      <c r="D1406" s="31" t="n">
        <f aca="false">BI27</f>
        <v>97500000</v>
      </c>
      <c r="E1406" s="31" t="n">
        <f aca="false">BJ27</f>
        <v>0</v>
      </c>
      <c r="F1406" s="31" t="n">
        <f aca="false">BK27</f>
        <v>285500000</v>
      </c>
    </row>
    <row r="1407" customFormat="false" ht="12.8" hidden="false" customHeight="false" outlineLevel="0" collapsed="false">
      <c r="A1407" s="7" t="str">
        <f aca="false">_xlfn.CONCAT($A$978, ".", A28)</f>
        <v>AR.7.25</v>
      </c>
      <c r="B1407" s="7" t="str">
        <f aca="false">_xlfn.CONCAT(B28, ": ", C28)</f>
        <v>Finance &amp; Insurance: Worker</v>
      </c>
      <c r="C1407" s="31" t="n">
        <f aca="false">BH28</f>
        <v>1230000000</v>
      </c>
      <c r="D1407" s="31" t="n">
        <f aca="false">BI28</f>
        <v>313000000</v>
      </c>
      <c r="E1407" s="31" t="n">
        <f aca="false">BJ28</f>
        <v>0</v>
      </c>
      <c r="F1407" s="31" t="n">
        <f aca="false">BK28</f>
        <v>916000000</v>
      </c>
    </row>
    <row r="1408" customFormat="false" ht="12.8" hidden="false" customHeight="false" outlineLevel="0" collapsed="false">
      <c r="A1408" s="7" t="str">
        <f aca="false">_xlfn.CONCAT($A$978, ".", A29)</f>
        <v>AR.7.26</v>
      </c>
      <c r="B1408" s="7" t="str">
        <f aca="false">_xlfn.CONCAT(B29, ": ", C29)</f>
        <v>Finance &amp; Insurance: Support</v>
      </c>
      <c r="C1408" s="31" t="n">
        <f aca="false">BH29</f>
        <v>615000000</v>
      </c>
      <c r="D1408" s="31" t="n">
        <f aca="false">BI29</f>
        <v>157000000</v>
      </c>
      <c r="E1408" s="31" t="n">
        <f aca="false">BJ29</f>
        <v>0</v>
      </c>
      <c r="F1408" s="31" t="n">
        <f aca="false">BK29</f>
        <v>458000000</v>
      </c>
    </row>
    <row r="1409" customFormat="false" ht="12.8" hidden="false" customHeight="false" outlineLevel="0" collapsed="false">
      <c r="A1409" s="7" t="str">
        <f aca="false">_xlfn.CONCAT($A$978, ".", A30)</f>
        <v>AR.7.27</v>
      </c>
      <c r="B1409" s="7" t="str">
        <f aca="false">_xlfn.CONCAT(B30, ": ", C30)</f>
        <v>Media and Information Technology: Worker</v>
      </c>
      <c r="C1409" s="31" t="n">
        <f aca="false">BH30</f>
        <v>284000000</v>
      </c>
      <c r="D1409" s="31" t="n">
        <f aca="false">BI30</f>
        <v>72500000</v>
      </c>
      <c r="E1409" s="31" t="n">
        <f aca="false">BJ30</f>
        <v>0</v>
      </c>
      <c r="F1409" s="31" t="n">
        <f aca="false">BK30</f>
        <v>211500000</v>
      </c>
    </row>
    <row r="1410" customFormat="false" ht="12.8" hidden="false" customHeight="false" outlineLevel="0" collapsed="false">
      <c r="A1410" s="7" t="str">
        <f aca="false">_xlfn.CONCAT($A$978, ".", A31)</f>
        <v>AR.7.28</v>
      </c>
      <c r="B1410" s="7" t="str">
        <f aca="false">_xlfn.CONCAT(B31, ": ", C31)</f>
        <v>Media and Information Technology: Support</v>
      </c>
      <c r="C1410" s="31" t="n">
        <f aca="false">BH31</f>
        <v>142000000</v>
      </c>
      <c r="D1410" s="31" t="n">
        <f aca="false">BI31</f>
        <v>36200000</v>
      </c>
      <c r="E1410" s="31" t="n">
        <f aca="false">BJ31</f>
        <v>0</v>
      </c>
      <c r="F1410" s="31" t="n">
        <f aca="false">BK31</f>
        <v>105800000</v>
      </c>
    </row>
    <row r="1411" customFormat="false" ht="12.8" hidden="false" customHeight="false" outlineLevel="0" collapsed="false">
      <c r="A1411" s="7" t="str">
        <f aca="false">_xlfn.CONCAT($A$978, ".", A32)</f>
        <v>AR.7.29</v>
      </c>
      <c r="B1411" s="7" t="str">
        <f aca="false">_xlfn.CONCAT(B32, ": ", C32)</f>
        <v>Government: Worker</v>
      </c>
      <c r="C1411" s="31" t="n">
        <f aca="false">BH32</f>
        <v>1060000000</v>
      </c>
      <c r="D1411" s="31" t="n">
        <f aca="false">BI32</f>
        <v>270000000</v>
      </c>
      <c r="E1411" s="31" t="n">
        <f aca="false">BJ32</f>
        <v>0</v>
      </c>
      <c r="F1411" s="31" t="n">
        <f aca="false">BK32</f>
        <v>790000000</v>
      </c>
    </row>
    <row r="1412" customFormat="false" ht="12.8" hidden="false" customHeight="false" outlineLevel="0" collapsed="false">
      <c r="A1412" s="7" t="str">
        <f aca="false">_xlfn.CONCAT($A$978, ".", A33)</f>
        <v>AR.7.30</v>
      </c>
      <c r="B1412" s="7" t="str">
        <f aca="false">_xlfn.CONCAT(B33, ": ", C33)</f>
        <v>Government: Support</v>
      </c>
      <c r="C1412" s="31" t="n">
        <f aca="false">BH33</f>
        <v>530000000</v>
      </c>
      <c r="D1412" s="31" t="n">
        <f aca="false">BI33</f>
        <v>135000000</v>
      </c>
      <c r="E1412" s="31" t="n">
        <f aca="false">BJ33</f>
        <v>0</v>
      </c>
      <c r="F1412" s="31" t="n">
        <f aca="false">BK33</f>
        <v>395000000</v>
      </c>
    </row>
    <row r="1413" customFormat="false" ht="12.8" hidden="false" customHeight="false" outlineLevel="0" collapsed="false">
      <c r="A1413" s="7" t="str">
        <f aca="false">_xlfn.CONCAT($A$978, ".", A34)</f>
        <v>AR.7.31</v>
      </c>
      <c r="B1413" s="7" t="str">
        <f aca="false">_xlfn.CONCAT(B34, ": ", C34)</f>
        <v>Self-Employed / Non-Employer: Worker</v>
      </c>
      <c r="C1413" s="31" t="n">
        <f aca="false">BH34</f>
        <v>680000000</v>
      </c>
      <c r="D1413" s="31" t="n">
        <f aca="false">BI34</f>
        <v>170000000</v>
      </c>
      <c r="E1413" s="31" t="n">
        <f aca="false">BJ34</f>
        <v>0</v>
      </c>
      <c r="F1413" s="31" t="n">
        <f aca="false">BK34</f>
        <v>510000000</v>
      </c>
    </row>
    <row r="1414" customFormat="false" ht="12.8" hidden="false" customHeight="false" outlineLevel="0" collapsed="false">
      <c r="A1414" s="7" t="str">
        <f aca="false">_xlfn.CONCAT($A$978, ".", A35)</f>
        <v>AR.7.32</v>
      </c>
      <c r="B1414" s="7" t="str">
        <f aca="false">_xlfn.CONCAT(B35, ": ", C35)</f>
        <v>Self-Employed / Non-Employer: Support</v>
      </c>
      <c r="C1414" s="31" t="n">
        <f aca="false">BH35</f>
        <v>75000000</v>
      </c>
      <c r="D1414" s="31" t="n">
        <f aca="false">BI35</f>
        <v>19000000</v>
      </c>
      <c r="E1414" s="31" t="n">
        <f aca="false">BJ35</f>
        <v>0</v>
      </c>
      <c r="F1414" s="31" t="n">
        <f aca="false">BK35</f>
        <v>56000000</v>
      </c>
    </row>
    <row r="1415" customFormat="false" ht="12.8" hidden="false" customHeight="false" outlineLevel="0" collapsed="false">
      <c r="A1415" s="7" t="str">
        <f aca="false">_xlfn.CONCAT($A$978, ".", A36)</f>
        <v>AR.7.33</v>
      </c>
      <c r="B1415" s="7" t="str">
        <f aca="false">_xlfn.CONCAT(B36, ": ", C36)</f>
        <v>Other Services: Worker</v>
      </c>
      <c r="C1415" s="31" t="n">
        <f aca="false">BH36</f>
        <v>700000000</v>
      </c>
      <c r="D1415" s="31" t="n">
        <f aca="false">BI36</f>
        <v>178000000</v>
      </c>
      <c r="E1415" s="31" t="n">
        <f aca="false">BJ36</f>
        <v>0</v>
      </c>
      <c r="F1415" s="31" t="n">
        <f aca="false">BK36</f>
        <v>522000000</v>
      </c>
    </row>
    <row r="1416" customFormat="false" ht="12.8" hidden="false" customHeight="false" outlineLevel="0" collapsed="false">
      <c r="A1416" s="7" t="str">
        <f aca="false">_xlfn.CONCAT($A$978, ".", A37)</f>
        <v>AR.7.34</v>
      </c>
      <c r="B1416" s="7" t="str">
        <f aca="false">_xlfn.CONCAT(B37, ": ", C37)</f>
        <v>Other Services: Support</v>
      </c>
      <c r="C1416" s="31" t="n">
        <f aca="false">BH37</f>
        <v>350000000</v>
      </c>
      <c r="D1416" s="31" t="n">
        <f aca="false">BI37</f>
        <v>89000000</v>
      </c>
      <c r="E1416" s="31" t="n">
        <f aca="false">BJ37</f>
        <v>0</v>
      </c>
      <c r="F1416" s="31" t="n">
        <f aca="false">BK37</f>
        <v>261000000</v>
      </c>
    </row>
    <row r="1513" customFormat="false" ht="12.8" hidden="false" customHeight="false" outlineLevel="0" collapsed="false">
      <c r="A1513" s="5" t="s">
        <v>174</v>
      </c>
      <c r="B1513" s="24" t="s">
        <v>9</v>
      </c>
      <c r="C1513" s="7" t="s">
        <v>161</v>
      </c>
    </row>
    <row r="1514" customFormat="false" ht="35.05" hidden="false" customHeight="false" outlineLevel="0" collapsed="false">
      <c r="A1514" s="5" t="s">
        <v>26</v>
      </c>
      <c r="B1514" s="5" t="str">
        <f aca="false">_xlfn.CONCAT(B2, ": ", C2)</f>
        <v>Industry: Role</v>
      </c>
      <c r="C1514" s="31" t="str">
        <f aca="false">BL2</f>
        <v>AOTC Credit Refund</v>
      </c>
      <c r="D1514" s="31" t="str">
        <f aca="false">BM2</f>
        <v>Authorized Immigrant AOTC Credit Refund</v>
      </c>
      <c r="E1514" s="31" t="str">
        <f aca="false">BN2</f>
        <v>Unauthorized Immigrant AOTC Credit Refund</v>
      </c>
      <c r="F1514" s="31" t="str">
        <f aca="false">BO2</f>
        <v>American Effective Tax AOTC Credit Refund</v>
      </c>
    </row>
    <row r="1515" customFormat="false" ht="12.8" hidden="false" customHeight="false" outlineLevel="0" collapsed="false">
      <c r="A1515" s="7" t="str">
        <f aca="false">_xlfn.CONCAT($A$978, ".", A3)</f>
        <v>AR.7.0</v>
      </c>
      <c r="B1515" s="7" t="str">
        <f aca="false">_xlfn.CONCAT(B3, ": ", C3)</f>
        <v>All Industries: All Roles</v>
      </c>
      <c r="C1515" s="31" t="n">
        <f aca="false">BL3</f>
        <v>152000000</v>
      </c>
      <c r="D1515" s="31" t="n">
        <f aca="false">BM3</f>
        <v>46000000</v>
      </c>
      <c r="E1515" s="31" t="n">
        <f aca="false">BN3</f>
        <v>0</v>
      </c>
      <c r="F1515" s="31" t="n">
        <f aca="false">BO3</f>
        <v>106000000</v>
      </c>
    </row>
    <row r="1516" customFormat="false" ht="12.8" hidden="false" customHeight="false" outlineLevel="0" collapsed="false">
      <c r="A1516" s="7" t="str">
        <f aca="false">_xlfn.CONCAT($A$978, ".", A4)</f>
        <v>AR.7.1</v>
      </c>
      <c r="B1516" s="7" t="str">
        <f aca="false">_xlfn.CONCAT(B4, ": ", C4)</f>
        <v>Agriculture: Worker</v>
      </c>
      <c r="C1516" s="31" t="n">
        <f aca="false">BL4</f>
        <v>400000</v>
      </c>
      <c r="D1516" s="31" t="n">
        <f aca="false">BM4</f>
        <v>100000</v>
      </c>
      <c r="E1516" s="31" t="n">
        <f aca="false">BN4</f>
        <v>0</v>
      </c>
      <c r="F1516" s="31" t="n">
        <f aca="false">BO4</f>
        <v>300000</v>
      </c>
    </row>
    <row r="1517" customFormat="false" ht="12.8" hidden="false" customHeight="false" outlineLevel="0" collapsed="false">
      <c r="A1517" s="7" t="str">
        <f aca="false">_xlfn.CONCAT($A$978, ".", A5)</f>
        <v>AR.7.2</v>
      </c>
      <c r="B1517" s="7" t="str">
        <f aca="false">_xlfn.CONCAT(B5, ": ", C5)</f>
        <v>Agriculture: Support</v>
      </c>
      <c r="C1517" s="31" t="n">
        <f aca="false">BL5</f>
        <v>200000</v>
      </c>
      <c r="D1517" s="31" t="n">
        <f aca="false">BM5</f>
        <v>50000</v>
      </c>
      <c r="E1517" s="31" t="n">
        <f aca="false">BN5</f>
        <v>0</v>
      </c>
      <c r="F1517" s="31" t="n">
        <f aca="false">BO5</f>
        <v>150000</v>
      </c>
    </row>
    <row r="1518" customFormat="false" ht="12.8" hidden="false" customHeight="false" outlineLevel="0" collapsed="false">
      <c r="A1518" s="7" t="str">
        <f aca="false">_xlfn.CONCAT($A$978, ".", A6)</f>
        <v>AR.7.3</v>
      </c>
      <c r="B1518" s="7" t="str">
        <f aca="false">_xlfn.CONCAT(B6, ": ", C6)</f>
        <v>Construction: Worker</v>
      </c>
      <c r="C1518" s="31" t="n">
        <f aca="false">BL6</f>
        <v>600000</v>
      </c>
      <c r="D1518" s="31" t="n">
        <f aca="false">BM6</f>
        <v>200000</v>
      </c>
      <c r="E1518" s="31" t="n">
        <f aca="false">BN6</f>
        <v>0</v>
      </c>
      <c r="F1518" s="31" t="n">
        <f aca="false">BO6</f>
        <v>400000</v>
      </c>
    </row>
    <row r="1519" customFormat="false" ht="12.8" hidden="false" customHeight="false" outlineLevel="0" collapsed="false">
      <c r="A1519" s="7" t="str">
        <f aca="false">_xlfn.CONCAT($A$978, ".", A7)</f>
        <v>AR.7.4</v>
      </c>
      <c r="B1519" s="7" t="str">
        <f aca="false">_xlfn.CONCAT(B7, ": ", C7)</f>
        <v>Construction: Support</v>
      </c>
      <c r="C1519" s="31" t="n">
        <f aca="false">BL7</f>
        <v>300000</v>
      </c>
      <c r="D1519" s="31" t="n">
        <f aca="false">BM7</f>
        <v>100000</v>
      </c>
      <c r="E1519" s="31" t="n">
        <f aca="false">BN7</f>
        <v>0</v>
      </c>
      <c r="F1519" s="31" t="n">
        <f aca="false">BO7</f>
        <v>200000</v>
      </c>
    </row>
    <row r="1520" customFormat="false" ht="12.8" hidden="false" customHeight="false" outlineLevel="0" collapsed="false">
      <c r="A1520" s="7" t="str">
        <f aca="false">_xlfn.CONCAT($A$978, ".", A8)</f>
        <v>AR.7.5</v>
      </c>
      <c r="B1520" s="7" t="str">
        <f aca="false">_xlfn.CONCAT(B8, ": ", C8)</f>
        <v>Hospitality: Worker</v>
      </c>
      <c r="C1520" s="31" t="n">
        <f aca="false">BL8</f>
        <v>800000</v>
      </c>
      <c r="D1520" s="31" t="n">
        <f aca="false">BM8</f>
        <v>200000</v>
      </c>
      <c r="E1520" s="31" t="n">
        <f aca="false">BN8</f>
        <v>0</v>
      </c>
      <c r="F1520" s="31" t="n">
        <f aca="false">BO8</f>
        <v>600000</v>
      </c>
    </row>
    <row r="1521" customFormat="false" ht="12.8" hidden="false" customHeight="false" outlineLevel="0" collapsed="false">
      <c r="A1521" s="7" t="str">
        <f aca="false">_xlfn.CONCAT($A$978, ".", A9)</f>
        <v>AR.7.6</v>
      </c>
      <c r="B1521" s="7" t="str">
        <f aca="false">_xlfn.CONCAT(B9, ": ", C9)</f>
        <v>Hospitality: Support</v>
      </c>
      <c r="C1521" s="31" t="n">
        <f aca="false">BL9</f>
        <v>400000</v>
      </c>
      <c r="D1521" s="31" t="n">
        <f aca="false">BM9</f>
        <v>100000</v>
      </c>
      <c r="E1521" s="31" t="n">
        <f aca="false">BN9</f>
        <v>0</v>
      </c>
      <c r="F1521" s="31" t="n">
        <f aca="false">BO9</f>
        <v>300000</v>
      </c>
    </row>
    <row r="1522" customFormat="false" ht="12.8" hidden="false" customHeight="false" outlineLevel="0" collapsed="false">
      <c r="A1522" s="7" t="str">
        <f aca="false">_xlfn.CONCAT($A$978, ".", A10)</f>
        <v>AR.7.7</v>
      </c>
      <c r="B1522" s="7" t="str">
        <f aca="false">_xlfn.CONCAT(B10, ": ", C10)</f>
        <v>Cleaning &amp; Maintenance: Worker</v>
      </c>
      <c r="C1522" s="31" t="n">
        <f aca="false">BL10</f>
        <v>400000</v>
      </c>
      <c r="D1522" s="31" t="n">
        <f aca="false">BM10</f>
        <v>100000</v>
      </c>
      <c r="E1522" s="31" t="n">
        <f aca="false">BN10</f>
        <v>0</v>
      </c>
      <c r="F1522" s="31" t="n">
        <f aca="false">BO10</f>
        <v>300000</v>
      </c>
    </row>
    <row r="1523" customFormat="false" ht="12.8" hidden="false" customHeight="false" outlineLevel="0" collapsed="false">
      <c r="A1523" s="7" t="str">
        <f aca="false">_xlfn.CONCAT($A$978, ".", A11)</f>
        <v>AR.7.8</v>
      </c>
      <c r="B1523" s="7" t="str">
        <f aca="false">_xlfn.CONCAT(B11, ": ", C11)</f>
        <v>Cleaning &amp; Maintenance: Support</v>
      </c>
      <c r="C1523" s="31" t="n">
        <f aca="false">BL11</f>
        <v>200000</v>
      </c>
      <c r="D1523" s="31" t="n">
        <f aca="false">BM11</f>
        <v>50000</v>
      </c>
      <c r="E1523" s="31" t="n">
        <f aca="false">BN11</f>
        <v>0</v>
      </c>
      <c r="F1523" s="31" t="n">
        <f aca="false">BO11</f>
        <v>150000</v>
      </c>
    </row>
    <row r="1524" customFormat="false" ht="12.8" hidden="false" customHeight="false" outlineLevel="0" collapsed="false">
      <c r="A1524" s="7" t="str">
        <f aca="false">_xlfn.CONCAT($A$978, ".", A12)</f>
        <v>AR.7.9</v>
      </c>
      <c r="B1524" s="7" t="str">
        <f aca="false">_xlfn.CONCAT(B12, ": ", C12)</f>
        <v>Manufacturing: Worker</v>
      </c>
      <c r="C1524" s="31" t="n">
        <f aca="false">BL12</f>
        <v>92000000</v>
      </c>
      <c r="D1524" s="31" t="n">
        <f aca="false">BM12</f>
        <v>20000000</v>
      </c>
      <c r="E1524" s="31" t="n">
        <f aca="false">BN12</f>
        <v>0</v>
      </c>
      <c r="F1524" s="31" t="n">
        <f aca="false">BO12</f>
        <v>72000000</v>
      </c>
    </row>
    <row r="1525" customFormat="false" ht="12.8" hidden="false" customHeight="false" outlineLevel="0" collapsed="false">
      <c r="A1525" s="7" t="str">
        <f aca="false">_xlfn.CONCAT($A$978, ".", A13)</f>
        <v>AR.7.10</v>
      </c>
      <c r="B1525" s="7" t="str">
        <f aca="false">_xlfn.CONCAT(B13, ": ", C13)</f>
        <v>Manufacturing: Support</v>
      </c>
      <c r="C1525" s="31" t="n">
        <f aca="false">BL13</f>
        <v>46000000</v>
      </c>
      <c r="D1525" s="31" t="n">
        <f aca="false">BM13</f>
        <v>10000000</v>
      </c>
      <c r="E1525" s="31" t="n">
        <f aca="false">BN13</f>
        <v>0</v>
      </c>
      <c r="F1525" s="31" t="n">
        <f aca="false">BO13</f>
        <v>36000000</v>
      </c>
    </row>
    <row r="1526" customFormat="false" ht="12.8" hidden="false" customHeight="false" outlineLevel="0" collapsed="false">
      <c r="A1526" s="7" t="str">
        <f aca="false">_xlfn.CONCAT($A$978, ".", A14)</f>
        <v>AR.7.11</v>
      </c>
      <c r="B1526" s="7" t="str">
        <f aca="false">_xlfn.CONCAT(B14, ": ", C14)</f>
        <v>Transportation &amp; Warehousing: Worker</v>
      </c>
      <c r="C1526" s="31" t="n">
        <f aca="false">BL14</f>
        <v>90000000</v>
      </c>
      <c r="D1526" s="31" t="n">
        <f aca="false">BM14</f>
        <v>19000000</v>
      </c>
      <c r="E1526" s="31" t="n">
        <f aca="false">BN14</f>
        <v>0</v>
      </c>
      <c r="F1526" s="31" t="n">
        <f aca="false">BO14</f>
        <v>71000000</v>
      </c>
    </row>
    <row r="1527" customFormat="false" ht="12.8" hidden="false" customHeight="false" outlineLevel="0" collapsed="false">
      <c r="A1527" s="7" t="str">
        <f aca="false">_xlfn.CONCAT($A$978, ".", A15)</f>
        <v>AR.7.12</v>
      </c>
      <c r="B1527" s="7" t="str">
        <f aca="false">_xlfn.CONCAT(B15, ": ", C15)</f>
        <v>Transportation &amp; Warehousing: Support</v>
      </c>
      <c r="C1527" s="31" t="n">
        <f aca="false">BL15</f>
        <v>45000000</v>
      </c>
      <c r="D1527" s="31" t="n">
        <f aca="false">BM15</f>
        <v>9500000</v>
      </c>
      <c r="E1527" s="31" t="n">
        <f aca="false">BN15</f>
        <v>0</v>
      </c>
      <c r="F1527" s="31" t="n">
        <f aca="false">BO15</f>
        <v>35500000</v>
      </c>
    </row>
    <row r="1528" customFormat="false" ht="12.8" hidden="false" customHeight="false" outlineLevel="0" collapsed="false">
      <c r="A1528" s="7" t="str">
        <f aca="false">_xlfn.CONCAT($A$978, ".", A16)</f>
        <v>AR.7.13</v>
      </c>
      <c r="B1528" s="7" t="str">
        <f aca="false">_xlfn.CONCAT(B16, ": ", C16)</f>
        <v>Retail Trade: Worker</v>
      </c>
      <c r="C1528" s="31" t="n">
        <f aca="false">BL16</f>
        <v>404000000</v>
      </c>
      <c r="D1528" s="31" t="n">
        <f aca="false">BM16</f>
        <v>87000000</v>
      </c>
      <c r="E1528" s="31" t="n">
        <f aca="false">BN16</f>
        <v>0</v>
      </c>
      <c r="F1528" s="31" t="n">
        <f aca="false">BO16</f>
        <v>317000000</v>
      </c>
    </row>
    <row r="1529" customFormat="false" ht="12.8" hidden="false" customHeight="false" outlineLevel="0" collapsed="false">
      <c r="A1529" s="7" t="str">
        <f aca="false">_xlfn.CONCAT($A$978, ".", A17)</f>
        <v>AR.7.14</v>
      </c>
      <c r="B1529" s="7" t="str">
        <f aca="false">_xlfn.CONCAT(B17, ": ", C17)</f>
        <v>Retail Trade: Support</v>
      </c>
      <c r="C1529" s="31" t="n">
        <f aca="false">BL17</f>
        <v>202000000</v>
      </c>
      <c r="D1529" s="31" t="n">
        <f aca="false">BM17</f>
        <v>43500000</v>
      </c>
      <c r="E1529" s="31" t="n">
        <f aca="false">BN17</f>
        <v>0</v>
      </c>
      <c r="F1529" s="31" t="n">
        <f aca="false">BO17</f>
        <v>158500000</v>
      </c>
    </row>
    <row r="1530" customFormat="false" ht="12.8" hidden="false" customHeight="false" outlineLevel="0" collapsed="false">
      <c r="A1530" s="7" t="str">
        <f aca="false">_xlfn.CONCAT($A$978, ".", A18)</f>
        <v>AR.7.15</v>
      </c>
      <c r="B1530" s="7" t="str">
        <f aca="false">_xlfn.CONCAT(B18, ": ", C18)</f>
        <v>Landscaping / Groundskeeping: Worker</v>
      </c>
      <c r="C1530" s="31" t="n">
        <f aca="false">BL18</f>
        <v>27000000</v>
      </c>
      <c r="D1530" s="31" t="n">
        <f aca="false">BM18</f>
        <v>6000000</v>
      </c>
      <c r="E1530" s="31" t="n">
        <f aca="false">BN18</f>
        <v>0</v>
      </c>
      <c r="F1530" s="31" t="n">
        <f aca="false">BO18</f>
        <v>21000000</v>
      </c>
    </row>
    <row r="1531" customFormat="false" ht="12.8" hidden="false" customHeight="false" outlineLevel="0" collapsed="false">
      <c r="A1531" s="7" t="str">
        <f aca="false">_xlfn.CONCAT($A$978, ".", A19)</f>
        <v>AR.7.16</v>
      </c>
      <c r="B1531" s="7" t="str">
        <f aca="false">_xlfn.CONCAT(B19, ": ", C19)</f>
        <v>Landscaping / Groundskeeping: Support</v>
      </c>
      <c r="C1531" s="31" t="n">
        <f aca="false">BL19</f>
        <v>13500000</v>
      </c>
      <c r="D1531" s="31" t="n">
        <f aca="false">BM19</f>
        <v>3000000</v>
      </c>
      <c r="E1531" s="31" t="n">
        <f aca="false">BN19</f>
        <v>0</v>
      </c>
      <c r="F1531" s="31" t="n">
        <f aca="false">BO19</f>
        <v>10500000</v>
      </c>
    </row>
    <row r="1532" customFormat="false" ht="12.8" hidden="false" customHeight="false" outlineLevel="0" collapsed="false">
      <c r="A1532" s="7" t="str">
        <f aca="false">_xlfn.CONCAT($A$978, ".", A20)</f>
        <v>AR.7.17</v>
      </c>
      <c r="B1532" s="7" t="str">
        <f aca="false">_xlfn.CONCAT(B20, ": ", C20)</f>
        <v>Automotive &amp; Repair: Worker</v>
      </c>
      <c r="C1532" s="31" t="n">
        <f aca="false">BL20</f>
        <v>18000000</v>
      </c>
      <c r="D1532" s="31" t="n">
        <f aca="false">BM20</f>
        <v>4000000</v>
      </c>
      <c r="E1532" s="31" t="n">
        <f aca="false">BN20</f>
        <v>0</v>
      </c>
      <c r="F1532" s="31" t="n">
        <f aca="false">BO20</f>
        <v>14000000</v>
      </c>
    </row>
    <row r="1533" customFormat="false" ht="12.8" hidden="false" customHeight="false" outlineLevel="0" collapsed="false">
      <c r="A1533" s="7" t="str">
        <f aca="false">_xlfn.CONCAT($A$978, ".", A21)</f>
        <v>AR.7.18</v>
      </c>
      <c r="B1533" s="7" t="str">
        <f aca="false">_xlfn.CONCAT(B21, ": ", C21)</f>
        <v>Automotive &amp; Repair: Support</v>
      </c>
      <c r="C1533" s="31" t="n">
        <f aca="false">BL21</f>
        <v>9000000</v>
      </c>
      <c r="D1533" s="31" t="n">
        <f aca="false">BM21</f>
        <v>2000000</v>
      </c>
      <c r="E1533" s="31" t="n">
        <f aca="false">BN21</f>
        <v>0</v>
      </c>
      <c r="F1533" s="31" t="n">
        <f aca="false">BO21</f>
        <v>7000000</v>
      </c>
    </row>
    <row r="1534" customFormat="false" ht="12.8" hidden="false" customHeight="false" outlineLevel="0" collapsed="false">
      <c r="A1534" s="7" t="str">
        <f aca="false">_xlfn.CONCAT($A$978, ".", A22)</f>
        <v>AR.7.19</v>
      </c>
      <c r="B1534" s="7" t="str">
        <f aca="false">_xlfn.CONCAT(B22, ": ", C22)</f>
        <v>Healthcare &amp; Social Assistance: Worker</v>
      </c>
      <c r="C1534" s="31" t="n">
        <f aca="false">BL22</f>
        <v>343000000</v>
      </c>
      <c r="D1534" s="31" t="n">
        <f aca="false">BM22</f>
        <v>74000000</v>
      </c>
      <c r="E1534" s="31" t="n">
        <f aca="false">BN22</f>
        <v>0</v>
      </c>
      <c r="F1534" s="31" t="n">
        <f aca="false">BO22</f>
        <v>269000000</v>
      </c>
    </row>
    <row r="1535" customFormat="false" ht="12.8" hidden="false" customHeight="false" outlineLevel="0" collapsed="false">
      <c r="A1535" s="7" t="str">
        <f aca="false">_xlfn.CONCAT($A$978, ".", A23)</f>
        <v>AR.7.20</v>
      </c>
      <c r="B1535" s="7" t="str">
        <f aca="false">_xlfn.CONCAT(B23, ": ", C23)</f>
        <v>Healthcare &amp; Social Assistance: Support</v>
      </c>
      <c r="C1535" s="31" t="n">
        <f aca="false">BL23</f>
        <v>171000000</v>
      </c>
      <c r="D1535" s="31" t="n">
        <f aca="false">BM23</f>
        <v>37000000</v>
      </c>
      <c r="E1535" s="31" t="n">
        <f aca="false">BN23</f>
        <v>0</v>
      </c>
      <c r="F1535" s="31" t="n">
        <f aca="false">BO23</f>
        <v>134000000</v>
      </c>
    </row>
    <row r="1536" customFormat="false" ht="12.8" hidden="false" customHeight="false" outlineLevel="0" collapsed="false">
      <c r="A1536" s="7" t="str">
        <f aca="false">_xlfn.CONCAT($A$978, ".", A24)</f>
        <v>AR.7.21</v>
      </c>
      <c r="B1536" s="7" t="str">
        <f aca="false">_xlfn.CONCAT(B24, ": ", C24)</f>
        <v>Professional Services: Worker</v>
      </c>
      <c r="C1536" s="31" t="n">
        <f aca="false">BL24</f>
        <v>708000000</v>
      </c>
      <c r="D1536" s="31" t="n">
        <f aca="false">BM24</f>
        <v>151000000</v>
      </c>
      <c r="E1536" s="31" t="n">
        <f aca="false">BN24</f>
        <v>0</v>
      </c>
      <c r="F1536" s="31" t="n">
        <f aca="false">BO24</f>
        <v>557000000</v>
      </c>
    </row>
    <row r="1537" customFormat="false" ht="12.8" hidden="false" customHeight="false" outlineLevel="0" collapsed="false">
      <c r="A1537" s="7" t="str">
        <f aca="false">_xlfn.CONCAT($A$978, ".", A25)</f>
        <v>AR.7.22</v>
      </c>
      <c r="B1537" s="7" t="str">
        <f aca="false">_xlfn.CONCAT(B25, ": ", C25)</f>
        <v>Professional Services: Support</v>
      </c>
      <c r="C1537" s="31" t="n">
        <f aca="false">BL25</f>
        <v>354000000</v>
      </c>
      <c r="D1537" s="31" t="n">
        <f aca="false">BM25</f>
        <v>76000000</v>
      </c>
      <c r="E1537" s="31" t="n">
        <f aca="false">BN25</f>
        <v>0</v>
      </c>
      <c r="F1537" s="31" t="n">
        <f aca="false">BO25</f>
        <v>278000000</v>
      </c>
    </row>
    <row r="1538" customFormat="false" ht="12.8" hidden="false" customHeight="false" outlineLevel="0" collapsed="false">
      <c r="A1538" s="7" t="str">
        <f aca="false">_xlfn.CONCAT($A$978, ".", A26)</f>
        <v>AR.7.23</v>
      </c>
      <c r="B1538" s="7" t="str">
        <f aca="false">_xlfn.CONCAT(B26, ": ", C26)</f>
        <v>Educational Services: Worker</v>
      </c>
      <c r="C1538" s="31" t="n">
        <f aca="false">BL26</f>
        <v>188000000</v>
      </c>
      <c r="D1538" s="31" t="n">
        <f aca="false">BM26</f>
        <v>40000000</v>
      </c>
      <c r="E1538" s="31" t="n">
        <f aca="false">BN26</f>
        <v>0</v>
      </c>
      <c r="F1538" s="31" t="n">
        <f aca="false">BO26</f>
        <v>148000000</v>
      </c>
    </row>
    <row r="1539" customFormat="false" ht="12.8" hidden="false" customHeight="false" outlineLevel="0" collapsed="false">
      <c r="A1539" s="7" t="str">
        <f aca="false">_xlfn.CONCAT($A$978, ".", A27)</f>
        <v>AR.7.24</v>
      </c>
      <c r="B1539" s="7" t="str">
        <f aca="false">_xlfn.CONCAT(B27, ": ", C27)</f>
        <v>Educational Services: Support</v>
      </c>
      <c r="C1539" s="31" t="n">
        <f aca="false">BL27</f>
        <v>94000000</v>
      </c>
      <c r="D1539" s="31" t="n">
        <f aca="false">BM27</f>
        <v>20000000</v>
      </c>
      <c r="E1539" s="31" t="n">
        <f aca="false">BN27</f>
        <v>0</v>
      </c>
      <c r="F1539" s="31" t="n">
        <f aca="false">BO27</f>
        <v>74000000</v>
      </c>
    </row>
    <row r="1540" customFormat="false" ht="12.8" hidden="false" customHeight="false" outlineLevel="0" collapsed="false">
      <c r="A1540" s="7" t="str">
        <f aca="false">_xlfn.CONCAT($A$978, ".", A28)</f>
        <v>AR.7.25</v>
      </c>
      <c r="B1540" s="7" t="str">
        <f aca="false">_xlfn.CONCAT(B28, ": ", C28)</f>
        <v>Finance &amp; Insurance: Worker</v>
      </c>
      <c r="C1540" s="31" t="n">
        <f aca="false">BL28</f>
        <v>224000000</v>
      </c>
      <c r="D1540" s="31" t="n">
        <f aca="false">BM28</f>
        <v>48000000</v>
      </c>
      <c r="E1540" s="31" t="n">
        <f aca="false">BN28</f>
        <v>0</v>
      </c>
      <c r="F1540" s="31" t="n">
        <f aca="false">BO28</f>
        <v>176000000</v>
      </c>
    </row>
    <row r="1541" customFormat="false" ht="12.8" hidden="false" customHeight="false" outlineLevel="0" collapsed="false">
      <c r="A1541" s="7" t="str">
        <f aca="false">_xlfn.CONCAT($A$978, ".", A29)</f>
        <v>AR.7.26</v>
      </c>
      <c r="B1541" s="7" t="str">
        <f aca="false">_xlfn.CONCAT(B29, ": ", C29)</f>
        <v>Finance &amp; Insurance: Support</v>
      </c>
      <c r="C1541" s="31" t="n">
        <f aca="false">BL29</f>
        <v>112000000</v>
      </c>
      <c r="D1541" s="31" t="n">
        <f aca="false">BM29</f>
        <v>24000000</v>
      </c>
      <c r="E1541" s="31" t="n">
        <f aca="false">BN29</f>
        <v>0</v>
      </c>
      <c r="F1541" s="31" t="n">
        <f aca="false">BO29</f>
        <v>88000000</v>
      </c>
    </row>
    <row r="1542" customFormat="false" ht="12.8" hidden="false" customHeight="false" outlineLevel="0" collapsed="false">
      <c r="A1542" s="7" t="str">
        <f aca="false">_xlfn.CONCAT($A$978, ".", A30)</f>
        <v>AR.7.27</v>
      </c>
      <c r="B1542" s="7" t="str">
        <f aca="false">_xlfn.CONCAT(B30, ": ", C30)</f>
        <v>Media and Information Technology: Worker</v>
      </c>
      <c r="C1542" s="31" t="n">
        <f aca="false">BL30</f>
        <v>52000000</v>
      </c>
      <c r="D1542" s="31" t="n">
        <f aca="false">BM30</f>
        <v>11000000</v>
      </c>
      <c r="E1542" s="31" t="n">
        <f aca="false">BN30</f>
        <v>0</v>
      </c>
      <c r="F1542" s="31" t="n">
        <f aca="false">BO30</f>
        <v>41000000</v>
      </c>
    </row>
    <row r="1543" customFormat="false" ht="12.8" hidden="false" customHeight="false" outlineLevel="0" collapsed="false">
      <c r="A1543" s="7" t="str">
        <f aca="false">_xlfn.CONCAT($A$978, ".", A31)</f>
        <v>AR.7.28</v>
      </c>
      <c r="B1543" s="7" t="str">
        <f aca="false">_xlfn.CONCAT(B31, ": ", C31)</f>
        <v>Media and Information Technology: Support</v>
      </c>
      <c r="C1543" s="31" t="n">
        <f aca="false">BL31</f>
        <v>26000000</v>
      </c>
      <c r="D1543" s="31" t="n">
        <f aca="false">BM31</f>
        <v>5500000</v>
      </c>
      <c r="E1543" s="31" t="n">
        <f aca="false">BN31</f>
        <v>0</v>
      </c>
      <c r="F1543" s="31" t="n">
        <f aca="false">BO31</f>
        <v>20500000</v>
      </c>
    </row>
    <row r="1544" customFormat="false" ht="12.8" hidden="false" customHeight="false" outlineLevel="0" collapsed="false">
      <c r="A1544" s="7" t="str">
        <f aca="false">_xlfn.CONCAT($A$978, ".", A32)</f>
        <v>AR.7.29</v>
      </c>
      <c r="B1544" s="7" t="str">
        <f aca="false">_xlfn.CONCAT(B32, ": ", C32)</f>
        <v>Government: Worker</v>
      </c>
      <c r="C1544" s="31" t="n">
        <f aca="false">BL32</f>
        <v>260000000</v>
      </c>
      <c r="D1544" s="31" t="n">
        <f aca="false">BM32</f>
        <v>56000000</v>
      </c>
      <c r="E1544" s="31" t="n">
        <f aca="false">BN32</f>
        <v>0</v>
      </c>
      <c r="F1544" s="31" t="n">
        <f aca="false">BO32</f>
        <v>204000000</v>
      </c>
    </row>
    <row r="1545" customFormat="false" ht="12.8" hidden="false" customHeight="false" outlineLevel="0" collapsed="false">
      <c r="A1545" s="7" t="str">
        <f aca="false">_xlfn.CONCAT($A$978, ".", A33)</f>
        <v>AR.7.30</v>
      </c>
      <c r="B1545" s="7" t="str">
        <f aca="false">_xlfn.CONCAT(B33, ": ", C33)</f>
        <v>Government: Support</v>
      </c>
      <c r="C1545" s="31" t="n">
        <f aca="false">BL33</f>
        <v>130000000</v>
      </c>
      <c r="D1545" s="31" t="n">
        <f aca="false">BM33</f>
        <v>28000000</v>
      </c>
      <c r="E1545" s="31" t="n">
        <f aca="false">BN33</f>
        <v>0</v>
      </c>
      <c r="F1545" s="31" t="n">
        <f aca="false">BO33</f>
        <v>102000000</v>
      </c>
    </row>
    <row r="1546" customFormat="false" ht="12.8" hidden="false" customHeight="false" outlineLevel="0" collapsed="false">
      <c r="A1546" s="7" t="str">
        <f aca="false">_xlfn.CONCAT($A$978, ".", A34)</f>
        <v>AR.7.31</v>
      </c>
      <c r="B1546" s="7" t="str">
        <f aca="false">_xlfn.CONCAT(B34, ": ", C34)</f>
        <v>Self-Employed / Non-Employer: Worker</v>
      </c>
      <c r="C1546" s="31" t="n">
        <f aca="false">BL34</f>
        <v>120000000</v>
      </c>
      <c r="D1546" s="31" t="n">
        <f aca="false">BM34</f>
        <v>30000000</v>
      </c>
      <c r="E1546" s="31" t="n">
        <f aca="false">BN34</f>
        <v>0</v>
      </c>
      <c r="F1546" s="31" t="n">
        <f aca="false">BO34</f>
        <v>90000000</v>
      </c>
    </row>
    <row r="1547" customFormat="false" ht="12.8" hidden="false" customHeight="false" outlineLevel="0" collapsed="false">
      <c r="A1547" s="7" t="str">
        <f aca="false">_xlfn.CONCAT($A$978, ".", A35)</f>
        <v>AR.7.32</v>
      </c>
      <c r="B1547" s="7" t="str">
        <f aca="false">_xlfn.CONCAT(B35, ": ", C35)</f>
        <v>Self-Employed / Non-Employer: Support</v>
      </c>
      <c r="C1547" s="31" t="n">
        <f aca="false">BL35</f>
        <v>13000000</v>
      </c>
      <c r="D1547" s="31" t="n">
        <f aca="false">BM35</f>
        <v>3000000</v>
      </c>
      <c r="E1547" s="31" t="n">
        <f aca="false">BN35</f>
        <v>0</v>
      </c>
      <c r="F1547" s="31" t="n">
        <f aca="false">BO35</f>
        <v>10000000</v>
      </c>
    </row>
    <row r="1548" customFormat="false" ht="12.8" hidden="false" customHeight="false" outlineLevel="0" collapsed="false">
      <c r="A1548" s="7" t="str">
        <f aca="false">_xlfn.CONCAT($A$978, ".", A36)</f>
        <v>AR.7.33</v>
      </c>
      <c r="B1548" s="7" t="str">
        <f aca="false">_xlfn.CONCAT(B36, ": ", C36)</f>
        <v>Other Services: Worker</v>
      </c>
      <c r="C1548" s="31" t="n">
        <f aca="false">BL36</f>
        <v>97000000</v>
      </c>
      <c r="D1548" s="31" t="n">
        <f aca="false">BM36</f>
        <v>21000000</v>
      </c>
      <c r="E1548" s="31" t="n">
        <f aca="false">BN36</f>
        <v>0</v>
      </c>
      <c r="F1548" s="31" t="n">
        <f aca="false">BO36</f>
        <v>76000000</v>
      </c>
    </row>
    <row r="1549" customFormat="false" ht="12.8" hidden="false" customHeight="false" outlineLevel="0" collapsed="false">
      <c r="A1549" s="7" t="str">
        <f aca="false">_xlfn.CONCAT($A$978, ".", A37)</f>
        <v>AR.7.34</v>
      </c>
      <c r="B1549" s="7" t="str">
        <f aca="false">_xlfn.CONCAT(B37, ": ", C37)</f>
        <v>Other Services: Support</v>
      </c>
      <c r="C1549" s="31" t="n">
        <f aca="false">BL37</f>
        <v>48500000</v>
      </c>
      <c r="D1549" s="31" t="n">
        <f aca="false">BM37</f>
        <v>10500000</v>
      </c>
      <c r="E1549" s="31" t="n">
        <f aca="false">BN37</f>
        <v>0</v>
      </c>
      <c r="F1549" s="31" t="n">
        <f aca="false">BO37</f>
        <v>38000000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15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3" min="52" style="1" width="18.45"/>
    <col collapsed="false" customWidth="true" hidden="false" outlineLevel="0" max="56" min="55" style="1" width="18.45"/>
    <col collapsed="false" customWidth="true" hidden="false" outlineLevel="0" max="59" min="57" style="1" width="16.14"/>
    <col collapsed="false" customWidth="true" hidden="false" outlineLevel="0" max="60" min="60" style="1" width="20.76"/>
    <col collapsed="false" customWidth="true" hidden="false" outlineLevel="0" max="61" min="61" style="1" width="18.45"/>
    <col collapsed="false" customWidth="true" hidden="false" outlineLevel="0" max="62" min="62" style="1" width="13.84"/>
    <col collapsed="false" customWidth="true" hidden="false" outlineLevel="0" max="63" min="63" style="1" width="23.07"/>
    <col collapsed="false" customWidth="true" hidden="false" outlineLevel="0" max="64" min="64" style="1" width="20.76"/>
    <col collapsed="false" customWidth="true" hidden="false" outlineLevel="0" max="65" min="65" style="1" width="18.45"/>
    <col collapsed="false" customWidth="false" hidden="false" outlineLevel="0" max="66" min="66" style="1" width="11.53"/>
    <col collapsed="false" customWidth="true" hidden="false" outlineLevel="0" max="67" min="67" style="1" width="18.45"/>
  </cols>
  <sheetData>
    <row r="1" customFormat="false" ht="12.8" hidden="false" customHeight="false" outlineLevel="0" collapsed="false">
      <c r="A1" s="10" t="s">
        <v>10</v>
      </c>
      <c r="B1" s="7" t="s">
        <v>175</v>
      </c>
      <c r="BB1" s="1"/>
    </row>
    <row r="2" customFormat="false" ht="12.8" hidden="false" customHeight="false" outlineLevel="0" collapsed="false">
      <c r="A2" s="32" t="s">
        <v>24</v>
      </c>
      <c r="B2" s="32" t="s">
        <v>53</v>
      </c>
      <c r="C2" s="32" t="s">
        <v>54</v>
      </c>
      <c r="D2" s="33" t="s">
        <v>55</v>
      </c>
      <c r="E2" s="33" t="s">
        <v>56</v>
      </c>
      <c r="F2" s="33" t="s">
        <v>57</v>
      </c>
      <c r="G2" s="33" t="s">
        <v>58</v>
      </c>
      <c r="H2" s="34" t="s">
        <v>59</v>
      </c>
      <c r="I2" s="35" t="s">
        <v>60</v>
      </c>
      <c r="J2" s="35" t="s">
        <v>61</v>
      </c>
      <c r="K2" s="35" t="s">
        <v>62</v>
      </c>
      <c r="L2" s="7" t="s">
        <v>63</v>
      </c>
      <c r="M2" s="7" t="s">
        <v>64</v>
      </c>
      <c r="N2" s="7" t="s">
        <v>65</v>
      </c>
      <c r="O2" s="7" t="s">
        <v>66</v>
      </c>
      <c r="P2" s="36" t="s">
        <v>67</v>
      </c>
      <c r="Q2" s="36" t="s">
        <v>68</v>
      </c>
      <c r="R2" s="36" t="s">
        <v>69</v>
      </c>
      <c r="S2" s="36" t="s">
        <v>70</v>
      </c>
      <c r="T2" s="36" t="s">
        <v>71</v>
      </c>
      <c r="U2" s="36" t="s">
        <v>72</v>
      </c>
      <c r="V2" s="36" t="s">
        <v>73</v>
      </c>
      <c r="W2" s="36" t="s">
        <v>74</v>
      </c>
      <c r="X2" s="36" t="s">
        <v>75</v>
      </c>
      <c r="Y2" s="36" t="s">
        <v>76</v>
      </c>
      <c r="Z2" s="36" t="s">
        <v>77</v>
      </c>
      <c r="AA2" s="37" t="s">
        <v>78</v>
      </c>
      <c r="AB2" s="37" t="s">
        <v>79</v>
      </c>
      <c r="AC2" s="37" t="s">
        <v>80</v>
      </c>
      <c r="AD2" s="38" t="s">
        <v>81</v>
      </c>
      <c r="AE2" s="38" t="s">
        <v>82</v>
      </c>
      <c r="AF2" s="38" t="s">
        <v>83</v>
      </c>
      <c r="AG2" s="37" t="s">
        <v>84</v>
      </c>
      <c r="AH2" s="37" t="s">
        <v>85</v>
      </c>
      <c r="AI2" s="37" t="s">
        <v>86</v>
      </c>
      <c r="AJ2" s="38" t="s">
        <v>87</v>
      </c>
      <c r="AK2" s="38" t="s">
        <v>88</v>
      </c>
      <c r="AL2" s="38" t="s">
        <v>89</v>
      </c>
      <c r="AM2" s="37" t="s">
        <v>90</v>
      </c>
      <c r="AN2" s="37" t="s">
        <v>91</v>
      </c>
      <c r="AO2" s="37" t="s">
        <v>92</v>
      </c>
      <c r="AP2" s="38" t="s">
        <v>93</v>
      </c>
      <c r="AQ2" s="38" t="s">
        <v>94</v>
      </c>
      <c r="AR2" s="38" t="s">
        <v>95</v>
      </c>
      <c r="AS2" s="37" t="s">
        <v>96</v>
      </c>
      <c r="AT2" s="37" t="s">
        <v>97</v>
      </c>
      <c r="AU2" s="37" t="s">
        <v>98</v>
      </c>
      <c r="AV2" s="37" t="s">
        <v>99</v>
      </c>
      <c r="AW2" s="37" t="s">
        <v>100</v>
      </c>
      <c r="AX2" s="37" t="s">
        <v>101</v>
      </c>
      <c r="AY2" s="37" t="s">
        <v>102</v>
      </c>
      <c r="AZ2" s="37" t="s">
        <v>103</v>
      </c>
      <c r="BA2" s="37" t="s">
        <v>104</v>
      </c>
      <c r="BB2" s="37" t="s">
        <v>105</v>
      </c>
      <c r="BC2" s="37" t="s">
        <v>106</v>
      </c>
      <c r="BD2" s="7" t="s">
        <v>107</v>
      </c>
      <c r="BE2" s="7" t="s">
        <v>108</v>
      </c>
      <c r="BF2" s="7" t="s">
        <v>109</v>
      </c>
      <c r="BG2" s="7" t="s">
        <v>110</v>
      </c>
      <c r="BH2" s="7" t="s">
        <v>111</v>
      </c>
      <c r="BI2" s="7" t="s">
        <v>112</v>
      </c>
      <c r="BJ2" s="7" t="s">
        <v>113</v>
      </c>
      <c r="BK2" s="7" t="s">
        <v>114</v>
      </c>
      <c r="BL2" s="7" t="s">
        <v>115</v>
      </c>
      <c r="BM2" s="7" t="s">
        <v>116</v>
      </c>
      <c r="BN2" s="7" t="s">
        <v>117</v>
      </c>
      <c r="BO2" s="7" t="s">
        <v>118</v>
      </c>
    </row>
    <row r="3" customFormat="false" ht="12.8" hidden="false" customHeight="false" outlineLevel="0" collapsed="false">
      <c r="A3" s="7" t="n">
        <v>0</v>
      </c>
      <c r="B3" s="7" t="s">
        <v>119</v>
      </c>
      <c r="C3" s="7" t="s">
        <v>120</v>
      </c>
      <c r="D3" s="39" t="n">
        <v>11850000</v>
      </c>
      <c r="E3" s="39" t="n">
        <v>2558700</v>
      </c>
      <c r="F3" s="39" t="n">
        <v>865050</v>
      </c>
      <c r="G3" s="39" t="n">
        <v>8432250</v>
      </c>
      <c r="H3" s="34" t="n">
        <v>0.957</v>
      </c>
      <c r="I3" s="34" t="n">
        <v>0.95</v>
      </c>
      <c r="J3" s="34" t="n">
        <v>0.945</v>
      </c>
      <c r="K3" s="34" t="n">
        <v>0.96</v>
      </c>
      <c r="L3" s="34" t="n">
        <v>0.575</v>
      </c>
      <c r="M3" s="34" t="n">
        <v>0.65</v>
      </c>
      <c r="N3" s="34" t="n">
        <v>0.72</v>
      </c>
      <c r="O3" s="34" t="n">
        <v>0.57</v>
      </c>
      <c r="P3" s="34" t="n">
        <v>0.043</v>
      </c>
      <c r="Q3" s="34" t="n">
        <v>0.05</v>
      </c>
      <c r="R3" s="34" t="n">
        <v>0.055</v>
      </c>
      <c r="S3" s="34" t="n">
        <v>0.04</v>
      </c>
      <c r="T3" s="34" t="n">
        <v>0.074</v>
      </c>
      <c r="U3" s="34" t="n">
        <v>0.085</v>
      </c>
      <c r="V3" s="34" t="n">
        <v>0.105</v>
      </c>
      <c r="W3" s="34" t="n">
        <v>0.07</v>
      </c>
      <c r="X3" s="40" t="n">
        <v>29.4</v>
      </c>
      <c r="Y3" s="40" t="n">
        <v>19.1</v>
      </c>
      <c r="Z3" s="40" t="n">
        <v>45.6</v>
      </c>
      <c r="AA3" s="41" t="n">
        <v>61152</v>
      </c>
      <c r="AB3" s="41" t="n">
        <v>39749</v>
      </c>
      <c r="AC3" s="41" t="n">
        <v>94788</v>
      </c>
      <c r="AD3" s="42" t="n">
        <v>28.4</v>
      </c>
      <c r="AE3" s="42" t="n">
        <v>18.5</v>
      </c>
      <c r="AF3" s="42" t="n">
        <v>44</v>
      </c>
      <c r="AG3" s="41" t="n">
        <v>59107</v>
      </c>
      <c r="AH3" s="41" t="n">
        <v>38420</v>
      </c>
      <c r="AI3" s="41" t="n">
        <v>91670</v>
      </c>
      <c r="AJ3" s="42" t="n">
        <v>25</v>
      </c>
      <c r="AK3" s="42" t="n">
        <v>16.3</v>
      </c>
      <c r="AL3" s="42" t="n">
        <v>38.9</v>
      </c>
      <c r="AM3" s="41" t="n">
        <v>52000</v>
      </c>
      <c r="AN3" s="41" t="n">
        <v>33800</v>
      </c>
      <c r="AO3" s="41" t="n">
        <v>80600</v>
      </c>
      <c r="AP3" s="42" t="n">
        <v>30</v>
      </c>
      <c r="AQ3" s="42" t="n">
        <v>19.5</v>
      </c>
      <c r="AR3" s="42" t="n">
        <v>46.5</v>
      </c>
      <c r="AS3" s="41" t="n">
        <v>62400</v>
      </c>
      <c r="AT3" s="41" t="n">
        <v>40560</v>
      </c>
      <c r="AU3" s="41" t="n">
        <v>96720</v>
      </c>
      <c r="AV3" s="41" t="n">
        <v>61200000000</v>
      </c>
      <c r="AW3" s="41" t="n">
        <v>12900000000</v>
      </c>
      <c r="AX3" s="41" t="n">
        <v>1350000000</v>
      </c>
      <c r="AY3" s="41" t="n">
        <v>46950000000</v>
      </c>
      <c r="AZ3" s="41" t="n">
        <v>46500000000</v>
      </c>
      <c r="BA3" s="41" t="n">
        <v>9900000000</v>
      </c>
      <c r="BB3" s="41" t="n">
        <v>650000000</v>
      </c>
      <c r="BC3" s="41" t="n">
        <v>36000000000</v>
      </c>
      <c r="BD3" s="23" t="n">
        <v>62000000000</v>
      </c>
      <c r="BE3" s="23" t="n">
        <v>13700000000</v>
      </c>
      <c r="BF3" s="23" t="n">
        <v>0</v>
      </c>
      <c r="BG3" s="23" t="n">
        <v>48300000000</v>
      </c>
      <c r="BH3" s="23" t="n">
        <v>28400000000</v>
      </c>
      <c r="BI3" s="23" t="n">
        <v>7250000000</v>
      </c>
      <c r="BJ3" s="23" t="n">
        <v>0</v>
      </c>
      <c r="BK3" s="23" t="n">
        <v>21150000000</v>
      </c>
      <c r="BL3" s="23" t="n">
        <v>6080000000</v>
      </c>
      <c r="BM3" s="23" t="n">
        <v>1300000000</v>
      </c>
      <c r="BN3" s="23" t="n">
        <v>0</v>
      </c>
      <c r="BO3" s="23" t="n">
        <v>4780000000</v>
      </c>
    </row>
    <row r="4" customFormat="false" ht="12.8" hidden="false" customHeight="false" outlineLevel="0" collapsed="false">
      <c r="A4" s="7" t="n">
        <v>1</v>
      </c>
      <c r="B4" s="7" t="s">
        <v>121</v>
      </c>
      <c r="C4" s="7" t="s">
        <v>122</v>
      </c>
      <c r="D4" s="39" t="n">
        <v>57000</v>
      </c>
      <c r="E4" s="39" t="n">
        <v>12300</v>
      </c>
      <c r="F4" s="39" t="n">
        <v>4200</v>
      </c>
      <c r="G4" s="39" t="n">
        <v>40500</v>
      </c>
      <c r="H4" s="34" t="n">
        <v>0.945</v>
      </c>
      <c r="I4" s="34" t="n">
        <v>0.93</v>
      </c>
      <c r="J4" s="34" t="n">
        <v>0.89</v>
      </c>
      <c r="K4" s="34" t="n">
        <v>0.955</v>
      </c>
      <c r="L4" s="34" t="n">
        <v>0.62</v>
      </c>
      <c r="M4" s="34" t="n">
        <v>0.68</v>
      </c>
      <c r="N4" s="34" t="n">
        <v>0.78</v>
      </c>
      <c r="O4" s="34" t="n">
        <v>0.6</v>
      </c>
      <c r="P4" s="34" t="n">
        <v>0.055</v>
      </c>
      <c r="Q4" s="34" t="n">
        <v>0.07</v>
      </c>
      <c r="R4" s="34" t="n">
        <v>0.11</v>
      </c>
      <c r="S4" s="34" t="n">
        <v>0.045</v>
      </c>
      <c r="T4" s="34" t="n">
        <v>0.095</v>
      </c>
      <c r="U4" s="34" t="n">
        <v>0.11</v>
      </c>
      <c r="V4" s="34" t="n">
        <v>0.17</v>
      </c>
      <c r="W4" s="34" t="n">
        <v>0.086</v>
      </c>
      <c r="X4" s="40" t="n">
        <v>17.8</v>
      </c>
      <c r="Y4" s="40" t="n">
        <v>11.6</v>
      </c>
      <c r="Z4" s="40" t="n">
        <v>27.6</v>
      </c>
      <c r="AA4" s="41" t="n">
        <v>37104</v>
      </c>
      <c r="AB4" s="41" t="n">
        <v>24118</v>
      </c>
      <c r="AC4" s="41" t="n">
        <v>57504</v>
      </c>
      <c r="AD4" s="42" t="n">
        <v>17.3</v>
      </c>
      <c r="AE4" s="42" t="n">
        <v>11.2</v>
      </c>
      <c r="AF4" s="42" t="n">
        <v>26.8</v>
      </c>
      <c r="AG4" s="41" t="n">
        <v>36084</v>
      </c>
      <c r="AH4" s="41" t="n">
        <v>23455</v>
      </c>
      <c r="AI4" s="41" t="n">
        <v>55926</v>
      </c>
      <c r="AJ4" s="42" t="n">
        <v>15.1</v>
      </c>
      <c r="AK4" s="42" t="n">
        <v>9.8</v>
      </c>
      <c r="AL4" s="42" t="n">
        <v>23.5</v>
      </c>
      <c r="AM4" s="41" t="n">
        <v>31408</v>
      </c>
      <c r="AN4" s="41" t="n">
        <v>20415</v>
      </c>
      <c r="AO4" s="41" t="n">
        <v>48636</v>
      </c>
      <c r="AP4" s="42" t="n">
        <v>18.2</v>
      </c>
      <c r="AQ4" s="42" t="n">
        <v>11.8</v>
      </c>
      <c r="AR4" s="42" t="n">
        <v>28.2</v>
      </c>
      <c r="AS4" s="41" t="n">
        <v>37856</v>
      </c>
      <c r="AT4" s="41" t="n">
        <v>24606</v>
      </c>
      <c r="AU4" s="41" t="n">
        <v>58688</v>
      </c>
      <c r="AV4" s="41" t="n">
        <v>144000000</v>
      </c>
      <c r="AW4" s="41" t="n">
        <v>30000000</v>
      </c>
      <c r="AX4" s="41" t="n">
        <v>3000000</v>
      </c>
      <c r="AY4" s="41" t="n">
        <v>111000000</v>
      </c>
      <c r="AZ4" s="41" t="n">
        <v>146000000</v>
      </c>
      <c r="BA4" s="41" t="n">
        <v>31000000</v>
      </c>
      <c r="BB4" s="41" t="n">
        <v>2000000</v>
      </c>
      <c r="BC4" s="41" t="n">
        <v>113000000</v>
      </c>
      <c r="BD4" s="23" t="n">
        <v>338000000</v>
      </c>
      <c r="BE4" s="23" t="n">
        <v>75000000</v>
      </c>
      <c r="BF4" s="23" t="n">
        <v>0</v>
      </c>
      <c r="BG4" s="23" t="n">
        <v>263000000</v>
      </c>
      <c r="BH4" s="23" t="n">
        <v>155000000</v>
      </c>
      <c r="BI4" s="23" t="n">
        <v>39000000</v>
      </c>
      <c r="BJ4" s="23" t="n">
        <v>0</v>
      </c>
      <c r="BK4" s="23" t="n">
        <v>116000000</v>
      </c>
      <c r="BL4" s="23" t="n">
        <v>12000000</v>
      </c>
      <c r="BM4" s="23" t="n">
        <v>2200000</v>
      </c>
      <c r="BN4" s="23" t="n">
        <v>0</v>
      </c>
      <c r="BO4" s="23" t="n">
        <v>9800000</v>
      </c>
    </row>
    <row r="5" customFormat="false" ht="12.8" hidden="false" customHeight="false" outlineLevel="0" collapsed="false">
      <c r="A5" s="7" t="n">
        <v>2</v>
      </c>
      <c r="B5" s="7" t="s">
        <v>121</v>
      </c>
      <c r="C5" s="7" t="s">
        <v>123</v>
      </c>
      <c r="D5" s="39" t="n">
        <v>28500</v>
      </c>
      <c r="E5" s="39" t="n">
        <v>6150</v>
      </c>
      <c r="F5" s="39" t="n">
        <v>2100</v>
      </c>
      <c r="G5" s="39" t="n">
        <v>20250</v>
      </c>
      <c r="H5" s="34" t="n">
        <v>0.945</v>
      </c>
      <c r="I5" s="34" t="n">
        <v>0.93</v>
      </c>
      <c r="J5" s="34" t="n">
        <v>0.89</v>
      </c>
      <c r="K5" s="34" t="n">
        <v>0.955</v>
      </c>
      <c r="L5" s="34" t="n">
        <v>0.589</v>
      </c>
      <c r="M5" s="34" t="n">
        <v>0.646</v>
      </c>
      <c r="N5" s="34" t="n">
        <v>0.741</v>
      </c>
      <c r="O5" s="34" t="n">
        <v>0.57</v>
      </c>
      <c r="P5" s="34" t="n">
        <v>0.055</v>
      </c>
      <c r="Q5" s="34" t="n">
        <v>0.07</v>
      </c>
      <c r="R5" s="34" t="n">
        <v>0.11</v>
      </c>
      <c r="S5" s="34" t="n">
        <v>0.045</v>
      </c>
      <c r="T5" s="34" t="n">
        <v>0.104</v>
      </c>
      <c r="U5" s="34" t="n">
        <v>0.115</v>
      </c>
      <c r="V5" s="34" t="n">
        <v>0.17</v>
      </c>
      <c r="W5" s="34" t="n">
        <v>0.094</v>
      </c>
      <c r="X5" s="40" t="n">
        <v>15.1</v>
      </c>
      <c r="Y5" s="40" t="n">
        <v>9.8</v>
      </c>
      <c r="Z5" s="40" t="n">
        <v>23.4</v>
      </c>
      <c r="AA5" s="41" t="n">
        <v>31408</v>
      </c>
      <c r="AB5" s="41" t="n">
        <v>20415</v>
      </c>
      <c r="AC5" s="41" t="n">
        <v>48636</v>
      </c>
      <c r="AD5" s="42" t="n">
        <v>14.7</v>
      </c>
      <c r="AE5" s="42" t="n">
        <v>9.6</v>
      </c>
      <c r="AF5" s="42" t="n">
        <v>22.8</v>
      </c>
      <c r="AG5" s="41" t="n">
        <v>30636</v>
      </c>
      <c r="AH5" s="41" t="n">
        <v>19913</v>
      </c>
      <c r="AI5" s="41" t="n">
        <v>47486</v>
      </c>
      <c r="AJ5" s="42" t="n">
        <v>12.9</v>
      </c>
      <c r="AK5" s="42" t="n">
        <v>8.4</v>
      </c>
      <c r="AL5" s="42" t="n">
        <v>20</v>
      </c>
      <c r="AM5" s="41" t="n">
        <v>26832</v>
      </c>
      <c r="AN5" s="41" t="n">
        <v>17441</v>
      </c>
      <c r="AO5" s="41" t="n">
        <v>41608</v>
      </c>
      <c r="AP5" s="42" t="n">
        <v>15.4</v>
      </c>
      <c r="AQ5" s="42" t="n">
        <v>10</v>
      </c>
      <c r="AR5" s="42" t="n">
        <v>23.9</v>
      </c>
      <c r="AS5" s="41" t="n">
        <v>32032</v>
      </c>
      <c r="AT5" s="41" t="n">
        <v>20821</v>
      </c>
      <c r="AU5" s="41" t="n">
        <v>49648</v>
      </c>
      <c r="AV5" s="41" t="n">
        <v>72000000</v>
      </c>
      <c r="AW5" s="41" t="n">
        <v>15000000</v>
      </c>
      <c r="AX5" s="41" t="n">
        <v>1500000</v>
      </c>
      <c r="AY5" s="41" t="n">
        <v>55500000</v>
      </c>
      <c r="AZ5" s="41" t="n">
        <v>73000000</v>
      </c>
      <c r="BA5" s="41" t="n">
        <v>15500000</v>
      </c>
      <c r="BB5" s="41" t="n">
        <v>1000000</v>
      </c>
      <c r="BC5" s="41" t="n">
        <v>56500000</v>
      </c>
      <c r="BD5" s="23" t="n">
        <v>169000000</v>
      </c>
      <c r="BE5" s="23" t="n">
        <v>37500000</v>
      </c>
      <c r="BF5" s="23" t="n">
        <v>0</v>
      </c>
      <c r="BG5" s="23" t="n">
        <v>131500000</v>
      </c>
      <c r="BH5" s="23" t="n">
        <v>77500000</v>
      </c>
      <c r="BI5" s="23" t="n">
        <v>19500000</v>
      </c>
      <c r="BJ5" s="23" t="n">
        <v>0</v>
      </c>
      <c r="BK5" s="23" t="n">
        <v>58000000</v>
      </c>
      <c r="BL5" s="23" t="n">
        <v>6000000</v>
      </c>
      <c r="BM5" s="23" t="n">
        <v>1100000</v>
      </c>
      <c r="BN5" s="23" t="n">
        <v>0</v>
      </c>
      <c r="BO5" s="23" t="n">
        <v>4900000</v>
      </c>
    </row>
    <row r="6" customFormat="false" ht="12.8" hidden="false" customHeight="false" outlineLevel="0" collapsed="false">
      <c r="A6" s="7" t="n">
        <v>3</v>
      </c>
      <c r="B6" s="7" t="s">
        <v>124</v>
      </c>
      <c r="C6" s="7" t="s">
        <v>122</v>
      </c>
      <c r="D6" s="39" t="n">
        <v>435000</v>
      </c>
      <c r="E6" s="39" t="n">
        <v>93900</v>
      </c>
      <c r="F6" s="39" t="n">
        <v>31700</v>
      </c>
      <c r="G6" s="39" t="n">
        <v>309400</v>
      </c>
      <c r="H6" s="34" t="n">
        <v>0.958</v>
      </c>
      <c r="I6" s="34" t="n">
        <v>0.94</v>
      </c>
      <c r="J6" s="34" t="n">
        <v>0.9</v>
      </c>
      <c r="K6" s="34" t="n">
        <v>0.97</v>
      </c>
      <c r="L6" s="34" t="n">
        <v>0.61</v>
      </c>
      <c r="M6" s="34" t="n">
        <v>0.67</v>
      </c>
      <c r="N6" s="34" t="n">
        <v>0.76</v>
      </c>
      <c r="O6" s="34" t="n">
        <v>0.59</v>
      </c>
      <c r="P6" s="34" t="n">
        <v>0.042</v>
      </c>
      <c r="Q6" s="34" t="n">
        <v>0.06</v>
      </c>
      <c r="R6" s="34" t="n">
        <v>0.1</v>
      </c>
      <c r="S6" s="34" t="n">
        <v>0.03</v>
      </c>
      <c r="T6" s="34" t="n">
        <v>0.079</v>
      </c>
      <c r="U6" s="34" t="n">
        <v>0.087</v>
      </c>
      <c r="V6" s="34" t="n">
        <v>0.115</v>
      </c>
      <c r="W6" s="34" t="n">
        <v>0.074</v>
      </c>
      <c r="X6" s="40" t="n">
        <v>24.9</v>
      </c>
      <c r="Y6" s="40" t="n">
        <v>16.2</v>
      </c>
      <c r="Z6" s="40" t="n">
        <v>38.6</v>
      </c>
      <c r="AA6" s="41" t="n">
        <v>51832</v>
      </c>
      <c r="AB6" s="41" t="n">
        <v>33691</v>
      </c>
      <c r="AC6" s="41" t="n">
        <v>80348</v>
      </c>
      <c r="AD6" s="42" t="n">
        <v>24.2</v>
      </c>
      <c r="AE6" s="42" t="n">
        <v>15.7</v>
      </c>
      <c r="AF6" s="42" t="n">
        <v>37.5</v>
      </c>
      <c r="AG6" s="41" t="n">
        <v>50416</v>
      </c>
      <c r="AH6" s="41" t="n">
        <v>32770</v>
      </c>
      <c r="AI6" s="41" t="n">
        <v>78192</v>
      </c>
      <c r="AJ6" s="42" t="n">
        <v>21.8</v>
      </c>
      <c r="AK6" s="42" t="n">
        <v>14.2</v>
      </c>
      <c r="AL6" s="42" t="n">
        <v>33.9</v>
      </c>
      <c r="AM6" s="41" t="n">
        <v>45344</v>
      </c>
      <c r="AN6" s="41" t="n">
        <v>29474</v>
      </c>
      <c r="AO6" s="41" t="n">
        <v>70288</v>
      </c>
      <c r="AP6" s="42" t="n">
        <v>25.4</v>
      </c>
      <c r="AQ6" s="42" t="n">
        <v>16.5</v>
      </c>
      <c r="AR6" s="42" t="n">
        <v>39.4</v>
      </c>
      <c r="AS6" s="41" t="n">
        <v>52832</v>
      </c>
      <c r="AT6" s="41" t="n">
        <v>34341</v>
      </c>
      <c r="AU6" s="41" t="n">
        <v>81968</v>
      </c>
      <c r="AV6" s="41" t="n">
        <v>2280000000</v>
      </c>
      <c r="AW6" s="41" t="n">
        <v>480000000</v>
      </c>
      <c r="AX6" s="41" t="n">
        <v>45000000</v>
      </c>
      <c r="AY6" s="41" t="n">
        <v>1755000000</v>
      </c>
      <c r="AZ6" s="41" t="n">
        <v>1650000000</v>
      </c>
      <c r="BA6" s="41" t="n">
        <v>350000000</v>
      </c>
      <c r="BB6" s="41" t="n">
        <v>22000000</v>
      </c>
      <c r="BC6" s="41" t="n">
        <v>1278000000</v>
      </c>
      <c r="BD6" s="23" t="n">
        <v>2590000000</v>
      </c>
      <c r="BE6" s="23" t="n">
        <v>573000000</v>
      </c>
      <c r="BF6" s="23" t="n">
        <v>0</v>
      </c>
      <c r="BG6" s="23" t="n">
        <v>2017000000</v>
      </c>
      <c r="BH6" s="23" t="n">
        <v>1190000000</v>
      </c>
      <c r="BI6" s="23" t="n">
        <v>304000000</v>
      </c>
      <c r="BJ6" s="23" t="n">
        <v>0</v>
      </c>
      <c r="BK6" s="23" t="n">
        <v>886000000</v>
      </c>
      <c r="BL6" s="23" t="n">
        <v>114000000</v>
      </c>
      <c r="BM6" s="23" t="n">
        <v>24000000</v>
      </c>
      <c r="BN6" s="23" t="n">
        <v>0</v>
      </c>
      <c r="BO6" s="23" t="n">
        <v>90000000</v>
      </c>
    </row>
    <row r="7" customFormat="false" ht="12.8" hidden="false" customHeight="false" outlineLevel="0" collapsed="false">
      <c r="A7" s="7" t="n">
        <v>4</v>
      </c>
      <c r="B7" s="7" t="s">
        <v>124</v>
      </c>
      <c r="C7" s="7" t="s">
        <v>123</v>
      </c>
      <c r="D7" s="39" t="n">
        <v>217500</v>
      </c>
      <c r="E7" s="39" t="n">
        <v>46950</v>
      </c>
      <c r="F7" s="39" t="n">
        <v>15850</v>
      </c>
      <c r="G7" s="39" t="n">
        <v>154700</v>
      </c>
      <c r="H7" s="34" t="n">
        <v>0.958</v>
      </c>
      <c r="I7" s="34" t="n">
        <v>0.94</v>
      </c>
      <c r="J7" s="34" t="n">
        <v>0.9</v>
      </c>
      <c r="K7" s="34" t="n">
        <v>0.97</v>
      </c>
      <c r="L7" s="34" t="n">
        <v>0.579</v>
      </c>
      <c r="M7" s="34" t="n">
        <v>0.637</v>
      </c>
      <c r="N7" s="34" t="n">
        <v>0.722</v>
      </c>
      <c r="O7" s="34" t="n">
        <v>0.56</v>
      </c>
      <c r="P7" s="34" t="n">
        <v>0.042</v>
      </c>
      <c r="Q7" s="34" t="n">
        <v>0.06</v>
      </c>
      <c r="R7" s="34" t="n">
        <v>0.1</v>
      </c>
      <c r="S7" s="34" t="n">
        <v>0.03</v>
      </c>
      <c r="T7" s="34" t="n">
        <v>0.086</v>
      </c>
      <c r="U7" s="34" t="n">
        <v>0.095</v>
      </c>
      <c r="V7" s="34" t="n">
        <v>0.125</v>
      </c>
      <c r="W7" s="34" t="n">
        <v>0.081</v>
      </c>
      <c r="X7" s="40" t="n">
        <v>21.2</v>
      </c>
      <c r="Y7" s="40" t="n">
        <v>13.8</v>
      </c>
      <c r="Z7" s="40" t="n">
        <v>32.9</v>
      </c>
      <c r="AA7" s="41" t="n">
        <v>44100</v>
      </c>
      <c r="AB7" s="41" t="n">
        <v>28665</v>
      </c>
      <c r="AC7" s="41" t="n">
        <v>68355</v>
      </c>
      <c r="AD7" s="42" t="n">
        <v>20.6</v>
      </c>
      <c r="AE7" s="42" t="n">
        <v>13.4</v>
      </c>
      <c r="AF7" s="42" t="n">
        <v>31.9</v>
      </c>
      <c r="AG7" s="41" t="n">
        <v>42928</v>
      </c>
      <c r="AH7" s="41" t="n">
        <v>27903</v>
      </c>
      <c r="AI7" s="41" t="n">
        <v>66592</v>
      </c>
      <c r="AJ7" s="42" t="n">
        <v>18.5</v>
      </c>
      <c r="AK7" s="42" t="n">
        <v>12</v>
      </c>
      <c r="AL7" s="42" t="n">
        <v>28.8</v>
      </c>
      <c r="AM7" s="41" t="n">
        <v>38480</v>
      </c>
      <c r="AN7" s="41" t="n">
        <v>25012</v>
      </c>
      <c r="AO7" s="41" t="n">
        <v>59712</v>
      </c>
      <c r="AP7" s="42" t="n">
        <v>21.6</v>
      </c>
      <c r="AQ7" s="42" t="n">
        <v>14</v>
      </c>
      <c r="AR7" s="42" t="n">
        <v>34.5</v>
      </c>
      <c r="AS7" s="41" t="n">
        <v>44928</v>
      </c>
      <c r="AT7" s="41" t="n">
        <v>29203</v>
      </c>
      <c r="AU7" s="41" t="n">
        <v>69744</v>
      </c>
      <c r="AV7" s="41" t="n">
        <v>970000000</v>
      </c>
      <c r="AW7" s="41" t="n">
        <v>204000000</v>
      </c>
      <c r="AX7" s="41" t="n">
        <v>19000000</v>
      </c>
      <c r="AY7" s="41" t="n">
        <v>747000000</v>
      </c>
      <c r="AZ7" s="41" t="n">
        <v>700000000</v>
      </c>
      <c r="BA7" s="41" t="n">
        <v>148000000</v>
      </c>
      <c r="BB7" s="41" t="n">
        <v>9000000</v>
      </c>
      <c r="BC7" s="41" t="n">
        <v>542000000</v>
      </c>
      <c r="BD7" s="23" t="n">
        <v>1300000000</v>
      </c>
      <c r="BE7" s="23" t="n">
        <v>288000000</v>
      </c>
      <c r="BF7" s="23" t="n">
        <v>0</v>
      </c>
      <c r="BG7" s="23" t="n">
        <v>1012000000</v>
      </c>
      <c r="BH7" s="23" t="n">
        <v>595000000</v>
      </c>
      <c r="BI7" s="23" t="n">
        <v>152000000</v>
      </c>
      <c r="BJ7" s="23" t="n">
        <v>0</v>
      </c>
      <c r="BK7" s="23" t="n">
        <v>443000000</v>
      </c>
      <c r="BL7" s="23" t="n">
        <v>57000000</v>
      </c>
      <c r="BM7" s="23" t="n">
        <v>12000000</v>
      </c>
      <c r="BN7" s="23" t="n">
        <v>0</v>
      </c>
      <c r="BO7" s="23" t="n">
        <v>45000000</v>
      </c>
    </row>
    <row r="8" customFormat="false" ht="12.8" hidden="false" customHeight="false" outlineLevel="0" collapsed="false">
      <c r="A8" s="7" t="n">
        <v>5</v>
      </c>
      <c r="B8" s="7" t="s">
        <v>125</v>
      </c>
      <c r="C8" s="7" t="s">
        <v>122</v>
      </c>
      <c r="D8" s="39" t="n">
        <v>890000</v>
      </c>
      <c r="E8" s="39" t="n">
        <v>192000</v>
      </c>
      <c r="F8" s="39" t="n">
        <v>65000</v>
      </c>
      <c r="G8" s="39" t="n">
        <v>633000</v>
      </c>
      <c r="H8" s="34" t="n">
        <v>0.95</v>
      </c>
      <c r="I8" s="34" t="n">
        <v>0.93</v>
      </c>
      <c r="J8" s="34" t="n">
        <v>0.88</v>
      </c>
      <c r="K8" s="34" t="n">
        <v>0.963</v>
      </c>
      <c r="L8" s="34" t="n">
        <v>0.58</v>
      </c>
      <c r="M8" s="34" t="n">
        <v>0.64</v>
      </c>
      <c r="N8" s="34" t="n">
        <v>0.71</v>
      </c>
      <c r="O8" s="34" t="n">
        <v>0.57</v>
      </c>
      <c r="P8" s="34" t="n">
        <v>0.05</v>
      </c>
      <c r="Q8" s="34" t="n">
        <v>0.07</v>
      </c>
      <c r="R8" s="34" t="n">
        <v>0.12</v>
      </c>
      <c r="S8" s="34" t="n">
        <v>0.037</v>
      </c>
      <c r="T8" s="34" t="n">
        <v>0.085</v>
      </c>
      <c r="U8" s="34" t="n">
        <v>0.1</v>
      </c>
      <c r="V8" s="34" t="n">
        <v>0.18</v>
      </c>
      <c r="W8" s="34" t="n">
        <v>0.077</v>
      </c>
      <c r="X8" s="40" t="n">
        <v>16.9</v>
      </c>
      <c r="Y8" s="40" t="n">
        <v>11</v>
      </c>
      <c r="Z8" s="40" t="n">
        <v>26.2</v>
      </c>
      <c r="AA8" s="41" t="n">
        <v>35152</v>
      </c>
      <c r="AB8" s="41" t="n">
        <v>22849</v>
      </c>
      <c r="AC8" s="41" t="n">
        <v>54486</v>
      </c>
      <c r="AD8" s="42" t="n">
        <v>16.4</v>
      </c>
      <c r="AE8" s="42" t="n">
        <v>10.7</v>
      </c>
      <c r="AF8" s="42" t="n">
        <v>26</v>
      </c>
      <c r="AG8" s="41" t="n">
        <v>34112</v>
      </c>
      <c r="AH8" s="41" t="n">
        <v>22173</v>
      </c>
      <c r="AI8" s="41" t="n">
        <v>52864</v>
      </c>
      <c r="AJ8" s="42" t="n">
        <v>14.4</v>
      </c>
      <c r="AK8" s="42" t="n">
        <v>9.4</v>
      </c>
      <c r="AL8" s="42" t="n">
        <v>22.4</v>
      </c>
      <c r="AM8" s="41" t="n">
        <v>29952</v>
      </c>
      <c r="AN8" s="41" t="n">
        <v>19469</v>
      </c>
      <c r="AO8" s="41" t="n">
        <v>46416</v>
      </c>
      <c r="AP8" s="42" t="n">
        <v>17.2</v>
      </c>
      <c r="AQ8" s="42" t="n">
        <v>11.2</v>
      </c>
      <c r="AR8" s="42" t="n">
        <v>26.7</v>
      </c>
      <c r="AS8" s="41" t="n">
        <v>35776</v>
      </c>
      <c r="AT8" s="41" t="n">
        <v>23254</v>
      </c>
      <c r="AU8" s="41" t="n">
        <v>55488</v>
      </c>
      <c r="AV8" s="41" t="n">
        <v>2705000000</v>
      </c>
      <c r="AW8" s="41" t="n">
        <v>572000000</v>
      </c>
      <c r="AX8" s="41" t="n">
        <v>55000000</v>
      </c>
      <c r="AY8" s="41" t="n">
        <v>2082000000</v>
      </c>
      <c r="AZ8" s="41" t="n">
        <v>2164000000</v>
      </c>
      <c r="BA8" s="41" t="n">
        <v>460000000</v>
      </c>
      <c r="BB8" s="41" t="n">
        <v>28000000</v>
      </c>
      <c r="BC8" s="41" t="n">
        <v>1677000000</v>
      </c>
      <c r="BD8" s="23" t="n">
        <v>5016000000</v>
      </c>
      <c r="BE8" s="23" t="n">
        <v>1110000000</v>
      </c>
      <c r="BF8" s="23" t="n">
        <v>0</v>
      </c>
      <c r="BG8" s="23" t="n">
        <v>3906000000</v>
      </c>
      <c r="BH8" s="23" t="n">
        <v>2299000000</v>
      </c>
      <c r="BI8" s="23" t="n">
        <v>586000000</v>
      </c>
      <c r="BJ8" s="23" t="n">
        <v>0</v>
      </c>
      <c r="BK8" s="23" t="n">
        <v>1714000000</v>
      </c>
      <c r="BL8" s="23" t="n">
        <v>319000000</v>
      </c>
      <c r="BM8" s="23" t="n">
        <v>68000000</v>
      </c>
      <c r="BN8" s="23" t="n">
        <v>0</v>
      </c>
      <c r="BO8" s="23" t="n">
        <v>251000000</v>
      </c>
    </row>
    <row r="9" customFormat="false" ht="12.8" hidden="false" customHeight="false" outlineLevel="0" collapsed="false">
      <c r="A9" s="7" t="n">
        <v>6</v>
      </c>
      <c r="B9" s="7" t="s">
        <v>125</v>
      </c>
      <c r="C9" s="7" t="s">
        <v>123</v>
      </c>
      <c r="D9" s="39" t="n">
        <v>445000</v>
      </c>
      <c r="E9" s="39" t="n">
        <v>96000</v>
      </c>
      <c r="F9" s="39" t="n">
        <v>32500</v>
      </c>
      <c r="G9" s="39" t="n">
        <v>316500</v>
      </c>
      <c r="H9" s="34" t="n">
        <v>0.95</v>
      </c>
      <c r="I9" s="34" t="n">
        <v>0.93</v>
      </c>
      <c r="J9" s="34" t="n">
        <v>0.88</v>
      </c>
      <c r="K9" s="34" t="n">
        <v>0.963</v>
      </c>
      <c r="L9" s="34" t="n">
        <v>0.551</v>
      </c>
      <c r="M9" s="34" t="n">
        <v>0.608</v>
      </c>
      <c r="N9" s="34" t="n">
        <v>0.674</v>
      </c>
      <c r="O9" s="34" t="n">
        <v>0.542</v>
      </c>
      <c r="P9" s="34" t="n">
        <v>0.05</v>
      </c>
      <c r="Q9" s="34" t="n">
        <v>0.07</v>
      </c>
      <c r="R9" s="34" t="n">
        <v>0.12</v>
      </c>
      <c r="S9" s="34" t="n">
        <v>0.037</v>
      </c>
      <c r="T9" s="34" t="n">
        <v>0.093</v>
      </c>
      <c r="U9" s="34" t="n">
        <v>0.103</v>
      </c>
      <c r="V9" s="34" t="n">
        <v>0.18</v>
      </c>
      <c r="W9" s="34" t="n">
        <v>0.085</v>
      </c>
      <c r="X9" s="40" t="n">
        <v>14.4</v>
      </c>
      <c r="Y9" s="40" t="n">
        <v>9.4</v>
      </c>
      <c r="Z9" s="40" t="n">
        <v>22.3</v>
      </c>
      <c r="AA9" s="41" t="n">
        <v>29952</v>
      </c>
      <c r="AB9" s="41" t="n">
        <v>19469</v>
      </c>
      <c r="AC9" s="41" t="n">
        <v>46416</v>
      </c>
      <c r="AD9" s="42" t="n">
        <v>14</v>
      </c>
      <c r="AE9" s="42" t="n">
        <v>9.1</v>
      </c>
      <c r="AF9" s="42" t="n">
        <v>21.7</v>
      </c>
      <c r="AG9" s="41" t="n">
        <v>29120</v>
      </c>
      <c r="AH9" s="41" t="n">
        <v>18928</v>
      </c>
      <c r="AI9" s="41" t="n">
        <v>46608</v>
      </c>
      <c r="AJ9" s="42" t="n">
        <v>12.2</v>
      </c>
      <c r="AK9" s="42" t="n">
        <v>8</v>
      </c>
      <c r="AL9" s="42" t="n">
        <v>19.1</v>
      </c>
      <c r="AM9" s="41" t="n">
        <v>25376</v>
      </c>
      <c r="AN9" s="41" t="n">
        <v>16494</v>
      </c>
      <c r="AO9" s="41" t="n">
        <v>39392</v>
      </c>
      <c r="AP9" s="42" t="n">
        <v>14.7</v>
      </c>
      <c r="AQ9" s="42" t="n">
        <v>9.6</v>
      </c>
      <c r="AR9" s="42" t="n">
        <v>22.8</v>
      </c>
      <c r="AS9" s="41" t="n">
        <v>30576</v>
      </c>
      <c r="AT9" s="41" t="n">
        <v>19874</v>
      </c>
      <c r="AU9" s="41" t="n">
        <v>47352</v>
      </c>
      <c r="AV9" s="41" t="n">
        <v>1148000000</v>
      </c>
      <c r="AW9" s="41" t="n">
        <v>243000000</v>
      </c>
      <c r="AX9" s="41" t="n">
        <v>23000000</v>
      </c>
      <c r="AY9" s="41" t="n">
        <v>884000000</v>
      </c>
      <c r="AZ9" s="41" t="n">
        <v>918000000</v>
      </c>
      <c r="BA9" s="41" t="n">
        <v>195000000</v>
      </c>
      <c r="BB9" s="41" t="n">
        <v>12000000</v>
      </c>
      <c r="BC9" s="41" t="n">
        <v>712000000</v>
      </c>
      <c r="BD9" s="23" t="n">
        <v>2504000000</v>
      </c>
      <c r="BE9" s="23" t="n">
        <v>554000000</v>
      </c>
      <c r="BF9" s="23" t="n">
        <v>0</v>
      </c>
      <c r="BG9" s="23" t="n">
        <v>1950000000</v>
      </c>
      <c r="BH9" s="23" t="n">
        <v>1148000000</v>
      </c>
      <c r="BI9" s="23" t="n">
        <v>292000000</v>
      </c>
      <c r="BJ9" s="23" t="n">
        <v>0</v>
      </c>
      <c r="BK9" s="23" t="n">
        <v>855000000</v>
      </c>
      <c r="BL9" s="23" t="n">
        <v>159000000</v>
      </c>
      <c r="BM9" s="23" t="n">
        <v>34000000</v>
      </c>
      <c r="BN9" s="23" t="n">
        <v>0</v>
      </c>
      <c r="BO9" s="23" t="n">
        <v>125000000</v>
      </c>
    </row>
    <row r="10" customFormat="false" ht="12.8" hidden="false" customHeight="false" outlineLevel="0" collapsed="false">
      <c r="A10" s="7" t="n">
        <v>7</v>
      </c>
      <c r="B10" s="7" t="s">
        <v>126</v>
      </c>
      <c r="C10" s="7" t="s">
        <v>122</v>
      </c>
      <c r="D10" s="39" t="n">
        <v>177000</v>
      </c>
      <c r="E10" s="39" t="n">
        <v>38000</v>
      </c>
      <c r="F10" s="39" t="n">
        <v>13000</v>
      </c>
      <c r="G10" s="39" t="n">
        <v>126000</v>
      </c>
      <c r="H10" s="34" t="n">
        <v>0.945</v>
      </c>
      <c r="I10" s="34" t="n">
        <v>0.92</v>
      </c>
      <c r="J10" s="34" t="n">
        <v>0.87</v>
      </c>
      <c r="K10" s="34" t="n">
        <v>0.96</v>
      </c>
      <c r="L10" s="34" t="n">
        <v>0.595</v>
      </c>
      <c r="M10" s="34" t="n">
        <v>0.655</v>
      </c>
      <c r="N10" s="34" t="n">
        <v>0.74</v>
      </c>
      <c r="O10" s="34" t="n">
        <v>0.58</v>
      </c>
      <c r="P10" s="34" t="n">
        <v>0.055</v>
      </c>
      <c r="Q10" s="34" t="n">
        <v>0.08</v>
      </c>
      <c r="R10" s="34" t="n">
        <v>0.13</v>
      </c>
      <c r="S10" s="34" t="n">
        <v>0.04</v>
      </c>
      <c r="T10" s="34" t="n">
        <v>0.093</v>
      </c>
      <c r="U10" s="34" t="n">
        <v>0.103</v>
      </c>
      <c r="V10" s="34" t="n">
        <v>0.118</v>
      </c>
      <c r="W10" s="34" t="n">
        <v>0.087</v>
      </c>
      <c r="X10" s="40" t="n">
        <v>17.3</v>
      </c>
      <c r="Y10" s="40" t="n">
        <v>11.2</v>
      </c>
      <c r="Z10" s="40" t="n">
        <v>26.8</v>
      </c>
      <c r="AA10" s="41" t="n">
        <v>36004</v>
      </c>
      <c r="AB10" s="41" t="n">
        <v>23403</v>
      </c>
      <c r="AC10" s="41" t="n">
        <v>55786</v>
      </c>
      <c r="AD10" s="42" t="n">
        <v>16.8</v>
      </c>
      <c r="AE10" s="42" t="n">
        <v>10.9</v>
      </c>
      <c r="AF10" s="42" t="n">
        <v>26</v>
      </c>
      <c r="AG10" s="41" t="n">
        <v>34944</v>
      </c>
      <c r="AH10" s="41" t="n">
        <v>22714</v>
      </c>
      <c r="AI10" s="41" t="n">
        <v>54240</v>
      </c>
      <c r="AJ10" s="42" t="n">
        <v>14.7</v>
      </c>
      <c r="AK10" s="42" t="n">
        <v>9.6</v>
      </c>
      <c r="AL10" s="42" t="n">
        <v>22.8</v>
      </c>
      <c r="AM10" s="41" t="n">
        <v>30576</v>
      </c>
      <c r="AN10" s="41" t="n">
        <v>19874</v>
      </c>
      <c r="AO10" s="41" t="n">
        <v>47328</v>
      </c>
      <c r="AP10" s="42" t="n">
        <v>17.7</v>
      </c>
      <c r="AQ10" s="42" t="n">
        <v>11.5</v>
      </c>
      <c r="AR10" s="42" t="n">
        <v>27.4</v>
      </c>
      <c r="AS10" s="41" t="n">
        <v>36816</v>
      </c>
      <c r="AT10" s="41" t="n">
        <v>23930</v>
      </c>
      <c r="AU10" s="41" t="n">
        <v>57120</v>
      </c>
      <c r="AV10" s="41" t="n">
        <v>436000000</v>
      </c>
      <c r="AW10" s="41" t="n">
        <v>92000000</v>
      </c>
      <c r="AX10" s="41" t="n">
        <v>8500000</v>
      </c>
      <c r="AY10" s="41" t="n">
        <v>354500000</v>
      </c>
      <c r="AZ10" s="41" t="n">
        <v>442000000</v>
      </c>
      <c r="BA10" s="41" t="n">
        <v>94000000</v>
      </c>
      <c r="BB10" s="41" t="n">
        <v>6500000</v>
      </c>
      <c r="BC10" s="41" t="n">
        <v>361200000</v>
      </c>
      <c r="BD10" s="23" t="n">
        <v>1050000000</v>
      </c>
      <c r="BE10" s="23" t="n">
        <v>232000000</v>
      </c>
      <c r="BF10" s="23" t="n">
        <v>0</v>
      </c>
      <c r="BG10" s="23" t="n">
        <v>816000000</v>
      </c>
      <c r="BH10" s="23" t="n">
        <v>485000000</v>
      </c>
      <c r="BI10" s="23" t="n">
        <v>123000000</v>
      </c>
      <c r="BJ10" s="23" t="n">
        <v>0</v>
      </c>
      <c r="BK10" s="23" t="n">
        <v>362000000</v>
      </c>
      <c r="BL10" s="23" t="n">
        <v>46000000</v>
      </c>
      <c r="BM10" s="23" t="n">
        <v>9500000</v>
      </c>
      <c r="BN10" s="23" t="n">
        <v>0</v>
      </c>
      <c r="BO10" s="23" t="n">
        <v>36500000</v>
      </c>
    </row>
    <row r="11" customFormat="false" ht="12.8" hidden="false" customHeight="false" outlineLevel="0" collapsed="false">
      <c r="A11" s="7" t="n">
        <v>8</v>
      </c>
      <c r="B11" s="7" t="s">
        <v>126</v>
      </c>
      <c r="C11" s="7" t="s">
        <v>123</v>
      </c>
      <c r="D11" s="39" t="n">
        <v>88500</v>
      </c>
      <c r="E11" s="39" t="n">
        <v>19000</v>
      </c>
      <c r="F11" s="39" t="n">
        <v>6500</v>
      </c>
      <c r="G11" s="39" t="n">
        <v>63000</v>
      </c>
      <c r="H11" s="34" t="n">
        <v>0.945</v>
      </c>
      <c r="I11" s="34" t="n">
        <v>0.92</v>
      </c>
      <c r="J11" s="34" t="n">
        <v>0.87</v>
      </c>
      <c r="K11" s="34" t="n">
        <v>0.96</v>
      </c>
      <c r="L11" s="34" t="n">
        <v>0.565</v>
      </c>
      <c r="M11" s="34" t="n">
        <v>0.622</v>
      </c>
      <c r="N11" s="34" t="n">
        <v>0.703</v>
      </c>
      <c r="O11" s="34" t="n">
        <v>0.551</v>
      </c>
      <c r="P11" s="34" t="n">
        <v>0.055</v>
      </c>
      <c r="Q11" s="34" t="n">
        <v>0.08</v>
      </c>
      <c r="R11" s="34" t="n">
        <v>0.13</v>
      </c>
      <c r="S11" s="34" t="n">
        <v>0.04</v>
      </c>
      <c r="T11" s="34" t="n">
        <v>0.102</v>
      </c>
      <c r="U11" s="34" t="n">
        <v>0.113</v>
      </c>
      <c r="V11" s="34" t="n">
        <v>0.13</v>
      </c>
      <c r="W11" s="34" t="n">
        <v>0.096</v>
      </c>
      <c r="X11" s="40" t="n">
        <v>14.7</v>
      </c>
      <c r="Y11" s="40" t="n">
        <v>9.3</v>
      </c>
      <c r="Z11" s="40" t="n">
        <v>22.8</v>
      </c>
      <c r="AA11" s="41" t="n">
        <v>30576</v>
      </c>
      <c r="AB11" s="41" t="n">
        <v>19874</v>
      </c>
      <c r="AC11" s="41" t="n">
        <v>47328</v>
      </c>
      <c r="AD11" s="42" t="n">
        <v>14.3</v>
      </c>
      <c r="AE11" s="42" t="n">
        <v>9.3</v>
      </c>
      <c r="AF11" s="42" t="n">
        <v>22.1</v>
      </c>
      <c r="AG11" s="41" t="n">
        <v>29744</v>
      </c>
      <c r="AH11" s="41" t="n">
        <v>19334</v>
      </c>
      <c r="AI11" s="41" t="n">
        <v>46128</v>
      </c>
      <c r="AJ11" s="42" t="n">
        <v>12.5</v>
      </c>
      <c r="AK11" s="42" t="n">
        <v>8.1</v>
      </c>
      <c r="AL11" s="42" t="n">
        <v>19.4</v>
      </c>
      <c r="AM11" s="41" t="n">
        <v>25920</v>
      </c>
      <c r="AN11" s="41" t="n">
        <v>16848</v>
      </c>
      <c r="AO11" s="41" t="n">
        <v>40176</v>
      </c>
      <c r="AP11" s="42" t="n">
        <v>15</v>
      </c>
      <c r="AQ11" s="42" t="n">
        <v>9.8</v>
      </c>
      <c r="AR11" s="42" t="n">
        <v>23.3</v>
      </c>
      <c r="AS11" s="41" t="n">
        <v>31200</v>
      </c>
      <c r="AT11" s="41" t="n">
        <v>20280</v>
      </c>
      <c r="AU11" s="41" t="n">
        <v>48360</v>
      </c>
      <c r="AV11" s="41" t="n">
        <v>195000000</v>
      </c>
      <c r="AW11" s="41" t="n">
        <v>41000000</v>
      </c>
      <c r="AX11" s="41" t="n">
        <v>4000000</v>
      </c>
      <c r="AY11" s="41" t="n">
        <v>150000000</v>
      </c>
      <c r="AZ11" s="41" t="n">
        <v>198000000</v>
      </c>
      <c r="BA11" s="41" t="n">
        <v>42000000</v>
      </c>
      <c r="BB11" s="41" t="n">
        <v>3000000</v>
      </c>
      <c r="BC11" s="41" t="n">
        <v>153000000</v>
      </c>
      <c r="BD11" s="23" t="n">
        <v>525000000</v>
      </c>
      <c r="BE11" s="23" t="n">
        <v>116000000</v>
      </c>
      <c r="BF11" s="23" t="n">
        <v>0</v>
      </c>
      <c r="BG11" s="23" t="n">
        <v>409000000</v>
      </c>
      <c r="BH11" s="23" t="n">
        <v>242000000</v>
      </c>
      <c r="BI11" s="23" t="n">
        <v>61500000</v>
      </c>
      <c r="BJ11" s="23" t="n">
        <v>0</v>
      </c>
      <c r="BK11" s="23" t="n">
        <v>180500000</v>
      </c>
      <c r="BL11" s="23" t="n">
        <v>23000000</v>
      </c>
      <c r="BM11" s="23" t="n">
        <v>4750000</v>
      </c>
      <c r="BN11" s="23" t="n">
        <v>0</v>
      </c>
      <c r="BO11" s="23" t="n">
        <v>18250000</v>
      </c>
    </row>
    <row r="12" customFormat="false" ht="12.8" hidden="false" customHeight="false" outlineLevel="0" collapsed="false">
      <c r="A12" s="7" t="n">
        <v>9</v>
      </c>
      <c r="B12" s="7" t="s">
        <v>127</v>
      </c>
      <c r="C12" s="7" t="s">
        <v>122</v>
      </c>
      <c r="D12" s="39" t="n">
        <v>285000</v>
      </c>
      <c r="E12" s="39" t="n">
        <v>61500</v>
      </c>
      <c r="F12" s="39" t="n">
        <v>21000</v>
      </c>
      <c r="G12" s="39" t="n">
        <v>202500</v>
      </c>
      <c r="H12" s="34" t="n">
        <v>0.973</v>
      </c>
      <c r="I12" s="34" t="n">
        <v>0.96</v>
      </c>
      <c r="J12" s="34" t="n">
        <v>0.93</v>
      </c>
      <c r="K12" s="34" t="n">
        <v>0.982</v>
      </c>
      <c r="L12" s="34" t="n">
        <v>0.605</v>
      </c>
      <c r="M12" s="34" t="n">
        <v>0.665</v>
      </c>
      <c r="N12" s="34" t="n">
        <v>0.74</v>
      </c>
      <c r="O12" s="34" t="n">
        <v>0.59</v>
      </c>
      <c r="P12" s="34" t="n">
        <v>0.027</v>
      </c>
      <c r="Q12" s="34" t="n">
        <v>0.04</v>
      </c>
      <c r="R12" s="34" t="n">
        <v>0.07</v>
      </c>
      <c r="S12" s="34" t="n">
        <v>0.018</v>
      </c>
      <c r="T12" s="34" t="n">
        <v>0.064</v>
      </c>
      <c r="U12" s="34" t="n">
        <v>0.071</v>
      </c>
      <c r="V12" s="34" t="n">
        <v>0.082</v>
      </c>
      <c r="W12" s="34" t="n">
        <v>0.06</v>
      </c>
      <c r="X12" s="40" t="n">
        <v>22.6</v>
      </c>
      <c r="Y12" s="40" t="n">
        <v>14.7</v>
      </c>
      <c r="Z12" s="40" t="n">
        <v>35</v>
      </c>
      <c r="AA12" s="41" t="n">
        <v>47008</v>
      </c>
      <c r="AB12" s="41" t="n">
        <v>30555</v>
      </c>
      <c r="AC12" s="41" t="n">
        <v>72812</v>
      </c>
      <c r="AD12" s="42" t="n">
        <v>21.9</v>
      </c>
      <c r="AE12" s="42" t="n">
        <v>14.2</v>
      </c>
      <c r="AF12" s="42" t="n">
        <v>33.9</v>
      </c>
      <c r="AG12" s="41" t="n">
        <v>45672</v>
      </c>
      <c r="AH12" s="41" t="n">
        <v>29687</v>
      </c>
      <c r="AI12" s="41" t="n">
        <v>70848</v>
      </c>
      <c r="AJ12" s="42" t="n">
        <v>20.3</v>
      </c>
      <c r="AK12" s="42" t="n">
        <v>13.2</v>
      </c>
      <c r="AL12" s="42" t="n">
        <v>31.5</v>
      </c>
      <c r="AM12" s="41" t="n">
        <v>42224</v>
      </c>
      <c r="AN12" s="41" t="n">
        <v>27446</v>
      </c>
      <c r="AO12" s="41" t="n">
        <v>65504</v>
      </c>
      <c r="AP12" s="42" t="n">
        <v>22.9</v>
      </c>
      <c r="AQ12" s="42" t="n">
        <v>14.9</v>
      </c>
      <c r="AR12" s="42" t="n">
        <v>36</v>
      </c>
      <c r="AS12" s="41" t="n">
        <v>47632</v>
      </c>
      <c r="AT12" s="41" t="n">
        <v>30961</v>
      </c>
      <c r="AU12" s="41" t="n">
        <v>73904</v>
      </c>
      <c r="AV12" s="41" t="n">
        <v>1406000000</v>
      </c>
      <c r="AW12" s="41" t="n">
        <v>297000000</v>
      </c>
      <c r="AX12" s="41" t="n">
        <v>28000000</v>
      </c>
      <c r="AY12" s="41" t="n">
        <v>1081000000</v>
      </c>
      <c r="AZ12" s="41" t="n">
        <v>929000000</v>
      </c>
      <c r="BA12" s="41" t="n">
        <v>197000000</v>
      </c>
      <c r="BB12" s="41" t="n">
        <v>12000000</v>
      </c>
      <c r="BC12" s="41" t="n">
        <v>719000000</v>
      </c>
      <c r="BD12" s="23" t="n">
        <v>1611000000</v>
      </c>
      <c r="BE12" s="23" t="n">
        <v>357000000</v>
      </c>
      <c r="BF12" s="23" t="n">
        <v>0</v>
      </c>
      <c r="BG12" s="23" t="n">
        <v>1255000000</v>
      </c>
      <c r="BH12" s="23" t="n">
        <v>739000000</v>
      </c>
      <c r="BI12" s="23" t="n">
        <v>188000000</v>
      </c>
      <c r="BJ12" s="23" t="n">
        <v>0</v>
      </c>
      <c r="BK12" s="23" t="n">
        <v>550000000</v>
      </c>
      <c r="BL12" s="23" t="n">
        <v>87000000</v>
      </c>
      <c r="BM12" s="23" t="n">
        <v>19000000</v>
      </c>
      <c r="BN12" s="23" t="n">
        <v>0</v>
      </c>
      <c r="BO12" s="23" t="n">
        <v>68000000</v>
      </c>
    </row>
    <row r="13" customFormat="false" ht="12.8" hidden="false" customHeight="false" outlineLevel="0" collapsed="false">
      <c r="A13" s="7" t="n">
        <v>10</v>
      </c>
      <c r="B13" s="7" t="s">
        <v>127</v>
      </c>
      <c r="C13" s="7" t="s">
        <v>123</v>
      </c>
      <c r="D13" s="39" t="n">
        <v>142500</v>
      </c>
      <c r="E13" s="39" t="n">
        <v>30750</v>
      </c>
      <c r="F13" s="39" t="n">
        <v>10500</v>
      </c>
      <c r="G13" s="39" t="n">
        <v>101250</v>
      </c>
      <c r="H13" s="34" t="n">
        <v>0.973</v>
      </c>
      <c r="I13" s="34" t="n">
        <v>0.96</v>
      </c>
      <c r="J13" s="34" t="n">
        <v>0.93</v>
      </c>
      <c r="K13" s="34" t="n">
        <v>0.982</v>
      </c>
      <c r="L13" s="34" t="n">
        <v>0.575</v>
      </c>
      <c r="M13" s="34" t="n">
        <v>0.632</v>
      </c>
      <c r="N13" s="34" t="n">
        <v>0.703</v>
      </c>
      <c r="O13" s="34" t="n">
        <v>0.56</v>
      </c>
      <c r="P13" s="34" t="n">
        <v>0.027</v>
      </c>
      <c r="Q13" s="34" t="n">
        <v>0.04</v>
      </c>
      <c r="R13" s="34" t="n">
        <v>0.07</v>
      </c>
      <c r="S13" s="34" t="n">
        <v>0.018</v>
      </c>
      <c r="T13" s="34" t="n">
        <v>0.071</v>
      </c>
      <c r="U13" s="34" t="n">
        <v>0.078</v>
      </c>
      <c r="V13" s="34" t="n">
        <v>0.09</v>
      </c>
      <c r="W13" s="34" t="n">
        <v>0.066</v>
      </c>
      <c r="X13" s="40" t="n">
        <v>19.2</v>
      </c>
      <c r="Y13" s="40" t="n">
        <v>12.5</v>
      </c>
      <c r="Z13" s="40" t="n">
        <v>29.8</v>
      </c>
      <c r="AA13" s="41" t="n">
        <v>39936</v>
      </c>
      <c r="AB13" s="41" t="n">
        <v>25958</v>
      </c>
      <c r="AC13" s="41" t="n">
        <v>60041</v>
      </c>
      <c r="AD13" s="42" t="n">
        <v>18.6</v>
      </c>
      <c r="AE13" s="42" t="n">
        <v>12.1</v>
      </c>
      <c r="AF13" s="42" t="n">
        <v>28.8</v>
      </c>
      <c r="AG13" s="41" t="n">
        <v>38736</v>
      </c>
      <c r="AH13" s="41" t="n">
        <v>25179</v>
      </c>
      <c r="AI13" s="41" t="n">
        <v>60041</v>
      </c>
      <c r="AJ13" s="42" t="n">
        <v>17.3</v>
      </c>
      <c r="AK13" s="42" t="n">
        <v>11.2</v>
      </c>
      <c r="AL13" s="42" t="n">
        <v>26.8</v>
      </c>
      <c r="AM13" s="41" t="n">
        <v>35984</v>
      </c>
      <c r="AN13" s="41" t="n">
        <v>23392</v>
      </c>
      <c r="AO13" s="41" t="n">
        <v>55776</v>
      </c>
      <c r="AP13" s="42" t="n">
        <v>19.5</v>
      </c>
      <c r="AQ13" s="42" t="n">
        <v>12.7</v>
      </c>
      <c r="AR13" s="42" t="n">
        <v>31.1</v>
      </c>
      <c r="AS13" s="41" t="n">
        <v>40560</v>
      </c>
      <c r="AT13" s="41" t="n">
        <v>26364</v>
      </c>
      <c r="AU13" s="41" t="n">
        <v>62892</v>
      </c>
      <c r="AV13" s="41" t="n">
        <v>597000000</v>
      </c>
      <c r="AW13" s="41" t="n">
        <v>126000000</v>
      </c>
      <c r="AX13" s="41" t="n">
        <v>12000000</v>
      </c>
      <c r="AY13" s="41" t="n">
        <v>459000000</v>
      </c>
      <c r="AZ13" s="41" t="n">
        <v>394000000</v>
      </c>
      <c r="BA13" s="41" t="n">
        <v>84000000</v>
      </c>
      <c r="BB13" s="41" t="n">
        <v>5000000</v>
      </c>
      <c r="BC13" s="41" t="n">
        <v>305000000</v>
      </c>
      <c r="BD13" s="23" t="n">
        <v>804000000</v>
      </c>
      <c r="BE13" s="23" t="n">
        <v>178000000</v>
      </c>
      <c r="BF13" s="23" t="n">
        <v>0</v>
      </c>
      <c r="BG13" s="23" t="n">
        <v>626000000</v>
      </c>
      <c r="BH13" s="23" t="n">
        <v>369000000</v>
      </c>
      <c r="BI13" s="23" t="n">
        <v>94000000</v>
      </c>
      <c r="BJ13" s="23" t="n">
        <v>0</v>
      </c>
      <c r="BK13" s="23" t="n">
        <v>275000000</v>
      </c>
      <c r="BL13" s="23" t="n">
        <v>43000000</v>
      </c>
      <c r="BM13" s="23" t="n">
        <v>9000000</v>
      </c>
      <c r="BN13" s="23" t="n">
        <v>0</v>
      </c>
      <c r="BO13" s="23" t="n">
        <v>34000000</v>
      </c>
    </row>
    <row r="14" customFormat="false" ht="12.8" hidden="false" customHeight="false" outlineLevel="0" collapsed="false">
      <c r="A14" s="7" t="n">
        <v>11</v>
      </c>
      <c r="B14" s="7" t="s">
        <v>128</v>
      </c>
      <c r="C14" s="7" t="s">
        <v>122</v>
      </c>
      <c r="D14" s="39" t="n">
        <v>280000</v>
      </c>
      <c r="E14" s="39" t="n">
        <v>60500</v>
      </c>
      <c r="F14" s="39" t="n">
        <v>20500</v>
      </c>
      <c r="G14" s="39" t="n">
        <v>199000</v>
      </c>
      <c r="H14" s="34" t="n">
        <v>0.968</v>
      </c>
      <c r="I14" s="34" t="n">
        <v>0.95</v>
      </c>
      <c r="J14" s="34" t="n">
        <v>0.92</v>
      </c>
      <c r="K14" s="34" t="n">
        <v>0.978</v>
      </c>
      <c r="L14" s="34" t="n">
        <v>0.605</v>
      </c>
      <c r="M14" s="34" t="n">
        <v>0.665</v>
      </c>
      <c r="N14" s="34" t="n">
        <v>0.74</v>
      </c>
      <c r="O14" s="34" t="n">
        <v>0.59</v>
      </c>
      <c r="P14" s="34" t="n">
        <v>0.032</v>
      </c>
      <c r="Q14" s="34" t="n">
        <v>0.05</v>
      </c>
      <c r="R14" s="34" t="n">
        <v>0.08</v>
      </c>
      <c r="S14" s="34" t="n">
        <v>0.022</v>
      </c>
      <c r="T14" s="34" t="n">
        <v>0.071</v>
      </c>
      <c r="U14" s="34" t="n">
        <v>0.079</v>
      </c>
      <c r="V14" s="34" t="n">
        <v>0.091</v>
      </c>
      <c r="W14" s="34" t="n">
        <v>0.067</v>
      </c>
      <c r="X14" s="40" t="n">
        <v>23.2</v>
      </c>
      <c r="Y14" s="40" t="n">
        <v>15.1</v>
      </c>
      <c r="Z14" s="40" t="n">
        <v>35.9</v>
      </c>
      <c r="AA14" s="41" t="n">
        <v>48256</v>
      </c>
      <c r="AB14" s="41" t="n">
        <v>31366</v>
      </c>
      <c r="AC14" s="41" t="n">
        <v>74736</v>
      </c>
      <c r="AD14" s="42" t="n">
        <v>22.5</v>
      </c>
      <c r="AE14" s="42" t="n">
        <v>14.6</v>
      </c>
      <c r="AF14" s="42" t="n">
        <v>34.9</v>
      </c>
      <c r="AG14" s="41" t="n">
        <v>46800</v>
      </c>
      <c r="AH14" s="41" t="n">
        <v>30420</v>
      </c>
      <c r="AI14" s="41" t="n">
        <v>72528</v>
      </c>
      <c r="AJ14" s="42" t="n">
        <v>20.9</v>
      </c>
      <c r="AK14" s="42" t="n">
        <v>13.6</v>
      </c>
      <c r="AL14" s="42" t="n">
        <v>32.4</v>
      </c>
      <c r="AM14" s="41" t="n">
        <v>43472</v>
      </c>
      <c r="AN14" s="41" t="n">
        <v>28257</v>
      </c>
      <c r="AO14" s="41" t="n">
        <v>67416</v>
      </c>
      <c r="AP14" s="42" t="n">
        <v>23.6</v>
      </c>
      <c r="AQ14" s="42" t="n">
        <v>15.3</v>
      </c>
      <c r="AR14" s="42" t="n">
        <v>36.6</v>
      </c>
      <c r="AS14" s="41" t="n">
        <v>49088</v>
      </c>
      <c r="AT14" s="41" t="n">
        <v>31907</v>
      </c>
      <c r="AU14" s="41" t="n">
        <v>76112</v>
      </c>
      <c r="AV14" s="41" t="n">
        <v>1292000000</v>
      </c>
      <c r="AW14" s="41" t="n">
        <v>273000000</v>
      </c>
      <c r="AX14" s="41" t="n">
        <v>26000000</v>
      </c>
      <c r="AY14" s="41" t="n">
        <v>994000000</v>
      </c>
      <c r="AZ14" s="41" t="n">
        <v>935000000</v>
      </c>
      <c r="BA14" s="41" t="n">
        <v>199000000</v>
      </c>
      <c r="BB14" s="41" t="n">
        <v>12000000</v>
      </c>
      <c r="BC14" s="41" t="n">
        <v>724000000</v>
      </c>
      <c r="BD14" s="23" t="n">
        <v>1578000000</v>
      </c>
      <c r="BE14" s="23" t="n">
        <v>349000000</v>
      </c>
      <c r="BF14" s="23" t="n">
        <v>0</v>
      </c>
      <c r="BG14" s="23" t="n">
        <v>1229000000</v>
      </c>
      <c r="BH14" s="23" t="n">
        <v>723000000</v>
      </c>
      <c r="BI14" s="23" t="n">
        <v>184000000</v>
      </c>
      <c r="BJ14" s="23" t="n">
        <v>0</v>
      </c>
      <c r="BK14" s="23" t="n">
        <v>539000000</v>
      </c>
      <c r="BL14" s="23" t="n">
        <v>85000000</v>
      </c>
      <c r="BM14" s="23" t="n">
        <v>18000000</v>
      </c>
      <c r="BN14" s="23" t="n">
        <v>0</v>
      </c>
      <c r="BO14" s="23" t="n">
        <v>67000000</v>
      </c>
    </row>
    <row r="15" customFormat="false" ht="12.8" hidden="false" customHeight="false" outlineLevel="0" collapsed="false">
      <c r="A15" s="7" t="n">
        <v>12</v>
      </c>
      <c r="B15" s="7" t="s">
        <v>128</v>
      </c>
      <c r="C15" s="7" t="s">
        <v>123</v>
      </c>
      <c r="D15" s="39" t="n">
        <v>140000</v>
      </c>
      <c r="E15" s="39" t="n">
        <v>30250</v>
      </c>
      <c r="F15" s="39" t="n">
        <v>10250</v>
      </c>
      <c r="G15" s="39" t="n">
        <v>99500</v>
      </c>
      <c r="H15" s="34" t="n">
        <v>0.968</v>
      </c>
      <c r="I15" s="34" t="n">
        <v>0.95</v>
      </c>
      <c r="J15" s="34" t="n">
        <v>0.92</v>
      </c>
      <c r="K15" s="34" t="n">
        <v>0.978</v>
      </c>
      <c r="L15" s="34" t="n">
        <v>0.575</v>
      </c>
      <c r="M15" s="34" t="n">
        <v>0.632</v>
      </c>
      <c r="N15" s="34" t="n">
        <v>0.703</v>
      </c>
      <c r="O15" s="34" t="n">
        <v>0.56</v>
      </c>
      <c r="P15" s="34" t="n">
        <v>0.032</v>
      </c>
      <c r="Q15" s="34" t="n">
        <v>0.05</v>
      </c>
      <c r="R15" s="34" t="n">
        <v>0.08</v>
      </c>
      <c r="S15" s="34" t="n">
        <v>0.022</v>
      </c>
      <c r="T15" s="34" t="n">
        <v>0.079</v>
      </c>
      <c r="U15" s="34" t="n">
        <v>0.087</v>
      </c>
      <c r="V15" s="34" t="n">
        <v>0.1</v>
      </c>
      <c r="W15" s="34" t="n">
        <v>0.074</v>
      </c>
      <c r="X15" s="40" t="n">
        <v>19.7</v>
      </c>
      <c r="Y15" s="40" t="n">
        <v>12.8</v>
      </c>
      <c r="Z15" s="40" t="n">
        <v>30.5</v>
      </c>
      <c r="AA15" s="41" t="n">
        <v>40976</v>
      </c>
      <c r="AB15" s="41" t="n">
        <v>26634</v>
      </c>
      <c r="AC15" s="41" t="n">
        <v>63504</v>
      </c>
      <c r="AD15" s="42" t="n">
        <v>19.1</v>
      </c>
      <c r="AE15" s="42" t="n">
        <v>12.4</v>
      </c>
      <c r="AF15" s="42" t="n">
        <v>29.6</v>
      </c>
      <c r="AG15" s="41" t="n">
        <v>39728</v>
      </c>
      <c r="AH15" s="41" t="n">
        <v>25823</v>
      </c>
      <c r="AI15" s="41" t="n">
        <v>61632</v>
      </c>
      <c r="AJ15" s="42" t="n">
        <v>17.8</v>
      </c>
      <c r="AK15" s="42" t="n">
        <v>11.6</v>
      </c>
      <c r="AL15" s="42" t="n">
        <v>28</v>
      </c>
      <c r="AM15" s="41" t="n">
        <v>37024</v>
      </c>
      <c r="AN15" s="41" t="n">
        <v>24066</v>
      </c>
      <c r="AO15" s="41" t="n">
        <v>57456</v>
      </c>
      <c r="AP15" s="42" t="n">
        <v>20.1</v>
      </c>
      <c r="AQ15" s="42" t="n">
        <v>13.1</v>
      </c>
      <c r="AR15" s="42" t="n">
        <v>31.2</v>
      </c>
      <c r="AS15" s="41" t="n">
        <v>41808</v>
      </c>
      <c r="AT15" s="41" t="n">
        <v>27175</v>
      </c>
      <c r="AU15" s="41" t="n">
        <v>64968</v>
      </c>
      <c r="AV15" s="41" t="n">
        <v>548000000</v>
      </c>
      <c r="AW15" s="41" t="n">
        <v>116000000</v>
      </c>
      <c r="AX15" s="41" t="n">
        <v>11000000</v>
      </c>
      <c r="AY15" s="41" t="n">
        <v>422000000</v>
      </c>
      <c r="AZ15" s="41" t="n">
        <v>397000000</v>
      </c>
      <c r="BA15" s="41" t="n">
        <v>84000000</v>
      </c>
      <c r="BB15" s="41" t="n">
        <v>5000000</v>
      </c>
      <c r="BC15" s="41" t="n">
        <v>307000000</v>
      </c>
      <c r="BD15" s="23" t="n">
        <v>788000000</v>
      </c>
      <c r="BE15" s="23" t="n">
        <v>174000000</v>
      </c>
      <c r="BF15" s="23" t="n">
        <v>0</v>
      </c>
      <c r="BG15" s="23" t="n">
        <v>614000000</v>
      </c>
      <c r="BH15" s="23" t="n">
        <v>361000000</v>
      </c>
      <c r="BI15" s="23" t="n">
        <v>92000000</v>
      </c>
      <c r="BJ15" s="23" t="n">
        <v>0</v>
      </c>
      <c r="BK15" s="23" t="n">
        <v>269000000</v>
      </c>
      <c r="BL15" s="23" t="n">
        <v>42000000</v>
      </c>
      <c r="BM15" s="23" t="n">
        <v>9000000</v>
      </c>
      <c r="BN15" s="23" t="n">
        <v>0</v>
      </c>
      <c r="BO15" s="23" t="n">
        <v>33000000</v>
      </c>
    </row>
    <row r="16" customFormat="false" ht="12.8" hidden="false" customHeight="false" outlineLevel="0" collapsed="false">
      <c r="A16" s="7" t="n">
        <v>13</v>
      </c>
      <c r="B16" s="7" t="s">
        <v>129</v>
      </c>
      <c r="C16" s="7" t="s">
        <v>122</v>
      </c>
      <c r="D16" s="39" t="n">
        <v>1065000</v>
      </c>
      <c r="E16" s="39" t="n">
        <v>230000</v>
      </c>
      <c r="F16" s="39" t="n">
        <v>78000</v>
      </c>
      <c r="G16" s="39" t="n">
        <v>757000</v>
      </c>
      <c r="H16" s="34" t="n">
        <v>0.963</v>
      </c>
      <c r="I16" s="34" t="n">
        <v>0.93</v>
      </c>
      <c r="J16" s="34" t="n">
        <v>0.88</v>
      </c>
      <c r="K16" s="34" t="n">
        <v>0.966</v>
      </c>
      <c r="L16" s="34" t="n">
        <v>0.58</v>
      </c>
      <c r="M16" s="34" t="n">
        <v>0.64</v>
      </c>
      <c r="N16" s="34" t="n">
        <v>0.71</v>
      </c>
      <c r="O16" s="34" t="n">
        <v>0.57</v>
      </c>
      <c r="P16" s="34" t="n">
        <v>0.037</v>
      </c>
      <c r="Q16" s="34" t="n">
        <v>0.07</v>
      </c>
      <c r="R16" s="34" t="n">
        <v>0.12</v>
      </c>
      <c r="S16" s="34" t="n">
        <v>0.034</v>
      </c>
      <c r="T16" s="34" t="n">
        <v>0.08</v>
      </c>
      <c r="U16" s="34" t="n">
        <v>0.095</v>
      </c>
      <c r="V16" s="34" t="n">
        <v>0.17</v>
      </c>
      <c r="W16" s="34" t="n">
        <v>0.073</v>
      </c>
      <c r="X16" s="40" t="n">
        <v>23.9</v>
      </c>
      <c r="Y16" s="40" t="n">
        <v>15.5</v>
      </c>
      <c r="Z16" s="40" t="n">
        <v>37</v>
      </c>
      <c r="AA16" s="41" t="n">
        <v>49712</v>
      </c>
      <c r="AB16" s="41" t="n">
        <v>32313</v>
      </c>
      <c r="AC16" s="41" t="n">
        <v>77008</v>
      </c>
      <c r="AD16" s="42" t="n">
        <v>23.2</v>
      </c>
      <c r="AE16" s="42" t="n">
        <v>15.1</v>
      </c>
      <c r="AF16" s="42" t="n">
        <v>36</v>
      </c>
      <c r="AG16" s="41" t="n">
        <v>48256</v>
      </c>
      <c r="AH16" s="41" t="n">
        <v>31366</v>
      </c>
      <c r="AI16" s="41" t="n">
        <v>74736</v>
      </c>
      <c r="AJ16" s="42" t="n">
        <v>20.3</v>
      </c>
      <c r="AK16" s="42" t="n">
        <v>13.2</v>
      </c>
      <c r="AL16" s="42" t="n">
        <v>31.5</v>
      </c>
      <c r="AM16" s="41" t="n">
        <v>42224</v>
      </c>
      <c r="AN16" s="41" t="n">
        <v>27446</v>
      </c>
      <c r="AO16" s="41" t="n">
        <v>65504</v>
      </c>
      <c r="AP16" s="42" t="n">
        <v>24.4</v>
      </c>
      <c r="AQ16" s="42" t="n">
        <v>15.9</v>
      </c>
      <c r="AR16" s="42" t="n">
        <v>37.8</v>
      </c>
      <c r="AS16" s="41" t="n">
        <v>50752</v>
      </c>
      <c r="AT16" s="41" t="n">
        <v>32989</v>
      </c>
      <c r="AU16" s="41" t="n">
        <v>78528</v>
      </c>
      <c r="AV16" s="41" t="n">
        <v>4581000000</v>
      </c>
      <c r="AW16" s="41" t="n">
        <v>968000000</v>
      </c>
      <c r="AX16" s="41" t="n">
        <v>87000000</v>
      </c>
      <c r="AY16" s="41" t="n">
        <v>3526000000</v>
      </c>
      <c r="AZ16" s="41" t="n">
        <v>3664000000</v>
      </c>
      <c r="BA16" s="41" t="n">
        <v>779000000</v>
      </c>
      <c r="BB16" s="41" t="n">
        <v>46000000</v>
      </c>
      <c r="BC16" s="41" t="n">
        <v>2839000000</v>
      </c>
      <c r="BD16" s="23" t="n">
        <v>6004000000</v>
      </c>
      <c r="BE16" s="23" t="n">
        <v>1329000000</v>
      </c>
      <c r="BF16" s="23" t="n">
        <v>0</v>
      </c>
      <c r="BG16" s="23" t="n">
        <v>4675000000</v>
      </c>
      <c r="BH16" s="23" t="n">
        <v>2752000000</v>
      </c>
      <c r="BI16" s="23" t="n">
        <v>701000000</v>
      </c>
      <c r="BJ16" s="23" t="n">
        <v>0</v>
      </c>
      <c r="BK16" s="23" t="n">
        <v>2051000000</v>
      </c>
      <c r="BL16" s="23" t="n">
        <v>382000000</v>
      </c>
      <c r="BM16" s="23" t="n">
        <v>82000000</v>
      </c>
      <c r="BN16" s="23" t="n">
        <v>0</v>
      </c>
      <c r="BO16" s="23" t="n">
        <v>300000000</v>
      </c>
    </row>
    <row r="17" customFormat="false" ht="12.8" hidden="false" customHeight="false" outlineLevel="0" collapsed="false">
      <c r="A17" s="7" t="n">
        <v>14</v>
      </c>
      <c r="B17" s="7" t="s">
        <v>129</v>
      </c>
      <c r="C17" s="7" t="s">
        <v>123</v>
      </c>
      <c r="D17" s="39" t="n">
        <v>532500</v>
      </c>
      <c r="E17" s="39" t="n">
        <v>115000</v>
      </c>
      <c r="F17" s="39" t="n">
        <v>39000</v>
      </c>
      <c r="G17" s="39" t="n">
        <v>378500</v>
      </c>
      <c r="H17" s="34" t="n">
        <v>0.963</v>
      </c>
      <c r="I17" s="34" t="n">
        <v>0.93</v>
      </c>
      <c r="J17" s="34" t="n">
        <v>0.88</v>
      </c>
      <c r="K17" s="34" t="n">
        <v>0.966</v>
      </c>
      <c r="L17" s="34" t="n">
        <v>0.551</v>
      </c>
      <c r="M17" s="34" t="n">
        <v>0.608</v>
      </c>
      <c r="N17" s="34" t="n">
        <v>0.674</v>
      </c>
      <c r="O17" s="34" t="n">
        <v>0.542</v>
      </c>
      <c r="P17" s="34" t="n">
        <v>0.037</v>
      </c>
      <c r="Q17" s="34" t="n">
        <v>0.07</v>
      </c>
      <c r="R17" s="34" t="n">
        <v>0.12</v>
      </c>
      <c r="S17" s="34" t="n">
        <v>0.034</v>
      </c>
      <c r="T17" s="34" t="n">
        <v>0.088</v>
      </c>
      <c r="U17" s="34" t="n">
        <v>0.104</v>
      </c>
      <c r="V17" s="34" t="n">
        <v>0.18</v>
      </c>
      <c r="W17" s="34" t="n">
        <v>0.08</v>
      </c>
      <c r="X17" s="40" t="n">
        <v>20.3</v>
      </c>
      <c r="Y17" s="40" t="n">
        <v>13.2</v>
      </c>
      <c r="Z17" s="40" t="n">
        <v>31.5</v>
      </c>
      <c r="AA17" s="41" t="n">
        <v>42224</v>
      </c>
      <c r="AB17" s="41" t="n">
        <v>27446</v>
      </c>
      <c r="AC17" s="41" t="n">
        <v>65504</v>
      </c>
      <c r="AD17" s="42" t="n">
        <v>19.7</v>
      </c>
      <c r="AE17" s="42" t="n">
        <v>12.8</v>
      </c>
      <c r="AF17" s="42" t="n">
        <v>30.5</v>
      </c>
      <c r="AG17" s="41" t="n">
        <v>41096</v>
      </c>
      <c r="AH17" s="41" t="n">
        <v>26712</v>
      </c>
      <c r="AI17" s="41" t="n">
        <v>63744</v>
      </c>
      <c r="AJ17" s="42" t="n">
        <v>17.3</v>
      </c>
      <c r="AK17" s="42" t="n">
        <v>11.2</v>
      </c>
      <c r="AL17" s="42" t="n">
        <v>26.8</v>
      </c>
      <c r="AM17" s="41" t="n">
        <v>35984</v>
      </c>
      <c r="AN17" s="41" t="n">
        <v>23392</v>
      </c>
      <c r="AO17" s="41" t="n">
        <v>55776</v>
      </c>
      <c r="AP17" s="42" t="n">
        <v>20.7</v>
      </c>
      <c r="AQ17" s="42" t="n">
        <v>13.5</v>
      </c>
      <c r="AR17" s="42" t="n">
        <v>32.1</v>
      </c>
      <c r="AS17" s="41" t="n">
        <v>43056</v>
      </c>
      <c r="AT17" s="41" t="n">
        <v>27986</v>
      </c>
      <c r="AU17" s="41" t="n">
        <v>66768</v>
      </c>
      <c r="AV17" s="41" t="n">
        <v>1944000000</v>
      </c>
      <c r="AW17" s="41" t="n">
        <v>411000000</v>
      </c>
      <c r="AX17" s="41" t="n">
        <v>37000000</v>
      </c>
      <c r="AY17" s="41" t="n">
        <v>1496000000</v>
      </c>
      <c r="AZ17" s="41" t="n">
        <v>1555000000</v>
      </c>
      <c r="BA17" s="41" t="n">
        <v>331000000</v>
      </c>
      <c r="BB17" s="41" t="n">
        <v>19000000</v>
      </c>
      <c r="BC17" s="41" t="n">
        <v>1205000000</v>
      </c>
      <c r="BD17" s="23" t="n">
        <v>2997000000</v>
      </c>
      <c r="BE17" s="23" t="n">
        <v>663000000</v>
      </c>
      <c r="BF17" s="23" t="n">
        <v>0</v>
      </c>
      <c r="BG17" s="23" t="n">
        <v>2334000000</v>
      </c>
      <c r="BH17" s="23" t="n">
        <v>1374000000</v>
      </c>
      <c r="BI17" s="23" t="n">
        <v>350000000</v>
      </c>
      <c r="BJ17" s="23" t="n">
        <v>0</v>
      </c>
      <c r="BK17" s="23" t="n">
        <v>1024000000</v>
      </c>
      <c r="BL17" s="23" t="n">
        <v>191000000</v>
      </c>
      <c r="BM17" s="23" t="n">
        <v>41000000</v>
      </c>
      <c r="BN17" s="23" t="n">
        <v>0</v>
      </c>
      <c r="BO17" s="23" t="n">
        <v>150000000</v>
      </c>
    </row>
    <row r="18" customFormat="false" ht="12.8" hidden="false" customHeight="false" outlineLevel="0" collapsed="false">
      <c r="A18" s="7" t="n">
        <v>15</v>
      </c>
      <c r="B18" s="7" t="s">
        <v>130</v>
      </c>
      <c r="C18" s="7" t="s">
        <v>122</v>
      </c>
      <c r="D18" s="39" t="n">
        <v>106000</v>
      </c>
      <c r="E18" s="39" t="n">
        <v>23000</v>
      </c>
      <c r="F18" s="39" t="n">
        <v>7800</v>
      </c>
      <c r="G18" s="39" t="n">
        <v>75200</v>
      </c>
      <c r="H18" s="34" t="n">
        <v>0.955</v>
      </c>
      <c r="I18" s="34" t="n">
        <v>0.93</v>
      </c>
      <c r="J18" s="34" t="n">
        <v>0.89</v>
      </c>
      <c r="K18" s="34" t="n">
        <v>0.958</v>
      </c>
      <c r="L18" s="34" t="n">
        <v>0.62</v>
      </c>
      <c r="M18" s="34" t="n">
        <v>0.68</v>
      </c>
      <c r="N18" s="34" t="n">
        <v>0.78</v>
      </c>
      <c r="O18" s="34" t="n">
        <v>0.6</v>
      </c>
      <c r="P18" s="34" t="n">
        <v>0.045</v>
      </c>
      <c r="Q18" s="34" t="n">
        <v>0.07</v>
      </c>
      <c r="R18" s="34" t="n">
        <v>0.11</v>
      </c>
      <c r="S18" s="34" t="n">
        <v>0.042</v>
      </c>
      <c r="T18" s="34" t="n">
        <v>0.095</v>
      </c>
      <c r="U18" s="34" t="n">
        <v>0.11</v>
      </c>
      <c r="V18" s="34" t="n">
        <v>0.17</v>
      </c>
      <c r="W18" s="34" t="n">
        <v>0.086</v>
      </c>
      <c r="X18" s="40" t="n">
        <v>17.5</v>
      </c>
      <c r="Y18" s="40" t="n">
        <v>11.4</v>
      </c>
      <c r="Z18" s="40" t="n">
        <v>27.1</v>
      </c>
      <c r="AA18" s="41" t="n">
        <v>36400</v>
      </c>
      <c r="AB18" s="41" t="n">
        <v>23660</v>
      </c>
      <c r="AC18" s="41" t="n">
        <v>56380</v>
      </c>
      <c r="AD18" s="42" t="n">
        <v>17</v>
      </c>
      <c r="AE18" s="42" t="n">
        <v>11.1</v>
      </c>
      <c r="AF18" s="42" t="n">
        <v>26.4</v>
      </c>
      <c r="AG18" s="41" t="n">
        <v>35440</v>
      </c>
      <c r="AH18" s="41" t="n">
        <v>23036</v>
      </c>
      <c r="AI18" s="41" t="n">
        <v>54984</v>
      </c>
      <c r="AJ18" s="42" t="n">
        <v>14.9</v>
      </c>
      <c r="AK18" s="42" t="n">
        <v>9.7</v>
      </c>
      <c r="AL18" s="42" t="n">
        <v>23.1</v>
      </c>
      <c r="AM18" s="41" t="n">
        <v>30992</v>
      </c>
      <c r="AN18" s="41" t="n">
        <v>20145</v>
      </c>
      <c r="AO18" s="41" t="n">
        <v>48036</v>
      </c>
      <c r="AP18" s="42" t="n">
        <v>17.9</v>
      </c>
      <c r="AQ18" s="42" t="n">
        <v>11.6</v>
      </c>
      <c r="AR18" s="42" t="n">
        <v>27.7</v>
      </c>
      <c r="AS18" s="41" t="n">
        <v>37232</v>
      </c>
      <c r="AT18" s="41" t="n">
        <v>24199</v>
      </c>
      <c r="AU18" s="41" t="n">
        <v>57728</v>
      </c>
      <c r="AV18" s="41" t="n">
        <v>265000000</v>
      </c>
      <c r="AW18" s="41" t="n">
        <v>56000000</v>
      </c>
      <c r="AX18" s="41" t="n">
        <v>5000000</v>
      </c>
      <c r="AY18" s="41" t="n">
        <v>204000000</v>
      </c>
      <c r="AZ18" s="41" t="n">
        <v>269000000</v>
      </c>
      <c r="BA18" s="41" t="n">
        <v>57000000</v>
      </c>
      <c r="BB18" s="41" t="n">
        <v>3000000</v>
      </c>
      <c r="BC18" s="41" t="n">
        <v>208000000</v>
      </c>
      <c r="BD18" s="23" t="n">
        <v>600000000</v>
      </c>
      <c r="BE18" s="23" t="n">
        <v>133000000</v>
      </c>
      <c r="BF18" s="23" t="n">
        <v>0</v>
      </c>
      <c r="BG18" s="23" t="n">
        <v>468000000</v>
      </c>
      <c r="BH18" s="23" t="n">
        <v>275000000</v>
      </c>
      <c r="BI18" s="23" t="n">
        <v>70000000</v>
      </c>
      <c r="BJ18" s="23" t="n">
        <v>0</v>
      </c>
      <c r="BK18" s="23" t="n">
        <v>205000000</v>
      </c>
      <c r="BL18" s="23" t="n">
        <v>26000000</v>
      </c>
      <c r="BM18" s="23" t="n">
        <v>6000000</v>
      </c>
      <c r="BN18" s="23" t="n">
        <v>0</v>
      </c>
      <c r="BO18" s="23" t="n">
        <v>21000000</v>
      </c>
    </row>
    <row r="19" customFormat="false" ht="12.8" hidden="false" customHeight="false" outlineLevel="0" collapsed="false">
      <c r="A19" s="7" t="n">
        <v>16</v>
      </c>
      <c r="B19" s="7" t="s">
        <v>130</v>
      </c>
      <c r="C19" s="7" t="s">
        <v>123</v>
      </c>
      <c r="D19" s="39" t="n">
        <v>53000</v>
      </c>
      <c r="E19" s="39" t="n">
        <v>11500</v>
      </c>
      <c r="F19" s="39" t="n">
        <v>3900</v>
      </c>
      <c r="G19" s="39" t="n">
        <v>37600</v>
      </c>
      <c r="H19" s="34" t="n">
        <v>0.955</v>
      </c>
      <c r="I19" s="34" t="n">
        <v>0.93</v>
      </c>
      <c r="J19" s="34" t="n">
        <v>0.89</v>
      </c>
      <c r="K19" s="34" t="n">
        <v>0.958</v>
      </c>
      <c r="L19" s="34" t="n">
        <v>0.589</v>
      </c>
      <c r="M19" s="34" t="n">
        <v>0.646</v>
      </c>
      <c r="N19" s="34" t="n">
        <v>0.741</v>
      </c>
      <c r="O19" s="34" t="n">
        <v>0.57</v>
      </c>
      <c r="P19" s="34" t="n">
        <v>0.045</v>
      </c>
      <c r="Q19" s="34" t="n">
        <v>0.07</v>
      </c>
      <c r="R19" s="34" t="n">
        <v>0.11</v>
      </c>
      <c r="S19" s="34" t="n">
        <v>0.042</v>
      </c>
      <c r="T19" s="34" t="n">
        <v>0.104</v>
      </c>
      <c r="U19" s="34" t="n">
        <v>0.115</v>
      </c>
      <c r="V19" s="34" t="n">
        <v>0.17</v>
      </c>
      <c r="W19" s="34" t="n">
        <v>0.094</v>
      </c>
      <c r="X19" s="40" t="n">
        <v>14.9</v>
      </c>
      <c r="Y19" s="40" t="n">
        <v>9.7</v>
      </c>
      <c r="Z19" s="40" t="n">
        <v>23.1</v>
      </c>
      <c r="AA19" s="41" t="n">
        <v>30992</v>
      </c>
      <c r="AB19" s="41" t="n">
        <v>20145</v>
      </c>
      <c r="AC19" s="41" t="n">
        <v>48036</v>
      </c>
      <c r="AD19" s="42" t="n">
        <v>14.5</v>
      </c>
      <c r="AE19" s="42" t="n">
        <v>9.4</v>
      </c>
      <c r="AF19" s="42" t="n">
        <v>22.5</v>
      </c>
      <c r="AG19" s="41" t="n">
        <v>30240</v>
      </c>
      <c r="AH19" s="41" t="n">
        <v>19656</v>
      </c>
      <c r="AI19" s="41" t="n">
        <v>46872</v>
      </c>
      <c r="AJ19" s="42" t="n">
        <v>12.7</v>
      </c>
      <c r="AK19" s="42" t="n">
        <v>8.3</v>
      </c>
      <c r="AL19" s="42" t="n">
        <v>19.7</v>
      </c>
      <c r="AM19" s="41" t="n">
        <v>26416</v>
      </c>
      <c r="AN19" s="41" t="n">
        <v>17170</v>
      </c>
      <c r="AO19" s="41" t="n">
        <v>40944</v>
      </c>
      <c r="AP19" s="42" t="n">
        <v>15.2</v>
      </c>
      <c r="AQ19" s="42" t="n">
        <v>9.9</v>
      </c>
      <c r="AR19" s="42" t="n">
        <v>23.6</v>
      </c>
      <c r="AS19" s="41" t="n">
        <v>31616</v>
      </c>
      <c r="AT19" s="41" t="n">
        <v>20550</v>
      </c>
      <c r="AU19" s="41" t="n">
        <v>49024</v>
      </c>
      <c r="AV19" s="41" t="n">
        <v>112000000</v>
      </c>
      <c r="AW19" s="41" t="n">
        <v>24000000</v>
      </c>
      <c r="AX19" s="41" t="n">
        <v>2000000</v>
      </c>
      <c r="AY19" s="41" t="n">
        <v>87000000</v>
      </c>
      <c r="AZ19" s="41" t="n">
        <v>114000000</v>
      </c>
      <c r="BA19" s="41" t="n">
        <v>24000000</v>
      </c>
      <c r="BB19" s="41" t="n">
        <v>1000000</v>
      </c>
      <c r="BC19" s="41" t="n">
        <v>88000000</v>
      </c>
      <c r="BD19" s="23" t="n">
        <v>300000000</v>
      </c>
      <c r="BE19" s="23" t="n">
        <v>66000000</v>
      </c>
      <c r="BF19" s="23" t="n">
        <v>0</v>
      </c>
      <c r="BG19" s="23" t="n">
        <v>233000000</v>
      </c>
      <c r="BH19" s="23" t="n">
        <v>137000000</v>
      </c>
      <c r="BI19" s="23" t="n">
        <v>35000000</v>
      </c>
      <c r="BJ19" s="23" t="n">
        <v>0</v>
      </c>
      <c r="BK19" s="23" t="n">
        <v>102000000</v>
      </c>
      <c r="BL19" s="23" t="n">
        <v>13000000</v>
      </c>
      <c r="BM19" s="23" t="n">
        <v>3000000</v>
      </c>
      <c r="BN19" s="23" t="n">
        <v>0</v>
      </c>
      <c r="BO19" s="23" t="n">
        <v>10000000</v>
      </c>
    </row>
    <row r="20" customFormat="false" ht="12.8" hidden="false" customHeight="false" outlineLevel="0" collapsed="false">
      <c r="A20" s="7" t="n">
        <v>17</v>
      </c>
      <c r="B20" s="7" t="s">
        <v>131</v>
      </c>
      <c r="C20" s="7" t="s">
        <v>122</v>
      </c>
      <c r="D20" s="39" t="n">
        <v>57000</v>
      </c>
      <c r="E20" s="39" t="n">
        <v>12300</v>
      </c>
      <c r="F20" s="39" t="n">
        <v>4200</v>
      </c>
      <c r="G20" s="39" t="n">
        <v>40500</v>
      </c>
      <c r="H20" s="34" t="n">
        <v>0.968</v>
      </c>
      <c r="I20" s="34" t="n">
        <v>0.95</v>
      </c>
      <c r="J20" s="34" t="n">
        <v>0.92</v>
      </c>
      <c r="K20" s="34" t="n">
        <v>0.978</v>
      </c>
      <c r="L20" s="34" t="n">
        <v>0.605</v>
      </c>
      <c r="M20" s="34" t="n">
        <v>0.665</v>
      </c>
      <c r="N20" s="34" t="n">
        <v>0.74</v>
      </c>
      <c r="O20" s="34" t="n">
        <v>0.59</v>
      </c>
      <c r="P20" s="34" t="n">
        <v>0.032</v>
      </c>
      <c r="Q20" s="34" t="n">
        <v>0.05</v>
      </c>
      <c r="R20" s="34" t="n">
        <v>0.08</v>
      </c>
      <c r="S20" s="34" t="n">
        <v>0.022</v>
      </c>
      <c r="T20" s="34" t="n">
        <v>0.071</v>
      </c>
      <c r="U20" s="34" t="n">
        <v>0.079</v>
      </c>
      <c r="V20" s="34" t="n">
        <v>0.091</v>
      </c>
      <c r="W20" s="34" t="n">
        <v>0.067</v>
      </c>
      <c r="X20" s="40" t="n">
        <v>26.5</v>
      </c>
      <c r="Y20" s="40" t="n">
        <v>17.2</v>
      </c>
      <c r="Z20" s="40" t="n">
        <v>41.1</v>
      </c>
      <c r="AA20" s="41" t="n">
        <v>55120</v>
      </c>
      <c r="AB20" s="41" t="n">
        <v>35828</v>
      </c>
      <c r="AC20" s="41" t="n">
        <v>85456</v>
      </c>
      <c r="AD20" s="42" t="n">
        <v>25.7</v>
      </c>
      <c r="AE20" s="42" t="n">
        <v>16.7</v>
      </c>
      <c r="AF20" s="42" t="n">
        <v>39.8</v>
      </c>
      <c r="AG20" s="41" t="n">
        <v>53536</v>
      </c>
      <c r="AH20" s="41" t="n">
        <v>34800</v>
      </c>
      <c r="AI20" s="41" t="n">
        <v>83072</v>
      </c>
      <c r="AJ20" s="42" t="n">
        <v>23.8</v>
      </c>
      <c r="AK20" s="42" t="n">
        <v>15.5</v>
      </c>
      <c r="AL20" s="42" t="n">
        <v>36.9</v>
      </c>
      <c r="AM20" s="41" t="n">
        <v>49504</v>
      </c>
      <c r="AN20" s="41" t="n">
        <v>32178</v>
      </c>
      <c r="AO20" s="41" t="n">
        <v>76704</v>
      </c>
      <c r="AP20" s="42" t="n">
        <v>27</v>
      </c>
      <c r="AQ20" s="42" t="n">
        <v>17.6</v>
      </c>
      <c r="AR20" s="42" t="n">
        <v>41.9</v>
      </c>
      <c r="AS20" s="41" t="n">
        <v>56160</v>
      </c>
      <c r="AT20" s="41" t="n">
        <v>36504</v>
      </c>
      <c r="AU20" s="41" t="n">
        <v>87120</v>
      </c>
      <c r="AV20" s="41" t="n">
        <v>300000000</v>
      </c>
      <c r="AW20" s="41" t="n">
        <v>63000000</v>
      </c>
      <c r="AX20" s="41" t="n">
        <v>6000000</v>
      </c>
      <c r="AY20" s="41" t="n">
        <v>231000000</v>
      </c>
      <c r="AZ20" s="41" t="n">
        <v>217000000</v>
      </c>
      <c r="BA20" s="41" t="n">
        <v>46000000</v>
      </c>
      <c r="BB20" s="41" t="n">
        <v>3000000</v>
      </c>
      <c r="BC20" s="41" t="n">
        <v>168000000</v>
      </c>
      <c r="BD20" s="23" t="n">
        <v>321000000</v>
      </c>
      <c r="BE20" s="23" t="n">
        <v>71000000</v>
      </c>
      <c r="BF20" s="23" t="n">
        <v>0</v>
      </c>
      <c r="BG20" s="23" t="n">
        <v>250000000</v>
      </c>
      <c r="BH20" s="23" t="n">
        <v>147000000</v>
      </c>
      <c r="BI20" s="23" t="n">
        <v>37000000</v>
      </c>
      <c r="BJ20" s="23" t="n">
        <v>0</v>
      </c>
      <c r="BK20" s="23" t="n">
        <v>110000000</v>
      </c>
      <c r="BL20" s="23" t="n">
        <v>17000000</v>
      </c>
      <c r="BM20" s="23" t="n">
        <v>4000000</v>
      </c>
      <c r="BN20" s="23" t="n">
        <v>0</v>
      </c>
      <c r="BO20" s="23" t="n">
        <v>14000000</v>
      </c>
    </row>
    <row r="21" customFormat="false" ht="12.8" hidden="false" customHeight="false" outlineLevel="0" collapsed="false">
      <c r="A21" s="7" t="n">
        <v>18</v>
      </c>
      <c r="B21" s="7" t="s">
        <v>131</v>
      </c>
      <c r="C21" s="7" t="s">
        <v>123</v>
      </c>
      <c r="D21" s="39" t="n">
        <v>28500</v>
      </c>
      <c r="E21" s="39" t="n">
        <v>6150</v>
      </c>
      <c r="F21" s="39" t="n">
        <v>2100</v>
      </c>
      <c r="G21" s="39" t="n">
        <v>20250</v>
      </c>
      <c r="H21" s="34" t="n">
        <v>0.968</v>
      </c>
      <c r="I21" s="34" t="n">
        <v>0.95</v>
      </c>
      <c r="J21" s="34" t="n">
        <v>0.92</v>
      </c>
      <c r="K21" s="34" t="n">
        <v>0.978</v>
      </c>
      <c r="L21" s="34" t="n">
        <v>0.575</v>
      </c>
      <c r="M21" s="34" t="n">
        <v>0.632</v>
      </c>
      <c r="N21" s="34" t="n">
        <v>0.703</v>
      </c>
      <c r="O21" s="34" t="n">
        <v>0.56</v>
      </c>
      <c r="P21" s="34" t="n">
        <v>0.032</v>
      </c>
      <c r="Q21" s="34" t="n">
        <v>0.05</v>
      </c>
      <c r="R21" s="34" t="n">
        <v>0.08</v>
      </c>
      <c r="S21" s="34" t="n">
        <v>0.022</v>
      </c>
      <c r="T21" s="34" t="n">
        <v>0.079</v>
      </c>
      <c r="U21" s="34" t="n">
        <v>0.087</v>
      </c>
      <c r="V21" s="34" t="n">
        <v>0.1</v>
      </c>
      <c r="W21" s="34" t="n">
        <v>0.074</v>
      </c>
      <c r="X21" s="40" t="n">
        <v>22.5</v>
      </c>
      <c r="Y21" s="40" t="n">
        <v>14.6</v>
      </c>
      <c r="Z21" s="40" t="n">
        <v>34.9</v>
      </c>
      <c r="AA21" s="41" t="n">
        <v>46800</v>
      </c>
      <c r="AB21" s="41" t="n">
        <v>30420</v>
      </c>
      <c r="AC21" s="41" t="n">
        <v>72528</v>
      </c>
      <c r="AD21" s="42" t="n">
        <v>21.9</v>
      </c>
      <c r="AE21" s="42" t="n">
        <v>14.2</v>
      </c>
      <c r="AF21" s="42" t="n">
        <v>33.8</v>
      </c>
      <c r="AG21" s="41" t="n">
        <v>45672</v>
      </c>
      <c r="AH21" s="41" t="n">
        <v>29687</v>
      </c>
      <c r="AI21" s="41" t="n">
        <v>70848</v>
      </c>
      <c r="AJ21" s="42" t="n">
        <v>20.3</v>
      </c>
      <c r="AK21" s="42" t="n">
        <v>13.2</v>
      </c>
      <c r="AL21" s="42" t="n">
        <v>31.5</v>
      </c>
      <c r="AM21" s="41" t="n">
        <v>42224</v>
      </c>
      <c r="AN21" s="41" t="n">
        <v>27446</v>
      </c>
      <c r="AO21" s="41" t="n">
        <v>65504</v>
      </c>
      <c r="AP21" s="42" t="n">
        <v>22.9</v>
      </c>
      <c r="AQ21" s="42" t="n">
        <v>14.9</v>
      </c>
      <c r="AR21" s="42" t="n">
        <v>35.6</v>
      </c>
      <c r="AS21" s="41" t="n">
        <v>47632</v>
      </c>
      <c r="AT21" s="41" t="n">
        <v>30961</v>
      </c>
      <c r="AU21" s="41" t="n">
        <v>73904</v>
      </c>
      <c r="AV21" s="41" t="n">
        <v>127000000</v>
      </c>
      <c r="AW21" s="41" t="n">
        <v>27000000</v>
      </c>
      <c r="AX21" s="41" t="n">
        <v>3000000</v>
      </c>
      <c r="AY21" s="41" t="n">
        <v>98000000</v>
      </c>
      <c r="AZ21" s="41" t="n">
        <v>92000000</v>
      </c>
      <c r="BA21" s="41" t="n">
        <v>20000000</v>
      </c>
      <c r="BB21" s="41" t="n">
        <v>1000000</v>
      </c>
      <c r="BC21" s="41" t="n">
        <v>71000000</v>
      </c>
      <c r="BD21" s="23" t="n">
        <v>160000000</v>
      </c>
      <c r="BE21" s="23" t="n">
        <v>35000000</v>
      </c>
      <c r="BF21" s="23" t="n">
        <v>0</v>
      </c>
      <c r="BG21" s="23" t="n">
        <v>125000000</v>
      </c>
      <c r="BH21" s="23" t="n">
        <v>73000000</v>
      </c>
      <c r="BI21" s="23" t="n">
        <v>19000000</v>
      </c>
      <c r="BJ21" s="23" t="n">
        <v>0</v>
      </c>
      <c r="BK21" s="23" t="n">
        <v>55000000</v>
      </c>
      <c r="BL21" s="23" t="n">
        <v>9000000</v>
      </c>
      <c r="BM21" s="23" t="n">
        <v>2000000</v>
      </c>
      <c r="BN21" s="23" t="n">
        <v>0</v>
      </c>
      <c r="BO21" s="23" t="n">
        <v>7000000</v>
      </c>
    </row>
    <row r="22" customFormat="false" ht="12.8" hidden="false" customHeight="false" outlineLevel="0" collapsed="false">
      <c r="A22" s="7" t="n">
        <v>19</v>
      </c>
      <c r="B22" s="7" t="s">
        <v>133</v>
      </c>
      <c r="C22" s="7" t="s">
        <v>122</v>
      </c>
      <c r="D22" s="39" t="n">
        <v>800000</v>
      </c>
      <c r="E22" s="39" t="n">
        <v>173000</v>
      </c>
      <c r="F22" s="39" t="n">
        <v>59000</v>
      </c>
      <c r="G22" s="39" t="n">
        <v>568000</v>
      </c>
      <c r="H22" s="34" t="n">
        <v>0.972</v>
      </c>
      <c r="I22" s="34" t="n">
        <v>0.96</v>
      </c>
      <c r="J22" s="34" t="n">
        <v>0.93</v>
      </c>
      <c r="K22" s="34" t="n">
        <v>0.98</v>
      </c>
      <c r="L22" s="34" t="n">
        <v>0.605</v>
      </c>
      <c r="M22" s="34" t="n">
        <v>0.665</v>
      </c>
      <c r="N22" s="34" t="n">
        <v>0.74</v>
      </c>
      <c r="O22" s="34" t="n">
        <v>0.59</v>
      </c>
      <c r="P22" s="34" t="n">
        <v>0.028</v>
      </c>
      <c r="Q22" s="34" t="n">
        <v>0.04</v>
      </c>
      <c r="R22" s="34" t="n">
        <v>0.07</v>
      </c>
      <c r="S22" s="34" t="n">
        <v>0.02</v>
      </c>
      <c r="T22" s="34" t="n">
        <v>0.057</v>
      </c>
      <c r="U22" s="34" t="n">
        <v>0.063</v>
      </c>
      <c r="V22" s="34" t="n">
        <v>0.073</v>
      </c>
      <c r="W22" s="34" t="n">
        <v>0.054</v>
      </c>
      <c r="X22" s="40" t="n">
        <v>34.6</v>
      </c>
      <c r="Y22" s="40" t="n">
        <v>22.5</v>
      </c>
      <c r="Z22" s="40" t="n">
        <v>53.6</v>
      </c>
      <c r="AA22" s="41" t="n">
        <v>71968</v>
      </c>
      <c r="AB22" s="41" t="n">
        <v>46779</v>
      </c>
      <c r="AC22" s="41" t="n">
        <v>111552</v>
      </c>
      <c r="AD22" s="42" t="n">
        <v>33.5</v>
      </c>
      <c r="AE22" s="42" t="n">
        <v>21.8</v>
      </c>
      <c r="AF22" s="42" t="n">
        <v>51.9</v>
      </c>
      <c r="AG22" s="41" t="n">
        <v>69880</v>
      </c>
      <c r="AH22" s="41" t="n">
        <v>45422</v>
      </c>
      <c r="AI22" s="41" t="n">
        <v>108332</v>
      </c>
      <c r="AJ22" s="42" t="n">
        <v>32.8</v>
      </c>
      <c r="AK22" s="42" t="n">
        <v>21.3</v>
      </c>
      <c r="AL22" s="42" t="n">
        <v>50.9</v>
      </c>
      <c r="AM22" s="41" t="n">
        <v>68224</v>
      </c>
      <c r="AN22" s="41" t="n">
        <v>44346</v>
      </c>
      <c r="AO22" s="41" t="n">
        <v>105792</v>
      </c>
      <c r="AP22" s="42" t="n">
        <v>35.2</v>
      </c>
      <c r="AQ22" s="42" t="n">
        <v>22.9</v>
      </c>
      <c r="AR22" s="42" t="n">
        <v>54.6</v>
      </c>
      <c r="AS22" s="41" t="n">
        <v>73216</v>
      </c>
      <c r="AT22" s="41" t="n">
        <v>47590</v>
      </c>
      <c r="AU22" s="41" t="n">
        <v>110000</v>
      </c>
      <c r="AV22" s="41" t="n">
        <v>5419000000</v>
      </c>
      <c r="AW22" s="41" t="n">
        <v>1142000000</v>
      </c>
      <c r="AX22" s="41" t="n">
        <v>115000000</v>
      </c>
      <c r="AY22" s="41" t="n">
        <v>4162000000</v>
      </c>
      <c r="AZ22" s="41" t="n">
        <v>3919000000</v>
      </c>
      <c r="BA22" s="41" t="n">
        <v>832000000</v>
      </c>
      <c r="BB22" s="41" t="n">
        <v>55000000</v>
      </c>
      <c r="BC22" s="41" t="n">
        <v>3032000000</v>
      </c>
      <c r="BD22" s="23" t="n">
        <v>4440000000</v>
      </c>
      <c r="BE22" s="23" t="n">
        <v>983000000</v>
      </c>
      <c r="BF22" s="23" t="n">
        <v>0</v>
      </c>
      <c r="BG22" s="23" t="n">
        <v>3458000000</v>
      </c>
      <c r="BH22" s="23" t="n">
        <v>2035000000</v>
      </c>
      <c r="BI22" s="23" t="n">
        <v>518000000</v>
      </c>
      <c r="BJ22" s="23" t="n">
        <v>0</v>
      </c>
      <c r="BK22" s="23" t="n">
        <v>1517000000</v>
      </c>
      <c r="BL22" s="23" t="n">
        <v>326000000</v>
      </c>
      <c r="BM22" s="23" t="n">
        <v>70000000</v>
      </c>
      <c r="BN22" s="23" t="n">
        <v>0</v>
      </c>
      <c r="BO22" s="23" t="n">
        <v>256000000</v>
      </c>
    </row>
    <row r="23" customFormat="false" ht="12.8" hidden="false" customHeight="false" outlineLevel="0" collapsed="false">
      <c r="A23" s="7" t="n">
        <v>20</v>
      </c>
      <c r="B23" s="7" t="s">
        <v>133</v>
      </c>
      <c r="C23" s="7" t="s">
        <v>123</v>
      </c>
      <c r="D23" s="39" t="n">
        <v>400000</v>
      </c>
      <c r="E23" s="39" t="n">
        <v>86500</v>
      </c>
      <c r="F23" s="39" t="n">
        <v>29500</v>
      </c>
      <c r="G23" s="39" t="n">
        <v>284000</v>
      </c>
      <c r="H23" s="34" t="n">
        <v>0.972</v>
      </c>
      <c r="I23" s="34" t="n">
        <v>0.96</v>
      </c>
      <c r="J23" s="34" t="n">
        <v>0.93</v>
      </c>
      <c r="K23" s="34" t="n">
        <v>0.98</v>
      </c>
      <c r="L23" s="34" t="n">
        <v>0.575</v>
      </c>
      <c r="M23" s="34" t="n">
        <v>0.632</v>
      </c>
      <c r="N23" s="34" t="n">
        <v>0.703</v>
      </c>
      <c r="O23" s="34" t="n">
        <v>0.56</v>
      </c>
      <c r="P23" s="34" t="n">
        <v>0.028</v>
      </c>
      <c r="Q23" s="34" t="n">
        <v>0.04</v>
      </c>
      <c r="R23" s="34" t="n">
        <v>0.07</v>
      </c>
      <c r="S23" s="34" t="n">
        <v>0.02</v>
      </c>
      <c r="T23" s="34" t="n">
        <v>0.063</v>
      </c>
      <c r="U23" s="34" t="n">
        <v>0.07</v>
      </c>
      <c r="V23" s="34" t="n">
        <v>0.08</v>
      </c>
      <c r="W23" s="34" t="n">
        <v>0.059</v>
      </c>
      <c r="X23" s="40" t="n">
        <v>29.4</v>
      </c>
      <c r="Y23" s="40" t="n">
        <v>19.1</v>
      </c>
      <c r="Z23" s="40" t="n">
        <v>45.6</v>
      </c>
      <c r="AA23" s="41" t="n">
        <v>61152</v>
      </c>
      <c r="AB23" s="41" t="n">
        <v>39749</v>
      </c>
      <c r="AC23" s="41" t="n">
        <v>94788</v>
      </c>
      <c r="AD23" s="42" t="n">
        <v>28.4</v>
      </c>
      <c r="AE23" s="42" t="n">
        <v>18.5</v>
      </c>
      <c r="AF23" s="42" t="n">
        <v>44</v>
      </c>
      <c r="AG23" s="41" t="n">
        <v>59107</v>
      </c>
      <c r="AH23" s="41" t="n">
        <v>38420</v>
      </c>
      <c r="AI23" s="41" t="n">
        <v>91670</v>
      </c>
      <c r="AJ23" s="42" t="n">
        <v>27.9</v>
      </c>
      <c r="AK23" s="42" t="n">
        <v>18.1</v>
      </c>
      <c r="AL23" s="42" t="n">
        <v>43.3</v>
      </c>
      <c r="AM23" s="41" t="n">
        <v>58032</v>
      </c>
      <c r="AN23" s="41" t="n">
        <v>37721</v>
      </c>
      <c r="AO23" s="41" t="n">
        <v>89952</v>
      </c>
      <c r="AP23" s="42" t="n">
        <v>29.9</v>
      </c>
      <c r="AQ23" s="42" t="n">
        <v>19.4</v>
      </c>
      <c r="AR23" s="42" t="n">
        <v>46.3</v>
      </c>
      <c r="AS23" s="41" t="n">
        <v>62192</v>
      </c>
      <c r="AT23" s="41" t="n">
        <v>40425</v>
      </c>
      <c r="AU23" s="41" t="n">
        <v>96448</v>
      </c>
      <c r="AV23" s="41" t="n">
        <v>2300000000</v>
      </c>
      <c r="AW23" s="41" t="n">
        <v>485000000</v>
      </c>
      <c r="AX23" s="41" t="n">
        <v>49000000</v>
      </c>
      <c r="AY23" s="41" t="n">
        <v>1766000000</v>
      </c>
      <c r="AZ23" s="41" t="n">
        <v>1663000000</v>
      </c>
      <c r="BA23" s="41" t="n">
        <v>353000000</v>
      </c>
      <c r="BB23" s="41" t="n">
        <v>23000000</v>
      </c>
      <c r="BC23" s="41" t="n">
        <v>1287000000</v>
      </c>
      <c r="BD23" s="23" t="n">
        <v>2217000000</v>
      </c>
      <c r="BE23" s="23" t="n">
        <v>491000000</v>
      </c>
      <c r="BF23" s="23" t="n">
        <v>0</v>
      </c>
      <c r="BG23" s="23" t="n">
        <v>1726000000</v>
      </c>
      <c r="BH23" s="23" t="n">
        <v>1016000000</v>
      </c>
      <c r="BI23" s="23" t="n">
        <v>259000000</v>
      </c>
      <c r="BJ23" s="23" t="n">
        <v>0</v>
      </c>
      <c r="BK23" s="23" t="n">
        <v>757000000</v>
      </c>
      <c r="BL23" s="23" t="n">
        <v>163000000</v>
      </c>
      <c r="BM23" s="23" t="n">
        <v>35000000</v>
      </c>
      <c r="BN23" s="23" t="n">
        <v>0</v>
      </c>
      <c r="BO23" s="23" t="n">
        <v>128000000</v>
      </c>
    </row>
    <row r="24" customFormat="false" ht="12.8" hidden="false" customHeight="false" outlineLevel="0" collapsed="false">
      <c r="A24" s="7" t="n">
        <v>21</v>
      </c>
      <c r="B24" s="7" t="s">
        <v>134</v>
      </c>
      <c r="C24" s="7" t="s">
        <v>122</v>
      </c>
      <c r="D24" s="39" t="n">
        <v>1080000</v>
      </c>
      <c r="E24" s="39" t="n">
        <v>233000</v>
      </c>
      <c r="F24" s="39" t="n">
        <v>79000</v>
      </c>
      <c r="G24" s="39" t="n">
        <v>769000</v>
      </c>
      <c r="H24" s="34" t="n">
        <v>0.975</v>
      </c>
      <c r="I24" s="34" t="n">
        <v>0.96</v>
      </c>
      <c r="J24" s="34" t="n">
        <v>0.93</v>
      </c>
      <c r="K24" s="34" t="n">
        <v>0.977</v>
      </c>
      <c r="L24" s="34" t="n">
        <v>0.605</v>
      </c>
      <c r="M24" s="34" t="n">
        <v>0.665</v>
      </c>
      <c r="N24" s="34" t="n">
        <v>0.74</v>
      </c>
      <c r="O24" s="34" t="n">
        <v>0.59</v>
      </c>
      <c r="P24" s="34" t="n">
        <v>0.025</v>
      </c>
      <c r="Q24" s="34" t="n">
        <v>0.04</v>
      </c>
      <c r="R24" s="34" t="n">
        <v>0.07</v>
      </c>
      <c r="S24" s="34" t="n">
        <v>0.023</v>
      </c>
      <c r="T24" s="34" t="n">
        <v>0.045</v>
      </c>
      <c r="U24" s="34" t="n">
        <v>0.052</v>
      </c>
      <c r="V24" s="34" t="n">
        <v>0.094</v>
      </c>
      <c r="W24" s="34" t="n">
        <v>0.041</v>
      </c>
      <c r="X24" s="40" t="n">
        <v>39.5</v>
      </c>
      <c r="Y24" s="40" t="n">
        <v>25.7</v>
      </c>
      <c r="Z24" s="40" t="n">
        <v>61.2</v>
      </c>
      <c r="AA24" s="41" t="n">
        <v>82160</v>
      </c>
      <c r="AB24" s="41" t="n">
        <v>53404</v>
      </c>
      <c r="AC24" s="41" t="n">
        <v>127348</v>
      </c>
      <c r="AD24" s="42" t="n">
        <v>38.2</v>
      </c>
      <c r="AE24" s="42" t="n">
        <v>24.8</v>
      </c>
      <c r="AF24" s="42" t="n">
        <v>59.2</v>
      </c>
      <c r="AG24" s="41" t="n">
        <v>79616</v>
      </c>
      <c r="AH24" s="41" t="n">
        <v>51750</v>
      </c>
      <c r="AI24" s="41" t="n">
        <v>123482</v>
      </c>
      <c r="AJ24" s="42" t="n">
        <v>37.5</v>
      </c>
      <c r="AK24" s="42" t="n">
        <v>24.4</v>
      </c>
      <c r="AL24" s="42" t="n">
        <v>58.1</v>
      </c>
      <c r="AM24" s="41" t="n">
        <v>78000</v>
      </c>
      <c r="AN24" s="41" t="n">
        <v>50700</v>
      </c>
      <c r="AO24" s="41" t="n">
        <v>121110</v>
      </c>
      <c r="AP24" s="42" t="n">
        <v>40.2</v>
      </c>
      <c r="AQ24" s="42" t="n">
        <v>26.1</v>
      </c>
      <c r="AR24" s="42" t="n">
        <v>62.3</v>
      </c>
      <c r="AS24" s="41" t="n">
        <v>83616</v>
      </c>
      <c r="AT24" s="41" t="n">
        <v>54350</v>
      </c>
      <c r="AU24" s="41" t="n">
        <v>129604</v>
      </c>
      <c r="AV24" s="41" t="n">
        <v>10142000000</v>
      </c>
      <c r="AW24" s="41" t="n">
        <v>2138000000</v>
      </c>
      <c r="AX24" s="41" t="n">
        <v>215000000</v>
      </c>
      <c r="AY24" s="41" t="n">
        <v>7789000000</v>
      </c>
      <c r="AZ24" s="41" t="n">
        <v>6162000000</v>
      </c>
      <c r="BA24" s="41" t="n">
        <v>1308000000</v>
      </c>
      <c r="BB24" s="41" t="n">
        <v>86000000</v>
      </c>
      <c r="BC24" s="41" t="n">
        <v>4767000000</v>
      </c>
      <c r="BD24" s="23" t="n">
        <v>6106000000</v>
      </c>
      <c r="BE24" s="23" t="n">
        <v>1351000000</v>
      </c>
      <c r="BF24" s="23" t="n">
        <v>0</v>
      </c>
      <c r="BG24" s="23" t="n">
        <v>4755000000</v>
      </c>
      <c r="BH24" s="23" t="n">
        <v>2799000000</v>
      </c>
      <c r="BI24" s="23" t="n">
        <v>713000000</v>
      </c>
      <c r="BJ24" s="23" t="n">
        <v>0</v>
      </c>
      <c r="BK24" s="23" t="n">
        <v>2086000000</v>
      </c>
      <c r="BL24" s="23" t="n">
        <v>688000000</v>
      </c>
      <c r="BM24" s="23" t="n">
        <v>147000000</v>
      </c>
      <c r="BN24" s="23" t="n">
        <v>0</v>
      </c>
      <c r="BO24" s="23" t="n">
        <v>540000000</v>
      </c>
    </row>
    <row r="25" customFormat="false" ht="12.8" hidden="false" customHeight="false" outlineLevel="0" collapsed="false">
      <c r="A25" s="7" t="n">
        <v>22</v>
      </c>
      <c r="B25" s="7" t="s">
        <v>134</v>
      </c>
      <c r="C25" s="7" t="s">
        <v>123</v>
      </c>
      <c r="D25" s="39" t="n">
        <v>540000</v>
      </c>
      <c r="E25" s="39" t="n">
        <v>116500</v>
      </c>
      <c r="F25" s="39" t="n">
        <v>39500</v>
      </c>
      <c r="G25" s="39" t="n">
        <v>384500</v>
      </c>
      <c r="H25" s="34" t="n">
        <v>0.975</v>
      </c>
      <c r="I25" s="34" t="n">
        <v>0.96</v>
      </c>
      <c r="J25" s="34" t="n">
        <v>0.93</v>
      </c>
      <c r="K25" s="34" t="n">
        <v>0.977</v>
      </c>
      <c r="L25" s="34" t="n">
        <v>0.575</v>
      </c>
      <c r="M25" s="34" t="n">
        <v>0.632</v>
      </c>
      <c r="N25" s="34" t="n">
        <v>0.703</v>
      </c>
      <c r="O25" s="34" t="n">
        <v>0.56</v>
      </c>
      <c r="P25" s="34" t="n">
        <v>0.025</v>
      </c>
      <c r="Q25" s="34" t="n">
        <v>0.04</v>
      </c>
      <c r="R25" s="34" t="n">
        <v>0.07</v>
      </c>
      <c r="S25" s="34" t="n">
        <v>0.023</v>
      </c>
      <c r="T25" s="34" t="n">
        <v>0.05</v>
      </c>
      <c r="U25" s="34" t="n">
        <v>0.057</v>
      </c>
      <c r="V25" s="34" t="n">
        <v>0.1</v>
      </c>
      <c r="W25" s="34" t="n">
        <v>0.045</v>
      </c>
      <c r="X25" s="40" t="n">
        <v>33.6</v>
      </c>
      <c r="Y25" s="40" t="n">
        <v>21.8</v>
      </c>
      <c r="Z25" s="40" t="n">
        <v>52.1</v>
      </c>
      <c r="AA25" s="41" t="n">
        <v>69888</v>
      </c>
      <c r="AB25" s="41" t="n">
        <v>45422</v>
      </c>
      <c r="AC25" s="41" t="n">
        <v>108332</v>
      </c>
      <c r="AD25" s="42" t="n">
        <v>32.5</v>
      </c>
      <c r="AE25" s="42" t="n">
        <v>21.1</v>
      </c>
      <c r="AF25" s="42" t="n">
        <v>50.3</v>
      </c>
      <c r="AG25" s="41" t="n">
        <v>67600</v>
      </c>
      <c r="AH25" s="41" t="n">
        <v>43940</v>
      </c>
      <c r="AI25" s="41" t="n">
        <v>104720</v>
      </c>
      <c r="AJ25" s="42" t="n">
        <v>31.9</v>
      </c>
      <c r="AK25" s="42" t="n">
        <v>20.7</v>
      </c>
      <c r="AL25" s="42" t="n">
        <v>49.4</v>
      </c>
      <c r="AM25" s="41" t="n">
        <v>66352</v>
      </c>
      <c r="AN25" s="41" t="n">
        <v>43129</v>
      </c>
      <c r="AO25" s="41" t="n">
        <v>99808</v>
      </c>
      <c r="AP25" s="42" t="n">
        <v>34.2</v>
      </c>
      <c r="AQ25" s="42" t="n">
        <v>22.2</v>
      </c>
      <c r="AR25" s="42" t="n">
        <v>53</v>
      </c>
      <c r="AS25" s="41" t="n">
        <v>71088</v>
      </c>
      <c r="AT25" s="41" t="n">
        <v>46207</v>
      </c>
      <c r="AU25" s="41" t="n">
        <v>110136</v>
      </c>
      <c r="AV25" s="41" t="n">
        <v>4304000000</v>
      </c>
      <c r="AW25" s="41" t="n">
        <v>907000000</v>
      </c>
      <c r="AX25" s="41" t="n">
        <v>91000000</v>
      </c>
      <c r="AY25" s="41" t="n">
        <v>3306000000</v>
      </c>
      <c r="AZ25" s="41" t="n">
        <v>2615000000</v>
      </c>
      <c r="BA25" s="41" t="n">
        <v>555000000</v>
      </c>
      <c r="BB25" s="41" t="n">
        <v>37000000</v>
      </c>
      <c r="BC25" s="41" t="n">
        <v>2023000000</v>
      </c>
      <c r="BD25" s="23" t="n">
        <v>3048000000</v>
      </c>
      <c r="BE25" s="23" t="n">
        <v>675000000</v>
      </c>
      <c r="BF25" s="23" t="n">
        <v>0</v>
      </c>
      <c r="BG25" s="23" t="n">
        <v>2374000000</v>
      </c>
      <c r="BH25" s="23" t="n">
        <v>1397000000</v>
      </c>
      <c r="BI25" s="23" t="n">
        <v>356000000</v>
      </c>
      <c r="BJ25" s="23" t="n">
        <v>0</v>
      </c>
      <c r="BK25" s="23" t="n">
        <v>1041000000</v>
      </c>
      <c r="BL25" s="23" t="n">
        <v>343000000</v>
      </c>
      <c r="BM25" s="23" t="n">
        <v>74000000</v>
      </c>
      <c r="BN25" s="23" t="n">
        <v>0</v>
      </c>
      <c r="BO25" s="23" t="n">
        <v>270000000</v>
      </c>
    </row>
    <row r="26" customFormat="false" ht="12.8" hidden="false" customHeight="false" outlineLevel="0" collapsed="false">
      <c r="A26" s="7" t="n">
        <v>23</v>
      </c>
      <c r="B26" s="7" t="s">
        <v>135</v>
      </c>
      <c r="C26" s="7" t="s">
        <v>122</v>
      </c>
      <c r="D26" s="39" t="n">
        <v>288000</v>
      </c>
      <c r="E26" s="39" t="n">
        <v>62000</v>
      </c>
      <c r="F26" s="39" t="n">
        <v>21000</v>
      </c>
      <c r="G26" s="39" t="n">
        <v>205000</v>
      </c>
      <c r="H26" s="34" t="n">
        <v>0.98</v>
      </c>
      <c r="I26" s="34" t="n">
        <v>0.96</v>
      </c>
      <c r="J26" s="34" t="n">
        <v>0.93</v>
      </c>
      <c r="K26" s="34" t="n">
        <v>0.982</v>
      </c>
      <c r="L26" s="34" t="n">
        <v>0.605</v>
      </c>
      <c r="M26" s="34" t="n">
        <v>0.665</v>
      </c>
      <c r="N26" s="34" t="n">
        <v>0.74</v>
      </c>
      <c r="O26" s="34" t="n">
        <v>0.59</v>
      </c>
      <c r="P26" s="34" t="n">
        <v>0.02</v>
      </c>
      <c r="Q26" s="34" t="n">
        <v>0.04</v>
      </c>
      <c r="R26" s="34" t="n">
        <v>0.07</v>
      </c>
      <c r="S26" s="34" t="n">
        <v>0.018</v>
      </c>
      <c r="T26" s="34" t="n">
        <v>0.045</v>
      </c>
      <c r="U26" s="34" t="n">
        <v>0.052</v>
      </c>
      <c r="V26" s="34" t="n">
        <v>0.094</v>
      </c>
      <c r="W26" s="34" t="n">
        <v>0.041</v>
      </c>
      <c r="X26" s="40" t="n">
        <v>31.7</v>
      </c>
      <c r="Y26" s="40" t="n">
        <v>20.6</v>
      </c>
      <c r="Z26" s="40" t="n">
        <v>49.1</v>
      </c>
      <c r="AA26" s="41" t="n">
        <v>65936</v>
      </c>
      <c r="AB26" s="41" t="n">
        <v>42858</v>
      </c>
      <c r="AC26" s="41" t="n">
        <v>102128</v>
      </c>
      <c r="AD26" s="42" t="n">
        <v>30.7</v>
      </c>
      <c r="AE26" s="42" t="n">
        <v>20</v>
      </c>
      <c r="AF26" s="42" t="n">
        <v>47.7</v>
      </c>
      <c r="AG26" s="41" t="n">
        <v>63936</v>
      </c>
      <c r="AH26" s="41" t="n">
        <v>41558</v>
      </c>
      <c r="AI26" s="41" t="n">
        <v>99136</v>
      </c>
      <c r="AJ26" s="42" t="n">
        <v>30.1</v>
      </c>
      <c r="AK26" s="42" t="n">
        <v>19.6</v>
      </c>
      <c r="AL26" s="42" t="n">
        <v>46.7</v>
      </c>
      <c r="AM26" s="41" t="n">
        <v>62608</v>
      </c>
      <c r="AN26" s="41" t="n">
        <v>40695</v>
      </c>
      <c r="AO26" s="41" t="n">
        <v>97064</v>
      </c>
      <c r="AP26" s="42" t="n">
        <v>32.3</v>
      </c>
      <c r="AQ26" s="42" t="n">
        <v>21</v>
      </c>
      <c r="AR26" s="42" t="n">
        <v>50.1</v>
      </c>
      <c r="AS26" s="41" t="n">
        <v>67264</v>
      </c>
      <c r="AT26" s="41" t="n">
        <v>43722</v>
      </c>
      <c r="AU26" s="41" t="n">
        <v>104360</v>
      </c>
      <c r="AV26" s="41" t="n">
        <v>1820000000</v>
      </c>
      <c r="AW26" s="41" t="n">
        <v>384000000</v>
      </c>
      <c r="AX26" s="41" t="n">
        <v>39000000</v>
      </c>
      <c r="AY26" s="41" t="n">
        <v>1398000000</v>
      </c>
      <c r="AZ26" s="41" t="n">
        <v>1316000000</v>
      </c>
      <c r="BA26" s="41" t="n">
        <v>280000000</v>
      </c>
      <c r="BB26" s="41" t="n">
        <v>18000000</v>
      </c>
      <c r="BC26" s="41" t="n">
        <v>1018000000</v>
      </c>
      <c r="BD26" s="23" t="n">
        <v>1627000000</v>
      </c>
      <c r="BE26" s="23" t="n">
        <v>360000000</v>
      </c>
      <c r="BF26" s="23" t="n">
        <v>0</v>
      </c>
      <c r="BG26" s="23" t="n">
        <v>1267000000</v>
      </c>
      <c r="BH26" s="23" t="n">
        <v>746000000</v>
      </c>
      <c r="BI26" s="23" t="n">
        <v>190000000</v>
      </c>
      <c r="BJ26" s="23" t="n">
        <v>0</v>
      </c>
      <c r="BK26" s="23" t="n">
        <v>556000000</v>
      </c>
      <c r="BL26" s="23" t="n">
        <v>183000000</v>
      </c>
      <c r="BM26" s="23" t="n">
        <v>39000000</v>
      </c>
      <c r="BN26" s="23" t="n">
        <v>0</v>
      </c>
      <c r="BO26" s="23" t="n">
        <v>144000000</v>
      </c>
    </row>
    <row r="27" customFormat="false" ht="12.8" hidden="false" customHeight="false" outlineLevel="0" collapsed="false">
      <c r="A27" s="7" t="n">
        <v>24</v>
      </c>
      <c r="B27" s="7" t="s">
        <v>135</v>
      </c>
      <c r="C27" s="7" t="s">
        <v>123</v>
      </c>
      <c r="D27" s="39" t="n">
        <v>144000</v>
      </c>
      <c r="E27" s="39" t="n">
        <v>31000</v>
      </c>
      <c r="F27" s="39" t="n">
        <v>10500</v>
      </c>
      <c r="G27" s="39" t="n">
        <v>102500</v>
      </c>
      <c r="H27" s="34" t="n">
        <v>0.98</v>
      </c>
      <c r="I27" s="34" t="n">
        <v>0.96</v>
      </c>
      <c r="J27" s="34" t="n">
        <v>0.93</v>
      </c>
      <c r="K27" s="34" t="n">
        <v>0.982</v>
      </c>
      <c r="L27" s="34" t="n">
        <v>0.575</v>
      </c>
      <c r="M27" s="34" t="n">
        <v>0.632</v>
      </c>
      <c r="N27" s="34" t="n">
        <v>0.703</v>
      </c>
      <c r="O27" s="34" t="n">
        <v>0.56</v>
      </c>
      <c r="P27" s="34" t="n">
        <v>0.02</v>
      </c>
      <c r="Q27" s="34" t="n">
        <v>0.04</v>
      </c>
      <c r="R27" s="34" t="n">
        <v>0.07</v>
      </c>
      <c r="S27" s="34" t="n">
        <v>0.018</v>
      </c>
      <c r="T27" s="34" t="n">
        <v>0.05</v>
      </c>
      <c r="U27" s="34" t="n">
        <v>0.057</v>
      </c>
      <c r="V27" s="34" t="n">
        <v>0.1</v>
      </c>
      <c r="W27" s="34" t="n">
        <v>0.045</v>
      </c>
      <c r="X27" s="40" t="n">
        <v>27</v>
      </c>
      <c r="Y27" s="40" t="n">
        <v>17.6</v>
      </c>
      <c r="Z27" s="40" t="n">
        <v>42</v>
      </c>
      <c r="AA27" s="41" t="n">
        <v>56160</v>
      </c>
      <c r="AB27" s="41" t="n">
        <v>36504</v>
      </c>
      <c r="AC27" s="41" t="n">
        <v>87048</v>
      </c>
      <c r="AD27" s="42" t="n">
        <v>26.1</v>
      </c>
      <c r="AE27" s="42" t="n">
        <v>17</v>
      </c>
      <c r="AF27" s="42" t="n">
        <v>40.5</v>
      </c>
      <c r="AG27" s="41" t="n">
        <v>54336</v>
      </c>
      <c r="AH27" s="41" t="n">
        <v>35318</v>
      </c>
      <c r="AI27" s="41" t="n">
        <v>84288</v>
      </c>
      <c r="AJ27" s="42" t="n">
        <v>25.6</v>
      </c>
      <c r="AK27" s="42" t="n">
        <v>16.6</v>
      </c>
      <c r="AL27" s="42" t="n">
        <v>39.7</v>
      </c>
      <c r="AM27" s="41" t="n">
        <v>53248</v>
      </c>
      <c r="AN27" s="41" t="n">
        <v>34611</v>
      </c>
      <c r="AO27" s="41" t="n">
        <v>82576</v>
      </c>
      <c r="AP27" s="42" t="n">
        <v>27.5</v>
      </c>
      <c r="AQ27" s="42" t="n">
        <v>17.9</v>
      </c>
      <c r="AR27" s="42" t="n">
        <v>42.6</v>
      </c>
      <c r="AS27" s="41" t="n">
        <v>57200</v>
      </c>
      <c r="AT27" s="41" t="n">
        <v>37180</v>
      </c>
      <c r="AU27" s="41" t="n">
        <v>88720</v>
      </c>
      <c r="AV27" s="41" t="n">
        <v>772000000</v>
      </c>
      <c r="AW27" s="41" t="n">
        <v>163000000</v>
      </c>
      <c r="AX27" s="41" t="n">
        <v>16000000</v>
      </c>
      <c r="AY27" s="41" t="n">
        <v>593000000</v>
      </c>
      <c r="AZ27" s="41" t="n">
        <v>559000000</v>
      </c>
      <c r="BA27" s="41" t="n">
        <v>119000000</v>
      </c>
      <c r="BB27" s="41" t="n">
        <v>8000000</v>
      </c>
      <c r="BC27" s="41" t="n">
        <v>432000000</v>
      </c>
      <c r="BD27" s="23" t="n">
        <v>812000000</v>
      </c>
      <c r="BE27" s="23" t="n">
        <v>180000000</v>
      </c>
      <c r="BF27" s="23" t="n">
        <v>0</v>
      </c>
      <c r="BG27" s="23" t="n">
        <v>633000000</v>
      </c>
      <c r="BH27" s="23" t="n">
        <v>372000000</v>
      </c>
      <c r="BI27" s="23" t="n">
        <v>95000000</v>
      </c>
      <c r="BJ27" s="23" t="n">
        <v>0</v>
      </c>
      <c r="BK27" s="23" t="n">
        <v>278000000</v>
      </c>
      <c r="BL27" s="23" t="n">
        <v>91000000</v>
      </c>
      <c r="BM27" s="23" t="n">
        <v>20000000</v>
      </c>
      <c r="BN27" s="23" t="n">
        <v>0</v>
      </c>
      <c r="BO27" s="23" t="n">
        <v>72000000</v>
      </c>
    </row>
    <row r="28" customFormat="false" ht="12.8" hidden="false" customHeight="false" outlineLevel="0" collapsed="false">
      <c r="A28" s="7" t="n">
        <v>25</v>
      </c>
      <c r="B28" s="7" t="s">
        <v>136</v>
      </c>
      <c r="C28" s="7" t="s">
        <v>122</v>
      </c>
      <c r="D28" s="39" t="n">
        <v>460000</v>
      </c>
      <c r="E28" s="39" t="n">
        <v>99000</v>
      </c>
      <c r="F28" s="39" t="n">
        <v>34000</v>
      </c>
      <c r="G28" s="39" t="n">
        <v>327000</v>
      </c>
      <c r="H28" s="34" t="n">
        <v>0.975</v>
      </c>
      <c r="I28" s="34" t="n">
        <v>0.96</v>
      </c>
      <c r="J28" s="34" t="n">
        <v>0.93</v>
      </c>
      <c r="K28" s="34" t="n">
        <v>0.977</v>
      </c>
      <c r="L28" s="34" t="n">
        <v>0.605</v>
      </c>
      <c r="M28" s="34" t="n">
        <v>0.665</v>
      </c>
      <c r="N28" s="34" t="n">
        <v>0.74</v>
      </c>
      <c r="O28" s="34" t="n">
        <v>0.59</v>
      </c>
      <c r="P28" s="34" t="n">
        <v>0.025</v>
      </c>
      <c r="Q28" s="34" t="n">
        <v>0.045</v>
      </c>
      <c r="R28" s="34" t="n">
        <v>0.08</v>
      </c>
      <c r="S28" s="34" t="n">
        <v>0.023</v>
      </c>
      <c r="T28" s="34" t="n">
        <v>0.045</v>
      </c>
      <c r="U28" s="34" t="n">
        <v>0.052</v>
      </c>
      <c r="V28" s="34" t="n">
        <v>0.094</v>
      </c>
      <c r="W28" s="34" t="n">
        <v>0.041</v>
      </c>
      <c r="X28" s="40" t="n">
        <v>39.5</v>
      </c>
      <c r="Y28" s="40" t="n">
        <v>25.7</v>
      </c>
      <c r="Z28" s="40" t="n">
        <v>61.2</v>
      </c>
      <c r="AA28" s="41" t="n">
        <v>82160</v>
      </c>
      <c r="AB28" s="41" t="n">
        <v>53404</v>
      </c>
      <c r="AC28" s="41" t="n">
        <v>127348</v>
      </c>
      <c r="AD28" s="42" t="n">
        <v>38.2</v>
      </c>
      <c r="AE28" s="42" t="n">
        <v>24.8</v>
      </c>
      <c r="AF28" s="42" t="n">
        <v>59.2</v>
      </c>
      <c r="AG28" s="41" t="n">
        <v>79616</v>
      </c>
      <c r="AH28" s="41" t="n">
        <v>51750</v>
      </c>
      <c r="AI28" s="41" t="n">
        <v>123482</v>
      </c>
      <c r="AJ28" s="42" t="n">
        <v>37.5</v>
      </c>
      <c r="AK28" s="42" t="n">
        <v>24.4</v>
      </c>
      <c r="AL28" s="42" t="n">
        <v>58.1</v>
      </c>
      <c r="AM28" s="41" t="n">
        <v>78000</v>
      </c>
      <c r="AN28" s="41" t="n">
        <v>50700</v>
      </c>
      <c r="AO28" s="41" t="n">
        <v>121110</v>
      </c>
      <c r="AP28" s="42" t="n">
        <v>40.2</v>
      </c>
      <c r="AQ28" s="42" t="n">
        <v>26.1</v>
      </c>
      <c r="AR28" s="42" t="n">
        <v>62.3</v>
      </c>
      <c r="AS28" s="41" t="n">
        <v>83616</v>
      </c>
      <c r="AT28" s="41" t="n">
        <v>54350</v>
      </c>
      <c r="AU28" s="41" t="n">
        <v>129604</v>
      </c>
      <c r="AV28" s="41" t="n">
        <v>4316000000</v>
      </c>
      <c r="AW28" s="41" t="n">
        <v>910000000</v>
      </c>
      <c r="AX28" s="41" t="n">
        <v>92000000</v>
      </c>
      <c r="AY28" s="41" t="n">
        <v>3315000000</v>
      </c>
      <c r="AZ28" s="41" t="n">
        <v>2622000000</v>
      </c>
      <c r="BA28" s="41" t="n">
        <v>557000000</v>
      </c>
      <c r="BB28" s="41" t="n">
        <v>37000000</v>
      </c>
      <c r="BC28" s="41" t="n">
        <v>2029000000</v>
      </c>
      <c r="BD28" s="23" t="n">
        <v>2599000000</v>
      </c>
      <c r="BE28" s="23" t="n">
        <v>575000000</v>
      </c>
      <c r="BF28" s="23" t="n">
        <v>0</v>
      </c>
      <c r="BG28" s="23" t="n">
        <v>2023000000</v>
      </c>
      <c r="BH28" s="23" t="n">
        <v>1191000000</v>
      </c>
      <c r="BI28" s="23" t="n">
        <v>303000000</v>
      </c>
      <c r="BJ28" s="23" t="n">
        <v>0</v>
      </c>
      <c r="BK28" s="23" t="n">
        <v>888000000</v>
      </c>
      <c r="BL28" s="23" t="n">
        <v>216000000</v>
      </c>
      <c r="BM28" s="23" t="n">
        <v>46000000</v>
      </c>
      <c r="BN28" s="23" t="n">
        <v>0</v>
      </c>
      <c r="BO28" s="23" t="n">
        <v>170000000</v>
      </c>
    </row>
    <row r="29" customFormat="false" ht="12.8" hidden="false" customHeight="false" outlineLevel="0" collapsed="false">
      <c r="A29" s="7" t="n">
        <v>26</v>
      </c>
      <c r="B29" s="7" t="s">
        <v>136</v>
      </c>
      <c r="C29" s="7" t="s">
        <v>123</v>
      </c>
      <c r="D29" s="39" t="n">
        <v>230000</v>
      </c>
      <c r="E29" s="39" t="n">
        <v>49500</v>
      </c>
      <c r="F29" s="39" t="n">
        <v>17000</v>
      </c>
      <c r="G29" s="39" t="n">
        <v>163500</v>
      </c>
      <c r="H29" s="34" t="n">
        <v>0.975</v>
      </c>
      <c r="I29" s="34" t="n">
        <v>0.96</v>
      </c>
      <c r="J29" s="34" t="n">
        <v>0.93</v>
      </c>
      <c r="K29" s="34" t="n">
        <v>0.977</v>
      </c>
      <c r="L29" s="34" t="n">
        <v>0.575</v>
      </c>
      <c r="M29" s="34" t="n">
        <v>0.632</v>
      </c>
      <c r="N29" s="34" t="n">
        <v>0.703</v>
      </c>
      <c r="O29" s="34" t="n">
        <v>0.56</v>
      </c>
      <c r="P29" s="34" t="n">
        <v>0.025</v>
      </c>
      <c r="Q29" s="34" t="n">
        <v>0.045</v>
      </c>
      <c r="R29" s="34" t="n">
        <v>0.08</v>
      </c>
      <c r="S29" s="34" t="n">
        <v>0.023</v>
      </c>
      <c r="T29" s="34" t="n">
        <v>0.05</v>
      </c>
      <c r="U29" s="34" t="n">
        <v>0.057</v>
      </c>
      <c r="V29" s="34" t="n">
        <v>0.1</v>
      </c>
      <c r="W29" s="34" t="n">
        <v>0.045</v>
      </c>
      <c r="X29" s="40" t="n">
        <v>33.6</v>
      </c>
      <c r="Y29" s="40" t="n">
        <v>21.8</v>
      </c>
      <c r="Z29" s="40" t="n">
        <v>52.1</v>
      </c>
      <c r="AA29" s="41" t="n">
        <v>69888</v>
      </c>
      <c r="AB29" s="41" t="n">
        <v>45422</v>
      </c>
      <c r="AC29" s="41" t="n">
        <v>108332</v>
      </c>
      <c r="AD29" s="42" t="n">
        <v>32.5</v>
      </c>
      <c r="AE29" s="42" t="n">
        <v>21.1</v>
      </c>
      <c r="AF29" s="42" t="n">
        <v>50.3</v>
      </c>
      <c r="AG29" s="41" t="n">
        <v>67600</v>
      </c>
      <c r="AH29" s="41" t="n">
        <v>43940</v>
      </c>
      <c r="AI29" s="41" t="n">
        <v>104720</v>
      </c>
      <c r="AJ29" s="42" t="n">
        <v>31.9</v>
      </c>
      <c r="AK29" s="42" t="n">
        <v>20.7</v>
      </c>
      <c r="AL29" s="42" t="n">
        <v>49.4</v>
      </c>
      <c r="AM29" s="41" t="n">
        <v>66352</v>
      </c>
      <c r="AN29" s="41" t="n">
        <v>43129</v>
      </c>
      <c r="AO29" s="41" t="n">
        <v>99808</v>
      </c>
      <c r="AP29" s="42" t="n">
        <v>34.2</v>
      </c>
      <c r="AQ29" s="42" t="n">
        <v>22.2</v>
      </c>
      <c r="AR29" s="42" t="n">
        <v>53</v>
      </c>
      <c r="AS29" s="41" t="n">
        <v>71088</v>
      </c>
      <c r="AT29" s="41" t="n">
        <v>46207</v>
      </c>
      <c r="AU29" s="41" t="n">
        <v>110136</v>
      </c>
      <c r="AV29" s="41" t="n">
        <v>1832000000</v>
      </c>
      <c r="AW29" s="41" t="n">
        <v>386000000</v>
      </c>
      <c r="AX29" s="41" t="n">
        <v>39000000</v>
      </c>
      <c r="AY29" s="41" t="n">
        <v>1407000000</v>
      </c>
      <c r="AZ29" s="41" t="n">
        <v>1113000000</v>
      </c>
      <c r="BA29" s="41" t="n">
        <v>236000000</v>
      </c>
      <c r="BB29" s="41" t="n">
        <v>16000000</v>
      </c>
      <c r="BC29" s="41" t="n">
        <v>861000000</v>
      </c>
      <c r="BD29" s="23" t="n">
        <v>1297000000</v>
      </c>
      <c r="BE29" s="23" t="n">
        <v>287000000</v>
      </c>
      <c r="BF29" s="23" t="n">
        <v>0</v>
      </c>
      <c r="BG29" s="23" t="n">
        <v>1010000000</v>
      </c>
      <c r="BH29" s="23" t="n">
        <v>595000000</v>
      </c>
      <c r="BI29" s="23" t="n">
        <v>151000000</v>
      </c>
      <c r="BJ29" s="23" t="n">
        <v>0</v>
      </c>
      <c r="BK29" s="23" t="n">
        <v>443000000</v>
      </c>
      <c r="BL29" s="23" t="n">
        <v>108000000</v>
      </c>
      <c r="BM29" s="23" t="n">
        <v>23000000</v>
      </c>
      <c r="BN29" s="23" t="n">
        <v>0</v>
      </c>
      <c r="BO29" s="23" t="n">
        <v>85000000</v>
      </c>
    </row>
    <row r="30" customFormat="false" ht="12.8" hidden="false" customHeight="false" outlineLevel="0" collapsed="false">
      <c r="A30" s="7" t="n">
        <v>27</v>
      </c>
      <c r="B30" s="7" t="s">
        <v>137</v>
      </c>
      <c r="C30" s="7" t="s">
        <v>122</v>
      </c>
      <c r="D30" s="39" t="n">
        <v>106000</v>
      </c>
      <c r="E30" s="39" t="n">
        <v>23000</v>
      </c>
      <c r="F30" s="39" t="n">
        <v>7800</v>
      </c>
      <c r="G30" s="39" t="n">
        <v>75200</v>
      </c>
      <c r="H30" s="34" t="n">
        <v>0.97</v>
      </c>
      <c r="I30" s="34" t="n">
        <v>0.95</v>
      </c>
      <c r="J30" s="34" t="n">
        <v>0.91</v>
      </c>
      <c r="K30" s="34" t="n">
        <v>0.972</v>
      </c>
      <c r="L30" s="34" t="n">
        <v>0.605</v>
      </c>
      <c r="M30" s="34" t="n">
        <v>0.665</v>
      </c>
      <c r="N30" s="34" t="n">
        <v>0.74</v>
      </c>
      <c r="O30" s="34" t="n">
        <v>0.59</v>
      </c>
      <c r="P30" s="34" t="n">
        <v>0.03</v>
      </c>
      <c r="Q30" s="34" t="n">
        <v>0.05</v>
      </c>
      <c r="R30" s="34" t="n">
        <v>0.09</v>
      </c>
      <c r="S30" s="34" t="n">
        <v>0.028</v>
      </c>
      <c r="T30" s="34" t="n">
        <v>0.06</v>
      </c>
      <c r="U30" s="34" t="n">
        <v>0.07</v>
      </c>
      <c r="V30" s="34" t="n">
        <v>0.12</v>
      </c>
      <c r="W30" s="34" t="n">
        <v>0.05</v>
      </c>
      <c r="X30" s="40" t="n">
        <v>39.8</v>
      </c>
      <c r="Y30" s="40" t="n">
        <v>25.9</v>
      </c>
      <c r="Z30" s="40" t="n">
        <v>61.7</v>
      </c>
      <c r="AA30" s="41" t="n">
        <v>82784</v>
      </c>
      <c r="AB30" s="41" t="n">
        <v>53810</v>
      </c>
      <c r="AC30" s="41" t="n">
        <v>128314</v>
      </c>
      <c r="AD30" s="42" t="n">
        <v>38.5</v>
      </c>
      <c r="AE30" s="42" t="n">
        <v>25</v>
      </c>
      <c r="AF30" s="42" t="n">
        <v>59.8</v>
      </c>
      <c r="AG30" s="41" t="n">
        <v>80200</v>
      </c>
      <c r="AH30" s="41" t="n">
        <v>52130</v>
      </c>
      <c r="AI30" s="41" t="n">
        <v>124380</v>
      </c>
      <c r="AJ30" s="42" t="n">
        <v>37.8</v>
      </c>
      <c r="AK30" s="42" t="n">
        <v>24.6</v>
      </c>
      <c r="AL30" s="42" t="n">
        <v>58.7</v>
      </c>
      <c r="AM30" s="41" t="n">
        <v>78624</v>
      </c>
      <c r="AN30" s="41" t="n">
        <v>51106</v>
      </c>
      <c r="AO30" s="41" t="n">
        <v>122016</v>
      </c>
      <c r="AP30" s="42" t="n">
        <v>40.5</v>
      </c>
      <c r="AQ30" s="42" t="n">
        <v>26.3</v>
      </c>
      <c r="AR30" s="42" t="n">
        <v>62.8</v>
      </c>
      <c r="AS30" s="41" t="n">
        <v>84240</v>
      </c>
      <c r="AT30" s="41" t="n">
        <v>54756</v>
      </c>
      <c r="AU30" s="41" t="n">
        <v>130572</v>
      </c>
      <c r="AV30" s="41" t="n">
        <v>922000000</v>
      </c>
      <c r="AW30" s="41" t="n">
        <v>194000000</v>
      </c>
      <c r="AX30" s="41" t="n">
        <v>20000000</v>
      </c>
      <c r="AY30" s="41" t="n">
        <v>708000000</v>
      </c>
      <c r="AZ30" s="41" t="n">
        <v>609000000</v>
      </c>
      <c r="BA30" s="41" t="n">
        <v>129000000</v>
      </c>
      <c r="BB30" s="41" t="n">
        <v>9000000</v>
      </c>
      <c r="BC30" s="41" t="n">
        <v>471000000</v>
      </c>
      <c r="BD30" s="23" t="n">
        <v>600000000</v>
      </c>
      <c r="BE30" s="23" t="n">
        <v>133000000</v>
      </c>
      <c r="BF30" s="23" t="n">
        <v>0</v>
      </c>
      <c r="BG30" s="23" t="n">
        <v>468000000</v>
      </c>
      <c r="BH30" s="23" t="n">
        <v>275000000</v>
      </c>
      <c r="BI30" s="23" t="n">
        <v>70000000</v>
      </c>
      <c r="BJ30" s="23" t="n">
        <v>0</v>
      </c>
      <c r="BK30" s="23" t="n">
        <v>205000000</v>
      </c>
      <c r="BL30" s="23" t="n">
        <v>50000000</v>
      </c>
      <c r="BM30" s="23" t="n">
        <v>11000000</v>
      </c>
      <c r="BN30" s="23" t="n">
        <v>0</v>
      </c>
      <c r="BO30" s="23" t="n">
        <v>39000000</v>
      </c>
    </row>
    <row r="31" customFormat="false" ht="12.8" hidden="false" customHeight="false" outlineLevel="0" collapsed="false">
      <c r="A31" s="7" t="n">
        <v>28</v>
      </c>
      <c r="B31" s="7" t="s">
        <v>137</v>
      </c>
      <c r="C31" s="7" t="s">
        <v>123</v>
      </c>
      <c r="D31" s="39" t="n">
        <v>53000</v>
      </c>
      <c r="E31" s="39" t="n">
        <v>11500</v>
      </c>
      <c r="F31" s="39" t="n">
        <v>3900</v>
      </c>
      <c r="G31" s="39" t="n">
        <v>37600</v>
      </c>
      <c r="H31" s="34" t="n">
        <v>0.97</v>
      </c>
      <c r="I31" s="34" t="n">
        <v>0.95</v>
      </c>
      <c r="J31" s="34" t="n">
        <v>0.91</v>
      </c>
      <c r="K31" s="34" t="n">
        <v>0.972</v>
      </c>
      <c r="L31" s="34" t="n">
        <v>0.575</v>
      </c>
      <c r="M31" s="34" t="n">
        <v>0.632</v>
      </c>
      <c r="N31" s="34" t="n">
        <v>0.703</v>
      </c>
      <c r="O31" s="34" t="n">
        <v>0.56</v>
      </c>
      <c r="P31" s="34" t="n">
        <v>0.03</v>
      </c>
      <c r="Q31" s="34" t="n">
        <v>0.05</v>
      </c>
      <c r="R31" s="34" t="n">
        <v>0.09</v>
      </c>
      <c r="S31" s="34" t="n">
        <v>0.028</v>
      </c>
      <c r="T31" s="34" t="n">
        <v>0.066</v>
      </c>
      <c r="U31" s="34" t="n">
        <v>0.077</v>
      </c>
      <c r="V31" s="34" t="n">
        <v>0.13</v>
      </c>
      <c r="W31" s="34" t="n">
        <v>0.055</v>
      </c>
      <c r="X31" s="40" t="n">
        <v>33.8</v>
      </c>
      <c r="Y31" s="40" t="n">
        <v>22</v>
      </c>
      <c r="Z31" s="40" t="n">
        <v>52.4</v>
      </c>
      <c r="AA31" s="41" t="n">
        <v>70304</v>
      </c>
      <c r="AB31" s="41" t="n">
        <v>45698</v>
      </c>
      <c r="AC31" s="41" t="n">
        <v>108992</v>
      </c>
      <c r="AD31" s="42" t="n">
        <v>32.7</v>
      </c>
      <c r="AE31" s="42" t="n">
        <v>21.3</v>
      </c>
      <c r="AF31" s="42" t="n">
        <v>50.8</v>
      </c>
      <c r="AG31" s="41" t="n">
        <v>68136</v>
      </c>
      <c r="AH31" s="41" t="n">
        <v>44288</v>
      </c>
      <c r="AI31" s="41" t="n">
        <v>105648</v>
      </c>
      <c r="AJ31" s="42" t="n">
        <v>31.1</v>
      </c>
      <c r="AK31" s="42" t="n">
        <v>20.2</v>
      </c>
      <c r="AL31" s="42" t="n">
        <v>48.2</v>
      </c>
      <c r="AM31" s="41" t="n">
        <v>64688</v>
      </c>
      <c r="AN31" s="41" t="n">
        <v>42047</v>
      </c>
      <c r="AO31" s="41" t="n">
        <v>100312</v>
      </c>
      <c r="AP31" s="42" t="n">
        <v>34.4</v>
      </c>
      <c r="AQ31" s="42" t="n">
        <v>22.4</v>
      </c>
      <c r="AR31" s="42" t="n">
        <v>53.3</v>
      </c>
      <c r="AS31" s="41" t="n">
        <v>71552</v>
      </c>
      <c r="AT31" s="41" t="n">
        <v>46509</v>
      </c>
      <c r="AU31" s="41" t="n">
        <v>110904</v>
      </c>
      <c r="AV31" s="41" t="n">
        <v>391000000</v>
      </c>
      <c r="AW31" s="41" t="n">
        <v>82000000</v>
      </c>
      <c r="AX31" s="41" t="n">
        <v>8000000</v>
      </c>
      <c r="AY31" s="41" t="n">
        <v>301000000</v>
      </c>
      <c r="AZ31" s="41" t="n">
        <v>258000000</v>
      </c>
      <c r="BA31" s="41" t="n">
        <v>55000000</v>
      </c>
      <c r="BB31" s="41" t="n">
        <v>4000000</v>
      </c>
      <c r="BC31" s="41" t="n">
        <v>200000000</v>
      </c>
      <c r="BD31" s="23" t="n">
        <v>300000000</v>
      </c>
      <c r="BE31" s="23" t="n">
        <v>66000000</v>
      </c>
      <c r="BF31" s="23" t="n">
        <v>0</v>
      </c>
      <c r="BG31" s="23" t="n">
        <v>233000000</v>
      </c>
      <c r="BH31" s="23" t="n">
        <v>137000000</v>
      </c>
      <c r="BI31" s="23" t="n">
        <v>35000000</v>
      </c>
      <c r="BJ31" s="23" t="n">
        <v>0</v>
      </c>
      <c r="BK31" s="23" t="n">
        <v>102000000</v>
      </c>
      <c r="BL31" s="23" t="n">
        <v>25000000</v>
      </c>
      <c r="BM31" s="23" t="n">
        <v>5000000</v>
      </c>
      <c r="BN31" s="23" t="n">
        <v>0</v>
      </c>
      <c r="BO31" s="23" t="n">
        <v>20000000</v>
      </c>
    </row>
    <row r="32" customFormat="false" ht="12.8" hidden="false" customHeight="false" outlineLevel="0" collapsed="false">
      <c r="A32" s="7" t="n">
        <v>29</v>
      </c>
      <c r="B32" s="7" t="s">
        <v>162</v>
      </c>
      <c r="C32" s="7" t="s">
        <v>122</v>
      </c>
      <c r="D32" s="39" t="n">
        <v>780000</v>
      </c>
      <c r="E32" s="39" t="n">
        <v>173160</v>
      </c>
      <c r="F32" s="39" t="n">
        <v>56940</v>
      </c>
      <c r="G32" s="39" t="n">
        <v>549900</v>
      </c>
      <c r="H32" s="34" t="n">
        <v>0.975</v>
      </c>
      <c r="I32" s="34" t="n">
        <v>0.96</v>
      </c>
      <c r="J32" s="34" t="n">
        <v>0.94</v>
      </c>
      <c r="K32" s="34" t="n">
        <v>0.98</v>
      </c>
      <c r="L32" s="34" t="n">
        <v>0.575</v>
      </c>
      <c r="M32" s="34" t="n">
        <v>0.625</v>
      </c>
      <c r="N32" s="34" t="n">
        <v>0.684</v>
      </c>
      <c r="O32" s="34" t="n">
        <v>0.56</v>
      </c>
      <c r="P32" s="34" t="n">
        <v>0.025</v>
      </c>
      <c r="Q32" s="34" t="n">
        <v>0.04</v>
      </c>
      <c r="R32" s="34" t="n">
        <v>0.06</v>
      </c>
      <c r="S32" s="34" t="n">
        <v>0.02</v>
      </c>
      <c r="T32" s="34" t="n">
        <v>0.05</v>
      </c>
      <c r="U32" s="34" t="n">
        <v>0.055</v>
      </c>
      <c r="V32" s="34" t="n">
        <v>0.07</v>
      </c>
      <c r="W32" s="34" t="n">
        <v>0.045</v>
      </c>
      <c r="X32" s="40" t="n">
        <v>33.8</v>
      </c>
      <c r="Y32" s="40" t="n">
        <v>22</v>
      </c>
      <c r="Z32" s="40" t="n">
        <v>52.4</v>
      </c>
      <c r="AA32" s="41" t="n">
        <v>70304</v>
      </c>
      <c r="AB32" s="41" t="n">
        <v>45698</v>
      </c>
      <c r="AC32" s="41" t="n">
        <v>108972</v>
      </c>
      <c r="AD32" s="42" t="n">
        <v>32.8</v>
      </c>
      <c r="AE32" s="42" t="n">
        <v>21.3</v>
      </c>
      <c r="AF32" s="42" t="n">
        <v>50.8</v>
      </c>
      <c r="AG32" s="41" t="n">
        <v>68384</v>
      </c>
      <c r="AH32" s="41" t="n">
        <v>44450</v>
      </c>
      <c r="AI32" s="41" t="n">
        <v>106152</v>
      </c>
      <c r="AJ32" s="42" t="n">
        <v>32.2</v>
      </c>
      <c r="AK32" s="42" t="n">
        <v>20.9</v>
      </c>
      <c r="AL32" s="42" t="n">
        <v>49.8</v>
      </c>
      <c r="AM32" s="41" t="n">
        <v>66976</v>
      </c>
      <c r="AN32" s="41" t="n">
        <v>43534</v>
      </c>
      <c r="AO32" s="41" t="n">
        <v>103904</v>
      </c>
      <c r="AP32" s="42" t="n">
        <v>34.4</v>
      </c>
      <c r="AQ32" s="42" t="n">
        <v>22.4</v>
      </c>
      <c r="AR32" s="42" t="n">
        <v>53.3</v>
      </c>
      <c r="AS32" s="41" t="n">
        <v>71552</v>
      </c>
      <c r="AT32" s="41" t="n">
        <v>46509</v>
      </c>
      <c r="AU32" s="41" t="n">
        <v>110904</v>
      </c>
      <c r="AV32" s="41" t="n">
        <v>4200000000</v>
      </c>
      <c r="AW32" s="41" t="n">
        <v>884000000</v>
      </c>
      <c r="AX32" s="41" t="n">
        <v>90000000</v>
      </c>
      <c r="AY32" s="41" t="n">
        <v>3226000000</v>
      </c>
      <c r="AZ32" s="41" t="n">
        <v>2550000000</v>
      </c>
      <c r="BA32" s="41" t="n">
        <v>541000000</v>
      </c>
      <c r="BB32" s="41" t="n">
        <v>37000000</v>
      </c>
      <c r="BC32" s="41" t="n">
        <v>1972000000</v>
      </c>
      <c r="BD32" s="23" t="n">
        <v>2980000000</v>
      </c>
      <c r="BE32" s="23" t="n">
        <v>659000000</v>
      </c>
      <c r="BF32" s="23" t="n">
        <v>0</v>
      </c>
      <c r="BG32" s="23" t="n">
        <v>2319000000</v>
      </c>
      <c r="BH32" s="23" t="n">
        <v>1060000000</v>
      </c>
      <c r="BI32" s="23" t="n">
        <v>270000000</v>
      </c>
      <c r="BJ32" s="23" t="n">
        <v>0</v>
      </c>
      <c r="BK32" s="23" t="n">
        <v>790000000</v>
      </c>
      <c r="BL32" s="23" t="n">
        <v>260000000</v>
      </c>
      <c r="BM32" s="23" t="n">
        <v>56000000</v>
      </c>
      <c r="BN32" s="23" t="n">
        <v>0</v>
      </c>
      <c r="BO32" s="23" t="n">
        <v>204000000</v>
      </c>
    </row>
    <row r="33" customFormat="false" ht="12.8" hidden="false" customHeight="false" outlineLevel="0" collapsed="false">
      <c r="A33" s="7" t="n">
        <v>30</v>
      </c>
      <c r="B33" s="7" t="s">
        <v>162</v>
      </c>
      <c r="C33" s="7" t="s">
        <v>123</v>
      </c>
      <c r="D33" s="39" t="n">
        <v>390000</v>
      </c>
      <c r="E33" s="39" t="n">
        <v>86580</v>
      </c>
      <c r="F33" s="39" t="n">
        <v>28470</v>
      </c>
      <c r="G33" s="39" t="n">
        <v>274950</v>
      </c>
      <c r="H33" s="34" t="n">
        <v>0.975</v>
      </c>
      <c r="I33" s="34" t="n">
        <v>0.96</v>
      </c>
      <c r="J33" s="34" t="n">
        <v>0.94</v>
      </c>
      <c r="K33" s="34" t="n">
        <v>0.975</v>
      </c>
      <c r="L33" s="34" t="n">
        <v>0.546</v>
      </c>
      <c r="M33" s="34" t="n">
        <v>0.594</v>
      </c>
      <c r="N33" s="34" t="n">
        <v>0.65</v>
      </c>
      <c r="O33" s="34" t="n">
        <v>0.532</v>
      </c>
      <c r="P33" s="34" t="n">
        <v>0.025</v>
      </c>
      <c r="Q33" s="34" t="n">
        <v>0.04</v>
      </c>
      <c r="R33" s="34" t="n">
        <v>0.06</v>
      </c>
      <c r="S33" s="34" t="n">
        <v>0.02</v>
      </c>
      <c r="T33" s="34" t="n">
        <v>0.055</v>
      </c>
      <c r="U33" s="34" t="n">
        <v>0.061</v>
      </c>
      <c r="V33" s="34" t="n">
        <v>0.077</v>
      </c>
      <c r="W33" s="34" t="n">
        <v>0.05</v>
      </c>
      <c r="X33" s="40" t="n">
        <v>28.7</v>
      </c>
      <c r="Y33" s="40" t="n">
        <v>18.7</v>
      </c>
      <c r="Z33" s="40" t="n">
        <v>44.5</v>
      </c>
      <c r="AA33" s="41" t="n">
        <v>59696</v>
      </c>
      <c r="AB33" s="41" t="n">
        <v>38802</v>
      </c>
      <c r="AC33" s="41" t="n">
        <v>92588</v>
      </c>
      <c r="AD33" s="42" t="n">
        <v>27.9</v>
      </c>
      <c r="AE33" s="42" t="n">
        <v>18.1</v>
      </c>
      <c r="AF33" s="42" t="n">
        <v>43.3</v>
      </c>
      <c r="AG33" s="41" t="n">
        <v>58112</v>
      </c>
      <c r="AH33" s="41" t="n">
        <v>37773</v>
      </c>
      <c r="AI33" s="41" t="n">
        <v>90138</v>
      </c>
      <c r="AJ33" s="42" t="n">
        <v>27.4</v>
      </c>
      <c r="AK33" s="42" t="n">
        <v>17.8</v>
      </c>
      <c r="AL33" s="42" t="n">
        <v>42.5</v>
      </c>
      <c r="AM33" s="41" t="n">
        <v>57008</v>
      </c>
      <c r="AN33" s="41" t="n">
        <v>37055</v>
      </c>
      <c r="AO33" s="41" t="n">
        <v>88488</v>
      </c>
      <c r="AP33" s="42" t="n">
        <v>29.2</v>
      </c>
      <c r="AQ33" s="42" t="n">
        <v>19</v>
      </c>
      <c r="AR33" s="42" t="n">
        <v>45.3</v>
      </c>
      <c r="AS33" s="41" t="n">
        <v>60736</v>
      </c>
      <c r="AT33" s="41" t="n">
        <v>39478</v>
      </c>
      <c r="AU33" s="41" t="n">
        <v>94144</v>
      </c>
      <c r="AV33" s="41" t="n">
        <v>1780000000</v>
      </c>
      <c r="AW33" s="41" t="n">
        <v>375000000</v>
      </c>
      <c r="AX33" s="41" t="n">
        <v>38000000</v>
      </c>
      <c r="AY33" s="41" t="n">
        <v>1367000000</v>
      </c>
      <c r="AZ33" s="41" t="n">
        <v>1080000000</v>
      </c>
      <c r="BA33" s="41" t="n">
        <v>229000000</v>
      </c>
      <c r="BB33" s="41" t="n">
        <v>16000000</v>
      </c>
      <c r="BC33" s="41" t="n">
        <v>833000000</v>
      </c>
      <c r="BD33" s="23" t="n">
        <v>1490000000</v>
      </c>
      <c r="BE33" s="23" t="n">
        <v>330000000</v>
      </c>
      <c r="BF33" s="23" t="n">
        <v>0</v>
      </c>
      <c r="BG33" s="23" t="n">
        <v>1160000000</v>
      </c>
      <c r="BH33" s="23" t="n">
        <v>530000000</v>
      </c>
      <c r="BI33" s="23" t="n">
        <v>135000000</v>
      </c>
      <c r="BJ33" s="23" t="n">
        <v>0</v>
      </c>
      <c r="BK33" s="23" t="n">
        <v>395000000</v>
      </c>
      <c r="BL33" s="23" t="n">
        <v>130000000</v>
      </c>
      <c r="BM33" s="23" t="n">
        <v>28000000</v>
      </c>
      <c r="BN33" s="23" t="n">
        <v>0</v>
      </c>
      <c r="BO33" s="23" t="n">
        <v>102000000</v>
      </c>
    </row>
    <row r="34" customFormat="false" ht="12.8" hidden="false" customHeight="false" outlineLevel="0" collapsed="false">
      <c r="A34" s="7" t="n">
        <v>31</v>
      </c>
      <c r="B34" s="7" t="s">
        <v>163</v>
      </c>
      <c r="C34" s="7" t="s">
        <v>122</v>
      </c>
      <c r="D34" s="39" t="n">
        <v>787500</v>
      </c>
      <c r="E34" s="39" t="n">
        <v>35440</v>
      </c>
      <c r="F34" s="39" t="n">
        <v>35440</v>
      </c>
      <c r="G34" s="39" t="n">
        <v>716620</v>
      </c>
      <c r="H34" s="34" t="n">
        <v>0.965</v>
      </c>
      <c r="I34" s="34" t="n">
        <v>0.95</v>
      </c>
      <c r="J34" s="34" t="n">
        <v>0.9</v>
      </c>
      <c r="K34" s="34" t="n">
        <v>0.965</v>
      </c>
      <c r="L34" s="34" t="n">
        <v>0.68</v>
      </c>
      <c r="M34" s="34" t="n">
        <v>0.72</v>
      </c>
      <c r="N34" s="34" t="n">
        <v>0.75</v>
      </c>
      <c r="O34" s="34" t="n">
        <v>0.68</v>
      </c>
      <c r="P34" s="34" t="n">
        <v>0.035</v>
      </c>
      <c r="Q34" s="34" t="n">
        <v>0.045</v>
      </c>
      <c r="R34" s="34" t="n">
        <v>0.06</v>
      </c>
      <c r="S34" s="34" t="n">
        <v>0.035</v>
      </c>
      <c r="T34" s="34" t="n">
        <v>0.11</v>
      </c>
      <c r="U34" s="34" t="n">
        <v>0.127</v>
      </c>
      <c r="V34" s="34" t="n">
        <v>0.145</v>
      </c>
      <c r="W34" s="34" t="n">
        <v>0.108</v>
      </c>
      <c r="X34" s="40" t="n">
        <v>25</v>
      </c>
      <c r="Y34" s="40" t="n">
        <v>16.3</v>
      </c>
      <c r="Z34" s="40" t="n">
        <v>38.8</v>
      </c>
      <c r="AA34" s="41" t="n">
        <v>52000</v>
      </c>
      <c r="AB34" s="41" t="n">
        <v>33800</v>
      </c>
      <c r="AC34" s="41" t="n">
        <v>80600</v>
      </c>
      <c r="AD34" s="42" t="n">
        <v>24.2</v>
      </c>
      <c r="AE34" s="42" t="n">
        <v>15.7</v>
      </c>
      <c r="AF34" s="42" t="n">
        <v>37.5</v>
      </c>
      <c r="AG34" s="41" t="n">
        <v>50336</v>
      </c>
      <c r="AH34" s="41" t="n">
        <v>32718</v>
      </c>
      <c r="AI34" s="41" t="n">
        <v>78080</v>
      </c>
      <c r="AJ34" s="42" t="n">
        <v>22.5</v>
      </c>
      <c r="AK34" s="42" t="n">
        <v>14.6</v>
      </c>
      <c r="AL34" s="42" t="n">
        <v>34.9</v>
      </c>
      <c r="AM34" s="41" t="n">
        <v>46800</v>
      </c>
      <c r="AN34" s="41" t="n">
        <v>30420</v>
      </c>
      <c r="AO34" s="41" t="n">
        <v>72528</v>
      </c>
      <c r="AP34" s="42" t="n">
        <v>25.4</v>
      </c>
      <c r="AQ34" s="42" t="n">
        <v>16.5</v>
      </c>
      <c r="AR34" s="42" t="n">
        <v>39.4</v>
      </c>
      <c r="AS34" s="41" t="n">
        <v>52832</v>
      </c>
      <c r="AT34" s="41" t="n">
        <v>34341</v>
      </c>
      <c r="AU34" s="41" t="n">
        <v>81968</v>
      </c>
      <c r="AV34" s="41" t="n">
        <v>8750000000</v>
      </c>
      <c r="AW34" s="41" t="n">
        <v>350000000</v>
      </c>
      <c r="AX34" s="41" t="n">
        <v>350000000</v>
      </c>
      <c r="AY34" s="41" t="n">
        <v>8050000000</v>
      </c>
      <c r="AZ34" s="41" t="n">
        <v>4550000000</v>
      </c>
      <c r="BA34" s="41" t="n">
        <v>175000000</v>
      </c>
      <c r="BB34" s="41" t="n">
        <v>175000000</v>
      </c>
      <c r="BC34" s="41" t="n">
        <v>4200000000</v>
      </c>
      <c r="BD34" s="23" t="n">
        <v>9800000000</v>
      </c>
      <c r="BE34" s="23" t="n">
        <v>3900000000</v>
      </c>
      <c r="BF34" s="23" t="n">
        <v>0</v>
      </c>
      <c r="BG34" s="23" t="n">
        <v>9410000000</v>
      </c>
      <c r="BH34" s="23" t="n">
        <v>7800000000</v>
      </c>
      <c r="BI34" s="23" t="n">
        <v>1950000000</v>
      </c>
      <c r="BJ34" s="23" t="n">
        <v>0</v>
      </c>
      <c r="BK34" s="23" t="n">
        <v>5850000000</v>
      </c>
      <c r="BL34" s="23" t="n">
        <v>1200000000</v>
      </c>
      <c r="BM34" s="23" t="n">
        <v>300000000</v>
      </c>
      <c r="BN34" s="23" t="n">
        <v>0</v>
      </c>
      <c r="BO34" s="23" t="n">
        <v>900000000</v>
      </c>
    </row>
    <row r="35" customFormat="false" ht="12.8" hidden="false" customHeight="false" outlineLevel="0" collapsed="false">
      <c r="A35" s="7" t="n">
        <v>32</v>
      </c>
      <c r="B35" s="7" t="s">
        <v>163</v>
      </c>
      <c r="C35" s="7" t="s">
        <v>123</v>
      </c>
      <c r="D35" s="39" t="n">
        <v>87500</v>
      </c>
      <c r="E35" s="39" t="n">
        <v>3940</v>
      </c>
      <c r="F35" s="39" t="n">
        <v>3940</v>
      </c>
      <c r="G35" s="39" t="n">
        <v>79620</v>
      </c>
      <c r="H35" s="34" t="n">
        <v>0.965</v>
      </c>
      <c r="I35" s="34" t="n">
        <v>0.95</v>
      </c>
      <c r="J35" s="34" t="n">
        <v>0.9</v>
      </c>
      <c r="K35" s="34" t="n">
        <v>0.965</v>
      </c>
      <c r="L35" s="34" t="n">
        <v>0.646</v>
      </c>
      <c r="M35" s="34" t="n">
        <v>0.684</v>
      </c>
      <c r="N35" s="34" t="n">
        <v>0.713</v>
      </c>
      <c r="O35" s="34" t="n">
        <v>0.646</v>
      </c>
      <c r="P35" s="34" t="n">
        <v>0.035</v>
      </c>
      <c r="Q35" s="34" t="n">
        <v>0.045</v>
      </c>
      <c r="R35" s="34" t="n">
        <v>0.06</v>
      </c>
      <c r="S35" s="34" t="n">
        <v>0.035</v>
      </c>
      <c r="T35" s="34" t="n">
        <v>0.121</v>
      </c>
      <c r="U35" s="34" t="n">
        <v>0.14</v>
      </c>
      <c r="V35" s="34" t="n">
        <v>0.16</v>
      </c>
      <c r="W35" s="34" t="n">
        <v>0.119</v>
      </c>
      <c r="X35" s="40" t="n">
        <v>21.3</v>
      </c>
      <c r="Y35" s="40" t="n">
        <v>13.8</v>
      </c>
      <c r="Z35" s="40" t="n">
        <v>33</v>
      </c>
      <c r="AA35" s="41" t="n">
        <v>44288</v>
      </c>
      <c r="AB35" s="41" t="n">
        <v>28787</v>
      </c>
      <c r="AC35" s="41" t="n">
        <v>68664</v>
      </c>
      <c r="AD35" s="42" t="n">
        <v>20.6</v>
      </c>
      <c r="AE35" s="42" t="n">
        <v>13.4</v>
      </c>
      <c r="AF35" s="42" t="n">
        <v>31.9</v>
      </c>
      <c r="AG35" s="41" t="n">
        <v>42928</v>
      </c>
      <c r="AH35" s="41" t="n">
        <v>27903</v>
      </c>
      <c r="AI35" s="41" t="n">
        <v>66592</v>
      </c>
      <c r="AJ35" s="42" t="n">
        <v>19.1</v>
      </c>
      <c r="AK35" s="42" t="n">
        <v>12.4</v>
      </c>
      <c r="AL35" s="42" t="n">
        <v>29.7</v>
      </c>
      <c r="AM35" s="41" t="n">
        <v>39728</v>
      </c>
      <c r="AN35" s="41" t="n">
        <v>25823</v>
      </c>
      <c r="AO35" s="41" t="n">
        <v>61632</v>
      </c>
      <c r="AP35" s="42" t="n">
        <v>21.6</v>
      </c>
      <c r="AQ35" s="42" t="n">
        <v>14</v>
      </c>
      <c r="AR35" s="42" t="n">
        <v>34.5</v>
      </c>
      <c r="AS35" s="41" t="n">
        <v>44928</v>
      </c>
      <c r="AT35" s="41" t="n">
        <v>29203</v>
      </c>
      <c r="AU35" s="41" t="n">
        <v>69744</v>
      </c>
      <c r="AV35" s="41" t="n">
        <v>970000000</v>
      </c>
      <c r="AW35" s="41" t="n">
        <v>39000000</v>
      </c>
      <c r="AX35" s="41" t="n">
        <v>39000000</v>
      </c>
      <c r="AY35" s="41" t="n">
        <v>892000000</v>
      </c>
      <c r="AZ35" s="41" t="n">
        <v>505000000</v>
      </c>
      <c r="BA35" s="41" t="n">
        <v>19500000</v>
      </c>
      <c r="BB35" s="41" t="n">
        <v>19500000</v>
      </c>
      <c r="BC35" s="41" t="n">
        <v>466000000</v>
      </c>
      <c r="BD35" s="23" t="n">
        <v>1090000000</v>
      </c>
      <c r="BE35" s="23" t="n">
        <v>435000000</v>
      </c>
      <c r="BF35" s="23" t="n">
        <v>0</v>
      </c>
      <c r="BG35" s="23" t="n">
        <v>1045000000</v>
      </c>
      <c r="BH35" s="23" t="n">
        <v>865000000</v>
      </c>
      <c r="BI35" s="23" t="n">
        <v>216000000</v>
      </c>
      <c r="BJ35" s="23" t="n">
        <v>0</v>
      </c>
      <c r="BK35" s="23" t="n">
        <v>649000000</v>
      </c>
      <c r="BL35" s="23" t="n">
        <v>133000000</v>
      </c>
      <c r="BM35" s="23" t="n">
        <v>33000000</v>
      </c>
      <c r="BN35" s="23" t="n">
        <v>0</v>
      </c>
      <c r="BO35" s="23" t="n">
        <v>100000000</v>
      </c>
    </row>
    <row r="36" customFormat="false" ht="12.8" hidden="false" customHeight="false" outlineLevel="0" collapsed="false">
      <c r="A36" s="7" t="n">
        <v>33</v>
      </c>
      <c r="B36" s="7" t="s">
        <v>132</v>
      </c>
      <c r="C36" s="7" t="s">
        <v>122</v>
      </c>
      <c r="D36" s="39" t="n">
        <v>255000</v>
      </c>
      <c r="E36" s="39" t="n">
        <v>55000</v>
      </c>
      <c r="F36" s="39" t="n">
        <v>19000</v>
      </c>
      <c r="G36" s="39" t="n">
        <v>181000</v>
      </c>
      <c r="H36" s="34" t="n">
        <v>0.963</v>
      </c>
      <c r="I36" s="34" t="n">
        <v>0.93</v>
      </c>
      <c r="J36" s="34" t="n">
        <v>0.88</v>
      </c>
      <c r="K36" s="34" t="n">
        <v>0.966</v>
      </c>
      <c r="L36" s="34" t="n">
        <v>0.58</v>
      </c>
      <c r="M36" s="34" t="n">
        <v>0.64</v>
      </c>
      <c r="N36" s="34" t="n">
        <v>0.71</v>
      </c>
      <c r="O36" s="34" t="n">
        <v>0.57</v>
      </c>
      <c r="P36" s="34" t="n">
        <v>0.037</v>
      </c>
      <c r="Q36" s="34" t="n">
        <v>0.07</v>
      </c>
      <c r="R36" s="34" t="n">
        <v>0.12</v>
      </c>
      <c r="S36" s="34" t="n">
        <v>0.034</v>
      </c>
      <c r="T36" s="34" t="n">
        <v>0.08</v>
      </c>
      <c r="U36" s="34" t="n">
        <v>0.095</v>
      </c>
      <c r="V36" s="34" t="n">
        <v>0.17</v>
      </c>
      <c r="W36" s="34" t="n">
        <v>0.073</v>
      </c>
      <c r="X36" s="40" t="n">
        <v>20.6</v>
      </c>
      <c r="Y36" s="40" t="n">
        <v>13.4</v>
      </c>
      <c r="Z36" s="40" t="n">
        <v>31.9</v>
      </c>
      <c r="AA36" s="41" t="n">
        <v>42848</v>
      </c>
      <c r="AB36" s="41" t="n">
        <v>27851</v>
      </c>
      <c r="AC36" s="41" t="n">
        <v>66384</v>
      </c>
      <c r="AD36" s="42" t="n">
        <v>20</v>
      </c>
      <c r="AE36" s="42" t="n">
        <v>13</v>
      </c>
      <c r="AF36" s="42" t="n">
        <v>30.9</v>
      </c>
      <c r="AG36" s="41" t="n">
        <v>41600</v>
      </c>
      <c r="AH36" s="41" t="n">
        <v>27040</v>
      </c>
      <c r="AI36" s="41" t="n">
        <v>66240</v>
      </c>
      <c r="AJ36" s="42" t="n">
        <v>17.5</v>
      </c>
      <c r="AK36" s="42" t="n">
        <v>11.4</v>
      </c>
      <c r="AL36" s="42" t="n">
        <v>27.1</v>
      </c>
      <c r="AM36" s="41" t="n">
        <v>36400</v>
      </c>
      <c r="AN36" s="41" t="n">
        <v>23660</v>
      </c>
      <c r="AO36" s="41" t="n">
        <v>56380</v>
      </c>
      <c r="AP36" s="42" t="n">
        <v>21</v>
      </c>
      <c r="AQ36" s="42" t="n">
        <v>13.7</v>
      </c>
      <c r="AR36" s="42" t="n">
        <v>32.6</v>
      </c>
      <c r="AS36" s="41" t="n">
        <v>43680</v>
      </c>
      <c r="AT36" s="41" t="n">
        <v>28392</v>
      </c>
      <c r="AU36" s="41" t="n">
        <v>67728</v>
      </c>
      <c r="AV36" s="41" t="n">
        <v>951000000</v>
      </c>
      <c r="AW36" s="41" t="n">
        <v>201000000</v>
      </c>
      <c r="AX36" s="41" t="n">
        <v>18000000</v>
      </c>
      <c r="AY36" s="41" t="n">
        <v>732000000</v>
      </c>
      <c r="AZ36" s="41" t="n">
        <v>761000000</v>
      </c>
      <c r="BA36" s="41" t="n">
        <v>162000000</v>
      </c>
      <c r="BB36" s="41" t="n">
        <v>10000000</v>
      </c>
      <c r="BC36" s="41" t="n">
        <v>589000000</v>
      </c>
      <c r="BD36" s="23" t="n">
        <v>1446000000</v>
      </c>
      <c r="BE36" s="23" t="n">
        <v>320000000</v>
      </c>
      <c r="BF36" s="23" t="n">
        <v>0</v>
      </c>
      <c r="BG36" s="23" t="n">
        <v>1126000000</v>
      </c>
      <c r="BH36" s="23" t="n">
        <v>663000000</v>
      </c>
      <c r="BI36" s="23" t="n">
        <v>169000000</v>
      </c>
      <c r="BJ36" s="23" t="n">
        <v>0</v>
      </c>
      <c r="BK36" s="23" t="n">
        <v>494000000</v>
      </c>
      <c r="BL36" s="23" t="n">
        <v>92000000</v>
      </c>
      <c r="BM36" s="23" t="n">
        <v>20000000</v>
      </c>
      <c r="BN36" s="23" t="n">
        <v>0</v>
      </c>
      <c r="BO36" s="23" t="n">
        <v>72000000</v>
      </c>
    </row>
    <row r="37" customFormat="false" ht="12.8" hidden="false" customHeight="false" outlineLevel="0" collapsed="false">
      <c r="A37" s="7" t="n">
        <v>34</v>
      </c>
      <c r="B37" s="7" t="s">
        <v>132</v>
      </c>
      <c r="C37" s="7" t="s">
        <v>123</v>
      </c>
      <c r="D37" s="39" t="n">
        <v>127500</v>
      </c>
      <c r="E37" s="39" t="n">
        <v>27500</v>
      </c>
      <c r="F37" s="39" t="n">
        <v>9500</v>
      </c>
      <c r="G37" s="39" t="n">
        <v>90500</v>
      </c>
      <c r="H37" s="34" t="n">
        <v>0.963</v>
      </c>
      <c r="I37" s="34" t="n">
        <v>0.93</v>
      </c>
      <c r="J37" s="34" t="n">
        <v>0.88</v>
      </c>
      <c r="K37" s="34" t="n">
        <v>0.966</v>
      </c>
      <c r="L37" s="34" t="n">
        <v>0.551</v>
      </c>
      <c r="M37" s="34" t="n">
        <v>0.608</v>
      </c>
      <c r="N37" s="34" t="n">
        <v>0.674</v>
      </c>
      <c r="O37" s="34" t="n">
        <v>0.542</v>
      </c>
      <c r="P37" s="34" t="n">
        <v>0.037</v>
      </c>
      <c r="Q37" s="34" t="n">
        <v>0.07</v>
      </c>
      <c r="R37" s="34" t="n">
        <v>0.12</v>
      </c>
      <c r="S37" s="34" t="n">
        <v>0.034</v>
      </c>
      <c r="T37" s="34" t="n">
        <v>0.088</v>
      </c>
      <c r="U37" s="34" t="n">
        <v>0.104</v>
      </c>
      <c r="V37" s="34" t="n">
        <v>0.18</v>
      </c>
      <c r="W37" s="34" t="n">
        <v>0.08</v>
      </c>
      <c r="X37" s="40" t="n">
        <v>17.5</v>
      </c>
      <c r="Y37" s="40" t="n">
        <v>11.4</v>
      </c>
      <c r="Z37" s="40" t="n">
        <v>27.1</v>
      </c>
      <c r="AA37" s="41" t="n">
        <v>36400</v>
      </c>
      <c r="AB37" s="41" t="n">
        <v>23660</v>
      </c>
      <c r="AC37" s="41" t="n">
        <v>56380</v>
      </c>
      <c r="AD37" s="42" t="n">
        <v>17</v>
      </c>
      <c r="AE37" s="42" t="n">
        <v>11.1</v>
      </c>
      <c r="AF37" s="42" t="n">
        <v>26.4</v>
      </c>
      <c r="AG37" s="41" t="n">
        <v>35440</v>
      </c>
      <c r="AH37" s="41" t="n">
        <v>23036</v>
      </c>
      <c r="AI37" s="41" t="n">
        <v>54984</v>
      </c>
      <c r="AJ37" s="42" t="n">
        <v>14.9</v>
      </c>
      <c r="AK37" s="42" t="n">
        <v>9.7</v>
      </c>
      <c r="AL37" s="42" t="n">
        <v>23.1</v>
      </c>
      <c r="AM37" s="41" t="n">
        <v>30992</v>
      </c>
      <c r="AN37" s="41" t="n">
        <v>20145</v>
      </c>
      <c r="AO37" s="41" t="n">
        <v>48036</v>
      </c>
      <c r="AP37" s="42" t="n">
        <v>17.9</v>
      </c>
      <c r="AQ37" s="42" t="n">
        <v>11.6</v>
      </c>
      <c r="AR37" s="42" t="n">
        <v>27.7</v>
      </c>
      <c r="AS37" s="41" t="n">
        <v>37232</v>
      </c>
      <c r="AT37" s="41" t="n">
        <v>24199</v>
      </c>
      <c r="AU37" s="41" t="n">
        <v>57728</v>
      </c>
      <c r="AV37" s="41" t="n">
        <v>404000000</v>
      </c>
      <c r="AW37" s="41" t="n">
        <v>85000000</v>
      </c>
      <c r="AX37" s="41" t="n">
        <v>8000000</v>
      </c>
      <c r="AY37" s="41" t="n">
        <v>311000000</v>
      </c>
      <c r="AZ37" s="41" t="n">
        <v>323000000</v>
      </c>
      <c r="BA37" s="41" t="n">
        <v>69000000</v>
      </c>
      <c r="BB37" s="41" t="n">
        <v>4000000</v>
      </c>
      <c r="BC37" s="41" t="n">
        <v>250000000</v>
      </c>
      <c r="BD37" s="23" t="n">
        <v>722000000</v>
      </c>
      <c r="BE37" s="23" t="n">
        <v>160000000</v>
      </c>
      <c r="BF37" s="23" t="n">
        <v>0</v>
      </c>
      <c r="BG37" s="23" t="n">
        <v>562000000</v>
      </c>
      <c r="BH37" s="23" t="n">
        <v>331000000</v>
      </c>
      <c r="BI37" s="23" t="n">
        <v>84000000</v>
      </c>
      <c r="BJ37" s="23" t="n">
        <v>0</v>
      </c>
      <c r="BK37" s="23" t="n">
        <v>247000000</v>
      </c>
      <c r="BL37" s="23" t="n">
        <v>46000000</v>
      </c>
      <c r="BM37" s="23" t="n">
        <v>10000000</v>
      </c>
      <c r="BN37" s="23" t="n">
        <v>0</v>
      </c>
      <c r="BO37" s="23" t="n">
        <v>36000000</v>
      </c>
    </row>
    <row r="38" customFormat="false" ht="12.8" hidden="false" customHeight="false" outlineLevel="0" collapsed="false">
      <c r="A38" s="11"/>
      <c r="B38" s="11"/>
      <c r="C38" s="11"/>
      <c r="D38" s="11"/>
      <c r="E38" s="11"/>
      <c r="F38" s="11"/>
      <c r="G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row>
    <row r="39" customFormat="false" ht="12.8" hidden="false" customHeight="false" outlineLevel="0" collapsed="false">
      <c r="A39" s="5" t="s">
        <v>176</v>
      </c>
      <c r="B39" s="24" t="s">
        <v>175</v>
      </c>
      <c r="C39" s="25" t="s">
        <v>139</v>
      </c>
    </row>
    <row r="40" customFormat="false" ht="35.05" hidden="false" customHeight="false" outlineLevel="0" collapsed="false">
      <c r="A40" s="5" t="s">
        <v>26</v>
      </c>
      <c r="B40" s="26" t="s">
        <v>140</v>
      </c>
      <c r="C40" s="26" t="str">
        <f aca="false">D2</f>
        <v>Labor Force Population</v>
      </c>
      <c r="D40" s="26" t="str">
        <f aca="false">E2</f>
        <v>Authorized Labor Force Population</v>
      </c>
      <c r="E40" s="26" t="str">
        <f aca="false">F2</f>
        <v>Unauthorized Labor Force Population</v>
      </c>
      <c r="F40" s="26" t="str">
        <f aca="false">G2</f>
        <v>American Labor Force Population</v>
      </c>
    </row>
    <row r="41" customFormat="false" ht="12.8" hidden="false" customHeight="false" outlineLevel="0" collapsed="false">
      <c r="A41" s="7" t="str">
        <f aca="false">_xlfn.CONCAT($A$39, ".", $A3)</f>
        <v>FL.0.0</v>
      </c>
      <c r="B41" s="7" t="str">
        <f aca="false">_xlfn.CONCAT(B3, ": ", C3)</f>
        <v>All Industries: All Roles</v>
      </c>
      <c r="C41" s="19" t="n">
        <f aca="false">D3</f>
        <v>11850000</v>
      </c>
      <c r="D41" s="19" t="n">
        <f aca="false">E3</f>
        <v>2558700</v>
      </c>
      <c r="E41" s="19" t="n">
        <f aca="false">F3</f>
        <v>865050</v>
      </c>
      <c r="F41" s="19" t="n">
        <f aca="false">G3</f>
        <v>8432250</v>
      </c>
    </row>
    <row r="42" customFormat="false" ht="12.8" hidden="false" customHeight="false" outlineLevel="0" collapsed="false">
      <c r="A42" s="7" t="str">
        <f aca="false">_xlfn.CONCAT($A$39, ".", $A4)</f>
        <v>FL.0.1</v>
      </c>
      <c r="B42" s="7" t="str">
        <f aca="false">_xlfn.CONCAT(B4, ": ", C4)</f>
        <v>Agriculture: Worker</v>
      </c>
      <c r="C42" s="19" t="n">
        <f aca="false">D4</f>
        <v>57000</v>
      </c>
      <c r="D42" s="19" t="n">
        <f aca="false">E4</f>
        <v>12300</v>
      </c>
      <c r="E42" s="19" t="n">
        <f aca="false">F4</f>
        <v>4200</v>
      </c>
      <c r="F42" s="19" t="n">
        <f aca="false">G4</f>
        <v>40500</v>
      </c>
    </row>
    <row r="43" customFormat="false" ht="12.8" hidden="false" customHeight="false" outlineLevel="0" collapsed="false">
      <c r="A43" s="7" t="str">
        <f aca="false">_xlfn.CONCAT($A$39, ".", $A5)</f>
        <v>FL.0.2</v>
      </c>
      <c r="B43" s="7" t="str">
        <f aca="false">_xlfn.CONCAT(B5, ": ", C5)</f>
        <v>Agriculture: Support</v>
      </c>
      <c r="C43" s="19" t="n">
        <f aca="false">D5</f>
        <v>28500</v>
      </c>
      <c r="D43" s="19" t="n">
        <f aca="false">E5</f>
        <v>6150</v>
      </c>
      <c r="E43" s="19" t="n">
        <f aca="false">F5</f>
        <v>2100</v>
      </c>
      <c r="F43" s="19" t="n">
        <f aca="false">G5</f>
        <v>20250</v>
      </c>
    </row>
    <row r="44" customFormat="false" ht="12.8" hidden="false" customHeight="false" outlineLevel="0" collapsed="false">
      <c r="A44" s="7" t="str">
        <f aca="false">_xlfn.CONCAT($A$39, ".", $A6)</f>
        <v>FL.0.3</v>
      </c>
      <c r="B44" s="7" t="str">
        <f aca="false">_xlfn.CONCAT(B6, ": ", C6)</f>
        <v>Construction: Worker</v>
      </c>
      <c r="C44" s="19" t="n">
        <f aca="false">D6</f>
        <v>435000</v>
      </c>
      <c r="D44" s="19" t="n">
        <f aca="false">E6</f>
        <v>93900</v>
      </c>
      <c r="E44" s="19" t="n">
        <f aca="false">F6</f>
        <v>31700</v>
      </c>
      <c r="F44" s="19" t="n">
        <f aca="false">G6</f>
        <v>309400</v>
      </c>
    </row>
    <row r="45" customFormat="false" ht="12.8" hidden="false" customHeight="false" outlineLevel="0" collapsed="false">
      <c r="A45" s="7" t="str">
        <f aca="false">_xlfn.CONCAT($A$39, ".", $A7)</f>
        <v>FL.0.4</v>
      </c>
      <c r="B45" s="7" t="str">
        <f aca="false">_xlfn.CONCAT(B7, ": ", C7)</f>
        <v>Construction: Support</v>
      </c>
      <c r="C45" s="19" t="n">
        <f aca="false">D7</f>
        <v>217500</v>
      </c>
      <c r="D45" s="19" t="n">
        <f aca="false">E7</f>
        <v>46950</v>
      </c>
      <c r="E45" s="19" t="n">
        <f aca="false">F7</f>
        <v>15850</v>
      </c>
      <c r="F45" s="19" t="n">
        <f aca="false">G7</f>
        <v>154700</v>
      </c>
    </row>
    <row r="46" customFormat="false" ht="12.8" hidden="false" customHeight="false" outlineLevel="0" collapsed="false">
      <c r="A46" s="7" t="str">
        <f aca="false">_xlfn.CONCAT($A$39, ".", $A8)</f>
        <v>FL.0.5</v>
      </c>
      <c r="B46" s="7" t="str">
        <f aca="false">_xlfn.CONCAT(B8, ": ", C8)</f>
        <v>Hospitality: Worker</v>
      </c>
      <c r="C46" s="19" t="n">
        <f aca="false">D8</f>
        <v>890000</v>
      </c>
      <c r="D46" s="19" t="n">
        <f aca="false">E8</f>
        <v>192000</v>
      </c>
      <c r="E46" s="19" t="n">
        <f aca="false">F8</f>
        <v>65000</v>
      </c>
      <c r="F46" s="19" t="n">
        <f aca="false">G8</f>
        <v>633000</v>
      </c>
    </row>
    <row r="47" customFormat="false" ht="12.8" hidden="false" customHeight="false" outlineLevel="0" collapsed="false">
      <c r="A47" s="7" t="str">
        <f aca="false">_xlfn.CONCAT($A$39, ".", $A9)</f>
        <v>FL.0.6</v>
      </c>
      <c r="B47" s="7" t="str">
        <f aca="false">_xlfn.CONCAT(B9, ": ", C9)</f>
        <v>Hospitality: Support</v>
      </c>
      <c r="C47" s="19" t="n">
        <f aca="false">D9</f>
        <v>445000</v>
      </c>
      <c r="D47" s="19" t="n">
        <f aca="false">E9</f>
        <v>96000</v>
      </c>
      <c r="E47" s="19" t="n">
        <f aca="false">F9</f>
        <v>32500</v>
      </c>
      <c r="F47" s="19" t="n">
        <f aca="false">G9</f>
        <v>316500</v>
      </c>
    </row>
    <row r="48" customFormat="false" ht="12.8" hidden="false" customHeight="false" outlineLevel="0" collapsed="false">
      <c r="A48" s="7" t="str">
        <f aca="false">_xlfn.CONCAT($A$39, ".", $A10)</f>
        <v>FL.0.7</v>
      </c>
      <c r="B48" s="7" t="str">
        <f aca="false">_xlfn.CONCAT(B10, ": ", C10)</f>
        <v>Cleaning &amp; Maintenance: Worker</v>
      </c>
      <c r="C48" s="19" t="n">
        <f aca="false">D10</f>
        <v>177000</v>
      </c>
      <c r="D48" s="19" t="n">
        <f aca="false">E10</f>
        <v>38000</v>
      </c>
      <c r="E48" s="19" t="n">
        <f aca="false">F10</f>
        <v>13000</v>
      </c>
      <c r="F48" s="19" t="n">
        <f aca="false">G10</f>
        <v>126000</v>
      </c>
    </row>
    <row r="49" customFormat="false" ht="12.8" hidden="false" customHeight="false" outlineLevel="0" collapsed="false">
      <c r="A49" s="7" t="str">
        <f aca="false">_xlfn.CONCAT($A$39, ".", $A11)</f>
        <v>FL.0.8</v>
      </c>
      <c r="B49" s="7" t="str">
        <f aca="false">_xlfn.CONCAT(B11, ": ", C11)</f>
        <v>Cleaning &amp; Maintenance: Support</v>
      </c>
      <c r="C49" s="19" t="n">
        <f aca="false">D11</f>
        <v>88500</v>
      </c>
      <c r="D49" s="19" t="n">
        <f aca="false">E11</f>
        <v>19000</v>
      </c>
      <c r="E49" s="19" t="n">
        <f aca="false">F11</f>
        <v>6500</v>
      </c>
      <c r="F49" s="19" t="n">
        <f aca="false">G11</f>
        <v>63000</v>
      </c>
    </row>
    <row r="50" customFormat="false" ht="12.8" hidden="false" customHeight="false" outlineLevel="0" collapsed="false">
      <c r="A50" s="7" t="str">
        <f aca="false">_xlfn.CONCAT($A$39, ".", $A12)</f>
        <v>FL.0.9</v>
      </c>
      <c r="B50" s="7" t="str">
        <f aca="false">_xlfn.CONCAT(B12, ": ", C12)</f>
        <v>Manufacturing: Worker</v>
      </c>
      <c r="C50" s="19" t="n">
        <f aca="false">D12</f>
        <v>285000</v>
      </c>
      <c r="D50" s="19" t="n">
        <f aca="false">E12</f>
        <v>61500</v>
      </c>
      <c r="E50" s="19" t="n">
        <f aca="false">F12</f>
        <v>21000</v>
      </c>
      <c r="F50" s="19" t="n">
        <f aca="false">G12</f>
        <v>202500</v>
      </c>
    </row>
    <row r="51" customFormat="false" ht="12.8" hidden="false" customHeight="false" outlineLevel="0" collapsed="false">
      <c r="A51" s="7" t="str">
        <f aca="false">_xlfn.CONCAT($A$39, ".", $A13)</f>
        <v>FL.0.10</v>
      </c>
      <c r="B51" s="7" t="str">
        <f aca="false">_xlfn.CONCAT(B13, ": ", C13)</f>
        <v>Manufacturing: Support</v>
      </c>
      <c r="C51" s="19" t="n">
        <f aca="false">D13</f>
        <v>142500</v>
      </c>
      <c r="D51" s="19" t="n">
        <f aca="false">E13</f>
        <v>30750</v>
      </c>
      <c r="E51" s="19" t="n">
        <f aca="false">F13</f>
        <v>10500</v>
      </c>
      <c r="F51" s="19" t="n">
        <f aca="false">G13</f>
        <v>101250</v>
      </c>
    </row>
    <row r="52" customFormat="false" ht="12.8" hidden="false" customHeight="false" outlineLevel="0" collapsed="false">
      <c r="A52" s="7" t="str">
        <f aca="false">_xlfn.CONCAT($A$39, ".", $A14)</f>
        <v>FL.0.11</v>
      </c>
      <c r="B52" s="7" t="str">
        <f aca="false">_xlfn.CONCAT(B14, ": ", C14)</f>
        <v>Transportation &amp; Warehousing: Worker</v>
      </c>
      <c r="C52" s="19" t="n">
        <f aca="false">D14</f>
        <v>280000</v>
      </c>
      <c r="D52" s="19" t="n">
        <f aca="false">E14</f>
        <v>60500</v>
      </c>
      <c r="E52" s="19" t="n">
        <f aca="false">F14</f>
        <v>20500</v>
      </c>
      <c r="F52" s="19" t="n">
        <f aca="false">G14</f>
        <v>199000</v>
      </c>
    </row>
    <row r="53" customFormat="false" ht="12.8" hidden="false" customHeight="false" outlineLevel="0" collapsed="false">
      <c r="A53" s="7" t="str">
        <f aca="false">_xlfn.CONCAT($A$39, ".", $A15)</f>
        <v>FL.0.12</v>
      </c>
      <c r="B53" s="7" t="str">
        <f aca="false">_xlfn.CONCAT(B15, ": ", C15)</f>
        <v>Transportation &amp; Warehousing: Support</v>
      </c>
      <c r="C53" s="19" t="n">
        <f aca="false">D15</f>
        <v>140000</v>
      </c>
      <c r="D53" s="19" t="n">
        <f aca="false">E15</f>
        <v>30250</v>
      </c>
      <c r="E53" s="19" t="n">
        <f aca="false">F15</f>
        <v>10250</v>
      </c>
      <c r="F53" s="19" t="n">
        <f aca="false">G15</f>
        <v>99500</v>
      </c>
    </row>
    <row r="54" customFormat="false" ht="12.8" hidden="false" customHeight="false" outlineLevel="0" collapsed="false">
      <c r="A54" s="7" t="str">
        <f aca="false">_xlfn.CONCAT($A$39, ".", $A16)</f>
        <v>FL.0.13</v>
      </c>
      <c r="B54" s="7" t="str">
        <f aca="false">_xlfn.CONCAT(B16, ": ", C16)</f>
        <v>Retail Trade: Worker</v>
      </c>
      <c r="C54" s="19" t="n">
        <f aca="false">D16</f>
        <v>1065000</v>
      </c>
      <c r="D54" s="19" t="n">
        <f aca="false">E16</f>
        <v>230000</v>
      </c>
      <c r="E54" s="19" t="n">
        <f aca="false">F16</f>
        <v>78000</v>
      </c>
      <c r="F54" s="19" t="n">
        <f aca="false">G16</f>
        <v>757000</v>
      </c>
    </row>
    <row r="55" customFormat="false" ht="12.8" hidden="false" customHeight="false" outlineLevel="0" collapsed="false">
      <c r="A55" s="7" t="str">
        <f aca="false">_xlfn.CONCAT($A$39, ".", $A17)</f>
        <v>FL.0.14</v>
      </c>
      <c r="B55" s="7" t="str">
        <f aca="false">_xlfn.CONCAT(B17, ": ", C17)</f>
        <v>Retail Trade: Support</v>
      </c>
      <c r="C55" s="19" t="n">
        <f aca="false">D17</f>
        <v>532500</v>
      </c>
      <c r="D55" s="19" t="n">
        <f aca="false">E17</f>
        <v>115000</v>
      </c>
      <c r="E55" s="19" t="n">
        <f aca="false">F17</f>
        <v>39000</v>
      </c>
      <c r="F55" s="19" t="n">
        <f aca="false">G17</f>
        <v>378500</v>
      </c>
    </row>
    <row r="56" customFormat="false" ht="12.8" hidden="false" customHeight="false" outlineLevel="0" collapsed="false">
      <c r="A56" s="7" t="str">
        <f aca="false">_xlfn.CONCAT($A$39, ".", $A18)</f>
        <v>FL.0.15</v>
      </c>
      <c r="B56" s="7" t="str">
        <f aca="false">_xlfn.CONCAT(B18, ": ", C18)</f>
        <v>Landscaping / Groundskeeping: Worker</v>
      </c>
      <c r="C56" s="19" t="n">
        <f aca="false">D18</f>
        <v>106000</v>
      </c>
      <c r="D56" s="19" t="n">
        <f aca="false">E18</f>
        <v>23000</v>
      </c>
      <c r="E56" s="19" t="n">
        <f aca="false">F18</f>
        <v>7800</v>
      </c>
      <c r="F56" s="19" t="n">
        <f aca="false">G18</f>
        <v>75200</v>
      </c>
    </row>
    <row r="57" customFormat="false" ht="12.8" hidden="false" customHeight="false" outlineLevel="0" collapsed="false">
      <c r="A57" s="7" t="str">
        <f aca="false">_xlfn.CONCAT($A$39, ".", $A19)</f>
        <v>FL.0.16</v>
      </c>
      <c r="B57" s="7" t="str">
        <f aca="false">_xlfn.CONCAT(B19, ": ", C19)</f>
        <v>Landscaping / Groundskeeping: Support</v>
      </c>
      <c r="C57" s="19" t="n">
        <f aca="false">D19</f>
        <v>53000</v>
      </c>
      <c r="D57" s="19" t="n">
        <f aca="false">E19</f>
        <v>11500</v>
      </c>
      <c r="E57" s="19" t="n">
        <f aca="false">F19</f>
        <v>3900</v>
      </c>
      <c r="F57" s="19" t="n">
        <f aca="false">G19</f>
        <v>37600</v>
      </c>
    </row>
    <row r="58" customFormat="false" ht="12.8" hidden="false" customHeight="false" outlineLevel="0" collapsed="false">
      <c r="A58" s="7" t="str">
        <f aca="false">_xlfn.CONCAT($A$39, ".", $A20)</f>
        <v>FL.0.17</v>
      </c>
      <c r="B58" s="7" t="str">
        <f aca="false">_xlfn.CONCAT(B20, ": ", C20)</f>
        <v>Automotive &amp; Repair: Worker</v>
      </c>
      <c r="C58" s="19" t="n">
        <f aca="false">D20</f>
        <v>57000</v>
      </c>
      <c r="D58" s="19" t="n">
        <f aca="false">E20</f>
        <v>12300</v>
      </c>
      <c r="E58" s="19" t="n">
        <f aca="false">F20</f>
        <v>4200</v>
      </c>
      <c r="F58" s="19" t="n">
        <f aca="false">G20</f>
        <v>40500</v>
      </c>
    </row>
    <row r="59" customFormat="false" ht="12.8" hidden="false" customHeight="false" outlineLevel="0" collapsed="false">
      <c r="A59" s="7" t="str">
        <f aca="false">_xlfn.CONCAT($A$39, ".", $A21)</f>
        <v>FL.0.18</v>
      </c>
      <c r="B59" s="7" t="str">
        <f aca="false">_xlfn.CONCAT(B21, ": ", C21)</f>
        <v>Automotive &amp; Repair: Support</v>
      </c>
      <c r="C59" s="19" t="n">
        <f aca="false">D21</f>
        <v>28500</v>
      </c>
      <c r="D59" s="19" t="n">
        <f aca="false">E21</f>
        <v>6150</v>
      </c>
      <c r="E59" s="19" t="n">
        <f aca="false">F21</f>
        <v>2100</v>
      </c>
      <c r="F59" s="19" t="n">
        <f aca="false">G21</f>
        <v>20250</v>
      </c>
    </row>
    <row r="60" customFormat="false" ht="12.8" hidden="false" customHeight="false" outlineLevel="0" collapsed="false">
      <c r="A60" s="7" t="str">
        <f aca="false">_xlfn.CONCAT($A$39, ".", $A22)</f>
        <v>FL.0.19</v>
      </c>
      <c r="B60" s="7" t="str">
        <f aca="false">_xlfn.CONCAT(B22, ": ", C22)</f>
        <v>Healthcare &amp; Social Assistance: Worker</v>
      </c>
      <c r="C60" s="19" t="n">
        <f aca="false">D22</f>
        <v>800000</v>
      </c>
      <c r="D60" s="19" t="n">
        <f aca="false">E22</f>
        <v>173000</v>
      </c>
      <c r="E60" s="19" t="n">
        <f aca="false">F22</f>
        <v>59000</v>
      </c>
      <c r="F60" s="19" t="n">
        <f aca="false">G22</f>
        <v>568000</v>
      </c>
    </row>
    <row r="61" customFormat="false" ht="12.8" hidden="false" customHeight="false" outlineLevel="0" collapsed="false">
      <c r="A61" s="7" t="str">
        <f aca="false">_xlfn.CONCAT($A$39, ".", $A23)</f>
        <v>FL.0.20</v>
      </c>
      <c r="B61" s="7" t="str">
        <f aca="false">_xlfn.CONCAT(B23, ": ", C23)</f>
        <v>Healthcare &amp; Social Assistance: Support</v>
      </c>
      <c r="C61" s="19" t="n">
        <f aca="false">D23</f>
        <v>400000</v>
      </c>
      <c r="D61" s="19" t="n">
        <f aca="false">E23</f>
        <v>86500</v>
      </c>
      <c r="E61" s="19" t="n">
        <f aca="false">F23</f>
        <v>29500</v>
      </c>
      <c r="F61" s="19" t="n">
        <f aca="false">G23</f>
        <v>284000</v>
      </c>
    </row>
    <row r="62" customFormat="false" ht="12.8" hidden="false" customHeight="false" outlineLevel="0" collapsed="false">
      <c r="A62" s="7" t="str">
        <f aca="false">_xlfn.CONCAT($A$39, ".", $A24)</f>
        <v>FL.0.21</v>
      </c>
      <c r="B62" s="7" t="str">
        <f aca="false">_xlfn.CONCAT(B24, ": ", C24)</f>
        <v>Professional Services: Worker</v>
      </c>
      <c r="C62" s="19" t="n">
        <f aca="false">D24</f>
        <v>1080000</v>
      </c>
      <c r="D62" s="19" t="n">
        <f aca="false">E24</f>
        <v>233000</v>
      </c>
      <c r="E62" s="19" t="n">
        <f aca="false">F24</f>
        <v>79000</v>
      </c>
      <c r="F62" s="19" t="n">
        <f aca="false">G24</f>
        <v>769000</v>
      </c>
    </row>
    <row r="63" customFormat="false" ht="12.8" hidden="false" customHeight="false" outlineLevel="0" collapsed="false">
      <c r="A63" s="7" t="str">
        <f aca="false">_xlfn.CONCAT($A$39, ".", $A25)</f>
        <v>FL.0.22</v>
      </c>
      <c r="B63" s="7" t="str">
        <f aca="false">_xlfn.CONCAT(B25, ": ", C25)</f>
        <v>Professional Services: Support</v>
      </c>
      <c r="C63" s="19" t="n">
        <f aca="false">D25</f>
        <v>540000</v>
      </c>
      <c r="D63" s="19" t="n">
        <f aca="false">E25</f>
        <v>116500</v>
      </c>
      <c r="E63" s="19" t="n">
        <f aca="false">F25</f>
        <v>39500</v>
      </c>
      <c r="F63" s="19" t="n">
        <f aca="false">G25</f>
        <v>384500</v>
      </c>
    </row>
    <row r="64" customFormat="false" ht="12.8" hidden="false" customHeight="false" outlineLevel="0" collapsed="false">
      <c r="A64" s="7" t="str">
        <f aca="false">_xlfn.CONCAT($A$39, ".", $A26)</f>
        <v>FL.0.23</v>
      </c>
      <c r="B64" s="7" t="str">
        <f aca="false">_xlfn.CONCAT(B26, ": ", C26)</f>
        <v>Educational Services: Worker</v>
      </c>
      <c r="C64" s="19" t="n">
        <f aca="false">D26</f>
        <v>288000</v>
      </c>
      <c r="D64" s="19" t="n">
        <f aca="false">E26</f>
        <v>62000</v>
      </c>
      <c r="E64" s="19" t="n">
        <f aca="false">F26</f>
        <v>21000</v>
      </c>
      <c r="F64" s="19" t="n">
        <f aca="false">G26</f>
        <v>205000</v>
      </c>
    </row>
    <row r="65" customFormat="false" ht="12.8" hidden="false" customHeight="false" outlineLevel="0" collapsed="false">
      <c r="A65" s="7" t="str">
        <f aca="false">_xlfn.CONCAT($A$39, ".", $A27)</f>
        <v>FL.0.24</v>
      </c>
      <c r="B65" s="7" t="str">
        <f aca="false">_xlfn.CONCAT(B27, ": ", C27)</f>
        <v>Educational Services: Support</v>
      </c>
      <c r="C65" s="19" t="n">
        <f aca="false">D27</f>
        <v>144000</v>
      </c>
      <c r="D65" s="19" t="n">
        <f aca="false">E27</f>
        <v>31000</v>
      </c>
      <c r="E65" s="19" t="n">
        <f aca="false">F27</f>
        <v>10500</v>
      </c>
      <c r="F65" s="19" t="n">
        <f aca="false">G27</f>
        <v>102500</v>
      </c>
    </row>
    <row r="66" customFormat="false" ht="12.8" hidden="false" customHeight="false" outlineLevel="0" collapsed="false">
      <c r="A66" s="7" t="str">
        <f aca="false">_xlfn.CONCAT($A$39, ".", $A28)</f>
        <v>FL.0.25</v>
      </c>
      <c r="B66" s="7" t="str">
        <f aca="false">_xlfn.CONCAT(B28, ": ", C28)</f>
        <v>Finance &amp; Insurance: Worker</v>
      </c>
      <c r="C66" s="19" t="n">
        <f aca="false">D28</f>
        <v>460000</v>
      </c>
      <c r="D66" s="19" t="n">
        <f aca="false">E28</f>
        <v>99000</v>
      </c>
      <c r="E66" s="19" t="n">
        <f aca="false">F28</f>
        <v>34000</v>
      </c>
      <c r="F66" s="19" t="n">
        <f aca="false">G28</f>
        <v>327000</v>
      </c>
    </row>
    <row r="67" customFormat="false" ht="12.8" hidden="false" customHeight="false" outlineLevel="0" collapsed="false">
      <c r="A67" s="7" t="str">
        <f aca="false">_xlfn.CONCAT($A$39, ".", $A29)</f>
        <v>FL.0.26</v>
      </c>
      <c r="B67" s="7" t="str">
        <f aca="false">_xlfn.CONCAT(B29, ": ", C29)</f>
        <v>Finance &amp; Insurance: Support</v>
      </c>
      <c r="C67" s="19" t="n">
        <f aca="false">D29</f>
        <v>230000</v>
      </c>
      <c r="D67" s="19" t="n">
        <f aca="false">E29</f>
        <v>49500</v>
      </c>
      <c r="E67" s="19" t="n">
        <f aca="false">F29</f>
        <v>17000</v>
      </c>
      <c r="F67" s="19" t="n">
        <f aca="false">G29</f>
        <v>163500</v>
      </c>
    </row>
    <row r="68" customFormat="false" ht="12.8" hidden="false" customHeight="false" outlineLevel="0" collapsed="false">
      <c r="A68" s="7" t="str">
        <f aca="false">_xlfn.CONCAT($A$39, ".", $A30)</f>
        <v>FL.0.27</v>
      </c>
      <c r="B68" s="7" t="str">
        <f aca="false">_xlfn.CONCAT(B30, ": ", C30)</f>
        <v>Media and Information Technology: Worker</v>
      </c>
      <c r="C68" s="19" t="n">
        <f aca="false">D30</f>
        <v>106000</v>
      </c>
      <c r="D68" s="19" t="n">
        <f aca="false">E30</f>
        <v>23000</v>
      </c>
      <c r="E68" s="19" t="n">
        <f aca="false">F30</f>
        <v>7800</v>
      </c>
      <c r="F68" s="19" t="n">
        <f aca="false">G30</f>
        <v>75200</v>
      </c>
    </row>
    <row r="69" customFormat="false" ht="12.8" hidden="false" customHeight="false" outlineLevel="0" collapsed="false">
      <c r="A69" s="7" t="str">
        <f aca="false">_xlfn.CONCAT($A$39, ".", $A31)</f>
        <v>FL.0.28</v>
      </c>
      <c r="B69" s="7" t="str">
        <f aca="false">_xlfn.CONCAT(B31, ": ", C31)</f>
        <v>Media and Information Technology: Support</v>
      </c>
      <c r="C69" s="19" t="n">
        <f aca="false">D31</f>
        <v>53000</v>
      </c>
      <c r="D69" s="19" t="n">
        <f aca="false">E31</f>
        <v>11500</v>
      </c>
      <c r="E69" s="19" t="n">
        <f aca="false">F31</f>
        <v>3900</v>
      </c>
      <c r="F69" s="19" t="n">
        <f aca="false">G31</f>
        <v>37600</v>
      </c>
    </row>
    <row r="70" customFormat="false" ht="12.8" hidden="false" customHeight="false" outlineLevel="0" collapsed="false">
      <c r="A70" s="7" t="str">
        <f aca="false">_xlfn.CONCAT($A$39, ".", $A32)</f>
        <v>FL.0.29</v>
      </c>
      <c r="B70" s="7" t="str">
        <f aca="false">_xlfn.CONCAT(B32, ": ", C32)</f>
        <v>Government: Worker</v>
      </c>
      <c r="C70" s="19" t="n">
        <f aca="false">D32</f>
        <v>780000</v>
      </c>
      <c r="D70" s="19" t="n">
        <f aca="false">E32</f>
        <v>173160</v>
      </c>
      <c r="E70" s="19" t="n">
        <f aca="false">F32</f>
        <v>56940</v>
      </c>
      <c r="F70" s="19" t="n">
        <f aca="false">G32</f>
        <v>549900</v>
      </c>
    </row>
    <row r="71" customFormat="false" ht="12.8" hidden="false" customHeight="false" outlineLevel="0" collapsed="false">
      <c r="A71" s="7" t="str">
        <f aca="false">_xlfn.CONCAT($A$39, ".", $A33)</f>
        <v>FL.0.30</v>
      </c>
      <c r="B71" s="7" t="str">
        <f aca="false">_xlfn.CONCAT(B33, ": ", C33)</f>
        <v>Government: Support</v>
      </c>
      <c r="C71" s="19" t="n">
        <f aca="false">D33</f>
        <v>390000</v>
      </c>
      <c r="D71" s="19" t="n">
        <f aca="false">E33</f>
        <v>86580</v>
      </c>
      <c r="E71" s="19" t="n">
        <f aca="false">F33</f>
        <v>28470</v>
      </c>
      <c r="F71" s="19" t="n">
        <f aca="false">G33</f>
        <v>274950</v>
      </c>
    </row>
    <row r="72" customFormat="false" ht="12.8" hidden="false" customHeight="false" outlineLevel="0" collapsed="false">
      <c r="A72" s="7" t="str">
        <f aca="false">_xlfn.CONCAT($A$39, ".", $A34)</f>
        <v>FL.0.31</v>
      </c>
      <c r="B72" s="7" t="str">
        <f aca="false">_xlfn.CONCAT(B34, ": ", C34)</f>
        <v>Self-Employed / Non-Employer: Worker</v>
      </c>
      <c r="C72" s="19" t="n">
        <f aca="false">D34</f>
        <v>787500</v>
      </c>
      <c r="D72" s="19" t="n">
        <f aca="false">E34</f>
        <v>35440</v>
      </c>
      <c r="E72" s="19" t="n">
        <f aca="false">F34</f>
        <v>35440</v>
      </c>
      <c r="F72" s="19" t="n">
        <f aca="false">G34</f>
        <v>716620</v>
      </c>
    </row>
    <row r="73" customFormat="false" ht="12.8" hidden="false" customHeight="false" outlineLevel="0" collapsed="false">
      <c r="A73" s="7" t="str">
        <f aca="false">_xlfn.CONCAT($A$39, ".", $A35)</f>
        <v>FL.0.32</v>
      </c>
      <c r="B73" s="7" t="str">
        <f aca="false">_xlfn.CONCAT(B35, ": ", C35)</f>
        <v>Self-Employed / Non-Employer: Support</v>
      </c>
      <c r="C73" s="19" t="n">
        <f aca="false">D35</f>
        <v>87500</v>
      </c>
      <c r="D73" s="19" t="n">
        <f aca="false">E35</f>
        <v>3940</v>
      </c>
      <c r="E73" s="19" t="n">
        <f aca="false">F35</f>
        <v>3940</v>
      </c>
      <c r="F73" s="19" t="n">
        <f aca="false">G35</f>
        <v>79620</v>
      </c>
    </row>
    <row r="74" customFormat="false" ht="12.8" hidden="false" customHeight="false" outlineLevel="0" collapsed="false">
      <c r="A74" s="7" t="str">
        <f aca="false">_xlfn.CONCAT($A$39, ".", $A36)</f>
        <v>FL.0.33</v>
      </c>
      <c r="B74" s="7" t="str">
        <f aca="false">_xlfn.CONCAT(B36, ": ", C36)</f>
        <v>Other Services: Worker</v>
      </c>
      <c r="C74" s="19" t="n">
        <f aca="false">D36</f>
        <v>255000</v>
      </c>
      <c r="D74" s="19" t="n">
        <f aca="false">E36</f>
        <v>55000</v>
      </c>
      <c r="E74" s="19" t="n">
        <f aca="false">F36</f>
        <v>19000</v>
      </c>
      <c r="F74" s="19" t="n">
        <f aca="false">G36</f>
        <v>181000</v>
      </c>
    </row>
    <row r="75" customFormat="false" ht="12.8" hidden="false" customHeight="false" outlineLevel="0" collapsed="false">
      <c r="A75" s="7" t="str">
        <f aca="false">_xlfn.CONCAT($A$39, ".", $A37)</f>
        <v>FL.0.34</v>
      </c>
      <c r="B75" s="7" t="str">
        <f aca="false">_xlfn.CONCAT(B37, ": ", C37)</f>
        <v>Other Services: Support</v>
      </c>
      <c r="C75" s="19" t="n">
        <f aca="false">D37</f>
        <v>127500</v>
      </c>
      <c r="D75" s="19" t="n">
        <f aca="false">E37</f>
        <v>27500</v>
      </c>
      <c r="E75" s="19" t="n">
        <f aca="false">F37</f>
        <v>9500</v>
      </c>
      <c r="F75" s="19" t="n">
        <f aca="false">G37</f>
        <v>90500</v>
      </c>
    </row>
    <row r="76" customFormat="false" ht="12.8" hidden="false" customHeight="false" outlineLevel="0" collapsed="false">
      <c r="A76" s="7"/>
      <c r="B76" s="7"/>
      <c r="C76" s="19"/>
      <c r="D76" s="19"/>
      <c r="E76" s="19"/>
      <c r="F76" s="19"/>
    </row>
    <row r="77" customFormat="false" ht="12.8" hidden="false" customHeight="false" outlineLevel="0" collapsed="false">
      <c r="A77" s="7"/>
      <c r="B77" s="7"/>
      <c r="C77" s="19"/>
      <c r="D77" s="19"/>
      <c r="E77" s="19"/>
      <c r="F77" s="19"/>
    </row>
    <row r="173" customFormat="false" ht="12.8" hidden="false" customHeight="false" outlineLevel="0" collapsed="false">
      <c r="A173" s="5" t="s">
        <v>177</v>
      </c>
      <c r="B173" s="24" t="s">
        <v>175</v>
      </c>
      <c r="C173" s="25" t="s">
        <v>142</v>
      </c>
    </row>
    <row r="174" customFormat="false" ht="45.75" hidden="false" customHeight="false" outlineLevel="0" collapsed="false">
      <c r="A174" s="5" t="s">
        <v>26</v>
      </c>
      <c r="B174" s="26" t="s">
        <v>140</v>
      </c>
      <c r="C174" s="27" t="str">
        <f aca="false">H2</f>
        <v>Employment-to-Population Ratio</v>
      </c>
      <c r="D174" s="27" t="str">
        <f aca="false">I2</f>
        <v>Authorized Immigrant Employment-to-Population Ratio</v>
      </c>
      <c r="E174" s="27" t="str">
        <f aca="false">J2</f>
        <v>Unauthorized Immigrant Employment-to-Population Ratio</v>
      </c>
      <c r="F174" s="27" t="str">
        <f aca="false">K2</f>
        <v>American Employment-to-Population Ratio</v>
      </c>
    </row>
    <row r="175" customFormat="false" ht="12.8" hidden="false" customHeight="false" outlineLevel="0" collapsed="false">
      <c r="A175" s="1" t="str">
        <f aca="false">_xlfn.CONCAT($A$173, ".", A3)</f>
        <v>FL.1.0</v>
      </c>
      <c r="B175" s="5" t="str">
        <f aca="false">_xlfn.CONCAT(B3, ": ", C3)</f>
        <v>All Industries: All Roles</v>
      </c>
      <c r="C175" s="27" t="n">
        <f aca="false">H3</f>
        <v>0.957</v>
      </c>
      <c r="D175" s="27" t="n">
        <f aca="false">I3</f>
        <v>0.95</v>
      </c>
      <c r="E175" s="27" t="n">
        <f aca="false">J3</f>
        <v>0.945</v>
      </c>
      <c r="F175" s="27" t="n">
        <f aca="false">K3</f>
        <v>0.96</v>
      </c>
    </row>
    <row r="176" customFormat="false" ht="12.8" hidden="false" customHeight="false" outlineLevel="0" collapsed="false">
      <c r="A176" s="1" t="str">
        <f aca="false">_xlfn.CONCAT($A$173, ".", A4)</f>
        <v>FL.1.1</v>
      </c>
      <c r="B176" s="5" t="str">
        <f aca="false">_xlfn.CONCAT(B4, ": ", C4)</f>
        <v>Agriculture: Worker</v>
      </c>
      <c r="C176" s="27" t="n">
        <f aca="false">H4</f>
        <v>0.945</v>
      </c>
      <c r="D176" s="27" t="n">
        <f aca="false">I4</f>
        <v>0.93</v>
      </c>
      <c r="E176" s="27" t="n">
        <f aca="false">J4</f>
        <v>0.89</v>
      </c>
      <c r="F176" s="27" t="n">
        <f aca="false">K4</f>
        <v>0.955</v>
      </c>
    </row>
    <row r="177" customFormat="false" ht="12.8" hidden="false" customHeight="false" outlineLevel="0" collapsed="false">
      <c r="A177" s="1" t="str">
        <f aca="false">_xlfn.CONCAT($A$173, ".", A5)</f>
        <v>FL.1.2</v>
      </c>
      <c r="B177" s="5" t="str">
        <f aca="false">_xlfn.CONCAT(B5, ": ", C5)</f>
        <v>Agriculture: Support</v>
      </c>
      <c r="C177" s="27" t="n">
        <f aca="false">H5</f>
        <v>0.945</v>
      </c>
      <c r="D177" s="27" t="n">
        <f aca="false">I5</f>
        <v>0.93</v>
      </c>
      <c r="E177" s="27" t="n">
        <f aca="false">J5</f>
        <v>0.89</v>
      </c>
      <c r="F177" s="27" t="n">
        <f aca="false">K5</f>
        <v>0.955</v>
      </c>
    </row>
    <row r="178" customFormat="false" ht="12.8" hidden="false" customHeight="false" outlineLevel="0" collapsed="false">
      <c r="A178" s="1" t="str">
        <f aca="false">_xlfn.CONCAT($A$173, ".", A6)</f>
        <v>FL.1.3</v>
      </c>
      <c r="B178" s="5" t="str">
        <f aca="false">_xlfn.CONCAT(B6, ": ", C6)</f>
        <v>Construction: Worker</v>
      </c>
      <c r="C178" s="27" t="n">
        <f aca="false">H6</f>
        <v>0.958</v>
      </c>
      <c r="D178" s="27" t="n">
        <f aca="false">I6</f>
        <v>0.94</v>
      </c>
      <c r="E178" s="27" t="n">
        <f aca="false">J6</f>
        <v>0.9</v>
      </c>
      <c r="F178" s="27" t="n">
        <f aca="false">K6</f>
        <v>0.97</v>
      </c>
    </row>
    <row r="179" customFormat="false" ht="12.8" hidden="false" customHeight="false" outlineLevel="0" collapsed="false">
      <c r="A179" s="1" t="str">
        <f aca="false">_xlfn.CONCAT($A$173, ".", A7)</f>
        <v>FL.1.4</v>
      </c>
      <c r="B179" s="5" t="str">
        <f aca="false">_xlfn.CONCAT(B7, ": ", C7)</f>
        <v>Construction: Support</v>
      </c>
      <c r="C179" s="27" t="n">
        <f aca="false">H7</f>
        <v>0.958</v>
      </c>
      <c r="D179" s="27" t="n">
        <f aca="false">I7</f>
        <v>0.94</v>
      </c>
      <c r="E179" s="27" t="n">
        <f aca="false">J7</f>
        <v>0.9</v>
      </c>
      <c r="F179" s="27" t="n">
        <f aca="false">K7</f>
        <v>0.97</v>
      </c>
    </row>
    <row r="180" customFormat="false" ht="12.8" hidden="false" customHeight="false" outlineLevel="0" collapsed="false">
      <c r="A180" s="1" t="str">
        <f aca="false">_xlfn.CONCAT($A$173, ".", A8)</f>
        <v>FL.1.5</v>
      </c>
      <c r="B180" s="5" t="str">
        <f aca="false">_xlfn.CONCAT(B8, ": ", C8)</f>
        <v>Hospitality: Worker</v>
      </c>
      <c r="C180" s="27" t="n">
        <f aca="false">H8</f>
        <v>0.95</v>
      </c>
      <c r="D180" s="27" t="n">
        <f aca="false">I8</f>
        <v>0.93</v>
      </c>
      <c r="E180" s="27" t="n">
        <f aca="false">J8</f>
        <v>0.88</v>
      </c>
      <c r="F180" s="27" t="n">
        <f aca="false">K8</f>
        <v>0.963</v>
      </c>
    </row>
    <row r="181" customFormat="false" ht="12.8" hidden="false" customHeight="false" outlineLevel="0" collapsed="false">
      <c r="A181" s="1" t="str">
        <f aca="false">_xlfn.CONCAT($A$173, ".", A9)</f>
        <v>FL.1.6</v>
      </c>
      <c r="B181" s="5" t="str">
        <f aca="false">_xlfn.CONCAT(B9, ": ", C9)</f>
        <v>Hospitality: Support</v>
      </c>
      <c r="C181" s="27" t="n">
        <f aca="false">H9</f>
        <v>0.95</v>
      </c>
      <c r="D181" s="27" t="n">
        <f aca="false">I9</f>
        <v>0.93</v>
      </c>
      <c r="E181" s="27" t="n">
        <f aca="false">J9</f>
        <v>0.88</v>
      </c>
      <c r="F181" s="27" t="n">
        <f aca="false">K9</f>
        <v>0.963</v>
      </c>
    </row>
    <row r="182" customFormat="false" ht="12.8" hidden="false" customHeight="false" outlineLevel="0" collapsed="false">
      <c r="A182" s="1" t="str">
        <f aca="false">_xlfn.CONCAT($A$173, ".", A10)</f>
        <v>FL.1.7</v>
      </c>
      <c r="B182" s="5" t="str">
        <f aca="false">_xlfn.CONCAT(B10, ": ", C10)</f>
        <v>Cleaning &amp; Maintenance: Worker</v>
      </c>
      <c r="C182" s="27" t="n">
        <f aca="false">H10</f>
        <v>0.945</v>
      </c>
      <c r="D182" s="27" t="n">
        <f aca="false">I10</f>
        <v>0.92</v>
      </c>
      <c r="E182" s="27" t="n">
        <f aca="false">J10</f>
        <v>0.87</v>
      </c>
      <c r="F182" s="27" t="n">
        <f aca="false">K10</f>
        <v>0.96</v>
      </c>
    </row>
    <row r="183" customFormat="false" ht="12.8" hidden="false" customHeight="false" outlineLevel="0" collapsed="false">
      <c r="A183" s="1" t="str">
        <f aca="false">_xlfn.CONCAT($A$173, ".", A11)</f>
        <v>FL.1.8</v>
      </c>
      <c r="B183" s="5" t="str">
        <f aca="false">_xlfn.CONCAT(B11, ": ", C11)</f>
        <v>Cleaning &amp; Maintenance: Support</v>
      </c>
      <c r="C183" s="27" t="n">
        <f aca="false">H11</f>
        <v>0.945</v>
      </c>
      <c r="D183" s="27" t="n">
        <f aca="false">I11</f>
        <v>0.92</v>
      </c>
      <c r="E183" s="27" t="n">
        <f aca="false">J11</f>
        <v>0.87</v>
      </c>
      <c r="F183" s="27" t="n">
        <f aca="false">K11</f>
        <v>0.96</v>
      </c>
    </row>
    <row r="184" customFormat="false" ht="12.8" hidden="false" customHeight="false" outlineLevel="0" collapsed="false">
      <c r="A184" s="1" t="str">
        <f aca="false">_xlfn.CONCAT($A$173, ".", A12)</f>
        <v>FL.1.9</v>
      </c>
      <c r="B184" s="5" t="str">
        <f aca="false">_xlfn.CONCAT(B12, ": ", C12)</f>
        <v>Manufacturing: Worker</v>
      </c>
      <c r="C184" s="27" t="n">
        <f aca="false">H12</f>
        <v>0.973</v>
      </c>
      <c r="D184" s="27" t="n">
        <f aca="false">I12</f>
        <v>0.96</v>
      </c>
      <c r="E184" s="27" t="n">
        <f aca="false">J12</f>
        <v>0.93</v>
      </c>
      <c r="F184" s="27" t="n">
        <f aca="false">K12</f>
        <v>0.982</v>
      </c>
    </row>
    <row r="185" customFormat="false" ht="12.8" hidden="false" customHeight="false" outlineLevel="0" collapsed="false">
      <c r="A185" s="1" t="str">
        <f aca="false">_xlfn.CONCAT($A$173, ".", A13)</f>
        <v>FL.1.10</v>
      </c>
      <c r="B185" s="5" t="str">
        <f aca="false">_xlfn.CONCAT(B13, ": ", C13)</f>
        <v>Manufacturing: Support</v>
      </c>
      <c r="C185" s="27" t="n">
        <f aca="false">H13</f>
        <v>0.973</v>
      </c>
      <c r="D185" s="27" t="n">
        <f aca="false">I13</f>
        <v>0.96</v>
      </c>
      <c r="E185" s="27" t="n">
        <f aca="false">J13</f>
        <v>0.93</v>
      </c>
      <c r="F185" s="27" t="n">
        <f aca="false">K13</f>
        <v>0.982</v>
      </c>
    </row>
    <row r="186" customFormat="false" ht="12.8" hidden="false" customHeight="false" outlineLevel="0" collapsed="false">
      <c r="A186" s="1" t="str">
        <f aca="false">_xlfn.CONCAT($A$173, ".", A14)</f>
        <v>FL.1.11</v>
      </c>
      <c r="B186" s="5" t="str">
        <f aca="false">_xlfn.CONCAT(B14, ": ", C14)</f>
        <v>Transportation &amp; Warehousing: Worker</v>
      </c>
      <c r="C186" s="27" t="n">
        <f aca="false">H14</f>
        <v>0.968</v>
      </c>
      <c r="D186" s="27" t="n">
        <f aca="false">I14</f>
        <v>0.95</v>
      </c>
      <c r="E186" s="27" t="n">
        <f aca="false">J14</f>
        <v>0.92</v>
      </c>
      <c r="F186" s="27" t="n">
        <f aca="false">K14</f>
        <v>0.978</v>
      </c>
    </row>
    <row r="187" customFormat="false" ht="12.8" hidden="false" customHeight="false" outlineLevel="0" collapsed="false">
      <c r="A187" s="1" t="str">
        <f aca="false">_xlfn.CONCAT($A$173, ".", A15)</f>
        <v>FL.1.12</v>
      </c>
      <c r="B187" s="5" t="str">
        <f aca="false">_xlfn.CONCAT(B15, ": ", C15)</f>
        <v>Transportation &amp; Warehousing: Support</v>
      </c>
      <c r="C187" s="27" t="n">
        <f aca="false">H15</f>
        <v>0.968</v>
      </c>
      <c r="D187" s="27" t="n">
        <f aca="false">I15</f>
        <v>0.95</v>
      </c>
      <c r="E187" s="27" t="n">
        <f aca="false">J15</f>
        <v>0.92</v>
      </c>
      <c r="F187" s="27" t="n">
        <f aca="false">K15</f>
        <v>0.978</v>
      </c>
    </row>
    <row r="188" customFormat="false" ht="12.8" hidden="false" customHeight="false" outlineLevel="0" collapsed="false">
      <c r="A188" s="1" t="str">
        <f aca="false">_xlfn.CONCAT($A$173, ".", A16)</f>
        <v>FL.1.13</v>
      </c>
      <c r="B188" s="5" t="str">
        <f aca="false">_xlfn.CONCAT(B16, ": ", C16)</f>
        <v>Retail Trade: Worker</v>
      </c>
      <c r="C188" s="27" t="n">
        <f aca="false">H16</f>
        <v>0.963</v>
      </c>
      <c r="D188" s="27" t="n">
        <f aca="false">I16</f>
        <v>0.93</v>
      </c>
      <c r="E188" s="27" t="n">
        <f aca="false">J16</f>
        <v>0.88</v>
      </c>
      <c r="F188" s="27" t="n">
        <f aca="false">K16</f>
        <v>0.966</v>
      </c>
    </row>
    <row r="189" customFormat="false" ht="12.8" hidden="false" customHeight="false" outlineLevel="0" collapsed="false">
      <c r="A189" s="1" t="str">
        <f aca="false">_xlfn.CONCAT($A$173, ".", A17)</f>
        <v>FL.1.14</v>
      </c>
      <c r="B189" s="5" t="str">
        <f aca="false">_xlfn.CONCAT(B17, ": ", C17)</f>
        <v>Retail Trade: Support</v>
      </c>
      <c r="C189" s="27" t="n">
        <f aca="false">H17</f>
        <v>0.963</v>
      </c>
      <c r="D189" s="27" t="n">
        <f aca="false">I17</f>
        <v>0.93</v>
      </c>
      <c r="E189" s="27" t="n">
        <f aca="false">J17</f>
        <v>0.88</v>
      </c>
      <c r="F189" s="27" t="n">
        <f aca="false">K17</f>
        <v>0.966</v>
      </c>
    </row>
    <row r="190" customFormat="false" ht="12.8" hidden="false" customHeight="false" outlineLevel="0" collapsed="false">
      <c r="A190" s="1" t="str">
        <f aca="false">_xlfn.CONCAT($A$173, ".", A18)</f>
        <v>FL.1.15</v>
      </c>
      <c r="B190" s="5" t="str">
        <f aca="false">_xlfn.CONCAT(B18, ": ", C18)</f>
        <v>Landscaping / Groundskeeping: Worker</v>
      </c>
      <c r="C190" s="27" t="n">
        <f aca="false">H18</f>
        <v>0.955</v>
      </c>
      <c r="D190" s="27" t="n">
        <f aca="false">I18</f>
        <v>0.93</v>
      </c>
      <c r="E190" s="27" t="n">
        <f aca="false">J18</f>
        <v>0.89</v>
      </c>
      <c r="F190" s="27" t="n">
        <f aca="false">K18</f>
        <v>0.958</v>
      </c>
    </row>
    <row r="191" customFormat="false" ht="12.8" hidden="false" customHeight="false" outlineLevel="0" collapsed="false">
      <c r="A191" s="1" t="str">
        <f aca="false">_xlfn.CONCAT($A$173, ".", A19)</f>
        <v>FL.1.16</v>
      </c>
      <c r="B191" s="5" t="str">
        <f aca="false">_xlfn.CONCAT(B19, ": ", C19)</f>
        <v>Landscaping / Groundskeeping: Support</v>
      </c>
      <c r="C191" s="27" t="n">
        <f aca="false">H19</f>
        <v>0.955</v>
      </c>
      <c r="D191" s="27" t="n">
        <f aca="false">I19</f>
        <v>0.93</v>
      </c>
      <c r="E191" s="27" t="n">
        <f aca="false">J19</f>
        <v>0.89</v>
      </c>
      <c r="F191" s="27" t="n">
        <f aca="false">K19</f>
        <v>0.958</v>
      </c>
    </row>
    <row r="192" customFormat="false" ht="12.8" hidden="false" customHeight="false" outlineLevel="0" collapsed="false">
      <c r="A192" s="1" t="str">
        <f aca="false">_xlfn.CONCAT($A$173, ".", A20)</f>
        <v>FL.1.17</v>
      </c>
      <c r="B192" s="5" t="str">
        <f aca="false">_xlfn.CONCAT(B20, ": ", C20)</f>
        <v>Automotive &amp; Repair: Worker</v>
      </c>
      <c r="C192" s="27" t="n">
        <f aca="false">H20</f>
        <v>0.968</v>
      </c>
      <c r="D192" s="27" t="n">
        <f aca="false">I20</f>
        <v>0.95</v>
      </c>
      <c r="E192" s="27" t="n">
        <f aca="false">J20</f>
        <v>0.92</v>
      </c>
      <c r="F192" s="27" t="n">
        <f aca="false">K20</f>
        <v>0.978</v>
      </c>
    </row>
    <row r="193" customFormat="false" ht="12.8" hidden="false" customHeight="false" outlineLevel="0" collapsed="false">
      <c r="A193" s="1" t="str">
        <f aca="false">_xlfn.CONCAT($A$173, ".", A21)</f>
        <v>FL.1.18</v>
      </c>
      <c r="B193" s="5" t="str">
        <f aca="false">_xlfn.CONCAT(B21, ": ", C21)</f>
        <v>Automotive &amp; Repair: Support</v>
      </c>
      <c r="C193" s="27" t="n">
        <f aca="false">H21</f>
        <v>0.968</v>
      </c>
      <c r="D193" s="27" t="n">
        <f aca="false">I21</f>
        <v>0.95</v>
      </c>
      <c r="E193" s="27" t="n">
        <f aca="false">J21</f>
        <v>0.92</v>
      </c>
      <c r="F193" s="27" t="n">
        <f aca="false">K21</f>
        <v>0.978</v>
      </c>
    </row>
    <row r="194" customFormat="false" ht="12.8" hidden="false" customHeight="false" outlineLevel="0" collapsed="false">
      <c r="A194" s="1" t="str">
        <f aca="false">_xlfn.CONCAT($A$173, ".", A22)</f>
        <v>FL.1.19</v>
      </c>
      <c r="B194" s="5" t="str">
        <f aca="false">_xlfn.CONCAT(B22, ": ", C22)</f>
        <v>Healthcare &amp; Social Assistance: Worker</v>
      </c>
      <c r="C194" s="27" t="n">
        <f aca="false">H22</f>
        <v>0.972</v>
      </c>
      <c r="D194" s="27" t="n">
        <f aca="false">I22</f>
        <v>0.96</v>
      </c>
      <c r="E194" s="27" t="n">
        <f aca="false">J22</f>
        <v>0.93</v>
      </c>
      <c r="F194" s="27" t="n">
        <f aca="false">K22</f>
        <v>0.98</v>
      </c>
    </row>
    <row r="195" customFormat="false" ht="12.8" hidden="false" customHeight="false" outlineLevel="0" collapsed="false">
      <c r="A195" s="1" t="str">
        <f aca="false">_xlfn.CONCAT($A$173, ".", A23)</f>
        <v>FL.1.20</v>
      </c>
      <c r="B195" s="5" t="str">
        <f aca="false">_xlfn.CONCAT(B23, ": ", C23)</f>
        <v>Healthcare &amp; Social Assistance: Support</v>
      </c>
      <c r="C195" s="27" t="n">
        <f aca="false">H23</f>
        <v>0.972</v>
      </c>
      <c r="D195" s="27" t="n">
        <f aca="false">I23</f>
        <v>0.96</v>
      </c>
      <c r="E195" s="27" t="n">
        <f aca="false">J23</f>
        <v>0.93</v>
      </c>
      <c r="F195" s="27" t="n">
        <f aca="false">K23</f>
        <v>0.98</v>
      </c>
    </row>
    <row r="196" customFormat="false" ht="12.8" hidden="false" customHeight="false" outlineLevel="0" collapsed="false">
      <c r="A196" s="1" t="str">
        <f aca="false">_xlfn.CONCAT($A$173, ".", A24)</f>
        <v>FL.1.21</v>
      </c>
      <c r="B196" s="5" t="str">
        <f aca="false">_xlfn.CONCAT(B24, ": ", C24)</f>
        <v>Professional Services: Worker</v>
      </c>
      <c r="C196" s="27" t="n">
        <f aca="false">H24</f>
        <v>0.975</v>
      </c>
      <c r="D196" s="27" t="n">
        <f aca="false">I24</f>
        <v>0.96</v>
      </c>
      <c r="E196" s="27" t="n">
        <f aca="false">J24</f>
        <v>0.93</v>
      </c>
      <c r="F196" s="27" t="n">
        <f aca="false">K24</f>
        <v>0.977</v>
      </c>
    </row>
    <row r="197" customFormat="false" ht="12.8" hidden="false" customHeight="false" outlineLevel="0" collapsed="false">
      <c r="A197" s="1" t="str">
        <f aca="false">_xlfn.CONCAT($A$173, ".", A25)</f>
        <v>FL.1.22</v>
      </c>
      <c r="B197" s="5" t="str">
        <f aca="false">_xlfn.CONCAT(B25, ": ", C25)</f>
        <v>Professional Services: Support</v>
      </c>
      <c r="C197" s="27" t="n">
        <f aca="false">H25</f>
        <v>0.975</v>
      </c>
      <c r="D197" s="27" t="n">
        <f aca="false">I25</f>
        <v>0.96</v>
      </c>
      <c r="E197" s="27" t="n">
        <f aca="false">J25</f>
        <v>0.93</v>
      </c>
      <c r="F197" s="27" t="n">
        <f aca="false">K25</f>
        <v>0.977</v>
      </c>
    </row>
    <row r="198" customFormat="false" ht="12.8" hidden="false" customHeight="false" outlineLevel="0" collapsed="false">
      <c r="A198" s="1" t="str">
        <f aca="false">_xlfn.CONCAT($A$173, ".", A26)</f>
        <v>FL.1.23</v>
      </c>
      <c r="B198" s="5" t="str">
        <f aca="false">_xlfn.CONCAT(B26, ": ", C26)</f>
        <v>Educational Services: Worker</v>
      </c>
      <c r="C198" s="27" t="n">
        <f aca="false">H26</f>
        <v>0.98</v>
      </c>
      <c r="D198" s="27" t="n">
        <f aca="false">I26</f>
        <v>0.96</v>
      </c>
      <c r="E198" s="27" t="n">
        <f aca="false">J26</f>
        <v>0.93</v>
      </c>
      <c r="F198" s="27" t="n">
        <f aca="false">K26</f>
        <v>0.982</v>
      </c>
    </row>
    <row r="199" customFormat="false" ht="12.8" hidden="false" customHeight="false" outlineLevel="0" collapsed="false">
      <c r="A199" s="1" t="str">
        <f aca="false">_xlfn.CONCAT($A$173, ".", A27)</f>
        <v>FL.1.24</v>
      </c>
      <c r="B199" s="5" t="str">
        <f aca="false">_xlfn.CONCAT(B27, ": ", C27)</f>
        <v>Educational Services: Support</v>
      </c>
      <c r="C199" s="27" t="n">
        <f aca="false">H27</f>
        <v>0.98</v>
      </c>
      <c r="D199" s="27" t="n">
        <f aca="false">I27</f>
        <v>0.96</v>
      </c>
      <c r="E199" s="27" t="n">
        <f aca="false">J27</f>
        <v>0.93</v>
      </c>
      <c r="F199" s="27" t="n">
        <f aca="false">K27</f>
        <v>0.982</v>
      </c>
    </row>
    <row r="200" customFormat="false" ht="12.8" hidden="false" customHeight="false" outlineLevel="0" collapsed="false">
      <c r="A200" s="1" t="str">
        <f aca="false">_xlfn.CONCAT($A$173, ".", A28)</f>
        <v>FL.1.25</v>
      </c>
      <c r="B200" s="5" t="str">
        <f aca="false">_xlfn.CONCAT(B28, ": ", C28)</f>
        <v>Finance &amp; Insurance: Worker</v>
      </c>
      <c r="C200" s="27" t="n">
        <f aca="false">H28</f>
        <v>0.975</v>
      </c>
      <c r="D200" s="27" t="n">
        <f aca="false">I28</f>
        <v>0.96</v>
      </c>
      <c r="E200" s="27" t="n">
        <f aca="false">J28</f>
        <v>0.93</v>
      </c>
      <c r="F200" s="27" t="n">
        <f aca="false">K28</f>
        <v>0.977</v>
      </c>
    </row>
    <row r="201" customFormat="false" ht="12.8" hidden="false" customHeight="false" outlineLevel="0" collapsed="false">
      <c r="A201" s="1" t="str">
        <f aca="false">_xlfn.CONCAT($A$173, ".", A29)</f>
        <v>FL.1.26</v>
      </c>
      <c r="B201" s="5" t="str">
        <f aca="false">_xlfn.CONCAT(B29, ": ", C29)</f>
        <v>Finance &amp; Insurance: Support</v>
      </c>
      <c r="C201" s="27" t="n">
        <f aca="false">H29</f>
        <v>0.975</v>
      </c>
      <c r="D201" s="27" t="n">
        <f aca="false">I29</f>
        <v>0.96</v>
      </c>
      <c r="E201" s="27" t="n">
        <f aca="false">J29</f>
        <v>0.93</v>
      </c>
      <c r="F201" s="27" t="n">
        <f aca="false">K29</f>
        <v>0.977</v>
      </c>
    </row>
    <row r="202" customFormat="false" ht="12.8" hidden="false" customHeight="false" outlineLevel="0" collapsed="false">
      <c r="A202" s="1" t="str">
        <f aca="false">_xlfn.CONCAT($A$173, ".", A30)</f>
        <v>FL.1.27</v>
      </c>
      <c r="B202" s="5" t="str">
        <f aca="false">_xlfn.CONCAT(B30, ": ", C30)</f>
        <v>Media and Information Technology: Worker</v>
      </c>
      <c r="C202" s="27" t="n">
        <f aca="false">H30</f>
        <v>0.97</v>
      </c>
      <c r="D202" s="27" t="n">
        <f aca="false">I30</f>
        <v>0.95</v>
      </c>
      <c r="E202" s="27" t="n">
        <f aca="false">J30</f>
        <v>0.91</v>
      </c>
      <c r="F202" s="27" t="n">
        <f aca="false">K30</f>
        <v>0.972</v>
      </c>
    </row>
    <row r="203" customFormat="false" ht="12.8" hidden="false" customHeight="false" outlineLevel="0" collapsed="false">
      <c r="A203" s="1" t="str">
        <f aca="false">_xlfn.CONCAT($A$173, ".", A31)</f>
        <v>FL.1.28</v>
      </c>
      <c r="B203" s="5" t="str">
        <f aca="false">_xlfn.CONCAT(B31, ": ", C31)</f>
        <v>Media and Information Technology: Support</v>
      </c>
      <c r="C203" s="27" t="n">
        <f aca="false">H31</f>
        <v>0.97</v>
      </c>
      <c r="D203" s="27" t="n">
        <f aca="false">I31</f>
        <v>0.95</v>
      </c>
      <c r="E203" s="27" t="n">
        <f aca="false">J31</f>
        <v>0.91</v>
      </c>
      <c r="F203" s="27" t="n">
        <f aca="false">K31</f>
        <v>0.972</v>
      </c>
    </row>
    <row r="204" customFormat="false" ht="12.8" hidden="false" customHeight="false" outlineLevel="0" collapsed="false">
      <c r="A204" s="1" t="str">
        <f aca="false">_xlfn.CONCAT($A$173, ".", A32)</f>
        <v>FL.1.29</v>
      </c>
      <c r="B204" s="5" t="str">
        <f aca="false">_xlfn.CONCAT(B32, ": ", C32)</f>
        <v>Government: Worker</v>
      </c>
      <c r="C204" s="27" t="n">
        <f aca="false">H32</f>
        <v>0.975</v>
      </c>
      <c r="D204" s="27" t="n">
        <f aca="false">I32</f>
        <v>0.96</v>
      </c>
      <c r="E204" s="27" t="n">
        <f aca="false">J32</f>
        <v>0.94</v>
      </c>
      <c r="F204" s="27" t="n">
        <f aca="false">K32</f>
        <v>0.98</v>
      </c>
    </row>
    <row r="205" customFormat="false" ht="12.8" hidden="false" customHeight="false" outlineLevel="0" collapsed="false">
      <c r="A205" s="1" t="str">
        <f aca="false">_xlfn.CONCAT($A$173, ".", A33)</f>
        <v>FL.1.30</v>
      </c>
      <c r="B205" s="5" t="str">
        <f aca="false">_xlfn.CONCAT(B33, ": ", C33)</f>
        <v>Government: Support</v>
      </c>
      <c r="C205" s="27" t="n">
        <f aca="false">H33</f>
        <v>0.975</v>
      </c>
      <c r="D205" s="27" t="n">
        <f aca="false">I33</f>
        <v>0.96</v>
      </c>
      <c r="E205" s="27" t="n">
        <f aca="false">J33</f>
        <v>0.94</v>
      </c>
      <c r="F205" s="27" t="n">
        <f aca="false">K33</f>
        <v>0.975</v>
      </c>
    </row>
    <row r="206" customFormat="false" ht="12.8" hidden="false" customHeight="false" outlineLevel="0" collapsed="false">
      <c r="A206" s="1" t="str">
        <f aca="false">_xlfn.CONCAT($A$173, ".", A34)</f>
        <v>FL.1.31</v>
      </c>
      <c r="B206" s="5" t="str">
        <f aca="false">_xlfn.CONCAT(B34, ": ", C34)</f>
        <v>Self-Employed / Non-Employer: Worker</v>
      </c>
      <c r="C206" s="27" t="n">
        <f aca="false">H34</f>
        <v>0.965</v>
      </c>
      <c r="D206" s="27" t="n">
        <f aca="false">I34</f>
        <v>0.95</v>
      </c>
      <c r="E206" s="27" t="n">
        <f aca="false">J34</f>
        <v>0.9</v>
      </c>
      <c r="F206" s="27" t="n">
        <f aca="false">K34</f>
        <v>0.965</v>
      </c>
    </row>
    <row r="207" customFormat="false" ht="12.8" hidden="false" customHeight="false" outlineLevel="0" collapsed="false">
      <c r="A207" s="1" t="str">
        <f aca="false">_xlfn.CONCAT($A$173, ".", A35)</f>
        <v>FL.1.32</v>
      </c>
      <c r="B207" s="5" t="str">
        <f aca="false">_xlfn.CONCAT(B35, ": ", C35)</f>
        <v>Self-Employed / Non-Employer: Support</v>
      </c>
      <c r="C207" s="27" t="n">
        <f aca="false">H35</f>
        <v>0.965</v>
      </c>
      <c r="D207" s="27" t="n">
        <f aca="false">I35</f>
        <v>0.95</v>
      </c>
      <c r="E207" s="27" t="n">
        <f aca="false">J35</f>
        <v>0.9</v>
      </c>
      <c r="F207" s="27" t="n">
        <f aca="false">K35</f>
        <v>0.965</v>
      </c>
    </row>
    <row r="208" customFormat="false" ht="12.8" hidden="false" customHeight="false" outlineLevel="0" collapsed="false">
      <c r="A208" s="1" t="str">
        <f aca="false">_xlfn.CONCAT($A$173, ".", A36)</f>
        <v>FL.1.33</v>
      </c>
      <c r="B208" s="5" t="str">
        <f aca="false">_xlfn.CONCAT(B36, ": ", C36)</f>
        <v>Other Services: Worker</v>
      </c>
      <c r="C208" s="27" t="n">
        <f aca="false">H36</f>
        <v>0.963</v>
      </c>
      <c r="D208" s="27" t="n">
        <f aca="false">I36</f>
        <v>0.93</v>
      </c>
      <c r="E208" s="27" t="n">
        <f aca="false">J36</f>
        <v>0.88</v>
      </c>
      <c r="F208" s="27" t="n">
        <f aca="false">K36</f>
        <v>0.966</v>
      </c>
    </row>
    <row r="209" customFormat="false" ht="12.8" hidden="false" customHeight="false" outlineLevel="0" collapsed="false">
      <c r="A209" s="1" t="str">
        <f aca="false">_xlfn.CONCAT($A$173, ".", A37)</f>
        <v>FL.1.34</v>
      </c>
      <c r="B209" s="5" t="str">
        <f aca="false">_xlfn.CONCAT(B37, ": ", C37)</f>
        <v>Other Services: Support</v>
      </c>
      <c r="C209" s="27" t="n">
        <f aca="false">H37</f>
        <v>0.963</v>
      </c>
      <c r="D209" s="27" t="n">
        <f aca="false">I37</f>
        <v>0.93</v>
      </c>
      <c r="E209" s="27" t="n">
        <f aca="false">J37</f>
        <v>0.88</v>
      </c>
      <c r="F209" s="27" t="n">
        <f aca="false">K37</f>
        <v>0.966</v>
      </c>
    </row>
    <row r="210" customFormat="false" ht="12.8" hidden="false" customHeight="false" outlineLevel="0" collapsed="false">
      <c r="A210" s="1"/>
      <c r="B210" s="7"/>
      <c r="C210" s="27"/>
      <c r="D210" s="27"/>
      <c r="E210" s="27"/>
      <c r="F210" s="27"/>
    </row>
    <row r="307" customFormat="false" ht="12.8" hidden="false" customHeight="false" outlineLevel="0" collapsed="false">
      <c r="A307" s="5" t="s">
        <v>178</v>
      </c>
      <c r="B307" s="24" t="s">
        <v>175</v>
      </c>
      <c r="C307" s="25" t="s">
        <v>144</v>
      </c>
    </row>
    <row r="308" customFormat="false" ht="46.25" hidden="false" customHeight="false" outlineLevel="0" collapsed="false">
      <c r="A308" s="5" t="s">
        <v>26</v>
      </c>
      <c r="B308" s="26" t="s">
        <v>140</v>
      </c>
      <c r="C308" s="27" t="str">
        <f aca="false">L2</f>
        <v>Labor Force Participation Rate (LFPR)</v>
      </c>
      <c r="D308" s="27" t="str">
        <f aca="false">M2</f>
        <v>Authorized Immigrant Labor Force Participation Rate (LFPR)</v>
      </c>
      <c r="E308" s="27" t="str">
        <f aca="false">N2</f>
        <v>Unauthorized Immigrant Labor Force Participation Rate (LFPR)</v>
      </c>
      <c r="F308" s="27" t="str">
        <f aca="false">O2</f>
        <v>American Labor Force Participation Rate (LFPR)</v>
      </c>
    </row>
    <row r="309" customFormat="false" ht="12.8" hidden="false" customHeight="false" outlineLevel="0" collapsed="false">
      <c r="A309" s="1" t="str">
        <f aca="false">_xlfn.CONCAT($A$307, ".", A3)</f>
        <v>FL.2.0</v>
      </c>
      <c r="B309" s="5" t="str">
        <f aca="false">_xlfn.CONCAT(B3, ": ", C3)</f>
        <v>All Industries: All Roles</v>
      </c>
      <c r="C309" s="27" t="n">
        <f aca="false">L3</f>
        <v>0.575</v>
      </c>
      <c r="D309" s="27" t="n">
        <f aca="false">M3</f>
        <v>0.65</v>
      </c>
      <c r="E309" s="27" t="n">
        <f aca="false">N3</f>
        <v>0.72</v>
      </c>
      <c r="F309" s="27" t="n">
        <f aca="false">O3</f>
        <v>0.57</v>
      </c>
    </row>
    <row r="310" customFormat="false" ht="12.8" hidden="false" customHeight="false" outlineLevel="0" collapsed="false">
      <c r="A310" s="1" t="str">
        <f aca="false">_xlfn.CONCAT($A$307, ".", A4)</f>
        <v>FL.2.1</v>
      </c>
      <c r="B310" s="5" t="str">
        <f aca="false">_xlfn.CONCAT(B4, ": ", C4)</f>
        <v>Agriculture: Worker</v>
      </c>
      <c r="C310" s="27" t="n">
        <f aca="false">L4</f>
        <v>0.62</v>
      </c>
      <c r="D310" s="27" t="n">
        <f aca="false">M4</f>
        <v>0.68</v>
      </c>
      <c r="E310" s="27" t="n">
        <f aca="false">N4</f>
        <v>0.78</v>
      </c>
      <c r="F310" s="27" t="n">
        <f aca="false">O4</f>
        <v>0.6</v>
      </c>
    </row>
    <row r="311" customFormat="false" ht="12.8" hidden="false" customHeight="false" outlineLevel="0" collapsed="false">
      <c r="A311" s="1" t="str">
        <f aca="false">_xlfn.CONCAT($A$307, ".", A5)</f>
        <v>FL.2.2</v>
      </c>
      <c r="B311" s="5" t="str">
        <f aca="false">_xlfn.CONCAT(B5, ": ", C5)</f>
        <v>Agriculture: Support</v>
      </c>
      <c r="C311" s="27" t="n">
        <f aca="false">L5</f>
        <v>0.589</v>
      </c>
      <c r="D311" s="27" t="n">
        <f aca="false">M5</f>
        <v>0.646</v>
      </c>
      <c r="E311" s="27" t="n">
        <f aca="false">N5</f>
        <v>0.741</v>
      </c>
      <c r="F311" s="27" t="n">
        <f aca="false">O5</f>
        <v>0.57</v>
      </c>
    </row>
    <row r="312" customFormat="false" ht="12.8" hidden="false" customHeight="false" outlineLevel="0" collapsed="false">
      <c r="A312" s="1" t="str">
        <f aca="false">_xlfn.CONCAT($A$307, ".", A6)</f>
        <v>FL.2.3</v>
      </c>
      <c r="B312" s="5" t="str">
        <f aca="false">_xlfn.CONCAT(B6, ": ", C6)</f>
        <v>Construction: Worker</v>
      </c>
      <c r="C312" s="27" t="n">
        <f aca="false">L6</f>
        <v>0.61</v>
      </c>
      <c r="D312" s="27" t="n">
        <f aca="false">M6</f>
        <v>0.67</v>
      </c>
      <c r="E312" s="27" t="n">
        <f aca="false">N6</f>
        <v>0.76</v>
      </c>
      <c r="F312" s="27" t="n">
        <f aca="false">O6</f>
        <v>0.59</v>
      </c>
    </row>
    <row r="313" customFormat="false" ht="12.8" hidden="false" customHeight="false" outlineLevel="0" collapsed="false">
      <c r="A313" s="1" t="str">
        <f aca="false">_xlfn.CONCAT($A$307, ".", A7)</f>
        <v>FL.2.4</v>
      </c>
      <c r="B313" s="5" t="str">
        <f aca="false">_xlfn.CONCAT(B7, ": ", C7)</f>
        <v>Construction: Support</v>
      </c>
      <c r="C313" s="27" t="n">
        <f aca="false">L7</f>
        <v>0.579</v>
      </c>
      <c r="D313" s="27" t="n">
        <f aca="false">M7</f>
        <v>0.637</v>
      </c>
      <c r="E313" s="27" t="n">
        <f aca="false">N7</f>
        <v>0.722</v>
      </c>
      <c r="F313" s="27" t="n">
        <f aca="false">O7</f>
        <v>0.56</v>
      </c>
    </row>
    <row r="314" customFormat="false" ht="12.8" hidden="false" customHeight="false" outlineLevel="0" collapsed="false">
      <c r="A314" s="1" t="str">
        <f aca="false">_xlfn.CONCAT($A$307, ".", A8)</f>
        <v>FL.2.5</v>
      </c>
      <c r="B314" s="5" t="str">
        <f aca="false">_xlfn.CONCAT(B8, ": ", C8)</f>
        <v>Hospitality: Worker</v>
      </c>
      <c r="C314" s="27" t="n">
        <f aca="false">L8</f>
        <v>0.58</v>
      </c>
      <c r="D314" s="27" t="n">
        <f aca="false">M8</f>
        <v>0.64</v>
      </c>
      <c r="E314" s="27" t="n">
        <f aca="false">N8</f>
        <v>0.71</v>
      </c>
      <c r="F314" s="27" t="n">
        <f aca="false">O8</f>
        <v>0.57</v>
      </c>
    </row>
    <row r="315" customFormat="false" ht="12.8" hidden="false" customHeight="false" outlineLevel="0" collapsed="false">
      <c r="A315" s="1" t="str">
        <f aca="false">_xlfn.CONCAT($A$307, ".", A9)</f>
        <v>FL.2.6</v>
      </c>
      <c r="B315" s="5" t="str">
        <f aca="false">_xlfn.CONCAT(B9, ": ", C9)</f>
        <v>Hospitality: Support</v>
      </c>
      <c r="C315" s="27" t="n">
        <f aca="false">L9</f>
        <v>0.551</v>
      </c>
      <c r="D315" s="27" t="n">
        <f aca="false">M9</f>
        <v>0.608</v>
      </c>
      <c r="E315" s="27" t="n">
        <f aca="false">N9</f>
        <v>0.674</v>
      </c>
      <c r="F315" s="27" t="n">
        <f aca="false">O9</f>
        <v>0.542</v>
      </c>
    </row>
    <row r="316" customFormat="false" ht="12.8" hidden="false" customHeight="false" outlineLevel="0" collapsed="false">
      <c r="A316" s="1" t="str">
        <f aca="false">_xlfn.CONCAT($A$307, ".", A10)</f>
        <v>FL.2.7</v>
      </c>
      <c r="B316" s="5" t="str">
        <f aca="false">_xlfn.CONCAT(B10, ": ", C10)</f>
        <v>Cleaning &amp; Maintenance: Worker</v>
      </c>
      <c r="C316" s="27" t="n">
        <f aca="false">L10</f>
        <v>0.595</v>
      </c>
      <c r="D316" s="27" t="n">
        <f aca="false">M10</f>
        <v>0.655</v>
      </c>
      <c r="E316" s="27" t="n">
        <f aca="false">N10</f>
        <v>0.74</v>
      </c>
      <c r="F316" s="27" t="n">
        <f aca="false">O10</f>
        <v>0.58</v>
      </c>
    </row>
    <row r="317" customFormat="false" ht="12.8" hidden="false" customHeight="false" outlineLevel="0" collapsed="false">
      <c r="A317" s="1" t="str">
        <f aca="false">_xlfn.CONCAT($A$307, ".", A11)</f>
        <v>FL.2.8</v>
      </c>
      <c r="B317" s="5" t="str">
        <f aca="false">_xlfn.CONCAT(B11, ": ", C11)</f>
        <v>Cleaning &amp; Maintenance: Support</v>
      </c>
      <c r="C317" s="27" t="n">
        <f aca="false">L11</f>
        <v>0.565</v>
      </c>
      <c r="D317" s="27" t="n">
        <f aca="false">M11</f>
        <v>0.622</v>
      </c>
      <c r="E317" s="27" t="n">
        <f aca="false">N11</f>
        <v>0.703</v>
      </c>
      <c r="F317" s="27" t="n">
        <f aca="false">O11</f>
        <v>0.551</v>
      </c>
    </row>
    <row r="318" customFormat="false" ht="12.8" hidden="false" customHeight="false" outlineLevel="0" collapsed="false">
      <c r="A318" s="1" t="str">
        <f aca="false">_xlfn.CONCAT($A$307, ".", A12)</f>
        <v>FL.2.9</v>
      </c>
      <c r="B318" s="5" t="str">
        <f aca="false">_xlfn.CONCAT(B12, ": ", C12)</f>
        <v>Manufacturing: Worker</v>
      </c>
      <c r="C318" s="27" t="n">
        <f aca="false">L12</f>
        <v>0.605</v>
      </c>
      <c r="D318" s="27" t="n">
        <f aca="false">M12</f>
        <v>0.665</v>
      </c>
      <c r="E318" s="27" t="n">
        <f aca="false">N12</f>
        <v>0.74</v>
      </c>
      <c r="F318" s="27" t="n">
        <f aca="false">O12</f>
        <v>0.59</v>
      </c>
    </row>
    <row r="319" customFormat="false" ht="12.8" hidden="false" customHeight="false" outlineLevel="0" collapsed="false">
      <c r="A319" s="1" t="str">
        <f aca="false">_xlfn.CONCAT($A$307, ".", A13)</f>
        <v>FL.2.10</v>
      </c>
      <c r="B319" s="5" t="str">
        <f aca="false">_xlfn.CONCAT(B13, ": ", C13)</f>
        <v>Manufacturing: Support</v>
      </c>
      <c r="C319" s="27" t="n">
        <f aca="false">L13</f>
        <v>0.575</v>
      </c>
      <c r="D319" s="27" t="n">
        <f aca="false">M13</f>
        <v>0.632</v>
      </c>
      <c r="E319" s="27" t="n">
        <f aca="false">N13</f>
        <v>0.703</v>
      </c>
      <c r="F319" s="27" t="n">
        <f aca="false">O13</f>
        <v>0.56</v>
      </c>
    </row>
    <row r="320" customFormat="false" ht="12.8" hidden="false" customHeight="false" outlineLevel="0" collapsed="false">
      <c r="A320" s="1" t="str">
        <f aca="false">_xlfn.CONCAT($A$307, ".", A14)</f>
        <v>FL.2.11</v>
      </c>
      <c r="B320" s="5" t="str">
        <f aca="false">_xlfn.CONCAT(B14, ": ", C14)</f>
        <v>Transportation &amp; Warehousing: Worker</v>
      </c>
      <c r="C320" s="27" t="n">
        <f aca="false">L14</f>
        <v>0.605</v>
      </c>
      <c r="D320" s="27" t="n">
        <f aca="false">M14</f>
        <v>0.665</v>
      </c>
      <c r="E320" s="27" t="n">
        <f aca="false">N14</f>
        <v>0.74</v>
      </c>
      <c r="F320" s="27" t="n">
        <f aca="false">O14</f>
        <v>0.59</v>
      </c>
    </row>
    <row r="321" customFormat="false" ht="12.8" hidden="false" customHeight="false" outlineLevel="0" collapsed="false">
      <c r="A321" s="1" t="str">
        <f aca="false">_xlfn.CONCAT($A$307, ".", A15)</f>
        <v>FL.2.12</v>
      </c>
      <c r="B321" s="5" t="str">
        <f aca="false">_xlfn.CONCAT(B15, ": ", C15)</f>
        <v>Transportation &amp; Warehousing: Support</v>
      </c>
      <c r="C321" s="27" t="n">
        <f aca="false">L15</f>
        <v>0.575</v>
      </c>
      <c r="D321" s="27" t="n">
        <f aca="false">M15</f>
        <v>0.632</v>
      </c>
      <c r="E321" s="27" t="n">
        <f aca="false">N15</f>
        <v>0.703</v>
      </c>
      <c r="F321" s="27" t="n">
        <f aca="false">O15</f>
        <v>0.56</v>
      </c>
    </row>
    <row r="322" customFormat="false" ht="12.8" hidden="false" customHeight="false" outlineLevel="0" collapsed="false">
      <c r="A322" s="1" t="str">
        <f aca="false">_xlfn.CONCAT($A$307, ".", A16)</f>
        <v>FL.2.13</v>
      </c>
      <c r="B322" s="5" t="str">
        <f aca="false">_xlfn.CONCAT(B16, ": ", C16)</f>
        <v>Retail Trade: Worker</v>
      </c>
      <c r="C322" s="27" t="n">
        <f aca="false">L16</f>
        <v>0.58</v>
      </c>
      <c r="D322" s="27" t="n">
        <f aca="false">M16</f>
        <v>0.64</v>
      </c>
      <c r="E322" s="27" t="n">
        <f aca="false">N16</f>
        <v>0.71</v>
      </c>
      <c r="F322" s="27" t="n">
        <f aca="false">O16</f>
        <v>0.57</v>
      </c>
    </row>
    <row r="323" customFormat="false" ht="12.8" hidden="false" customHeight="false" outlineLevel="0" collapsed="false">
      <c r="A323" s="1" t="str">
        <f aca="false">_xlfn.CONCAT($A$307, ".", A17)</f>
        <v>FL.2.14</v>
      </c>
      <c r="B323" s="5" t="str">
        <f aca="false">_xlfn.CONCAT(B17, ": ", C17)</f>
        <v>Retail Trade: Support</v>
      </c>
      <c r="C323" s="27" t="n">
        <f aca="false">L17</f>
        <v>0.551</v>
      </c>
      <c r="D323" s="27" t="n">
        <f aca="false">M17</f>
        <v>0.608</v>
      </c>
      <c r="E323" s="27" t="n">
        <f aca="false">N17</f>
        <v>0.674</v>
      </c>
      <c r="F323" s="27" t="n">
        <f aca="false">O17</f>
        <v>0.542</v>
      </c>
    </row>
    <row r="324" customFormat="false" ht="12.8" hidden="false" customHeight="false" outlineLevel="0" collapsed="false">
      <c r="A324" s="1" t="str">
        <f aca="false">_xlfn.CONCAT($A$307, ".", A18)</f>
        <v>FL.2.15</v>
      </c>
      <c r="B324" s="5" t="str">
        <f aca="false">_xlfn.CONCAT(B18, ": ", C18)</f>
        <v>Landscaping / Groundskeeping: Worker</v>
      </c>
      <c r="C324" s="27" t="n">
        <f aca="false">L18</f>
        <v>0.62</v>
      </c>
      <c r="D324" s="27" t="n">
        <f aca="false">M18</f>
        <v>0.68</v>
      </c>
      <c r="E324" s="27" t="n">
        <f aca="false">N18</f>
        <v>0.78</v>
      </c>
      <c r="F324" s="27" t="n">
        <f aca="false">O18</f>
        <v>0.6</v>
      </c>
    </row>
    <row r="325" customFormat="false" ht="12.8" hidden="false" customHeight="false" outlineLevel="0" collapsed="false">
      <c r="A325" s="1" t="str">
        <f aca="false">_xlfn.CONCAT($A$307, ".", A19)</f>
        <v>FL.2.16</v>
      </c>
      <c r="B325" s="5" t="str">
        <f aca="false">_xlfn.CONCAT(B19, ": ", C19)</f>
        <v>Landscaping / Groundskeeping: Support</v>
      </c>
      <c r="C325" s="27" t="n">
        <f aca="false">L19</f>
        <v>0.589</v>
      </c>
      <c r="D325" s="27" t="n">
        <f aca="false">M19</f>
        <v>0.646</v>
      </c>
      <c r="E325" s="27" t="n">
        <f aca="false">N19</f>
        <v>0.741</v>
      </c>
      <c r="F325" s="27" t="n">
        <f aca="false">O19</f>
        <v>0.57</v>
      </c>
    </row>
    <row r="326" customFormat="false" ht="12.8" hidden="false" customHeight="false" outlineLevel="0" collapsed="false">
      <c r="A326" s="1" t="str">
        <f aca="false">_xlfn.CONCAT($A$307, ".", A20)</f>
        <v>FL.2.17</v>
      </c>
      <c r="B326" s="5" t="str">
        <f aca="false">_xlfn.CONCAT(B20, ": ", C20)</f>
        <v>Automotive &amp; Repair: Worker</v>
      </c>
      <c r="C326" s="27" t="n">
        <f aca="false">L20</f>
        <v>0.605</v>
      </c>
      <c r="D326" s="27" t="n">
        <f aca="false">M20</f>
        <v>0.665</v>
      </c>
      <c r="E326" s="27" t="n">
        <f aca="false">N20</f>
        <v>0.74</v>
      </c>
      <c r="F326" s="27" t="n">
        <f aca="false">O20</f>
        <v>0.59</v>
      </c>
    </row>
    <row r="327" customFormat="false" ht="12.8" hidden="false" customHeight="false" outlineLevel="0" collapsed="false">
      <c r="A327" s="1" t="str">
        <f aca="false">_xlfn.CONCAT($A$307, ".", A21)</f>
        <v>FL.2.18</v>
      </c>
      <c r="B327" s="5" t="str">
        <f aca="false">_xlfn.CONCAT(B21, ": ", C21)</f>
        <v>Automotive &amp; Repair: Support</v>
      </c>
      <c r="C327" s="27" t="n">
        <f aca="false">L21</f>
        <v>0.575</v>
      </c>
      <c r="D327" s="27" t="n">
        <f aca="false">M21</f>
        <v>0.632</v>
      </c>
      <c r="E327" s="27" t="n">
        <f aca="false">N21</f>
        <v>0.703</v>
      </c>
      <c r="F327" s="27" t="n">
        <f aca="false">O21</f>
        <v>0.56</v>
      </c>
    </row>
    <row r="328" customFormat="false" ht="12.8" hidden="false" customHeight="false" outlineLevel="0" collapsed="false">
      <c r="A328" s="1" t="str">
        <f aca="false">_xlfn.CONCAT($A$307, ".", A22)</f>
        <v>FL.2.19</v>
      </c>
      <c r="B328" s="5" t="str">
        <f aca="false">_xlfn.CONCAT(B22, ": ", C22)</f>
        <v>Healthcare &amp; Social Assistance: Worker</v>
      </c>
      <c r="C328" s="27" t="n">
        <f aca="false">L22</f>
        <v>0.605</v>
      </c>
      <c r="D328" s="27" t="n">
        <f aca="false">M22</f>
        <v>0.665</v>
      </c>
      <c r="E328" s="27" t="n">
        <f aca="false">N22</f>
        <v>0.74</v>
      </c>
      <c r="F328" s="27" t="n">
        <f aca="false">O22</f>
        <v>0.59</v>
      </c>
    </row>
    <row r="329" customFormat="false" ht="12.8" hidden="false" customHeight="false" outlineLevel="0" collapsed="false">
      <c r="A329" s="1" t="str">
        <f aca="false">_xlfn.CONCAT($A$307, ".", A23)</f>
        <v>FL.2.20</v>
      </c>
      <c r="B329" s="5" t="str">
        <f aca="false">_xlfn.CONCAT(B23, ": ", C23)</f>
        <v>Healthcare &amp; Social Assistance: Support</v>
      </c>
      <c r="C329" s="27" t="n">
        <f aca="false">L23</f>
        <v>0.575</v>
      </c>
      <c r="D329" s="27" t="n">
        <f aca="false">M23</f>
        <v>0.632</v>
      </c>
      <c r="E329" s="27" t="n">
        <f aca="false">N23</f>
        <v>0.703</v>
      </c>
      <c r="F329" s="27" t="n">
        <f aca="false">O23</f>
        <v>0.56</v>
      </c>
    </row>
    <row r="330" customFormat="false" ht="12.8" hidden="false" customHeight="false" outlineLevel="0" collapsed="false">
      <c r="A330" s="1" t="str">
        <f aca="false">_xlfn.CONCAT($A$307, ".", A24)</f>
        <v>FL.2.21</v>
      </c>
      <c r="B330" s="5" t="str">
        <f aca="false">_xlfn.CONCAT(B24, ": ", C24)</f>
        <v>Professional Services: Worker</v>
      </c>
      <c r="C330" s="27" t="n">
        <f aca="false">L24</f>
        <v>0.605</v>
      </c>
      <c r="D330" s="27" t="n">
        <f aca="false">M24</f>
        <v>0.665</v>
      </c>
      <c r="E330" s="27" t="n">
        <f aca="false">N24</f>
        <v>0.74</v>
      </c>
      <c r="F330" s="27" t="n">
        <f aca="false">O24</f>
        <v>0.59</v>
      </c>
    </row>
    <row r="331" customFormat="false" ht="12.8" hidden="false" customHeight="false" outlineLevel="0" collapsed="false">
      <c r="A331" s="1" t="str">
        <f aca="false">_xlfn.CONCAT($A$307, ".", A25)</f>
        <v>FL.2.22</v>
      </c>
      <c r="B331" s="5" t="str">
        <f aca="false">_xlfn.CONCAT(B25, ": ", C25)</f>
        <v>Professional Services: Support</v>
      </c>
      <c r="C331" s="27" t="n">
        <f aca="false">L25</f>
        <v>0.575</v>
      </c>
      <c r="D331" s="27" t="n">
        <f aca="false">M25</f>
        <v>0.632</v>
      </c>
      <c r="E331" s="27" t="n">
        <f aca="false">N25</f>
        <v>0.703</v>
      </c>
      <c r="F331" s="27" t="n">
        <f aca="false">O25</f>
        <v>0.56</v>
      </c>
    </row>
    <row r="332" customFormat="false" ht="12.8" hidden="false" customHeight="false" outlineLevel="0" collapsed="false">
      <c r="A332" s="1" t="str">
        <f aca="false">_xlfn.CONCAT($A$307, ".", A26)</f>
        <v>FL.2.23</v>
      </c>
      <c r="B332" s="5" t="str">
        <f aca="false">_xlfn.CONCAT(B26, ": ", C26)</f>
        <v>Educational Services: Worker</v>
      </c>
      <c r="C332" s="27" t="n">
        <f aca="false">L26</f>
        <v>0.605</v>
      </c>
      <c r="D332" s="27" t="n">
        <f aca="false">M26</f>
        <v>0.665</v>
      </c>
      <c r="E332" s="27" t="n">
        <f aca="false">N26</f>
        <v>0.74</v>
      </c>
      <c r="F332" s="27" t="n">
        <f aca="false">O26</f>
        <v>0.59</v>
      </c>
    </row>
    <row r="333" customFormat="false" ht="12.8" hidden="false" customHeight="false" outlineLevel="0" collapsed="false">
      <c r="A333" s="1" t="str">
        <f aca="false">_xlfn.CONCAT($A$307, ".", A27)</f>
        <v>FL.2.24</v>
      </c>
      <c r="B333" s="5" t="str">
        <f aca="false">_xlfn.CONCAT(B27, ": ", C27)</f>
        <v>Educational Services: Support</v>
      </c>
      <c r="C333" s="27" t="n">
        <f aca="false">L27</f>
        <v>0.575</v>
      </c>
      <c r="D333" s="27" t="n">
        <f aca="false">M27</f>
        <v>0.632</v>
      </c>
      <c r="E333" s="27" t="n">
        <f aca="false">N27</f>
        <v>0.703</v>
      </c>
      <c r="F333" s="27" t="n">
        <f aca="false">O27</f>
        <v>0.56</v>
      </c>
    </row>
    <row r="334" customFormat="false" ht="12.8" hidden="false" customHeight="false" outlineLevel="0" collapsed="false">
      <c r="A334" s="1" t="str">
        <f aca="false">_xlfn.CONCAT($A$307, ".", A28)</f>
        <v>FL.2.25</v>
      </c>
      <c r="B334" s="5" t="str">
        <f aca="false">_xlfn.CONCAT(B28, ": ", C28)</f>
        <v>Finance &amp; Insurance: Worker</v>
      </c>
      <c r="C334" s="27" t="n">
        <f aca="false">L28</f>
        <v>0.605</v>
      </c>
      <c r="D334" s="27" t="n">
        <f aca="false">M28</f>
        <v>0.665</v>
      </c>
      <c r="E334" s="27" t="n">
        <f aca="false">N28</f>
        <v>0.74</v>
      </c>
      <c r="F334" s="27" t="n">
        <f aca="false">O28</f>
        <v>0.59</v>
      </c>
    </row>
    <row r="335" customFormat="false" ht="12.8" hidden="false" customHeight="false" outlineLevel="0" collapsed="false">
      <c r="A335" s="1" t="str">
        <f aca="false">_xlfn.CONCAT($A$307, ".", A29)</f>
        <v>FL.2.26</v>
      </c>
      <c r="B335" s="5" t="str">
        <f aca="false">_xlfn.CONCAT(B29, ": ", C29)</f>
        <v>Finance &amp; Insurance: Support</v>
      </c>
      <c r="C335" s="27" t="n">
        <f aca="false">L29</f>
        <v>0.575</v>
      </c>
      <c r="D335" s="27" t="n">
        <f aca="false">M29</f>
        <v>0.632</v>
      </c>
      <c r="E335" s="27" t="n">
        <f aca="false">N29</f>
        <v>0.703</v>
      </c>
      <c r="F335" s="27" t="n">
        <f aca="false">O29</f>
        <v>0.56</v>
      </c>
    </row>
    <row r="336" customFormat="false" ht="12.8" hidden="false" customHeight="false" outlineLevel="0" collapsed="false">
      <c r="A336" s="1" t="str">
        <f aca="false">_xlfn.CONCAT($A$307, ".", A30)</f>
        <v>FL.2.27</v>
      </c>
      <c r="B336" s="5" t="str">
        <f aca="false">_xlfn.CONCAT(B30, ": ", C30)</f>
        <v>Media and Information Technology: Worker</v>
      </c>
      <c r="C336" s="27" t="n">
        <f aca="false">L30</f>
        <v>0.605</v>
      </c>
      <c r="D336" s="27" t="n">
        <f aca="false">M30</f>
        <v>0.665</v>
      </c>
      <c r="E336" s="27" t="n">
        <f aca="false">N30</f>
        <v>0.74</v>
      </c>
      <c r="F336" s="27" t="n">
        <f aca="false">O30</f>
        <v>0.59</v>
      </c>
    </row>
    <row r="337" customFormat="false" ht="12.8" hidden="false" customHeight="false" outlineLevel="0" collapsed="false">
      <c r="A337" s="1" t="str">
        <f aca="false">_xlfn.CONCAT($A$307, ".", A31)</f>
        <v>FL.2.28</v>
      </c>
      <c r="B337" s="5" t="str">
        <f aca="false">_xlfn.CONCAT(B31, ": ", C31)</f>
        <v>Media and Information Technology: Support</v>
      </c>
      <c r="C337" s="27" t="n">
        <f aca="false">L31</f>
        <v>0.575</v>
      </c>
      <c r="D337" s="27" t="n">
        <f aca="false">M31</f>
        <v>0.632</v>
      </c>
      <c r="E337" s="27" t="n">
        <f aca="false">N31</f>
        <v>0.703</v>
      </c>
      <c r="F337" s="27" t="n">
        <f aca="false">O31</f>
        <v>0.56</v>
      </c>
    </row>
    <row r="338" customFormat="false" ht="12.8" hidden="false" customHeight="false" outlineLevel="0" collapsed="false">
      <c r="A338" s="1" t="str">
        <f aca="false">_xlfn.CONCAT($A$307, ".", A32)</f>
        <v>FL.2.29</v>
      </c>
      <c r="B338" s="5" t="str">
        <f aca="false">_xlfn.CONCAT(B32, ": ", C32)</f>
        <v>Government: Worker</v>
      </c>
      <c r="C338" s="27" t="n">
        <f aca="false">L32</f>
        <v>0.575</v>
      </c>
      <c r="D338" s="27" t="n">
        <f aca="false">M32</f>
        <v>0.625</v>
      </c>
      <c r="E338" s="27" t="n">
        <f aca="false">N32</f>
        <v>0.684</v>
      </c>
      <c r="F338" s="27" t="n">
        <f aca="false">O32</f>
        <v>0.56</v>
      </c>
    </row>
    <row r="339" customFormat="false" ht="12.8" hidden="false" customHeight="false" outlineLevel="0" collapsed="false">
      <c r="A339" s="1" t="str">
        <f aca="false">_xlfn.CONCAT($A$307, ".", A33)</f>
        <v>FL.2.30</v>
      </c>
      <c r="B339" s="5" t="str">
        <f aca="false">_xlfn.CONCAT(B33, ": ", C33)</f>
        <v>Government: Support</v>
      </c>
      <c r="C339" s="27" t="n">
        <f aca="false">L33</f>
        <v>0.546</v>
      </c>
      <c r="D339" s="27" t="n">
        <f aca="false">M33</f>
        <v>0.594</v>
      </c>
      <c r="E339" s="27" t="n">
        <f aca="false">N33</f>
        <v>0.65</v>
      </c>
      <c r="F339" s="27" t="n">
        <f aca="false">O33</f>
        <v>0.532</v>
      </c>
    </row>
    <row r="340" customFormat="false" ht="12.8" hidden="false" customHeight="false" outlineLevel="0" collapsed="false">
      <c r="A340" s="1" t="str">
        <f aca="false">_xlfn.CONCAT($A$307, ".", A34)</f>
        <v>FL.2.31</v>
      </c>
      <c r="B340" s="5" t="str">
        <f aca="false">_xlfn.CONCAT(B34, ": ", C34)</f>
        <v>Self-Employed / Non-Employer: Worker</v>
      </c>
      <c r="C340" s="27" t="n">
        <f aca="false">L34</f>
        <v>0.68</v>
      </c>
      <c r="D340" s="27" t="n">
        <f aca="false">M34</f>
        <v>0.72</v>
      </c>
      <c r="E340" s="27" t="n">
        <f aca="false">N34</f>
        <v>0.75</v>
      </c>
      <c r="F340" s="27" t="n">
        <f aca="false">O34</f>
        <v>0.68</v>
      </c>
    </row>
    <row r="341" customFormat="false" ht="12.8" hidden="false" customHeight="false" outlineLevel="0" collapsed="false">
      <c r="A341" s="1" t="str">
        <f aca="false">_xlfn.CONCAT($A$307, ".", A35)</f>
        <v>FL.2.32</v>
      </c>
      <c r="B341" s="5" t="str">
        <f aca="false">_xlfn.CONCAT(B35, ": ", C35)</f>
        <v>Self-Employed / Non-Employer: Support</v>
      </c>
      <c r="C341" s="27" t="n">
        <f aca="false">L35</f>
        <v>0.646</v>
      </c>
      <c r="D341" s="27" t="n">
        <f aca="false">M35</f>
        <v>0.684</v>
      </c>
      <c r="E341" s="27" t="n">
        <f aca="false">N35</f>
        <v>0.713</v>
      </c>
      <c r="F341" s="27" t="n">
        <f aca="false">O35</f>
        <v>0.646</v>
      </c>
    </row>
    <row r="342" customFormat="false" ht="12.8" hidden="false" customHeight="false" outlineLevel="0" collapsed="false">
      <c r="A342" s="1" t="str">
        <f aca="false">_xlfn.CONCAT($A$307, ".", A36)</f>
        <v>FL.2.33</v>
      </c>
      <c r="B342" s="5" t="str">
        <f aca="false">_xlfn.CONCAT(B36, ": ", C36)</f>
        <v>Other Services: Worker</v>
      </c>
      <c r="C342" s="27" t="n">
        <f aca="false">L36</f>
        <v>0.58</v>
      </c>
      <c r="D342" s="27" t="n">
        <f aca="false">M36</f>
        <v>0.64</v>
      </c>
      <c r="E342" s="27" t="n">
        <f aca="false">N36</f>
        <v>0.71</v>
      </c>
      <c r="F342" s="27" t="n">
        <f aca="false">O36</f>
        <v>0.57</v>
      </c>
    </row>
    <row r="343" customFormat="false" ht="12.8" hidden="false" customHeight="false" outlineLevel="0" collapsed="false">
      <c r="A343" s="1" t="str">
        <f aca="false">_xlfn.CONCAT($A$307, ".", A37)</f>
        <v>FL.2.34</v>
      </c>
      <c r="B343" s="5" t="str">
        <f aca="false">_xlfn.CONCAT(B37, ": ", C37)</f>
        <v>Other Services: Support</v>
      </c>
      <c r="C343" s="27" t="n">
        <f aca="false">L37</f>
        <v>0.551</v>
      </c>
      <c r="D343" s="27" t="n">
        <f aca="false">M37</f>
        <v>0.608</v>
      </c>
      <c r="E343" s="27" t="n">
        <f aca="false">N37</f>
        <v>0.674</v>
      </c>
      <c r="F343" s="27" t="n">
        <f aca="false">O37</f>
        <v>0.542</v>
      </c>
    </row>
    <row r="344" customFormat="false" ht="12.8" hidden="false" customHeight="false" outlineLevel="0" collapsed="false">
      <c r="A344" s="1"/>
      <c r="B344" s="5"/>
      <c r="C344" s="27"/>
      <c r="D344" s="27"/>
      <c r="E344" s="27"/>
      <c r="F344" s="27"/>
    </row>
    <row r="441" customFormat="false" ht="12.8" hidden="false" customHeight="false" outlineLevel="0" collapsed="false">
      <c r="A441" s="5" t="s">
        <v>179</v>
      </c>
      <c r="B441" s="24" t="s">
        <v>175</v>
      </c>
      <c r="C441" s="25" t="s">
        <v>146</v>
      </c>
    </row>
    <row r="442" customFormat="false" ht="46.25" hidden="false" customHeight="false" outlineLevel="0" collapsed="false">
      <c r="A442" s="5" t="s">
        <v>26</v>
      </c>
      <c r="B442" s="26" t="s">
        <v>140</v>
      </c>
      <c r="C442" s="27" t="str">
        <f aca="false">P2</f>
        <v>Unemployment Rate</v>
      </c>
      <c r="D442" s="27" t="str">
        <f aca="false">Q2</f>
        <v>Authorized Immigrant Unemployment Rate</v>
      </c>
      <c r="E442" s="27" t="str">
        <f aca="false">R2</f>
        <v>Unauthorized Immigrant Unemployment Rate</v>
      </c>
      <c r="F442" s="27" t="str">
        <f aca="false">S2</f>
        <v>American Unemployment Rate</v>
      </c>
    </row>
    <row r="443" customFormat="false" ht="12.8" hidden="false" customHeight="false" outlineLevel="0" collapsed="false">
      <c r="A443" s="5" t="str">
        <f aca="false">_xlfn.CONCAT($A$441, ".", A3)</f>
        <v>FL.3.0</v>
      </c>
      <c r="B443" s="5" t="str">
        <f aca="false">_xlfn.CONCAT(B3, ": ", C3)</f>
        <v>All Industries: All Roles</v>
      </c>
      <c r="C443" s="27" t="n">
        <f aca="false">P3</f>
        <v>0.043</v>
      </c>
      <c r="D443" s="27" t="n">
        <f aca="false">Q3</f>
        <v>0.05</v>
      </c>
      <c r="E443" s="27" t="n">
        <f aca="false">R3</f>
        <v>0.055</v>
      </c>
      <c r="F443" s="27" t="n">
        <f aca="false">S3</f>
        <v>0.04</v>
      </c>
    </row>
    <row r="444" customFormat="false" ht="12.8" hidden="false" customHeight="false" outlineLevel="0" collapsed="false">
      <c r="A444" s="7" t="str">
        <f aca="false">_xlfn.CONCAT($A$441, ".", A4)</f>
        <v>FL.3.1</v>
      </c>
      <c r="B444" s="7" t="str">
        <f aca="false">_xlfn.CONCAT(B4, ": ", C4)</f>
        <v>Agriculture: Worker</v>
      </c>
      <c r="C444" s="16" t="n">
        <f aca="false">P4</f>
        <v>0.055</v>
      </c>
      <c r="D444" s="16" t="n">
        <f aca="false">Q4</f>
        <v>0.07</v>
      </c>
      <c r="E444" s="16" t="n">
        <f aca="false">R4</f>
        <v>0.11</v>
      </c>
      <c r="F444" s="16" t="n">
        <f aca="false">S4</f>
        <v>0.045</v>
      </c>
    </row>
    <row r="445" customFormat="false" ht="12.8" hidden="false" customHeight="false" outlineLevel="0" collapsed="false">
      <c r="A445" s="7" t="str">
        <f aca="false">_xlfn.CONCAT($A$441, ".", A5)</f>
        <v>FL.3.2</v>
      </c>
      <c r="B445" s="7" t="str">
        <f aca="false">_xlfn.CONCAT(B5, ": ", C5)</f>
        <v>Agriculture: Support</v>
      </c>
      <c r="C445" s="16" t="n">
        <f aca="false">P5</f>
        <v>0.055</v>
      </c>
      <c r="D445" s="16" t="n">
        <f aca="false">Q5</f>
        <v>0.07</v>
      </c>
      <c r="E445" s="16" t="n">
        <f aca="false">R5</f>
        <v>0.11</v>
      </c>
      <c r="F445" s="16" t="n">
        <f aca="false">S5</f>
        <v>0.045</v>
      </c>
    </row>
    <row r="446" customFormat="false" ht="12.8" hidden="false" customHeight="false" outlineLevel="0" collapsed="false">
      <c r="A446" s="7" t="str">
        <f aca="false">_xlfn.CONCAT($A$441, ".", A6)</f>
        <v>FL.3.3</v>
      </c>
      <c r="B446" s="7" t="str">
        <f aca="false">_xlfn.CONCAT(B6, ": ", C6)</f>
        <v>Construction: Worker</v>
      </c>
      <c r="C446" s="16" t="n">
        <f aca="false">P6</f>
        <v>0.042</v>
      </c>
      <c r="D446" s="16" t="n">
        <f aca="false">Q6</f>
        <v>0.06</v>
      </c>
      <c r="E446" s="16" t="n">
        <f aca="false">R6</f>
        <v>0.1</v>
      </c>
      <c r="F446" s="16" t="n">
        <f aca="false">S6</f>
        <v>0.03</v>
      </c>
    </row>
    <row r="447" customFormat="false" ht="12.8" hidden="false" customHeight="false" outlineLevel="0" collapsed="false">
      <c r="A447" s="7" t="str">
        <f aca="false">_xlfn.CONCAT($A$441, ".", A7)</f>
        <v>FL.3.4</v>
      </c>
      <c r="B447" s="7" t="str">
        <f aca="false">_xlfn.CONCAT(B7, ": ", C7)</f>
        <v>Construction: Support</v>
      </c>
      <c r="C447" s="16" t="n">
        <f aca="false">P7</f>
        <v>0.042</v>
      </c>
      <c r="D447" s="16" t="n">
        <f aca="false">Q7</f>
        <v>0.06</v>
      </c>
      <c r="E447" s="16" t="n">
        <f aca="false">R7</f>
        <v>0.1</v>
      </c>
      <c r="F447" s="16" t="n">
        <f aca="false">S7</f>
        <v>0.03</v>
      </c>
    </row>
    <row r="448" customFormat="false" ht="12.8" hidden="false" customHeight="false" outlineLevel="0" collapsed="false">
      <c r="A448" s="7" t="str">
        <f aca="false">_xlfn.CONCAT($A$441, ".", A8)</f>
        <v>FL.3.5</v>
      </c>
      <c r="B448" s="7" t="str">
        <f aca="false">_xlfn.CONCAT(B8, ": ", C8)</f>
        <v>Hospitality: Worker</v>
      </c>
      <c r="C448" s="16" t="n">
        <f aca="false">P8</f>
        <v>0.05</v>
      </c>
      <c r="D448" s="16" t="n">
        <f aca="false">Q8</f>
        <v>0.07</v>
      </c>
      <c r="E448" s="16" t="n">
        <f aca="false">R8</f>
        <v>0.12</v>
      </c>
      <c r="F448" s="16" t="n">
        <f aca="false">S8</f>
        <v>0.037</v>
      </c>
    </row>
    <row r="449" customFormat="false" ht="12.8" hidden="false" customHeight="false" outlineLevel="0" collapsed="false">
      <c r="A449" s="7" t="str">
        <f aca="false">_xlfn.CONCAT($A$441, ".", A9)</f>
        <v>FL.3.6</v>
      </c>
      <c r="B449" s="7" t="str">
        <f aca="false">_xlfn.CONCAT(B9, ": ", C9)</f>
        <v>Hospitality: Support</v>
      </c>
      <c r="C449" s="16" t="n">
        <f aca="false">P9</f>
        <v>0.05</v>
      </c>
      <c r="D449" s="16" t="n">
        <f aca="false">Q9</f>
        <v>0.07</v>
      </c>
      <c r="E449" s="16" t="n">
        <f aca="false">R9</f>
        <v>0.12</v>
      </c>
      <c r="F449" s="16" t="n">
        <f aca="false">S9</f>
        <v>0.037</v>
      </c>
    </row>
    <row r="450" customFormat="false" ht="12.8" hidden="false" customHeight="false" outlineLevel="0" collapsed="false">
      <c r="A450" s="7" t="str">
        <f aca="false">_xlfn.CONCAT($A$441, ".", A10)</f>
        <v>FL.3.7</v>
      </c>
      <c r="B450" s="7" t="str">
        <f aca="false">_xlfn.CONCAT(B10, ": ", C10)</f>
        <v>Cleaning &amp; Maintenance: Worker</v>
      </c>
      <c r="C450" s="16" t="n">
        <f aca="false">P10</f>
        <v>0.055</v>
      </c>
      <c r="D450" s="16" t="n">
        <f aca="false">Q10</f>
        <v>0.08</v>
      </c>
      <c r="E450" s="16" t="n">
        <f aca="false">R10</f>
        <v>0.13</v>
      </c>
      <c r="F450" s="16" t="n">
        <f aca="false">S10</f>
        <v>0.04</v>
      </c>
    </row>
    <row r="451" customFormat="false" ht="12.8" hidden="false" customHeight="false" outlineLevel="0" collapsed="false">
      <c r="A451" s="7" t="str">
        <f aca="false">_xlfn.CONCAT($A$441, ".", A11)</f>
        <v>FL.3.8</v>
      </c>
      <c r="B451" s="7" t="str">
        <f aca="false">_xlfn.CONCAT(B11, ": ", C11)</f>
        <v>Cleaning &amp; Maintenance: Support</v>
      </c>
      <c r="C451" s="16" t="n">
        <f aca="false">P11</f>
        <v>0.055</v>
      </c>
      <c r="D451" s="16" t="n">
        <f aca="false">Q11</f>
        <v>0.08</v>
      </c>
      <c r="E451" s="16" t="n">
        <f aca="false">R11</f>
        <v>0.13</v>
      </c>
      <c r="F451" s="16" t="n">
        <f aca="false">S11</f>
        <v>0.04</v>
      </c>
    </row>
    <row r="452" customFormat="false" ht="12.8" hidden="false" customHeight="false" outlineLevel="0" collapsed="false">
      <c r="A452" s="7" t="str">
        <f aca="false">_xlfn.CONCAT($A$441, ".", A12)</f>
        <v>FL.3.9</v>
      </c>
      <c r="B452" s="7" t="str">
        <f aca="false">_xlfn.CONCAT(B12, ": ", C12)</f>
        <v>Manufacturing: Worker</v>
      </c>
      <c r="C452" s="16" t="n">
        <f aca="false">P12</f>
        <v>0.027</v>
      </c>
      <c r="D452" s="16" t="n">
        <f aca="false">Q12</f>
        <v>0.04</v>
      </c>
      <c r="E452" s="16" t="n">
        <f aca="false">R12</f>
        <v>0.07</v>
      </c>
      <c r="F452" s="16" t="n">
        <f aca="false">S12</f>
        <v>0.018</v>
      </c>
    </row>
    <row r="453" customFormat="false" ht="12.8" hidden="false" customHeight="false" outlineLevel="0" collapsed="false">
      <c r="A453" s="7" t="str">
        <f aca="false">_xlfn.CONCAT($A$441, ".", A13)</f>
        <v>FL.3.10</v>
      </c>
      <c r="B453" s="7" t="str">
        <f aca="false">_xlfn.CONCAT(B13, ": ", C13)</f>
        <v>Manufacturing: Support</v>
      </c>
      <c r="C453" s="16" t="n">
        <f aca="false">P13</f>
        <v>0.027</v>
      </c>
      <c r="D453" s="16" t="n">
        <f aca="false">Q13</f>
        <v>0.04</v>
      </c>
      <c r="E453" s="16" t="n">
        <f aca="false">R13</f>
        <v>0.07</v>
      </c>
      <c r="F453" s="16" t="n">
        <f aca="false">S13</f>
        <v>0.018</v>
      </c>
    </row>
    <row r="454" customFormat="false" ht="12.8" hidden="false" customHeight="false" outlineLevel="0" collapsed="false">
      <c r="A454" s="7" t="str">
        <f aca="false">_xlfn.CONCAT($A$441, ".", A14)</f>
        <v>FL.3.11</v>
      </c>
      <c r="B454" s="7" t="str">
        <f aca="false">_xlfn.CONCAT(B14, ": ", C14)</f>
        <v>Transportation &amp; Warehousing: Worker</v>
      </c>
      <c r="C454" s="16" t="n">
        <f aca="false">P14</f>
        <v>0.032</v>
      </c>
      <c r="D454" s="16" t="n">
        <f aca="false">Q14</f>
        <v>0.05</v>
      </c>
      <c r="E454" s="16" t="n">
        <f aca="false">R14</f>
        <v>0.08</v>
      </c>
      <c r="F454" s="16" t="n">
        <f aca="false">S14</f>
        <v>0.022</v>
      </c>
    </row>
    <row r="455" customFormat="false" ht="12.8" hidden="false" customHeight="false" outlineLevel="0" collapsed="false">
      <c r="A455" s="7" t="str">
        <f aca="false">_xlfn.CONCAT($A$441, ".", A15)</f>
        <v>FL.3.12</v>
      </c>
      <c r="B455" s="7" t="str">
        <f aca="false">_xlfn.CONCAT(B15, ": ", C15)</f>
        <v>Transportation &amp; Warehousing: Support</v>
      </c>
      <c r="C455" s="16" t="n">
        <f aca="false">P15</f>
        <v>0.032</v>
      </c>
      <c r="D455" s="16" t="n">
        <f aca="false">Q15</f>
        <v>0.05</v>
      </c>
      <c r="E455" s="16" t="n">
        <f aca="false">R15</f>
        <v>0.08</v>
      </c>
      <c r="F455" s="16" t="n">
        <f aca="false">S15</f>
        <v>0.022</v>
      </c>
    </row>
    <row r="456" customFormat="false" ht="12.8" hidden="false" customHeight="false" outlineLevel="0" collapsed="false">
      <c r="A456" s="7" t="str">
        <f aca="false">_xlfn.CONCAT($A$441, ".", A16)</f>
        <v>FL.3.13</v>
      </c>
      <c r="B456" s="7" t="str">
        <f aca="false">_xlfn.CONCAT(B16, ": ", C16)</f>
        <v>Retail Trade: Worker</v>
      </c>
      <c r="C456" s="16" t="n">
        <f aca="false">P16</f>
        <v>0.037</v>
      </c>
      <c r="D456" s="16" t="n">
        <f aca="false">Q16</f>
        <v>0.07</v>
      </c>
      <c r="E456" s="16" t="n">
        <f aca="false">R16</f>
        <v>0.12</v>
      </c>
      <c r="F456" s="16" t="n">
        <f aca="false">S16</f>
        <v>0.034</v>
      </c>
    </row>
    <row r="457" customFormat="false" ht="12.8" hidden="false" customHeight="false" outlineLevel="0" collapsed="false">
      <c r="A457" s="7" t="str">
        <f aca="false">_xlfn.CONCAT($A$441, ".", A17)</f>
        <v>FL.3.14</v>
      </c>
      <c r="B457" s="7" t="str">
        <f aca="false">_xlfn.CONCAT(B17, ": ", C17)</f>
        <v>Retail Trade: Support</v>
      </c>
      <c r="C457" s="16" t="n">
        <f aca="false">P17</f>
        <v>0.037</v>
      </c>
      <c r="D457" s="16" t="n">
        <f aca="false">Q17</f>
        <v>0.07</v>
      </c>
      <c r="E457" s="16" t="n">
        <f aca="false">R17</f>
        <v>0.12</v>
      </c>
      <c r="F457" s="16" t="n">
        <f aca="false">S17</f>
        <v>0.034</v>
      </c>
    </row>
    <row r="458" customFormat="false" ht="12.8" hidden="false" customHeight="false" outlineLevel="0" collapsed="false">
      <c r="A458" s="7" t="str">
        <f aca="false">_xlfn.CONCAT($A$441, ".", A18)</f>
        <v>FL.3.15</v>
      </c>
      <c r="B458" s="7" t="str">
        <f aca="false">_xlfn.CONCAT(B18, ": ", C18)</f>
        <v>Landscaping / Groundskeeping: Worker</v>
      </c>
      <c r="C458" s="16" t="n">
        <f aca="false">P18</f>
        <v>0.045</v>
      </c>
      <c r="D458" s="16" t="n">
        <f aca="false">Q18</f>
        <v>0.07</v>
      </c>
      <c r="E458" s="16" t="n">
        <f aca="false">R18</f>
        <v>0.11</v>
      </c>
      <c r="F458" s="16" t="n">
        <f aca="false">S18</f>
        <v>0.042</v>
      </c>
    </row>
    <row r="459" customFormat="false" ht="12.8" hidden="false" customHeight="false" outlineLevel="0" collapsed="false">
      <c r="A459" s="7" t="str">
        <f aca="false">_xlfn.CONCAT($A$441, ".", A19)</f>
        <v>FL.3.16</v>
      </c>
      <c r="B459" s="7" t="str">
        <f aca="false">_xlfn.CONCAT(B19, ": ", C19)</f>
        <v>Landscaping / Groundskeeping: Support</v>
      </c>
      <c r="C459" s="16" t="n">
        <f aca="false">P19</f>
        <v>0.045</v>
      </c>
      <c r="D459" s="16" t="n">
        <f aca="false">Q19</f>
        <v>0.07</v>
      </c>
      <c r="E459" s="16" t="n">
        <f aca="false">R19</f>
        <v>0.11</v>
      </c>
      <c r="F459" s="16" t="n">
        <f aca="false">S19</f>
        <v>0.042</v>
      </c>
    </row>
    <row r="460" customFormat="false" ht="12.8" hidden="false" customHeight="false" outlineLevel="0" collapsed="false">
      <c r="A460" s="7" t="str">
        <f aca="false">_xlfn.CONCAT($A$441, ".", A20)</f>
        <v>FL.3.17</v>
      </c>
      <c r="B460" s="7" t="str">
        <f aca="false">_xlfn.CONCAT(B20, ": ", C20)</f>
        <v>Automotive &amp; Repair: Worker</v>
      </c>
      <c r="C460" s="16" t="n">
        <f aca="false">P20</f>
        <v>0.032</v>
      </c>
      <c r="D460" s="16" t="n">
        <f aca="false">Q20</f>
        <v>0.05</v>
      </c>
      <c r="E460" s="16" t="n">
        <f aca="false">R20</f>
        <v>0.08</v>
      </c>
      <c r="F460" s="16" t="n">
        <f aca="false">S20</f>
        <v>0.022</v>
      </c>
    </row>
    <row r="461" customFormat="false" ht="12.8" hidden="false" customHeight="false" outlineLevel="0" collapsed="false">
      <c r="A461" s="7" t="str">
        <f aca="false">_xlfn.CONCAT($A$441, ".", A21)</f>
        <v>FL.3.18</v>
      </c>
      <c r="B461" s="7" t="str">
        <f aca="false">_xlfn.CONCAT(B21, ": ", C21)</f>
        <v>Automotive &amp; Repair: Support</v>
      </c>
      <c r="C461" s="16" t="n">
        <f aca="false">P21</f>
        <v>0.032</v>
      </c>
      <c r="D461" s="16" t="n">
        <f aca="false">Q21</f>
        <v>0.05</v>
      </c>
      <c r="E461" s="16" t="n">
        <f aca="false">R21</f>
        <v>0.08</v>
      </c>
      <c r="F461" s="16" t="n">
        <f aca="false">S21</f>
        <v>0.022</v>
      </c>
    </row>
    <row r="462" customFormat="false" ht="12.8" hidden="false" customHeight="false" outlineLevel="0" collapsed="false">
      <c r="A462" s="7" t="str">
        <f aca="false">_xlfn.CONCAT($A$441, ".", A22)</f>
        <v>FL.3.19</v>
      </c>
      <c r="B462" s="7" t="str">
        <f aca="false">_xlfn.CONCAT(B22, ": ", C22)</f>
        <v>Healthcare &amp; Social Assistance: Worker</v>
      </c>
      <c r="C462" s="16" t="n">
        <f aca="false">P22</f>
        <v>0.028</v>
      </c>
      <c r="D462" s="16" t="n">
        <f aca="false">Q22</f>
        <v>0.04</v>
      </c>
      <c r="E462" s="16" t="n">
        <f aca="false">R22</f>
        <v>0.07</v>
      </c>
      <c r="F462" s="16" t="n">
        <f aca="false">S22</f>
        <v>0.02</v>
      </c>
    </row>
    <row r="463" customFormat="false" ht="12.8" hidden="false" customHeight="false" outlineLevel="0" collapsed="false">
      <c r="A463" s="7" t="str">
        <f aca="false">_xlfn.CONCAT($A$441, ".", A23)</f>
        <v>FL.3.20</v>
      </c>
      <c r="B463" s="7" t="str">
        <f aca="false">_xlfn.CONCAT(B23, ": ", C23)</f>
        <v>Healthcare &amp; Social Assistance: Support</v>
      </c>
      <c r="C463" s="16" t="n">
        <f aca="false">P23</f>
        <v>0.028</v>
      </c>
      <c r="D463" s="16" t="n">
        <f aca="false">Q23</f>
        <v>0.04</v>
      </c>
      <c r="E463" s="16" t="n">
        <f aca="false">R23</f>
        <v>0.07</v>
      </c>
      <c r="F463" s="16" t="n">
        <f aca="false">S23</f>
        <v>0.02</v>
      </c>
    </row>
    <row r="464" customFormat="false" ht="12.8" hidden="false" customHeight="false" outlineLevel="0" collapsed="false">
      <c r="A464" s="7" t="str">
        <f aca="false">_xlfn.CONCAT($A$441, ".", A24)</f>
        <v>FL.3.21</v>
      </c>
      <c r="B464" s="7" t="str">
        <f aca="false">_xlfn.CONCAT(B24, ": ", C24)</f>
        <v>Professional Services: Worker</v>
      </c>
      <c r="C464" s="16" t="n">
        <f aca="false">P24</f>
        <v>0.025</v>
      </c>
      <c r="D464" s="16" t="n">
        <f aca="false">Q24</f>
        <v>0.04</v>
      </c>
      <c r="E464" s="16" t="n">
        <f aca="false">R24</f>
        <v>0.07</v>
      </c>
      <c r="F464" s="16" t="n">
        <f aca="false">S24</f>
        <v>0.023</v>
      </c>
    </row>
    <row r="465" customFormat="false" ht="12.8" hidden="false" customHeight="false" outlineLevel="0" collapsed="false">
      <c r="A465" s="7" t="str">
        <f aca="false">_xlfn.CONCAT($A$441, ".", A25)</f>
        <v>FL.3.22</v>
      </c>
      <c r="B465" s="7" t="str">
        <f aca="false">_xlfn.CONCAT(B25, ": ", C25)</f>
        <v>Professional Services: Support</v>
      </c>
      <c r="C465" s="16" t="n">
        <f aca="false">P25</f>
        <v>0.025</v>
      </c>
      <c r="D465" s="16" t="n">
        <f aca="false">Q25</f>
        <v>0.04</v>
      </c>
      <c r="E465" s="16" t="n">
        <f aca="false">R25</f>
        <v>0.07</v>
      </c>
      <c r="F465" s="16" t="n">
        <f aca="false">S25</f>
        <v>0.023</v>
      </c>
    </row>
    <row r="466" customFormat="false" ht="12.8" hidden="false" customHeight="false" outlineLevel="0" collapsed="false">
      <c r="A466" s="7" t="str">
        <f aca="false">_xlfn.CONCAT($A$441, ".", A26)</f>
        <v>FL.3.23</v>
      </c>
      <c r="B466" s="7" t="str">
        <f aca="false">_xlfn.CONCAT(B26, ": ", C26)</f>
        <v>Educational Services: Worker</v>
      </c>
      <c r="C466" s="16" t="n">
        <f aca="false">P26</f>
        <v>0.02</v>
      </c>
      <c r="D466" s="16" t="n">
        <f aca="false">Q26</f>
        <v>0.04</v>
      </c>
      <c r="E466" s="16" t="n">
        <f aca="false">R26</f>
        <v>0.07</v>
      </c>
      <c r="F466" s="16" t="n">
        <f aca="false">S26</f>
        <v>0.018</v>
      </c>
    </row>
    <row r="467" customFormat="false" ht="12.8" hidden="false" customHeight="false" outlineLevel="0" collapsed="false">
      <c r="A467" s="7" t="str">
        <f aca="false">_xlfn.CONCAT($A$441, ".", A27)</f>
        <v>FL.3.24</v>
      </c>
      <c r="B467" s="7" t="str">
        <f aca="false">_xlfn.CONCAT(B27, ": ", C27)</f>
        <v>Educational Services: Support</v>
      </c>
      <c r="C467" s="16" t="n">
        <f aca="false">P27</f>
        <v>0.02</v>
      </c>
      <c r="D467" s="16" t="n">
        <f aca="false">Q27</f>
        <v>0.04</v>
      </c>
      <c r="E467" s="16" t="n">
        <f aca="false">R27</f>
        <v>0.07</v>
      </c>
      <c r="F467" s="16" t="n">
        <f aca="false">S27</f>
        <v>0.018</v>
      </c>
    </row>
    <row r="468" customFormat="false" ht="12.8" hidden="false" customHeight="false" outlineLevel="0" collapsed="false">
      <c r="A468" s="7" t="str">
        <f aca="false">_xlfn.CONCAT($A$441, ".", A28)</f>
        <v>FL.3.25</v>
      </c>
      <c r="B468" s="7" t="str">
        <f aca="false">_xlfn.CONCAT(B28, ": ", C28)</f>
        <v>Finance &amp; Insurance: Worker</v>
      </c>
      <c r="C468" s="16" t="n">
        <f aca="false">P28</f>
        <v>0.025</v>
      </c>
      <c r="D468" s="16" t="n">
        <f aca="false">Q28</f>
        <v>0.045</v>
      </c>
      <c r="E468" s="16" t="n">
        <f aca="false">R28</f>
        <v>0.08</v>
      </c>
      <c r="F468" s="16" t="n">
        <f aca="false">S28</f>
        <v>0.023</v>
      </c>
    </row>
    <row r="469" customFormat="false" ht="12.8" hidden="false" customHeight="false" outlineLevel="0" collapsed="false">
      <c r="A469" s="7" t="str">
        <f aca="false">_xlfn.CONCAT($A$441, ".", A29)</f>
        <v>FL.3.26</v>
      </c>
      <c r="B469" s="7" t="str">
        <f aca="false">_xlfn.CONCAT(B29, ": ", C29)</f>
        <v>Finance &amp; Insurance: Support</v>
      </c>
      <c r="C469" s="16" t="n">
        <f aca="false">P29</f>
        <v>0.025</v>
      </c>
      <c r="D469" s="16" t="n">
        <f aca="false">Q29</f>
        <v>0.045</v>
      </c>
      <c r="E469" s="16" t="n">
        <f aca="false">R29</f>
        <v>0.08</v>
      </c>
      <c r="F469" s="16" t="n">
        <f aca="false">S29</f>
        <v>0.023</v>
      </c>
    </row>
    <row r="470" customFormat="false" ht="12.8" hidden="false" customHeight="false" outlineLevel="0" collapsed="false">
      <c r="A470" s="7" t="str">
        <f aca="false">_xlfn.CONCAT($A$441, ".", A30)</f>
        <v>FL.3.27</v>
      </c>
      <c r="B470" s="7" t="str">
        <f aca="false">_xlfn.CONCAT(B30, ": ", C30)</f>
        <v>Media and Information Technology: Worker</v>
      </c>
      <c r="C470" s="16" t="n">
        <f aca="false">P30</f>
        <v>0.03</v>
      </c>
      <c r="D470" s="16" t="n">
        <f aca="false">Q30</f>
        <v>0.05</v>
      </c>
      <c r="E470" s="16" t="n">
        <f aca="false">R30</f>
        <v>0.09</v>
      </c>
      <c r="F470" s="16" t="n">
        <f aca="false">S30</f>
        <v>0.028</v>
      </c>
    </row>
    <row r="471" customFormat="false" ht="12.8" hidden="false" customHeight="false" outlineLevel="0" collapsed="false">
      <c r="A471" s="7" t="str">
        <f aca="false">_xlfn.CONCAT($A$441, ".", A31)</f>
        <v>FL.3.28</v>
      </c>
      <c r="B471" s="7" t="str">
        <f aca="false">_xlfn.CONCAT(B31, ": ", C31)</f>
        <v>Media and Information Technology: Support</v>
      </c>
      <c r="C471" s="16" t="n">
        <f aca="false">P31</f>
        <v>0.03</v>
      </c>
      <c r="D471" s="16" t="n">
        <f aca="false">Q31</f>
        <v>0.05</v>
      </c>
      <c r="E471" s="16" t="n">
        <f aca="false">R31</f>
        <v>0.09</v>
      </c>
      <c r="F471" s="16" t="n">
        <f aca="false">S31</f>
        <v>0.028</v>
      </c>
    </row>
    <row r="472" customFormat="false" ht="12.8" hidden="false" customHeight="false" outlineLevel="0" collapsed="false">
      <c r="A472" s="7" t="str">
        <f aca="false">_xlfn.CONCAT($A$441, ".", A32)</f>
        <v>FL.3.29</v>
      </c>
      <c r="B472" s="7" t="str">
        <f aca="false">_xlfn.CONCAT(B32, ": ", C32)</f>
        <v>Government: Worker</v>
      </c>
      <c r="C472" s="16" t="n">
        <f aca="false">P32</f>
        <v>0.025</v>
      </c>
      <c r="D472" s="16" t="n">
        <f aca="false">Q32</f>
        <v>0.04</v>
      </c>
      <c r="E472" s="16" t="n">
        <f aca="false">R32</f>
        <v>0.06</v>
      </c>
      <c r="F472" s="16" t="n">
        <f aca="false">S32</f>
        <v>0.02</v>
      </c>
    </row>
    <row r="473" customFormat="false" ht="12.8" hidden="false" customHeight="false" outlineLevel="0" collapsed="false">
      <c r="A473" s="7" t="str">
        <f aca="false">_xlfn.CONCAT($A$441, ".", A33)</f>
        <v>FL.3.30</v>
      </c>
      <c r="B473" s="7" t="str">
        <f aca="false">_xlfn.CONCAT(B33, ": ", C33)</f>
        <v>Government: Support</v>
      </c>
      <c r="C473" s="16" t="n">
        <f aca="false">P33</f>
        <v>0.025</v>
      </c>
      <c r="D473" s="16" t="n">
        <f aca="false">Q33</f>
        <v>0.04</v>
      </c>
      <c r="E473" s="16" t="n">
        <f aca="false">R33</f>
        <v>0.06</v>
      </c>
      <c r="F473" s="16" t="n">
        <f aca="false">S33</f>
        <v>0.02</v>
      </c>
    </row>
    <row r="474" customFormat="false" ht="12.8" hidden="false" customHeight="false" outlineLevel="0" collapsed="false">
      <c r="A474" s="7" t="str">
        <f aca="false">_xlfn.CONCAT($A$441, ".", A34)</f>
        <v>FL.3.31</v>
      </c>
      <c r="B474" s="7" t="str">
        <f aca="false">_xlfn.CONCAT(B34, ": ", C34)</f>
        <v>Self-Employed / Non-Employer: Worker</v>
      </c>
      <c r="C474" s="16" t="n">
        <f aca="false">P34</f>
        <v>0.035</v>
      </c>
      <c r="D474" s="16" t="n">
        <f aca="false">Q34</f>
        <v>0.045</v>
      </c>
      <c r="E474" s="16" t="n">
        <f aca="false">R34</f>
        <v>0.06</v>
      </c>
      <c r="F474" s="16" t="n">
        <f aca="false">S34</f>
        <v>0.035</v>
      </c>
    </row>
    <row r="475" customFormat="false" ht="12.8" hidden="false" customHeight="false" outlineLevel="0" collapsed="false">
      <c r="A475" s="7" t="str">
        <f aca="false">_xlfn.CONCAT($A$441, ".", A35)</f>
        <v>FL.3.32</v>
      </c>
      <c r="B475" s="7" t="str">
        <f aca="false">_xlfn.CONCAT(B35, ": ", C35)</f>
        <v>Self-Employed / Non-Employer: Support</v>
      </c>
      <c r="C475" s="16" t="n">
        <f aca="false">P35</f>
        <v>0.035</v>
      </c>
      <c r="D475" s="16" t="n">
        <f aca="false">Q35</f>
        <v>0.045</v>
      </c>
      <c r="E475" s="16" t="n">
        <f aca="false">R35</f>
        <v>0.06</v>
      </c>
      <c r="F475" s="16" t="n">
        <f aca="false">S35</f>
        <v>0.035</v>
      </c>
    </row>
    <row r="476" customFormat="false" ht="12.8" hidden="false" customHeight="false" outlineLevel="0" collapsed="false">
      <c r="A476" s="7" t="str">
        <f aca="false">_xlfn.CONCAT($A$441, ".", A36)</f>
        <v>FL.3.33</v>
      </c>
      <c r="B476" s="7" t="str">
        <f aca="false">_xlfn.CONCAT(B36, ": ", C36)</f>
        <v>Other Services: Worker</v>
      </c>
      <c r="C476" s="16" t="n">
        <f aca="false">P36</f>
        <v>0.037</v>
      </c>
      <c r="D476" s="16" t="n">
        <f aca="false">Q36</f>
        <v>0.07</v>
      </c>
      <c r="E476" s="16" t="n">
        <f aca="false">R36</f>
        <v>0.12</v>
      </c>
      <c r="F476" s="16" t="n">
        <f aca="false">S36</f>
        <v>0.034</v>
      </c>
    </row>
    <row r="477" customFormat="false" ht="12.8" hidden="false" customHeight="false" outlineLevel="0" collapsed="false">
      <c r="A477" s="7" t="str">
        <f aca="false">_xlfn.CONCAT($A$441, ".", A37)</f>
        <v>FL.3.34</v>
      </c>
      <c r="B477" s="7" t="str">
        <f aca="false">_xlfn.CONCAT(B37, ": ", C37)</f>
        <v>Other Services: Support</v>
      </c>
      <c r="C477" s="16" t="n">
        <f aca="false">P37</f>
        <v>0.037</v>
      </c>
      <c r="D477" s="16" t="n">
        <f aca="false">Q37</f>
        <v>0.07</v>
      </c>
      <c r="E477" s="16" t="n">
        <f aca="false">R37</f>
        <v>0.12</v>
      </c>
      <c r="F477" s="16" t="n">
        <f aca="false">S37</f>
        <v>0.034</v>
      </c>
    </row>
    <row r="575" customFormat="false" ht="12.8" hidden="false" customHeight="false" outlineLevel="0" collapsed="false">
      <c r="A575" s="5" t="s">
        <v>180</v>
      </c>
      <c r="B575" s="24" t="s">
        <v>175</v>
      </c>
      <c r="C575" s="25" t="s">
        <v>148</v>
      </c>
    </row>
    <row r="576" customFormat="false" ht="46.25" hidden="false" customHeight="false" outlineLevel="0" collapsed="false">
      <c r="A576" s="5" t="s">
        <v>26</v>
      </c>
      <c r="B576" s="26" t="s">
        <v>140</v>
      </c>
      <c r="C576" s="27" t="str">
        <f aca="false">T2</f>
        <v>Underemployment Rate</v>
      </c>
      <c r="D576" s="27" t="str">
        <f aca="false">U2</f>
        <v>Authorized Immigrant Underemployment Rate</v>
      </c>
      <c r="E576" s="27" t="str">
        <f aca="false">V2</f>
        <v>Unauthorized Immigrant Underemployment Rate</v>
      </c>
      <c r="F576" s="27" t="str">
        <f aca="false">W2</f>
        <v>American Underemployment Rate</v>
      </c>
    </row>
    <row r="577" customFormat="false" ht="12.8" hidden="false" customHeight="false" outlineLevel="0" collapsed="false">
      <c r="A577" s="1" t="str">
        <f aca="false">_xlfn.CONCAT($A$575, ".", A3)</f>
        <v>FL.4.0</v>
      </c>
      <c r="B577" s="5" t="str">
        <f aca="false">_xlfn.CONCAT(B3, ": ", C3)</f>
        <v>All Industries: All Roles</v>
      </c>
      <c r="C577" s="16" t="n">
        <f aca="false">T3</f>
        <v>0.074</v>
      </c>
      <c r="D577" s="16" t="n">
        <f aca="false">U3</f>
        <v>0.085</v>
      </c>
      <c r="E577" s="16" t="n">
        <f aca="false">V3</f>
        <v>0.105</v>
      </c>
      <c r="F577" s="16" t="n">
        <f aca="false">W3</f>
        <v>0.07</v>
      </c>
    </row>
    <row r="578" customFormat="false" ht="12.8" hidden="false" customHeight="false" outlineLevel="0" collapsed="false">
      <c r="A578" s="1" t="str">
        <f aca="false">_xlfn.CONCAT($A$575, ".", A4)</f>
        <v>FL.4.1</v>
      </c>
      <c r="B578" s="7" t="str">
        <f aca="false">_xlfn.CONCAT(B4, ": ", C4)</f>
        <v>Agriculture: Worker</v>
      </c>
      <c r="C578" s="16" t="n">
        <f aca="false">T4</f>
        <v>0.095</v>
      </c>
      <c r="D578" s="16" t="n">
        <f aca="false">U4</f>
        <v>0.11</v>
      </c>
      <c r="E578" s="16" t="n">
        <f aca="false">V4</f>
        <v>0.17</v>
      </c>
      <c r="F578" s="16" t="n">
        <f aca="false">W4</f>
        <v>0.086</v>
      </c>
    </row>
    <row r="579" customFormat="false" ht="12.8" hidden="false" customHeight="false" outlineLevel="0" collapsed="false">
      <c r="A579" s="1" t="str">
        <f aca="false">_xlfn.CONCAT($A$575, ".", A5)</f>
        <v>FL.4.2</v>
      </c>
      <c r="B579" s="7" t="str">
        <f aca="false">_xlfn.CONCAT(B5, ": ", C5)</f>
        <v>Agriculture: Support</v>
      </c>
      <c r="C579" s="16" t="n">
        <f aca="false">T5</f>
        <v>0.104</v>
      </c>
      <c r="D579" s="16" t="n">
        <f aca="false">U5</f>
        <v>0.115</v>
      </c>
      <c r="E579" s="16" t="n">
        <f aca="false">V5</f>
        <v>0.17</v>
      </c>
      <c r="F579" s="16" t="n">
        <f aca="false">W5</f>
        <v>0.094</v>
      </c>
    </row>
    <row r="580" customFormat="false" ht="12.8" hidden="false" customHeight="false" outlineLevel="0" collapsed="false">
      <c r="A580" s="1" t="str">
        <f aca="false">_xlfn.CONCAT($A$575, ".", A6)</f>
        <v>FL.4.3</v>
      </c>
      <c r="B580" s="7" t="str">
        <f aca="false">_xlfn.CONCAT(B6, ": ", C6)</f>
        <v>Construction: Worker</v>
      </c>
      <c r="C580" s="16" t="n">
        <f aca="false">T6</f>
        <v>0.079</v>
      </c>
      <c r="D580" s="16" t="n">
        <f aca="false">U6</f>
        <v>0.087</v>
      </c>
      <c r="E580" s="16" t="n">
        <f aca="false">V6</f>
        <v>0.115</v>
      </c>
      <c r="F580" s="16" t="n">
        <f aca="false">W6</f>
        <v>0.074</v>
      </c>
    </row>
    <row r="581" customFormat="false" ht="12.8" hidden="false" customHeight="false" outlineLevel="0" collapsed="false">
      <c r="A581" s="1" t="str">
        <f aca="false">_xlfn.CONCAT($A$575, ".", A7)</f>
        <v>FL.4.4</v>
      </c>
      <c r="B581" s="7" t="str">
        <f aca="false">_xlfn.CONCAT(B7, ": ", C7)</f>
        <v>Construction: Support</v>
      </c>
      <c r="C581" s="16" t="n">
        <f aca="false">T7</f>
        <v>0.086</v>
      </c>
      <c r="D581" s="16" t="n">
        <f aca="false">U7</f>
        <v>0.095</v>
      </c>
      <c r="E581" s="16" t="n">
        <f aca="false">V7</f>
        <v>0.125</v>
      </c>
      <c r="F581" s="16" t="n">
        <f aca="false">W7</f>
        <v>0.081</v>
      </c>
    </row>
    <row r="582" customFormat="false" ht="12.8" hidden="false" customHeight="false" outlineLevel="0" collapsed="false">
      <c r="A582" s="1" t="str">
        <f aca="false">_xlfn.CONCAT($A$575, ".", A8)</f>
        <v>FL.4.5</v>
      </c>
      <c r="B582" s="7" t="str">
        <f aca="false">_xlfn.CONCAT(B8, ": ", C8)</f>
        <v>Hospitality: Worker</v>
      </c>
      <c r="C582" s="16" t="n">
        <f aca="false">T8</f>
        <v>0.085</v>
      </c>
      <c r="D582" s="16" t="n">
        <f aca="false">U8</f>
        <v>0.1</v>
      </c>
      <c r="E582" s="16" t="n">
        <f aca="false">V8</f>
        <v>0.18</v>
      </c>
      <c r="F582" s="16" t="n">
        <f aca="false">W8</f>
        <v>0.077</v>
      </c>
    </row>
    <row r="583" customFormat="false" ht="12.8" hidden="false" customHeight="false" outlineLevel="0" collapsed="false">
      <c r="A583" s="1" t="str">
        <f aca="false">_xlfn.CONCAT($A$575, ".", A9)</f>
        <v>FL.4.6</v>
      </c>
      <c r="B583" s="7" t="str">
        <f aca="false">_xlfn.CONCAT(B9, ": ", C9)</f>
        <v>Hospitality: Support</v>
      </c>
      <c r="C583" s="16" t="n">
        <f aca="false">T9</f>
        <v>0.093</v>
      </c>
      <c r="D583" s="16" t="n">
        <f aca="false">U9</f>
        <v>0.103</v>
      </c>
      <c r="E583" s="16" t="n">
        <f aca="false">V9</f>
        <v>0.18</v>
      </c>
      <c r="F583" s="16" t="n">
        <f aca="false">W9</f>
        <v>0.085</v>
      </c>
    </row>
    <row r="584" customFormat="false" ht="12.8" hidden="false" customHeight="false" outlineLevel="0" collapsed="false">
      <c r="A584" s="1" t="str">
        <f aca="false">_xlfn.CONCAT($A$575, ".", A10)</f>
        <v>FL.4.7</v>
      </c>
      <c r="B584" s="7" t="str">
        <f aca="false">_xlfn.CONCAT(B10, ": ", C10)</f>
        <v>Cleaning &amp; Maintenance: Worker</v>
      </c>
      <c r="C584" s="16" t="n">
        <f aca="false">T10</f>
        <v>0.093</v>
      </c>
      <c r="D584" s="16" t="n">
        <f aca="false">U10</f>
        <v>0.103</v>
      </c>
      <c r="E584" s="16" t="n">
        <f aca="false">V10</f>
        <v>0.118</v>
      </c>
      <c r="F584" s="16" t="n">
        <f aca="false">W10</f>
        <v>0.087</v>
      </c>
    </row>
    <row r="585" customFormat="false" ht="12.8" hidden="false" customHeight="false" outlineLevel="0" collapsed="false">
      <c r="A585" s="1" t="str">
        <f aca="false">_xlfn.CONCAT($A$575, ".", A11)</f>
        <v>FL.4.8</v>
      </c>
      <c r="B585" s="7" t="str">
        <f aca="false">_xlfn.CONCAT(B11, ": ", C11)</f>
        <v>Cleaning &amp; Maintenance: Support</v>
      </c>
      <c r="C585" s="16" t="n">
        <f aca="false">T11</f>
        <v>0.102</v>
      </c>
      <c r="D585" s="16" t="n">
        <f aca="false">U11</f>
        <v>0.113</v>
      </c>
      <c r="E585" s="16" t="n">
        <f aca="false">V11</f>
        <v>0.13</v>
      </c>
      <c r="F585" s="16" t="n">
        <f aca="false">W11</f>
        <v>0.096</v>
      </c>
    </row>
    <row r="586" customFormat="false" ht="12.8" hidden="false" customHeight="false" outlineLevel="0" collapsed="false">
      <c r="A586" s="1" t="str">
        <f aca="false">_xlfn.CONCAT($A$575, ".", A12)</f>
        <v>FL.4.9</v>
      </c>
      <c r="B586" s="7" t="str">
        <f aca="false">_xlfn.CONCAT(B12, ": ", C12)</f>
        <v>Manufacturing: Worker</v>
      </c>
      <c r="C586" s="16" t="n">
        <f aca="false">T12</f>
        <v>0.064</v>
      </c>
      <c r="D586" s="16" t="n">
        <f aca="false">U12</f>
        <v>0.071</v>
      </c>
      <c r="E586" s="16" t="n">
        <f aca="false">V12</f>
        <v>0.082</v>
      </c>
      <c r="F586" s="16" t="n">
        <f aca="false">W12</f>
        <v>0.06</v>
      </c>
    </row>
    <row r="587" customFormat="false" ht="12.8" hidden="false" customHeight="false" outlineLevel="0" collapsed="false">
      <c r="A587" s="1" t="str">
        <f aca="false">_xlfn.CONCAT($A$575, ".", A13)</f>
        <v>FL.4.10</v>
      </c>
      <c r="B587" s="7" t="str">
        <f aca="false">_xlfn.CONCAT(B13, ": ", C13)</f>
        <v>Manufacturing: Support</v>
      </c>
      <c r="C587" s="16" t="n">
        <f aca="false">T13</f>
        <v>0.071</v>
      </c>
      <c r="D587" s="16" t="n">
        <f aca="false">U13</f>
        <v>0.078</v>
      </c>
      <c r="E587" s="16" t="n">
        <f aca="false">V13</f>
        <v>0.09</v>
      </c>
      <c r="F587" s="16" t="n">
        <f aca="false">W13</f>
        <v>0.066</v>
      </c>
    </row>
    <row r="588" customFormat="false" ht="12.8" hidden="false" customHeight="false" outlineLevel="0" collapsed="false">
      <c r="A588" s="1" t="str">
        <f aca="false">_xlfn.CONCAT($A$575, ".", A14)</f>
        <v>FL.4.11</v>
      </c>
      <c r="B588" s="7" t="str">
        <f aca="false">_xlfn.CONCAT(B14, ": ", C14)</f>
        <v>Transportation &amp; Warehousing: Worker</v>
      </c>
      <c r="C588" s="16" t="n">
        <f aca="false">T14</f>
        <v>0.071</v>
      </c>
      <c r="D588" s="16" t="n">
        <f aca="false">U14</f>
        <v>0.079</v>
      </c>
      <c r="E588" s="16" t="n">
        <f aca="false">V14</f>
        <v>0.091</v>
      </c>
      <c r="F588" s="16" t="n">
        <f aca="false">W14</f>
        <v>0.067</v>
      </c>
    </row>
    <row r="589" customFormat="false" ht="12.8" hidden="false" customHeight="false" outlineLevel="0" collapsed="false">
      <c r="A589" s="1" t="str">
        <f aca="false">_xlfn.CONCAT($A$575, ".", A15)</f>
        <v>FL.4.12</v>
      </c>
      <c r="B589" s="7" t="str">
        <f aca="false">_xlfn.CONCAT(B15, ": ", C15)</f>
        <v>Transportation &amp; Warehousing: Support</v>
      </c>
      <c r="C589" s="16" t="n">
        <f aca="false">T15</f>
        <v>0.079</v>
      </c>
      <c r="D589" s="16" t="n">
        <f aca="false">U15</f>
        <v>0.087</v>
      </c>
      <c r="E589" s="16" t="n">
        <f aca="false">V15</f>
        <v>0.1</v>
      </c>
      <c r="F589" s="16" t="n">
        <f aca="false">W15</f>
        <v>0.074</v>
      </c>
    </row>
    <row r="590" customFormat="false" ht="12.8" hidden="false" customHeight="false" outlineLevel="0" collapsed="false">
      <c r="A590" s="1" t="str">
        <f aca="false">_xlfn.CONCAT($A$575, ".", A16)</f>
        <v>FL.4.13</v>
      </c>
      <c r="B590" s="7" t="str">
        <f aca="false">_xlfn.CONCAT(B16, ": ", C16)</f>
        <v>Retail Trade: Worker</v>
      </c>
      <c r="C590" s="16" t="n">
        <f aca="false">T16</f>
        <v>0.08</v>
      </c>
      <c r="D590" s="16" t="n">
        <f aca="false">U16</f>
        <v>0.095</v>
      </c>
      <c r="E590" s="16" t="n">
        <f aca="false">V16</f>
        <v>0.17</v>
      </c>
      <c r="F590" s="16" t="n">
        <f aca="false">W16</f>
        <v>0.073</v>
      </c>
    </row>
    <row r="591" customFormat="false" ht="12.8" hidden="false" customHeight="false" outlineLevel="0" collapsed="false">
      <c r="A591" s="1" t="str">
        <f aca="false">_xlfn.CONCAT($A$575, ".", A17)</f>
        <v>FL.4.14</v>
      </c>
      <c r="B591" s="7" t="str">
        <f aca="false">_xlfn.CONCAT(B17, ": ", C17)</f>
        <v>Retail Trade: Support</v>
      </c>
      <c r="C591" s="16" t="n">
        <f aca="false">T17</f>
        <v>0.088</v>
      </c>
      <c r="D591" s="16" t="n">
        <f aca="false">U17</f>
        <v>0.104</v>
      </c>
      <c r="E591" s="16" t="n">
        <f aca="false">V17</f>
        <v>0.18</v>
      </c>
      <c r="F591" s="16" t="n">
        <f aca="false">W17</f>
        <v>0.08</v>
      </c>
    </row>
    <row r="592" customFormat="false" ht="12.8" hidden="false" customHeight="false" outlineLevel="0" collapsed="false">
      <c r="A592" s="1" t="str">
        <f aca="false">_xlfn.CONCAT($A$575, ".", A18)</f>
        <v>FL.4.15</v>
      </c>
      <c r="B592" s="7" t="str">
        <f aca="false">_xlfn.CONCAT(B18, ": ", C18)</f>
        <v>Landscaping / Groundskeeping: Worker</v>
      </c>
      <c r="C592" s="16" t="n">
        <f aca="false">T18</f>
        <v>0.095</v>
      </c>
      <c r="D592" s="16" t="n">
        <f aca="false">U18</f>
        <v>0.11</v>
      </c>
      <c r="E592" s="16" t="n">
        <f aca="false">V18</f>
        <v>0.17</v>
      </c>
      <c r="F592" s="16" t="n">
        <f aca="false">W18</f>
        <v>0.086</v>
      </c>
    </row>
    <row r="593" customFormat="false" ht="12.8" hidden="false" customHeight="false" outlineLevel="0" collapsed="false">
      <c r="A593" s="1" t="str">
        <f aca="false">_xlfn.CONCAT($A$575, ".", A19)</f>
        <v>FL.4.16</v>
      </c>
      <c r="B593" s="7" t="str">
        <f aca="false">_xlfn.CONCAT(B19, ": ", C19)</f>
        <v>Landscaping / Groundskeeping: Support</v>
      </c>
      <c r="C593" s="16" t="n">
        <f aca="false">T19</f>
        <v>0.104</v>
      </c>
      <c r="D593" s="16" t="n">
        <f aca="false">U19</f>
        <v>0.115</v>
      </c>
      <c r="E593" s="16" t="n">
        <f aca="false">V19</f>
        <v>0.17</v>
      </c>
      <c r="F593" s="16" t="n">
        <f aca="false">W19</f>
        <v>0.094</v>
      </c>
    </row>
    <row r="594" customFormat="false" ht="12.8" hidden="false" customHeight="false" outlineLevel="0" collapsed="false">
      <c r="A594" s="1" t="str">
        <f aca="false">_xlfn.CONCAT($A$575, ".", A20)</f>
        <v>FL.4.17</v>
      </c>
      <c r="B594" s="7" t="str">
        <f aca="false">_xlfn.CONCAT(B20, ": ", C20)</f>
        <v>Automotive &amp; Repair: Worker</v>
      </c>
      <c r="C594" s="16" t="n">
        <f aca="false">T20</f>
        <v>0.071</v>
      </c>
      <c r="D594" s="16" t="n">
        <f aca="false">U20</f>
        <v>0.079</v>
      </c>
      <c r="E594" s="16" t="n">
        <f aca="false">V20</f>
        <v>0.091</v>
      </c>
      <c r="F594" s="16" t="n">
        <f aca="false">W20</f>
        <v>0.067</v>
      </c>
    </row>
    <row r="595" customFormat="false" ht="12.8" hidden="false" customHeight="false" outlineLevel="0" collapsed="false">
      <c r="A595" s="1" t="str">
        <f aca="false">_xlfn.CONCAT($A$575, ".", A21)</f>
        <v>FL.4.18</v>
      </c>
      <c r="B595" s="7" t="str">
        <f aca="false">_xlfn.CONCAT(B21, ": ", C21)</f>
        <v>Automotive &amp; Repair: Support</v>
      </c>
      <c r="C595" s="16" t="n">
        <f aca="false">T21</f>
        <v>0.079</v>
      </c>
      <c r="D595" s="16" t="n">
        <f aca="false">U21</f>
        <v>0.087</v>
      </c>
      <c r="E595" s="16" t="n">
        <f aca="false">V21</f>
        <v>0.1</v>
      </c>
      <c r="F595" s="16" t="n">
        <f aca="false">W21</f>
        <v>0.074</v>
      </c>
    </row>
    <row r="596" customFormat="false" ht="12.8" hidden="false" customHeight="false" outlineLevel="0" collapsed="false">
      <c r="A596" s="1" t="str">
        <f aca="false">_xlfn.CONCAT($A$575, ".", A22)</f>
        <v>FL.4.19</v>
      </c>
      <c r="B596" s="7" t="str">
        <f aca="false">_xlfn.CONCAT(B22, ": ", C22)</f>
        <v>Healthcare &amp; Social Assistance: Worker</v>
      </c>
      <c r="C596" s="16" t="n">
        <f aca="false">T22</f>
        <v>0.057</v>
      </c>
      <c r="D596" s="16" t="n">
        <f aca="false">U22</f>
        <v>0.063</v>
      </c>
      <c r="E596" s="16" t="n">
        <f aca="false">V22</f>
        <v>0.073</v>
      </c>
      <c r="F596" s="16" t="n">
        <f aca="false">W22</f>
        <v>0.054</v>
      </c>
    </row>
    <row r="597" customFormat="false" ht="12.8" hidden="false" customHeight="false" outlineLevel="0" collapsed="false">
      <c r="A597" s="1" t="str">
        <f aca="false">_xlfn.CONCAT($A$575, ".", A23)</f>
        <v>FL.4.20</v>
      </c>
      <c r="B597" s="7" t="str">
        <f aca="false">_xlfn.CONCAT(B23, ": ", C23)</f>
        <v>Healthcare &amp; Social Assistance: Support</v>
      </c>
      <c r="C597" s="16" t="n">
        <f aca="false">T23</f>
        <v>0.063</v>
      </c>
      <c r="D597" s="16" t="n">
        <f aca="false">U23</f>
        <v>0.07</v>
      </c>
      <c r="E597" s="16" t="n">
        <f aca="false">V23</f>
        <v>0.08</v>
      </c>
      <c r="F597" s="16" t="n">
        <f aca="false">W23</f>
        <v>0.059</v>
      </c>
    </row>
    <row r="598" customFormat="false" ht="12.8" hidden="false" customHeight="false" outlineLevel="0" collapsed="false">
      <c r="A598" s="1" t="str">
        <f aca="false">_xlfn.CONCAT($A$575, ".", A24)</f>
        <v>FL.4.21</v>
      </c>
      <c r="B598" s="7" t="str">
        <f aca="false">_xlfn.CONCAT(B24, ": ", C24)</f>
        <v>Professional Services: Worker</v>
      </c>
      <c r="C598" s="16" t="n">
        <f aca="false">T24</f>
        <v>0.045</v>
      </c>
      <c r="D598" s="16" t="n">
        <f aca="false">U24</f>
        <v>0.052</v>
      </c>
      <c r="E598" s="16" t="n">
        <f aca="false">V24</f>
        <v>0.094</v>
      </c>
      <c r="F598" s="16" t="n">
        <f aca="false">W24</f>
        <v>0.041</v>
      </c>
    </row>
    <row r="599" customFormat="false" ht="12.8" hidden="false" customHeight="false" outlineLevel="0" collapsed="false">
      <c r="A599" s="1" t="str">
        <f aca="false">_xlfn.CONCAT($A$575, ".", A25)</f>
        <v>FL.4.22</v>
      </c>
      <c r="B599" s="7" t="str">
        <f aca="false">_xlfn.CONCAT(B25, ": ", C25)</f>
        <v>Professional Services: Support</v>
      </c>
      <c r="C599" s="16" t="n">
        <f aca="false">T25</f>
        <v>0.05</v>
      </c>
      <c r="D599" s="16" t="n">
        <f aca="false">U25</f>
        <v>0.057</v>
      </c>
      <c r="E599" s="16" t="n">
        <f aca="false">V25</f>
        <v>0.1</v>
      </c>
      <c r="F599" s="16" t="n">
        <f aca="false">W25</f>
        <v>0.045</v>
      </c>
    </row>
    <row r="600" customFormat="false" ht="12.8" hidden="false" customHeight="false" outlineLevel="0" collapsed="false">
      <c r="A600" s="1" t="str">
        <f aca="false">_xlfn.CONCAT($A$575, ".", A26)</f>
        <v>FL.4.23</v>
      </c>
      <c r="B600" s="7" t="str">
        <f aca="false">_xlfn.CONCAT(B26, ": ", C26)</f>
        <v>Educational Services: Worker</v>
      </c>
      <c r="C600" s="16" t="n">
        <f aca="false">T26</f>
        <v>0.045</v>
      </c>
      <c r="D600" s="16" t="n">
        <f aca="false">U26</f>
        <v>0.052</v>
      </c>
      <c r="E600" s="16" t="n">
        <f aca="false">V26</f>
        <v>0.094</v>
      </c>
      <c r="F600" s="16" t="n">
        <f aca="false">W26</f>
        <v>0.041</v>
      </c>
    </row>
    <row r="601" customFormat="false" ht="12.8" hidden="false" customHeight="false" outlineLevel="0" collapsed="false">
      <c r="A601" s="1" t="str">
        <f aca="false">_xlfn.CONCAT($A$575, ".", A27)</f>
        <v>FL.4.24</v>
      </c>
      <c r="B601" s="7" t="str">
        <f aca="false">_xlfn.CONCAT(B27, ": ", C27)</f>
        <v>Educational Services: Support</v>
      </c>
      <c r="C601" s="16" t="n">
        <f aca="false">T27</f>
        <v>0.05</v>
      </c>
      <c r="D601" s="16" t="n">
        <f aca="false">U27</f>
        <v>0.057</v>
      </c>
      <c r="E601" s="16" t="n">
        <f aca="false">V27</f>
        <v>0.1</v>
      </c>
      <c r="F601" s="16" t="n">
        <f aca="false">W27</f>
        <v>0.045</v>
      </c>
    </row>
    <row r="602" customFormat="false" ht="12.8" hidden="false" customHeight="false" outlineLevel="0" collapsed="false">
      <c r="A602" s="1" t="str">
        <f aca="false">_xlfn.CONCAT($A$575, ".", A28)</f>
        <v>FL.4.25</v>
      </c>
      <c r="B602" s="7" t="str">
        <f aca="false">_xlfn.CONCAT(B28, ": ", C28)</f>
        <v>Finance &amp; Insurance: Worker</v>
      </c>
      <c r="C602" s="16" t="n">
        <f aca="false">T28</f>
        <v>0.045</v>
      </c>
      <c r="D602" s="16" t="n">
        <f aca="false">U28</f>
        <v>0.052</v>
      </c>
      <c r="E602" s="16" t="n">
        <f aca="false">V28</f>
        <v>0.094</v>
      </c>
      <c r="F602" s="16" t="n">
        <f aca="false">W28</f>
        <v>0.041</v>
      </c>
    </row>
    <row r="603" customFormat="false" ht="12.8" hidden="false" customHeight="false" outlineLevel="0" collapsed="false">
      <c r="A603" s="1" t="str">
        <f aca="false">_xlfn.CONCAT($A$575, ".", A29)</f>
        <v>FL.4.26</v>
      </c>
      <c r="B603" s="7" t="str">
        <f aca="false">_xlfn.CONCAT(B29, ": ", C29)</f>
        <v>Finance &amp; Insurance: Support</v>
      </c>
      <c r="C603" s="16" t="n">
        <f aca="false">T29</f>
        <v>0.05</v>
      </c>
      <c r="D603" s="16" t="n">
        <f aca="false">U29</f>
        <v>0.057</v>
      </c>
      <c r="E603" s="16" t="n">
        <f aca="false">V29</f>
        <v>0.1</v>
      </c>
      <c r="F603" s="16" t="n">
        <f aca="false">W29</f>
        <v>0.045</v>
      </c>
    </row>
    <row r="604" customFormat="false" ht="12.8" hidden="false" customHeight="false" outlineLevel="0" collapsed="false">
      <c r="A604" s="1" t="str">
        <f aca="false">_xlfn.CONCAT($A$575, ".", A30)</f>
        <v>FL.4.27</v>
      </c>
      <c r="B604" s="7" t="str">
        <f aca="false">_xlfn.CONCAT(B30, ": ", C30)</f>
        <v>Media and Information Technology: Worker</v>
      </c>
      <c r="C604" s="16" t="n">
        <f aca="false">T30</f>
        <v>0.06</v>
      </c>
      <c r="D604" s="16" t="n">
        <f aca="false">U30</f>
        <v>0.07</v>
      </c>
      <c r="E604" s="16" t="n">
        <f aca="false">V30</f>
        <v>0.12</v>
      </c>
      <c r="F604" s="16" t="n">
        <f aca="false">W30</f>
        <v>0.05</v>
      </c>
    </row>
    <row r="605" customFormat="false" ht="12.8" hidden="false" customHeight="false" outlineLevel="0" collapsed="false">
      <c r="A605" s="1" t="str">
        <f aca="false">_xlfn.CONCAT($A$575, ".", A31)</f>
        <v>FL.4.28</v>
      </c>
      <c r="B605" s="7" t="str">
        <f aca="false">_xlfn.CONCAT(B31, ": ", C31)</f>
        <v>Media and Information Technology: Support</v>
      </c>
      <c r="C605" s="16" t="n">
        <f aca="false">T31</f>
        <v>0.066</v>
      </c>
      <c r="D605" s="16" t="n">
        <f aca="false">U31</f>
        <v>0.077</v>
      </c>
      <c r="E605" s="16" t="n">
        <f aca="false">V31</f>
        <v>0.13</v>
      </c>
      <c r="F605" s="16" t="n">
        <f aca="false">W31</f>
        <v>0.055</v>
      </c>
    </row>
    <row r="606" customFormat="false" ht="12.8" hidden="false" customHeight="false" outlineLevel="0" collapsed="false">
      <c r="A606" s="1" t="str">
        <f aca="false">_xlfn.CONCAT($A$575, ".", A32)</f>
        <v>FL.4.29</v>
      </c>
      <c r="B606" s="7" t="str">
        <f aca="false">_xlfn.CONCAT(B32, ": ", C32)</f>
        <v>Government: Worker</v>
      </c>
      <c r="C606" s="16" t="n">
        <f aca="false">T32</f>
        <v>0.05</v>
      </c>
      <c r="D606" s="16" t="n">
        <f aca="false">U32</f>
        <v>0.055</v>
      </c>
      <c r="E606" s="16" t="n">
        <f aca="false">V32</f>
        <v>0.07</v>
      </c>
      <c r="F606" s="16" t="n">
        <f aca="false">W32</f>
        <v>0.045</v>
      </c>
    </row>
    <row r="607" customFormat="false" ht="12.8" hidden="false" customHeight="false" outlineLevel="0" collapsed="false">
      <c r="A607" s="1" t="str">
        <f aca="false">_xlfn.CONCAT($A$575, ".", A33)</f>
        <v>FL.4.30</v>
      </c>
      <c r="B607" s="7" t="str">
        <f aca="false">_xlfn.CONCAT(B33, ": ", C33)</f>
        <v>Government: Support</v>
      </c>
      <c r="C607" s="16" t="n">
        <f aca="false">T33</f>
        <v>0.055</v>
      </c>
      <c r="D607" s="16" t="n">
        <f aca="false">U33</f>
        <v>0.061</v>
      </c>
      <c r="E607" s="16" t="n">
        <f aca="false">V33</f>
        <v>0.077</v>
      </c>
      <c r="F607" s="16" t="n">
        <f aca="false">W33</f>
        <v>0.05</v>
      </c>
    </row>
    <row r="608" customFormat="false" ht="12.8" hidden="false" customHeight="false" outlineLevel="0" collapsed="false">
      <c r="A608" s="1" t="str">
        <f aca="false">_xlfn.CONCAT($A$575, ".", A34)</f>
        <v>FL.4.31</v>
      </c>
      <c r="B608" s="7" t="str">
        <f aca="false">_xlfn.CONCAT(B34, ": ", C34)</f>
        <v>Self-Employed / Non-Employer: Worker</v>
      </c>
      <c r="C608" s="16" t="n">
        <f aca="false">T34</f>
        <v>0.11</v>
      </c>
      <c r="D608" s="16" t="n">
        <f aca="false">U34</f>
        <v>0.127</v>
      </c>
      <c r="E608" s="16" t="n">
        <f aca="false">V34</f>
        <v>0.145</v>
      </c>
      <c r="F608" s="16" t="n">
        <f aca="false">W34</f>
        <v>0.108</v>
      </c>
    </row>
    <row r="609" customFormat="false" ht="12.8" hidden="false" customHeight="false" outlineLevel="0" collapsed="false">
      <c r="A609" s="1" t="str">
        <f aca="false">_xlfn.CONCAT($A$575, ".", A35)</f>
        <v>FL.4.32</v>
      </c>
      <c r="B609" s="7" t="str">
        <f aca="false">_xlfn.CONCAT(B35, ": ", C35)</f>
        <v>Self-Employed / Non-Employer: Support</v>
      </c>
      <c r="C609" s="16" t="n">
        <f aca="false">T35</f>
        <v>0.121</v>
      </c>
      <c r="D609" s="16" t="n">
        <f aca="false">U35</f>
        <v>0.14</v>
      </c>
      <c r="E609" s="16" t="n">
        <f aca="false">V35</f>
        <v>0.16</v>
      </c>
      <c r="F609" s="16" t="n">
        <f aca="false">W35</f>
        <v>0.119</v>
      </c>
    </row>
    <row r="610" customFormat="false" ht="12.8" hidden="false" customHeight="false" outlineLevel="0" collapsed="false">
      <c r="A610" s="1" t="str">
        <f aca="false">_xlfn.CONCAT($A$575, ".", A36)</f>
        <v>FL.4.33</v>
      </c>
      <c r="B610" s="7" t="str">
        <f aca="false">_xlfn.CONCAT(B36, ": ", C36)</f>
        <v>Other Services: Worker</v>
      </c>
      <c r="C610" s="16" t="n">
        <f aca="false">T36</f>
        <v>0.08</v>
      </c>
      <c r="D610" s="16" t="n">
        <f aca="false">U36</f>
        <v>0.095</v>
      </c>
      <c r="E610" s="16" t="n">
        <f aca="false">V36</f>
        <v>0.17</v>
      </c>
      <c r="F610" s="16" t="n">
        <f aca="false">W36</f>
        <v>0.073</v>
      </c>
    </row>
    <row r="611" customFormat="false" ht="12.8" hidden="false" customHeight="false" outlineLevel="0" collapsed="false">
      <c r="A611" s="1" t="str">
        <f aca="false">_xlfn.CONCAT($A$575, ".", A37)</f>
        <v>FL.4.34</v>
      </c>
      <c r="B611" s="7" t="str">
        <f aca="false">_xlfn.CONCAT(B37, ": ", C37)</f>
        <v>Other Services: Support</v>
      </c>
      <c r="C611" s="16" t="n">
        <f aca="false">T37</f>
        <v>0.088</v>
      </c>
      <c r="D611" s="16" t="n">
        <f aca="false">U37</f>
        <v>0.104</v>
      </c>
      <c r="E611" s="16" t="n">
        <f aca="false">V37</f>
        <v>0.18</v>
      </c>
      <c r="F611" s="16" t="n">
        <f aca="false">W37</f>
        <v>0.08</v>
      </c>
    </row>
    <row r="612" customFormat="false" ht="12.8" hidden="false" customHeight="false" outlineLevel="0" collapsed="false">
      <c r="A612" s="1"/>
      <c r="B612" s="7"/>
      <c r="C612" s="16"/>
      <c r="D612" s="16"/>
      <c r="E612" s="16"/>
      <c r="F612" s="16"/>
    </row>
    <row r="613" customFormat="false" ht="12.8" hidden="false" customHeight="false" outlineLevel="0" collapsed="false">
      <c r="A613" s="1"/>
      <c r="B613" s="7"/>
      <c r="C613" s="16"/>
      <c r="D613" s="16"/>
      <c r="E613" s="16"/>
      <c r="F613" s="16"/>
    </row>
    <row r="614" customFormat="false" ht="12.8" hidden="false" customHeight="false" outlineLevel="0" collapsed="false">
      <c r="A614" s="1"/>
      <c r="B614" s="7"/>
      <c r="C614" s="16"/>
      <c r="D614" s="16"/>
      <c r="E614" s="16"/>
      <c r="F614" s="16"/>
    </row>
    <row r="615" customFormat="false" ht="12.8" hidden="false" customHeight="false" outlineLevel="0" collapsed="false">
      <c r="A615" s="1"/>
      <c r="B615" s="7"/>
      <c r="C615" s="16"/>
      <c r="D615" s="16"/>
      <c r="E615" s="16"/>
      <c r="F615" s="16"/>
    </row>
    <row r="616" customFormat="false" ht="12.8" hidden="false" customHeight="false" outlineLevel="0" collapsed="false">
      <c r="A616" s="1"/>
      <c r="B616" s="7"/>
      <c r="C616" s="16"/>
      <c r="D616" s="16"/>
      <c r="E616" s="16"/>
      <c r="F616" s="16"/>
    </row>
    <row r="617" customFormat="false" ht="12.8" hidden="false" customHeight="false" outlineLevel="0" collapsed="false">
      <c r="A617" s="1"/>
      <c r="B617" s="7"/>
      <c r="C617" s="16"/>
      <c r="D617" s="16"/>
      <c r="E617" s="16"/>
      <c r="F617" s="16"/>
    </row>
    <row r="618" customFormat="false" ht="12.8" hidden="false" customHeight="false" outlineLevel="0" collapsed="false">
      <c r="A618" s="1"/>
      <c r="B618" s="7"/>
      <c r="C618" s="16"/>
      <c r="D618" s="16"/>
      <c r="E618" s="16"/>
      <c r="F618" s="16"/>
    </row>
    <row r="619" customFormat="false" ht="12.8" hidden="false" customHeight="false" outlineLevel="0" collapsed="false">
      <c r="A619" s="1"/>
      <c r="B619" s="7"/>
      <c r="C619" s="16"/>
      <c r="D619" s="16"/>
      <c r="E619" s="16"/>
      <c r="F619" s="16"/>
    </row>
    <row r="620" customFormat="false" ht="12.8" hidden="false" customHeight="false" outlineLevel="0" collapsed="false">
      <c r="A620" s="1"/>
      <c r="B620" s="7"/>
      <c r="C620" s="16"/>
      <c r="D620" s="16"/>
      <c r="E620" s="16"/>
      <c r="F620" s="16"/>
    </row>
    <row r="621" customFormat="false" ht="12.8" hidden="false" customHeight="false" outlineLevel="0" collapsed="false">
      <c r="A621" s="1"/>
      <c r="B621" s="7"/>
      <c r="C621" s="16"/>
      <c r="D621" s="16"/>
      <c r="E621" s="16"/>
      <c r="F621" s="16"/>
    </row>
    <row r="622" customFormat="false" ht="12.8" hidden="false" customHeight="false" outlineLevel="0" collapsed="false">
      <c r="A622" s="1"/>
      <c r="B622" s="7"/>
      <c r="C622" s="16"/>
      <c r="D622" s="16"/>
      <c r="E622" s="16"/>
      <c r="F622" s="16"/>
    </row>
    <row r="623" customFormat="false" ht="12.8" hidden="false" customHeight="false" outlineLevel="0" collapsed="false">
      <c r="A623" s="1"/>
      <c r="B623" s="7"/>
      <c r="C623" s="16"/>
      <c r="D623" s="16"/>
      <c r="E623" s="16"/>
      <c r="F623" s="16"/>
    </row>
    <row r="624" customFormat="false" ht="12.8" hidden="false" customHeight="false" outlineLevel="0" collapsed="false">
      <c r="A624" s="1"/>
      <c r="B624" s="7"/>
      <c r="C624" s="16"/>
      <c r="D624" s="16"/>
      <c r="E624" s="16"/>
      <c r="F624" s="16"/>
    </row>
    <row r="625" customFormat="false" ht="12.8" hidden="false" customHeight="false" outlineLevel="0" collapsed="false">
      <c r="A625" s="1"/>
      <c r="B625" s="7"/>
      <c r="C625" s="16"/>
      <c r="D625" s="16"/>
      <c r="E625" s="16"/>
      <c r="F625" s="16"/>
    </row>
    <row r="626" customFormat="false" ht="12.8" hidden="false" customHeight="false" outlineLevel="0" collapsed="false">
      <c r="A626" s="1"/>
      <c r="B626" s="7"/>
      <c r="C626" s="16"/>
      <c r="D626" s="16"/>
      <c r="E626" s="16"/>
      <c r="F626" s="16"/>
    </row>
    <row r="627" customFormat="false" ht="12.8" hidden="false" customHeight="false" outlineLevel="0" collapsed="false">
      <c r="A627" s="1"/>
      <c r="B627" s="7"/>
      <c r="C627" s="16"/>
      <c r="D627" s="16"/>
      <c r="E627" s="16"/>
      <c r="F627" s="16"/>
    </row>
    <row r="628" customFormat="false" ht="12.8" hidden="false" customHeight="false" outlineLevel="0" collapsed="false">
      <c r="A628" s="1"/>
      <c r="B628" s="7"/>
      <c r="C628" s="16"/>
      <c r="D628" s="16"/>
      <c r="E628" s="16"/>
      <c r="F628" s="16"/>
    </row>
    <row r="629" customFormat="false" ht="12.8" hidden="false" customHeight="false" outlineLevel="0" collapsed="false">
      <c r="A629" s="1"/>
      <c r="B629" s="7"/>
      <c r="C629" s="16"/>
      <c r="D629" s="16"/>
      <c r="E629" s="16"/>
      <c r="F629" s="16"/>
    </row>
    <row r="630" customFormat="false" ht="12.8" hidden="false" customHeight="false" outlineLevel="0" collapsed="false">
      <c r="A630" s="1"/>
      <c r="B630" s="7"/>
      <c r="C630" s="16"/>
      <c r="D630" s="16"/>
      <c r="E630" s="16"/>
      <c r="F630" s="16"/>
    </row>
    <row r="709" customFormat="false" ht="12.8" hidden="false" customHeight="false" outlineLevel="0" collapsed="false">
      <c r="A709" s="5" t="s">
        <v>181</v>
      </c>
      <c r="B709" s="24" t="s">
        <v>175</v>
      </c>
      <c r="C709" s="25" t="s">
        <v>150</v>
      </c>
    </row>
    <row r="710" customFormat="false" ht="35.05" hidden="false" customHeight="false" outlineLevel="0" collapsed="false">
      <c r="A710" s="5" t="s">
        <v>26</v>
      </c>
      <c r="B710" s="5" t="str">
        <f aca="false">_xlfn.CONCAT(B2, ": ", C2)</f>
        <v>Industry: Role</v>
      </c>
      <c r="C710" s="26" t="str">
        <f aca="false">X2</f>
        <v>Wage Average ($/hr)</v>
      </c>
      <c r="D710" s="26" t="str">
        <f aca="false">AD2</f>
        <v>Authorized Immigrant Wage Average ($/hr)</v>
      </c>
      <c r="E710" s="26" t="str">
        <f aca="false">AJ2</f>
        <v>Unauthorized Immigrant Wage Average ($/hr)</v>
      </c>
      <c r="F710" s="26" t="str">
        <f aca="false">AP2</f>
        <v>American Wage Average ($/hr)</v>
      </c>
    </row>
    <row r="711" customFormat="false" ht="12.8" hidden="false" customHeight="false" outlineLevel="0" collapsed="false">
      <c r="A711" s="1" t="str">
        <f aca="false">_xlfn.CONCAT($A$709, ".", A3)</f>
        <v>FL.5.0</v>
      </c>
      <c r="B711" s="5" t="str">
        <f aca="false">_xlfn.CONCAT(B3, ": ", C3)</f>
        <v>All Industries: All Roles</v>
      </c>
      <c r="C711" s="28" t="n">
        <f aca="false">X3</f>
        <v>29.4</v>
      </c>
      <c r="D711" s="29" t="n">
        <f aca="false">AD3</f>
        <v>28.4</v>
      </c>
      <c r="E711" s="29" t="n">
        <f aca="false">AJ3</f>
        <v>25</v>
      </c>
      <c r="F711" s="29" t="n">
        <f aca="false">AP3</f>
        <v>30</v>
      </c>
    </row>
    <row r="712" customFormat="false" ht="12.8" hidden="false" customHeight="false" outlineLevel="0" collapsed="false">
      <c r="A712" s="7" t="str">
        <f aca="false">_xlfn.CONCAT($A$709, ".", A4)</f>
        <v>FL.5.1</v>
      </c>
      <c r="B712" s="7" t="str">
        <f aca="false">_xlfn.CONCAT(B4, ": ", C4)</f>
        <v>Agriculture: Worker</v>
      </c>
      <c r="C712" s="20" t="n">
        <f aca="false">X4</f>
        <v>17.8</v>
      </c>
      <c r="D712" s="22" t="n">
        <f aca="false">AD4</f>
        <v>17.3</v>
      </c>
      <c r="E712" s="22" t="n">
        <f aca="false">AJ4</f>
        <v>15.1</v>
      </c>
      <c r="F712" s="22" t="n">
        <f aca="false">AP4</f>
        <v>18.2</v>
      </c>
    </row>
    <row r="713" customFormat="false" ht="12.8" hidden="false" customHeight="false" outlineLevel="0" collapsed="false">
      <c r="A713" s="7" t="str">
        <f aca="false">_xlfn.CONCAT($A$709, ".", A5)</f>
        <v>FL.5.2</v>
      </c>
      <c r="B713" s="7" t="str">
        <f aca="false">_xlfn.CONCAT(B5, ": ", C5)</f>
        <v>Agriculture: Support</v>
      </c>
      <c r="C713" s="20" t="n">
        <f aca="false">X5</f>
        <v>15.1</v>
      </c>
      <c r="D713" s="22" t="n">
        <f aca="false">AD5</f>
        <v>14.7</v>
      </c>
      <c r="E713" s="22" t="n">
        <f aca="false">AJ5</f>
        <v>12.9</v>
      </c>
      <c r="F713" s="22" t="n">
        <f aca="false">AP5</f>
        <v>15.4</v>
      </c>
    </row>
    <row r="714" customFormat="false" ht="12.8" hidden="false" customHeight="false" outlineLevel="0" collapsed="false">
      <c r="A714" s="7" t="str">
        <f aca="false">_xlfn.CONCAT($A$709, ".", A6)</f>
        <v>FL.5.3</v>
      </c>
      <c r="B714" s="7" t="str">
        <f aca="false">_xlfn.CONCAT(B6, ": ", C6)</f>
        <v>Construction: Worker</v>
      </c>
      <c r="C714" s="20" t="n">
        <f aca="false">X6</f>
        <v>24.9</v>
      </c>
      <c r="D714" s="22" t="n">
        <f aca="false">AD6</f>
        <v>24.2</v>
      </c>
      <c r="E714" s="22" t="n">
        <f aca="false">AJ6</f>
        <v>21.8</v>
      </c>
      <c r="F714" s="22" t="n">
        <f aca="false">AP6</f>
        <v>25.4</v>
      </c>
    </row>
    <row r="715" customFormat="false" ht="12.8" hidden="false" customHeight="false" outlineLevel="0" collapsed="false">
      <c r="A715" s="7" t="str">
        <f aca="false">_xlfn.CONCAT($A$709, ".", A7)</f>
        <v>FL.5.4</v>
      </c>
      <c r="B715" s="7" t="str">
        <f aca="false">_xlfn.CONCAT(B7, ": ", C7)</f>
        <v>Construction: Support</v>
      </c>
      <c r="C715" s="20" t="n">
        <f aca="false">X7</f>
        <v>21.2</v>
      </c>
      <c r="D715" s="22" t="n">
        <f aca="false">AD7</f>
        <v>20.6</v>
      </c>
      <c r="E715" s="22" t="n">
        <f aca="false">AJ7</f>
        <v>18.5</v>
      </c>
      <c r="F715" s="22" t="n">
        <f aca="false">AP7</f>
        <v>21.6</v>
      </c>
    </row>
    <row r="716" customFormat="false" ht="12.8" hidden="false" customHeight="false" outlineLevel="0" collapsed="false">
      <c r="A716" s="7" t="str">
        <f aca="false">_xlfn.CONCAT($A$709, ".", A8)</f>
        <v>FL.5.5</v>
      </c>
      <c r="B716" s="7" t="str">
        <f aca="false">_xlfn.CONCAT(B8, ": ", C8)</f>
        <v>Hospitality: Worker</v>
      </c>
      <c r="C716" s="20" t="n">
        <f aca="false">X8</f>
        <v>16.9</v>
      </c>
      <c r="D716" s="22" t="n">
        <f aca="false">AD8</f>
        <v>16.4</v>
      </c>
      <c r="E716" s="22" t="n">
        <f aca="false">AJ8</f>
        <v>14.4</v>
      </c>
      <c r="F716" s="22" t="n">
        <f aca="false">AP8</f>
        <v>17.2</v>
      </c>
    </row>
    <row r="717" customFormat="false" ht="12.8" hidden="false" customHeight="false" outlineLevel="0" collapsed="false">
      <c r="A717" s="7" t="str">
        <f aca="false">_xlfn.CONCAT($A$709, ".", A9)</f>
        <v>FL.5.6</v>
      </c>
      <c r="B717" s="7" t="str">
        <f aca="false">_xlfn.CONCAT(B9, ": ", C9)</f>
        <v>Hospitality: Support</v>
      </c>
      <c r="C717" s="20" t="n">
        <f aca="false">X9</f>
        <v>14.4</v>
      </c>
      <c r="D717" s="22" t="n">
        <f aca="false">AD9</f>
        <v>14</v>
      </c>
      <c r="E717" s="22" t="n">
        <f aca="false">AJ9</f>
        <v>12.2</v>
      </c>
      <c r="F717" s="22" t="n">
        <f aca="false">AP9</f>
        <v>14.7</v>
      </c>
    </row>
    <row r="718" customFormat="false" ht="12.8" hidden="false" customHeight="false" outlineLevel="0" collapsed="false">
      <c r="A718" s="7" t="str">
        <f aca="false">_xlfn.CONCAT($A$709, ".", A10)</f>
        <v>FL.5.7</v>
      </c>
      <c r="B718" s="7" t="str">
        <f aca="false">_xlfn.CONCAT(B10, ": ", C10)</f>
        <v>Cleaning &amp; Maintenance: Worker</v>
      </c>
      <c r="C718" s="20" t="n">
        <f aca="false">X10</f>
        <v>17.3</v>
      </c>
      <c r="D718" s="22" t="n">
        <f aca="false">AD10</f>
        <v>16.8</v>
      </c>
      <c r="E718" s="22" t="n">
        <f aca="false">AJ10</f>
        <v>14.7</v>
      </c>
      <c r="F718" s="22" t="n">
        <f aca="false">AP10</f>
        <v>17.7</v>
      </c>
    </row>
    <row r="719" customFormat="false" ht="12.8" hidden="false" customHeight="false" outlineLevel="0" collapsed="false">
      <c r="A719" s="7" t="str">
        <f aca="false">_xlfn.CONCAT($A$709, ".", A11)</f>
        <v>FL.5.8</v>
      </c>
      <c r="B719" s="7" t="str">
        <f aca="false">_xlfn.CONCAT(B11, ": ", C11)</f>
        <v>Cleaning &amp; Maintenance: Support</v>
      </c>
      <c r="C719" s="20" t="n">
        <f aca="false">X11</f>
        <v>14.7</v>
      </c>
      <c r="D719" s="22" t="n">
        <f aca="false">AD11</f>
        <v>14.3</v>
      </c>
      <c r="E719" s="22" t="n">
        <f aca="false">AJ11</f>
        <v>12.5</v>
      </c>
      <c r="F719" s="22" t="n">
        <f aca="false">AP11</f>
        <v>15</v>
      </c>
    </row>
    <row r="720" customFormat="false" ht="12.8" hidden="false" customHeight="false" outlineLevel="0" collapsed="false">
      <c r="A720" s="7" t="str">
        <f aca="false">_xlfn.CONCAT($A$709, ".", A12)</f>
        <v>FL.5.9</v>
      </c>
      <c r="B720" s="7" t="str">
        <f aca="false">_xlfn.CONCAT(B12, ": ", C12)</f>
        <v>Manufacturing: Worker</v>
      </c>
      <c r="C720" s="20" t="n">
        <f aca="false">X12</f>
        <v>22.6</v>
      </c>
      <c r="D720" s="22" t="n">
        <f aca="false">AD12</f>
        <v>21.9</v>
      </c>
      <c r="E720" s="22" t="n">
        <f aca="false">AJ12</f>
        <v>20.3</v>
      </c>
      <c r="F720" s="22" t="n">
        <f aca="false">AP12</f>
        <v>22.9</v>
      </c>
    </row>
    <row r="721" customFormat="false" ht="12.8" hidden="false" customHeight="false" outlineLevel="0" collapsed="false">
      <c r="A721" s="7" t="str">
        <f aca="false">_xlfn.CONCAT($A$709, ".", A13)</f>
        <v>FL.5.10</v>
      </c>
      <c r="B721" s="7" t="str">
        <f aca="false">_xlfn.CONCAT(B13, ": ", C13)</f>
        <v>Manufacturing: Support</v>
      </c>
      <c r="C721" s="20" t="n">
        <f aca="false">X13</f>
        <v>19.2</v>
      </c>
      <c r="D721" s="22" t="n">
        <f aca="false">AD13</f>
        <v>18.6</v>
      </c>
      <c r="E721" s="22" t="n">
        <f aca="false">AJ13</f>
        <v>17.3</v>
      </c>
      <c r="F721" s="22" t="n">
        <f aca="false">AP13</f>
        <v>19.5</v>
      </c>
    </row>
    <row r="722" customFormat="false" ht="12.8" hidden="false" customHeight="false" outlineLevel="0" collapsed="false">
      <c r="A722" s="7" t="str">
        <f aca="false">_xlfn.CONCAT($A$709, ".", A14)</f>
        <v>FL.5.11</v>
      </c>
      <c r="B722" s="7" t="str">
        <f aca="false">_xlfn.CONCAT(B14, ": ", C14)</f>
        <v>Transportation &amp; Warehousing: Worker</v>
      </c>
      <c r="C722" s="20" t="n">
        <f aca="false">X14</f>
        <v>23.2</v>
      </c>
      <c r="D722" s="22" t="n">
        <f aca="false">AD14</f>
        <v>22.5</v>
      </c>
      <c r="E722" s="22" t="n">
        <f aca="false">AJ14</f>
        <v>20.9</v>
      </c>
      <c r="F722" s="22" t="n">
        <f aca="false">AP14</f>
        <v>23.6</v>
      </c>
    </row>
    <row r="723" customFormat="false" ht="12.8" hidden="false" customHeight="false" outlineLevel="0" collapsed="false">
      <c r="A723" s="7" t="str">
        <f aca="false">_xlfn.CONCAT($A$709, ".", A15)</f>
        <v>FL.5.12</v>
      </c>
      <c r="B723" s="7" t="str">
        <f aca="false">_xlfn.CONCAT(B15, ": ", C15)</f>
        <v>Transportation &amp; Warehousing: Support</v>
      </c>
      <c r="C723" s="20" t="n">
        <f aca="false">X15</f>
        <v>19.7</v>
      </c>
      <c r="D723" s="22" t="n">
        <f aca="false">AD15</f>
        <v>19.1</v>
      </c>
      <c r="E723" s="22" t="n">
        <f aca="false">AJ15</f>
        <v>17.8</v>
      </c>
      <c r="F723" s="22" t="n">
        <f aca="false">AP15</f>
        <v>20.1</v>
      </c>
    </row>
    <row r="724" customFormat="false" ht="12.8" hidden="false" customHeight="false" outlineLevel="0" collapsed="false">
      <c r="A724" s="7" t="str">
        <f aca="false">_xlfn.CONCAT($A$709, ".", A16)</f>
        <v>FL.5.13</v>
      </c>
      <c r="B724" s="7" t="str">
        <f aca="false">_xlfn.CONCAT(B16, ": ", C16)</f>
        <v>Retail Trade: Worker</v>
      </c>
      <c r="C724" s="20" t="n">
        <f aca="false">X16</f>
        <v>23.9</v>
      </c>
      <c r="D724" s="22" t="n">
        <f aca="false">AD16</f>
        <v>23.2</v>
      </c>
      <c r="E724" s="22" t="n">
        <f aca="false">AJ16</f>
        <v>20.3</v>
      </c>
      <c r="F724" s="22" t="n">
        <f aca="false">AP16</f>
        <v>24.4</v>
      </c>
    </row>
    <row r="725" customFormat="false" ht="12.8" hidden="false" customHeight="false" outlineLevel="0" collapsed="false">
      <c r="A725" s="7" t="str">
        <f aca="false">_xlfn.CONCAT($A$709, ".", A17)</f>
        <v>FL.5.14</v>
      </c>
      <c r="B725" s="7" t="str">
        <f aca="false">_xlfn.CONCAT(B17, ": ", C17)</f>
        <v>Retail Trade: Support</v>
      </c>
      <c r="C725" s="20" t="n">
        <f aca="false">X17</f>
        <v>20.3</v>
      </c>
      <c r="D725" s="22" t="n">
        <f aca="false">AD17</f>
        <v>19.7</v>
      </c>
      <c r="E725" s="22" t="n">
        <f aca="false">AJ17</f>
        <v>17.3</v>
      </c>
      <c r="F725" s="22" t="n">
        <f aca="false">AP17</f>
        <v>20.7</v>
      </c>
    </row>
    <row r="726" customFormat="false" ht="12.8" hidden="false" customHeight="false" outlineLevel="0" collapsed="false">
      <c r="A726" s="7" t="str">
        <f aca="false">_xlfn.CONCAT($A$709, ".", A18)</f>
        <v>FL.5.15</v>
      </c>
      <c r="B726" s="7" t="str">
        <f aca="false">_xlfn.CONCAT(B18, ": ", C18)</f>
        <v>Landscaping / Groundskeeping: Worker</v>
      </c>
      <c r="C726" s="20" t="n">
        <f aca="false">X18</f>
        <v>17.5</v>
      </c>
      <c r="D726" s="22" t="n">
        <f aca="false">AD18</f>
        <v>17</v>
      </c>
      <c r="E726" s="22" t="n">
        <f aca="false">AJ18</f>
        <v>14.9</v>
      </c>
      <c r="F726" s="22" t="n">
        <f aca="false">AP18</f>
        <v>17.9</v>
      </c>
    </row>
    <row r="727" customFormat="false" ht="12.8" hidden="false" customHeight="false" outlineLevel="0" collapsed="false">
      <c r="A727" s="7" t="str">
        <f aca="false">_xlfn.CONCAT($A$709, ".", A19)</f>
        <v>FL.5.16</v>
      </c>
      <c r="B727" s="7" t="str">
        <f aca="false">_xlfn.CONCAT(B19, ": ", C19)</f>
        <v>Landscaping / Groundskeeping: Support</v>
      </c>
      <c r="C727" s="20" t="n">
        <f aca="false">X19</f>
        <v>14.9</v>
      </c>
      <c r="D727" s="22" t="n">
        <f aca="false">AD19</f>
        <v>14.5</v>
      </c>
      <c r="E727" s="22" t="n">
        <f aca="false">AJ19</f>
        <v>12.7</v>
      </c>
      <c r="F727" s="22" t="n">
        <f aca="false">AP19</f>
        <v>15.2</v>
      </c>
    </row>
    <row r="728" customFormat="false" ht="12.8" hidden="false" customHeight="false" outlineLevel="0" collapsed="false">
      <c r="A728" s="7" t="str">
        <f aca="false">_xlfn.CONCAT($A$709, ".", A20)</f>
        <v>FL.5.17</v>
      </c>
      <c r="B728" s="7" t="str">
        <f aca="false">_xlfn.CONCAT(B20, ": ", C20)</f>
        <v>Automotive &amp; Repair: Worker</v>
      </c>
      <c r="C728" s="20" t="n">
        <f aca="false">X20</f>
        <v>26.5</v>
      </c>
      <c r="D728" s="22" t="n">
        <f aca="false">AD20</f>
        <v>25.7</v>
      </c>
      <c r="E728" s="22" t="n">
        <f aca="false">AJ20</f>
        <v>23.8</v>
      </c>
      <c r="F728" s="22" t="n">
        <f aca="false">AP20</f>
        <v>27</v>
      </c>
    </row>
    <row r="729" customFormat="false" ht="12.8" hidden="false" customHeight="false" outlineLevel="0" collapsed="false">
      <c r="A729" s="7" t="str">
        <f aca="false">_xlfn.CONCAT($A$709, ".", A21)</f>
        <v>FL.5.18</v>
      </c>
      <c r="B729" s="7" t="str">
        <f aca="false">_xlfn.CONCAT(B21, ": ", C21)</f>
        <v>Automotive &amp; Repair: Support</v>
      </c>
      <c r="C729" s="20" t="n">
        <f aca="false">X21</f>
        <v>22.5</v>
      </c>
      <c r="D729" s="22" t="n">
        <f aca="false">AD21</f>
        <v>21.9</v>
      </c>
      <c r="E729" s="22" t="n">
        <f aca="false">AJ21</f>
        <v>20.3</v>
      </c>
      <c r="F729" s="22" t="n">
        <f aca="false">AP21</f>
        <v>22.9</v>
      </c>
    </row>
    <row r="730" customFormat="false" ht="12.8" hidden="false" customHeight="false" outlineLevel="0" collapsed="false">
      <c r="A730" s="7" t="str">
        <f aca="false">_xlfn.CONCAT($A$709, ".", A22)</f>
        <v>FL.5.19</v>
      </c>
      <c r="B730" s="7" t="str">
        <f aca="false">_xlfn.CONCAT(B22, ": ", C22)</f>
        <v>Healthcare &amp; Social Assistance: Worker</v>
      </c>
      <c r="C730" s="20" t="n">
        <f aca="false">X22</f>
        <v>34.6</v>
      </c>
      <c r="D730" s="22" t="n">
        <f aca="false">AD22</f>
        <v>33.5</v>
      </c>
      <c r="E730" s="22" t="n">
        <f aca="false">AJ22</f>
        <v>32.8</v>
      </c>
      <c r="F730" s="22" t="n">
        <f aca="false">AP22</f>
        <v>35.2</v>
      </c>
    </row>
    <row r="731" customFormat="false" ht="12.8" hidden="false" customHeight="false" outlineLevel="0" collapsed="false">
      <c r="A731" s="7" t="str">
        <f aca="false">_xlfn.CONCAT($A$709, ".", A23)</f>
        <v>FL.5.20</v>
      </c>
      <c r="B731" s="7" t="str">
        <f aca="false">_xlfn.CONCAT(B23, ": ", C23)</f>
        <v>Healthcare &amp; Social Assistance: Support</v>
      </c>
      <c r="C731" s="20" t="n">
        <f aca="false">X23</f>
        <v>29.4</v>
      </c>
      <c r="D731" s="22" t="n">
        <f aca="false">AD23</f>
        <v>28.4</v>
      </c>
      <c r="E731" s="22" t="n">
        <f aca="false">AJ23</f>
        <v>27.9</v>
      </c>
      <c r="F731" s="22" t="n">
        <f aca="false">AP23</f>
        <v>29.9</v>
      </c>
    </row>
    <row r="732" customFormat="false" ht="12.8" hidden="false" customHeight="false" outlineLevel="0" collapsed="false">
      <c r="A732" s="7" t="str">
        <f aca="false">_xlfn.CONCAT($A$709, ".", A24)</f>
        <v>FL.5.21</v>
      </c>
      <c r="B732" s="7" t="str">
        <f aca="false">_xlfn.CONCAT(B24, ": ", C24)</f>
        <v>Professional Services: Worker</v>
      </c>
      <c r="C732" s="20" t="n">
        <f aca="false">X24</f>
        <v>39.5</v>
      </c>
      <c r="D732" s="22" t="n">
        <f aca="false">AD24</f>
        <v>38.2</v>
      </c>
      <c r="E732" s="22" t="n">
        <f aca="false">AJ24</f>
        <v>37.5</v>
      </c>
      <c r="F732" s="22" t="n">
        <f aca="false">AP24</f>
        <v>40.2</v>
      </c>
    </row>
    <row r="733" customFormat="false" ht="12.8" hidden="false" customHeight="false" outlineLevel="0" collapsed="false">
      <c r="A733" s="7" t="str">
        <f aca="false">_xlfn.CONCAT($A$709, ".", A25)</f>
        <v>FL.5.22</v>
      </c>
      <c r="B733" s="7" t="str">
        <f aca="false">_xlfn.CONCAT(B25, ": ", C25)</f>
        <v>Professional Services: Support</v>
      </c>
      <c r="C733" s="20" t="n">
        <f aca="false">X25</f>
        <v>33.6</v>
      </c>
      <c r="D733" s="22" t="n">
        <f aca="false">AD25</f>
        <v>32.5</v>
      </c>
      <c r="E733" s="22" t="n">
        <f aca="false">AJ25</f>
        <v>31.9</v>
      </c>
      <c r="F733" s="22" t="n">
        <f aca="false">AP25</f>
        <v>34.2</v>
      </c>
    </row>
    <row r="734" customFormat="false" ht="12.8" hidden="false" customHeight="false" outlineLevel="0" collapsed="false">
      <c r="A734" s="7" t="str">
        <f aca="false">_xlfn.CONCAT($A$709, ".", A26)</f>
        <v>FL.5.23</v>
      </c>
      <c r="B734" s="7" t="str">
        <f aca="false">_xlfn.CONCAT(B26, ": ", C26)</f>
        <v>Educational Services: Worker</v>
      </c>
      <c r="C734" s="20" t="n">
        <f aca="false">X26</f>
        <v>31.7</v>
      </c>
      <c r="D734" s="22" t="n">
        <f aca="false">AD26</f>
        <v>30.7</v>
      </c>
      <c r="E734" s="22" t="n">
        <f aca="false">AJ26</f>
        <v>30.1</v>
      </c>
      <c r="F734" s="22" t="n">
        <f aca="false">AP26</f>
        <v>32.3</v>
      </c>
    </row>
    <row r="735" customFormat="false" ht="12.8" hidden="false" customHeight="false" outlineLevel="0" collapsed="false">
      <c r="A735" s="7" t="str">
        <f aca="false">_xlfn.CONCAT($A$709, ".", A27)</f>
        <v>FL.5.24</v>
      </c>
      <c r="B735" s="7" t="str">
        <f aca="false">_xlfn.CONCAT(B27, ": ", C27)</f>
        <v>Educational Services: Support</v>
      </c>
      <c r="C735" s="20" t="n">
        <f aca="false">X27</f>
        <v>27</v>
      </c>
      <c r="D735" s="22" t="n">
        <f aca="false">AD27</f>
        <v>26.1</v>
      </c>
      <c r="E735" s="22" t="n">
        <f aca="false">AJ27</f>
        <v>25.6</v>
      </c>
      <c r="F735" s="22" t="n">
        <f aca="false">AP27</f>
        <v>27.5</v>
      </c>
    </row>
    <row r="736" customFormat="false" ht="12.8" hidden="false" customHeight="false" outlineLevel="0" collapsed="false">
      <c r="A736" s="7" t="str">
        <f aca="false">_xlfn.CONCAT($A$709, ".", A28)</f>
        <v>FL.5.25</v>
      </c>
      <c r="B736" s="7" t="str">
        <f aca="false">_xlfn.CONCAT(B28, ": ", C28)</f>
        <v>Finance &amp; Insurance: Worker</v>
      </c>
      <c r="C736" s="20" t="n">
        <f aca="false">X28</f>
        <v>39.5</v>
      </c>
      <c r="D736" s="22" t="n">
        <f aca="false">AD28</f>
        <v>38.2</v>
      </c>
      <c r="E736" s="22" t="n">
        <f aca="false">AJ28</f>
        <v>37.5</v>
      </c>
      <c r="F736" s="22" t="n">
        <f aca="false">AP28</f>
        <v>40.2</v>
      </c>
    </row>
    <row r="737" customFormat="false" ht="12.8" hidden="false" customHeight="false" outlineLevel="0" collapsed="false">
      <c r="A737" s="7" t="str">
        <f aca="false">_xlfn.CONCAT($A$709, ".", A29)</f>
        <v>FL.5.26</v>
      </c>
      <c r="B737" s="7" t="str">
        <f aca="false">_xlfn.CONCAT(B29, ": ", C29)</f>
        <v>Finance &amp; Insurance: Support</v>
      </c>
      <c r="C737" s="20" t="n">
        <f aca="false">X29</f>
        <v>33.6</v>
      </c>
      <c r="D737" s="22" t="n">
        <f aca="false">AD29</f>
        <v>32.5</v>
      </c>
      <c r="E737" s="22" t="n">
        <f aca="false">AJ29</f>
        <v>31.9</v>
      </c>
      <c r="F737" s="22" t="n">
        <f aca="false">AP29</f>
        <v>34.2</v>
      </c>
    </row>
    <row r="738" customFormat="false" ht="12.8" hidden="false" customHeight="false" outlineLevel="0" collapsed="false">
      <c r="A738" s="7" t="str">
        <f aca="false">_xlfn.CONCAT($A$709, ".", A30)</f>
        <v>FL.5.27</v>
      </c>
      <c r="B738" s="7" t="str">
        <f aca="false">_xlfn.CONCAT(B30, ": ", C30)</f>
        <v>Media and Information Technology: Worker</v>
      </c>
      <c r="C738" s="20" t="n">
        <f aca="false">X30</f>
        <v>39.8</v>
      </c>
      <c r="D738" s="22" t="n">
        <f aca="false">AD30</f>
        <v>38.5</v>
      </c>
      <c r="E738" s="22" t="n">
        <f aca="false">AJ30</f>
        <v>37.8</v>
      </c>
      <c r="F738" s="22" t="n">
        <f aca="false">AP30</f>
        <v>40.5</v>
      </c>
    </row>
    <row r="739" customFormat="false" ht="12.8" hidden="false" customHeight="false" outlineLevel="0" collapsed="false">
      <c r="A739" s="7" t="str">
        <f aca="false">_xlfn.CONCAT($A$709, ".", A31)</f>
        <v>FL.5.28</v>
      </c>
      <c r="B739" s="7" t="str">
        <f aca="false">_xlfn.CONCAT(B31, ": ", C31)</f>
        <v>Media and Information Technology: Support</v>
      </c>
      <c r="C739" s="20" t="n">
        <f aca="false">X31</f>
        <v>33.8</v>
      </c>
      <c r="D739" s="22" t="n">
        <f aca="false">AD31</f>
        <v>32.7</v>
      </c>
      <c r="E739" s="22" t="n">
        <f aca="false">AJ31</f>
        <v>31.1</v>
      </c>
      <c r="F739" s="22" t="n">
        <f aca="false">AP31</f>
        <v>34.4</v>
      </c>
    </row>
    <row r="740" customFormat="false" ht="12.8" hidden="false" customHeight="false" outlineLevel="0" collapsed="false">
      <c r="A740" s="7" t="str">
        <f aca="false">_xlfn.CONCAT($A$709, ".", A32)</f>
        <v>FL.5.29</v>
      </c>
      <c r="B740" s="7" t="str">
        <f aca="false">_xlfn.CONCAT(B32, ": ", C32)</f>
        <v>Government: Worker</v>
      </c>
      <c r="C740" s="20" t="n">
        <f aca="false">X32</f>
        <v>33.8</v>
      </c>
      <c r="D740" s="22" t="n">
        <f aca="false">AD32</f>
        <v>32.8</v>
      </c>
      <c r="E740" s="22" t="n">
        <f aca="false">AJ32</f>
        <v>32.2</v>
      </c>
      <c r="F740" s="22" t="n">
        <f aca="false">AP32</f>
        <v>34.4</v>
      </c>
    </row>
    <row r="741" customFormat="false" ht="12.8" hidden="false" customHeight="false" outlineLevel="0" collapsed="false">
      <c r="A741" s="7" t="str">
        <f aca="false">_xlfn.CONCAT($A$709, ".", A33)</f>
        <v>FL.5.30</v>
      </c>
      <c r="B741" s="7" t="str">
        <f aca="false">_xlfn.CONCAT(B33, ": ", C33)</f>
        <v>Government: Support</v>
      </c>
      <c r="C741" s="20" t="n">
        <f aca="false">X33</f>
        <v>28.7</v>
      </c>
      <c r="D741" s="22" t="n">
        <f aca="false">AD33</f>
        <v>27.9</v>
      </c>
      <c r="E741" s="22" t="n">
        <f aca="false">AJ33</f>
        <v>27.4</v>
      </c>
      <c r="F741" s="22" t="n">
        <f aca="false">AP33</f>
        <v>29.2</v>
      </c>
    </row>
    <row r="742" customFormat="false" ht="12.8" hidden="false" customHeight="false" outlineLevel="0" collapsed="false">
      <c r="A742" s="7" t="str">
        <f aca="false">_xlfn.CONCAT($A$709, ".", A34)</f>
        <v>FL.5.31</v>
      </c>
      <c r="B742" s="7" t="str">
        <f aca="false">_xlfn.CONCAT(B34, ": ", C34)</f>
        <v>Self-Employed / Non-Employer: Worker</v>
      </c>
      <c r="C742" s="20" t="n">
        <f aca="false">X34</f>
        <v>25</v>
      </c>
      <c r="D742" s="22" t="n">
        <f aca="false">AD34</f>
        <v>24.2</v>
      </c>
      <c r="E742" s="22" t="n">
        <f aca="false">AJ34</f>
        <v>22.5</v>
      </c>
      <c r="F742" s="22" t="n">
        <f aca="false">AP34</f>
        <v>25.4</v>
      </c>
    </row>
    <row r="743" customFormat="false" ht="12.8" hidden="false" customHeight="false" outlineLevel="0" collapsed="false">
      <c r="A743" s="7" t="str">
        <f aca="false">_xlfn.CONCAT($A$709, ".", A35)</f>
        <v>FL.5.32</v>
      </c>
      <c r="B743" s="7" t="str">
        <f aca="false">_xlfn.CONCAT(B35, ": ", C35)</f>
        <v>Self-Employed / Non-Employer: Support</v>
      </c>
      <c r="C743" s="20" t="n">
        <f aca="false">X35</f>
        <v>21.3</v>
      </c>
      <c r="D743" s="22" t="n">
        <f aca="false">AD35</f>
        <v>20.6</v>
      </c>
      <c r="E743" s="22" t="n">
        <f aca="false">AJ35</f>
        <v>19.1</v>
      </c>
      <c r="F743" s="22" t="n">
        <f aca="false">AP35</f>
        <v>21.6</v>
      </c>
    </row>
    <row r="744" customFormat="false" ht="12.8" hidden="false" customHeight="false" outlineLevel="0" collapsed="false">
      <c r="A744" s="7" t="str">
        <f aca="false">_xlfn.CONCAT($A$709, ".", A36)</f>
        <v>FL.5.33</v>
      </c>
      <c r="B744" s="7" t="str">
        <f aca="false">_xlfn.CONCAT(B36, ": ", C36)</f>
        <v>Other Services: Worker</v>
      </c>
      <c r="C744" s="20" t="n">
        <f aca="false">X36</f>
        <v>20.6</v>
      </c>
      <c r="D744" s="22" t="n">
        <f aca="false">AD36</f>
        <v>20</v>
      </c>
      <c r="E744" s="22" t="n">
        <f aca="false">AJ36</f>
        <v>17.5</v>
      </c>
      <c r="F744" s="22" t="n">
        <f aca="false">AP36</f>
        <v>21</v>
      </c>
    </row>
    <row r="745" customFormat="false" ht="12.8" hidden="false" customHeight="false" outlineLevel="0" collapsed="false">
      <c r="A745" s="7" t="str">
        <f aca="false">_xlfn.CONCAT($A$709, ".", A37)</f>
        <v>FL.5.34</v>
      </c>
      <c r="B745" s="7" t="str">
        <f aca="false">_xlfn.CONCAT(B37, ": ", C37)</f>
        <v>Other Services: Support</v>
      </c>
      <c r="C745" s="20" t="n">
        <f aca="false">X37</f>
        <v>17.5</v>
      </c>
      <c r="D745" s="22" t="n">
        <f aca="false">AD37</f>
        <v>17</v>
      </c>
      <c r="E745" s="22" t="n">
        <f aca="false">AJ37</f>
        <v>14.9</v>
      </c>
      <c r="F745" s="22" t="n">
        <f aca="false">AP37</f>
        <v>17.9</v>
      </c>
    </row>
    <row r="843" customFormat="false" ht="12.8" hidden="false" customHeight="false" outlineLevel="0" collapsed="false">
      <c r="A843" s="5" t="s">
        <v>182</v>
      </c>
      <c r="B843" s="24" t="s">
        <v>175</v>
      </c>
      <c r="C843" s="25" t="s">
        <v>152</v>
      </c>
    </row>
    <row r="844" customFormat="false" ht="46.25" hidden="false" customHeight="false" outlineLevel="0" collapsed="false">
      <c r="A844" s="5" t="s">
        <v>26</v>
      </c>
      <c r="B844" s="5" t="str">
        <f aca="false">_xlfn.CONCAT(B2, ": ", C2)</f>
        <v>Industry: Role</v>
      </c>
      <c r="C844" s="30" t="str">
        <f aca="false">AA2</f>
        <v>Annual Income ($)</v>
      </c>
      <c r="D844" s="30" t="str">
        <f aca="false">AG2</f>
        <v>Authorized Immigrant Annual Income Average ($)</v>
      </c>
      <c r="E844" s="30" t="str">
        <f aca="false">AM2</f>
        <v>Unauthorized Immigrant Annual Income Average ($)</v>
      </c>
      <c r="F844" s="30" t="str">
        <f aca="false">AS2</f>
        <v>American Annual Income Average ($)</v>
      </c>
    </row>
    <row r="845" customFormat="false" ht="12.8" hidden="false" customHeight="false" outlineLevel="0" collapsed="false">
      <c r="A845" s="1" t="str">
        <f aca="false">_xlfn.CONCAT($A$843, ".", A3)</f>
        <v>FL.6.0</v>
      </c>
      <c r="B845" s="5" t="str">
        <f aca="false">_xlfn.CONCAT(B3, ": ", C3)</f>
        <v>All Industries: All Roles</v>
      </c>
      <c r="C845" s="30" t="n">
        <f aca="false">AA3</f>
        <v>61152</v>
      </c>
      <c r="D845" s="30" t="n">
        <f aca="false">AG3</f>
        <v>59107</v>
      </c>
      <c r="E845" s="30" t="n">
        <f aca="false">AM3</f>
        <v>52000</v>
      </c>
      <c r="F845" s="30" t="n">
        <f aca="false">AS3</f>
        <v>62400</v>
      </c>
    </row>
    <row r="846" customFormat="false" ht="12.8" hidden="false" customHeight="false" outlineLevel="0" collapsed="false">
      <c r="A846" s="1" t="str">
        <f aca="false">_xlfn.CONCAT($A$843, ".", A4)</f>
        <v>FL.6.1</v>
      </c>
      <c r="B846" s="7" t="str">
        <f aca="false">_xlfn.CONCAT(B4, ": ", C4)</f>
        <v>Agriculture: Worker</v>
      </c>
      <c r="C846" s="30" t="n">
        <f aca="false">AA4</f>
        <v>37104</v>
      </c>
      <c r="D846" s="30" t="n">
        <f aca="false">AG4</f>
        <v>36084</v>
      </c>
      <c r="E846" s="30" t="n">
        <f aca="false">AM4</f>
        <v>31408</v>
      </c>
      <c r="F846" s="30" t="n">
        <f aca="false">AS4</f>
        <v>37856</v>
      </c>
    </row>
    <row r="847" customFormat="false" ht="12.8" hidden="false" customHeight="false" outlineLevel="0" collapsed="false">
      <c r="A847" s="1" t="str">
        <f aca="false">_xlfn.CONCAT($A$843, ".", A5)</f>
        <v>FL.6.2</v>
      </c>
      <c r="B847" s="7" t="str">
        <f aca="false">_xlfn.CONCAT(B5, ": ", C5)</f>
        <v>Agriculture: Support</v>
      </c>
      <c r="C847" s="30" t="n">
        <f aca="false">AA5</f>
        <v>31408</v>
      </c>
      <c r="D847" s="30" t="n">
        <f aca="false">AG5</f>
        <v>30636</v>
      </c>
      <c r="E847" s="30" t="n">
        <f aca="false">AM5</f>
        <v>26832</v>
      </c>
      <c r="F847" s="30" t="n">
        <f aca="false">AS5</f>
        <v>32032</v>
      </c>
    </row>
    <row r="848" customFormat="false" ht="12.8" hidden="false" customHeight="false" outlineLevel="0" collapsed="false">
      <c r="A848" s="1" t="str">
        <f aca="false">_xlfn.CONCAT($A$843, ".", A6)</f>
        <v>FL.6.3</v>
      </c>
      <c r="B848" s="7" t="str">
        <f aca="false">_xlfn.CONCAT(B6, ": ", C6)</f>
        <v>Construction: Worker</v>
      </c>
      <c r="C848" s="30" t="n">
        <f aca="false">AA6</f>
        <v>51832</v>
      </c>
      <c r="D848" s="30" t="n">
        <f aca="false">AG6</f>
        <v>50416</v>
      </c>
      <c r="E848" s="30" t="n">
        <f aca="false">AM6</f>
        <v>45344</v>
      </c>
      <c r="F848" s="30" t="n">
        <f aca="false">AS6</f>
        <v>52832</v>
      </c>
    </row>
    <row r="849" customFormat="false" ht="12.8" hidden="false" customHeight="false" outlineLevel="0" collapsed="false">
      <c r="A849" s="1" t="str">
        <f aca="false">_xlfn.CONCAT($A$843, ".", A7)</f>
        <v>FL.6.4</v>
      </c>
      <c r="B849" s="7" t="str">
        <f aca="false">_xlfn.CONCAT(B7, ": ", C7)</f>
        <v>Construction: Support</v>
      </c>
      <c r="C849" s="30" t="n">
        <f aca="false">AA7</f>
        <v>44100</v>
      </c>
      <c r="D849" s="30" t="n">
        <f aca="false">AG7</f>
        <v>42928</v>
      </c>
      <c r="E849" s="30" t="n">
        <f aca="false">AM7</f>
        <v>38480</v>
      </c>
      <c r="F849" s="30" t="n">
        <f aca="false">AS7</f>
        <v>44928</v>
      </c>
    </row>
    <row r="850" customFormat="false" ht="12.8" hidden="false" customHeight="false" outlineLevel="0" collapsed="false">
      <c r="A850" s="1" t="str">
        <f aca="false">_xlfn.CONCAT($A$843, ".", A8)</f>
        <v>FL.6.5</v>
      </c>
      <c r="B850" s="7" t="str">
        <f aca="false">_xlfn.CONCAT(B8, ": ", C8)</f>
        <v>Hospitality: Worker</v>
      </c>
      <c r="C850" s="30" t="n">
        <f aca="false">AA8</f>
        <v>35152</v>
      </c>
      <c r="D850" s="30" t="n">
        <f aca="false">AG8</f>
        <v>34112</v>
      </c>
      <c r="E850" s="30" t="n">
        <f aca="false">AM8</f>
        <v>29952</v>
      </c>
      <c r="F850" s="30" t="n">
        <f aca="false">AS8</f>
        <v>35776</v>
      </c>
    </row>
    <row r="851" customFormat="false" ht="12.8" hidden="false" customHeight="false" outlineLevel="0" collapsed="false">
      <c r="A851" s="1" t="str">
        <f aca="false">_xlfn.CONCAT($A$843, ".", A9)</f>
        <v>FL.6.6</v>
      </c>
      <c r="B851" s="7" t="str">
        <f aca="false">_xlfn.CONCAT(B9, ": ", C9)</f>
        <v>Hospitality: Support</v>
      </c>
      <c r="C851" s="30" t="n">
        <f aca="false">AA9</f>
        <v>29952</v>
      </c>
      <c r="D851" s="30" t="n">
        <f aca="false">AG9</f>
        <v>29120</v>
      </c>
      <c r="E851" s="30" t="n">
        <f aca="false">AM9</f>
        <v>25376</v>
      </c>
      <c r="F851" s="30" t="n">
        <f aca="false">AS9</f>
        <v>30576</v>
      </c>
    </row>
    <row r="852" customFormat="false" ht="12.8" hidden="false" customHeight="false" outlineLevel="0" collapsed="false">
      <c r="A852" s="1" t="str">
        <f aca="false">_xlfn.CONCAT($A$843, ".", A10)</f>
        <v>FL.6.7</v>
      </c>
      <c r="B852" s="7" t="str">
        <f aca="false">_xlfn.CONCAT(B10, ": ", C10)</f>
        <v>Cleaning &amp; Maintenance: Worker</v>
      </c>
      <c r="C852" s="30" t="n">
        <f aca="false">AA10</f>
        <v>36004</v>
      </c>
      <c r="D852" s="30" t="n">
        <f aca="false">AG10</f>
        <v>34944</v>
      </c>
      <c r="E852" s="30" t="n">
        <f aca="false">AM10</f>
        <v>30576</v>
      </c>
      <c r="F852" s="30" t="n">
        <f aca="false">AS10</f>
        <v>36816</v>
      </c>
    </row>
    <row r="853" customFormat="false" ht="12.8" hidden="false" customHeight="false" outlineLevel="0" collapsed="false">
      <c r="A853" s="1" t="str">
        <f aca="false">_xlfn.CONCAT($A$843, ".", A11)</f>
        <v>FL.6.8</v>
      </c>
      <c r="B853" s="7" t="str">
        <f aca="false">_xlfn.CONCAT(B11, ": ", C11)</f>
        <v>Cleaning &amp; Maintenance: Support</v>
      </c>
      <c r="C853" s="30" t="n">
        <f aca="false">AA11</f>
        <v>30576</v>
      </c>
      <c r="D853" s="30" t="n">
        <f aca="false">AG11</f>
        <v>29744</v>
      </c>
      <c r="E853" s="30" t="n">
        <f aca="false">AM11</f>
        <v>25920</v>
      </c>
      <c r="F853" s="30" t="n">
        <f aca="false">AS11</f>
        <v>31200</v>
      </c>
    </row>
    <row r="854" customFormat="false" ht="12.8" hidden="false" customHeight="false" outlineLevel="0" collapsed="false">
      <c r="A854" s="1" t="str">
        <f aca="false">_xlfn.CONCAT($A$843, ".", A12)</f>
        <v>FL.6.9</v>
      </c>
      <c r="B854" s="7" t="str">
        <f aca="false">_xlfn.CONCAT(B12, ": ", C12)</f>
        <v>Manufacturing: Worker</v>
      </c>
      <c r="C854" s="30" t="n">
        <f aca="false">AA12</f>
        <v>47008</v>
      </c>
      <c r="D854" s="30" t="n">
        <f aca="false">AG12</f>
        <v>45672</v>
      </c>
      <c r="E854" s="30" t="n">
        <f aca="false">AM12</f>
        <v>42224</v>
      </c>
      <c r="F854" s="30" t="n">
        <f aca="false">AS12</f>
        <v>47632</v>
      </c>
    </row>
    <row r="855" customFormat="false" ht="12.8" hidden="false" customHeight="false" outlineLevel="0" collapsed="false">
      <c r="A855" s="1" t="str">
        <f aca="false">_xlfn.CONCAT($A$843, ".", A13)</f>
        <v>FL.6.10</v>
      </c>
      <c r="B855" s="7" t="str">
        <f aca="false">_xlfn.CONCAT(B13, ": ", C13)</f>
        <v>Manufacturing: Support</v>
      </c>
      <c r="C855" s="30" t="n">
        <f aca="false">AA13</f>
        <v>39936</v>
      </c>
      <c r="D855" s="30" t="n">
        <f aca="false">AG13</f>
        <v>38736</v>
      </c>
      <c r="E855" s="30" t="n">
        <f aca="false">AM13</f>
        <v>35984</v>
      </c>
      <c r="F855" s="30" t="n">
        <f aca="false">AS13</f>
        <v>40560</v>
      </c>
    </row>
    <row r="856" customFormat="false" ht="12.8" hidden="false" customHeight="false" outlineLevel="0" collapsed="false">
      <c r="A856" s="1" t="str">
        <f aca="false">_xlfn.CONCAT($A$843, ".", A14)</f>
        <v>FL.6.11</v>
      </c>
      <c r="B856" s="7" t="str">
        <f aca="false">_xlfn.CONCAT(B14, ": ", C14)</f>
        <v>Transportation &amp; Warehousing: Worker</v>
      </c>
      <c r="C856" s="30" t="n">
        <f aca="false">AA14</f>
        <v>48256</v>
      </c>
      <c r="D856" s="30" t="n">
        <f aca="false">AG14</f>
        <v>46800</v>
      </c>
      <c r="E856" s="30" t="n">
        <f aca="false">AM14</f>
        <v>43472</v>
      </c>
      <c r="F856" s="30" t="n">
        <f aca="false">AS14</f>
        <v>49088</v>
      </c>
    </row>
    <row r="857" customFormat="false" ht="12.8" hidden="false" customHeight="false" outlineLevel="0" collapsed="false">
      <c r="A857" s="1" t="str">
        <f aca="false">_xlfn.CONCAT($A$843, ".", A15)</f>
        <v>FL.6.12</v>
      </c>
      <c r="B857" s="7" t="str">
        <f aca="false">_xlfn.CONCAT(B15, ": ", C15)</f>
        <v>Transportation &amp; Warehousing: Support</v>
      </c>
      <c r="C857" s="30" t="n">
        <f aca="false">AA15</f>
        <v>40976</v>
      </c>
      <c r="D857" s="30" t="n">
        <f aca="false">AG15</f>
        <v>39728</v>
      </c>
      <c r="E857" s="30" t="n">
        <f aca="false">AM15</f>
        <v>37024</v>
      </c>
      <c r="F857" s="30" t="n">
        <f aca="false">AS15</f>
        <v>41808</v>
      </c>
    </row>
    <row r="858" customFormat="false" ht="12.8" hidden="false" customHeight="false" outlineLevel="0" collapsed="false">
      <c r="A858" s="1" t="str">
        <f aca="false">_xlfn.CONCAT($A$843, ".", A16)</f>
        <v>FL.6.13</v>
      </c>
      <c r="B858" s="7" t="str">
        <f aca="false">_xlfn.CONCAT(B16, ": ", C16)</f>
        <v>Retail Trade: Worker</v>
      </c>
      <c r="C858" s="30" t="n">
        <f aca="false">AA16</f>
        <v>49712</v>
      </c>
      <c r="D858" s="30" t="n">
        <f aca="false">AG16</f>
        <v>48256</v>
      </c>
      <c r="E858" s="30" t="n">
        <f aca="false">AM16</f>
        <v>42224</v>
      </c>
      <c r="F858" s="30" t="n">
        <f aca="false">AS16</f>
        <v>50752</v>
      </c>
    </row>
    <row r="859" customFormat="false" ht="12.8" hidden="false" customHeight="false" outlineLevel="0" collapsed="false">
      <c r="A859" s="1" t="str">
        <f aca="false">_xlfn.CONCAT($A$843, ".", A17)</f>
        <v>FL.6.14</v>
      </c>
      <c r="B859" s="7" t="str">
        <f aca="false">_xlfn.CONCAT(B17, ": ", C17)</f>
        <v>Retail Trade: Support</v>
      </c>
      <c r="C859" s="30" t="n">
        <f aca="false">AA17</f>
        <v>42224</v>
      </c>
      <c r="D859" s="30" t="n">
        <f aca="false">AG17</f>
        <v>41096</v>
      </c>
      <c r="E859" s="30" t="n">
        <f aca="false">AM17</f>
        <v>35984</v>
      </c>
      <c r="F859" s="30" t="n">
        <f aca="false">AS17</f>
        <v>43056</v>
      </c>
    </row>
    <row r="860" customFormat="false" ht="12.8" hidden="false" customHeight="false" outlineLevel="0" collapsed="false">
      <c r="A860" s="1" t="str">
        <f aca="false">_xlfn.CONCAT($A$843, ".", A18)</f>
        <v>FL.6.15</v>
      </c>
      <c r="B860" s="7" t="str">
        <f aca="false">_xlfn.CONCAT(B18, ": ", C18)</f>
        <v>Landscaping / Groundskeeping: Worker</v>
      </c>
      <c r="C860" s="30" t="n">
        <f aca="false">AA18</f>
        <v>36400</v>
      </c>
      <c r="D860" s="30" t="n">
        <f aca="false">AG18</f>
        <v>35440</v>
      </c>
      <c r="E860" s="30" t="n">
        <f aca="false">AM18</f>
        <v>30992</v>
      </c>
      <c r="F860" s="30" t="n">
        <f aca="false">AS18</f>
        <v>37232</v>
      </c>
    </row>
    <row r="861" customFormat="false" ht="12.8" hidden="false" customHeight="false" outlineLevel="0" collapsed="false">
      <c r="A861" s="1" t="str">
        <f aca="false">_xlfn.CONCAT($A$843, ".", A19)</f>
        <v>FL.6.16</v>
      </c>
      <c r="B861" s="7" t="str">
        <f aca="false">_xlfn.CONCAT(B19, ": ", C19)</f>
        <v>Landscaping / Groundskeeping: Support</v>
      </c>
      <c r="C861" s="30" t="n">
        <f aca="false">AA19</f>
        <v>30992</v>
      </c>
      <c r="D861" s="30" t="n">
        <f aca="false">AG19</f>
        <v>30240</v>
      </c>
      <c r="E861" s="30" t="n">
        <f aca="false">AM19</f>
        <v>26416</v>
      </c>
      <c r="F861" s="30" t="n">
        <f aca="false">AS19</f>
        <v>31616</v>
      </c>
    </row>
    <row r="862" customFormat="false" ht="12.8" hidden="false" customHeight="false" outlineLevel="0" collapsed="false">
      <c r="A862" s="1" t="str">
        <f aca="false">_xlfn.CONCAT($A$843, ".", A20)</f>
        <v>FL.6.17</v>
      </c>
      <c r="B862" s="7" t="str">
        <f aca="false">_xlfn.CONCAT(B20, ": ", C20)</f>
        <v>Automotive &amp; Repair: Worker</v>
      </c>
      <c r="C862" s="30" t="n">
        <f aca="false">AA20</f>
        <v>55120</v>
      </c>
      <c r="D862" s="30" t="n">
        <f aca="false">AG20</f>
        <v>53536</v>
      </c>
      <c r="E862" s="30" t="n">
        <f aca="false">AM20</f>
        <v>49504</v>
      </c>
      <c r="F862" s="30" t="n">
        <f aca="false">AS20</f>
        <v>56160</v>
      </c>
    </row>
    <row r="863" customFormat="false" ht="12.8" hidden="false" customHeight="false" outlineLevel="0" collapsed="false">
      <c r="A863" s="1" t="str">
        <f aca="false">_xlfn.CONCAT($A$843, ".", A21)</f>
        <v>FL.6.18</v>
      </c>
      <c r="B863" s="7" t="str">
        <f aca="false">_xlfn.CONCAT(B21, ": ", C21)</f>
        <v>Automotive &amp; Repair: Support</v>
      </c>
      <c r="C863" s="30" t="n">
        <f aca="false">AA21</f>
        <v>46800</v>
      </c>
      <c r="D863" s="30" t="n">
        <f aca="false">AG21</f>
        <v>45672</v>
      </c>
      <c r="E863" s="30" t="n">
        <f aca="false">AM21</f>
        <v>42224</v>
      </c>
      <c r="F863" s="30" t="n">
        <f aca="false">AS21</f>
        <v>47632</v>
      </c>
    </row>
    <row r="864" customFormat="false" ht="12.8" hidden="false" customHeight="false" outlineLevel="0" collapsed="false">
      <c r="A864" s="1" t="str">
        <f aca="false">_xlfn.CONCAT($A$843, ".", A22)</f>
        <v>FL.6.19</v>
      </c>
      <c r="B864" s="7" t="str">
        <f aca="false">_xlfn.CONCAT(B22, ": ", C22)</f>
        <v>Healthcare &amp; Social Assistance: Worker</v>
      </c>
      <c r="C864" s="30" t="n">
        <f aca="false">AA22</f>
        <v>71968</v>
      </c>
      <c r="D864" s="30" t="n">
        <f aca="false">AG22</f>
        <v>69880</v>
      </c>
      <c r="E864" s="30" t="n">
        <f aca="false">AM22</f>
        <v>68224</v>
      </c>
      <c r="F864" s="30" t="n">
        <f aca="false">AS22</f>
        <v>73216</v>
      </c>
    </row>
    <row r="865" customFormat="false" ht="12.8" hidden="false" customHeight="false" outlineLevel="0" collapsed="false">
      <c r="A865" s="1" t="str">
        <f aca="false">_xlfn.CONCAT($A$843, ".", A23)</f>
        <v>FL.6.20</v>
      </c>
      <c r="B865" s="7" t="str">
        <f aca="false">_xlfn.CONCAT(B23, ": ", C23)</f>
        <v>Healthcare &amp; Social Assistance: Support</v>
      </c>
      <c r="C865" s="30" t="n">
        <f aca="false">AA23</f>
        <v>61152</v>
      </c>
      <c r="D865" s="30" t="n">
        <f aca="false">AG23</f>
        <v>59107</v>
      </c>
      <c r="E865" s="30" t="n">
        <f aca="false">AM23</f>
        <v>58032</v>
      </c>
      <c r="F865" s="30" t="n">
        <f aca="false">AS23</f>
        <v>62192</v>
      </c>
    </row>
    <row r="866" customFormat="false" ht="12.8" hidden="false" customHeight="false" outlineLevel="0" collapsed="false">
      <c r="A866" s="1" t="str">
        <f aca="false">_xlfn.CONCAT($A$843, ".", A24)</f>
        <v>FL.6.21</v>
      </c>
      <c r="B866" s="7" t="str">
        <f aca="false">_xlfn.CONCAT(B24, ": ", C24)</f>
        <v>Professional Services: Worker</v>
      </c>
      <c r="C866" s="30" t="n">
        <f aca="false">AA24</f>
        <v>82160</v>
      </c>
      <c r="D866" s="30" t="n">
        <f aca="false">AG24</f>
        <v>79616</v>
      </c>
      <c r="E866" s="30" t="n">
        <f aca="false">AM24</f>
        <v>78000</v>
      </c>
      <c r="F866" s="30" t="n">
        <f aca="false">AS24</f>
        <v>83616</v>
      </c>
    </row>
    <row r="867" customFormat="false" ht="12.8" hidden="false" customHeight="false" outlineLevel="0" collapsed="false">
      <c r="A867" s="1" t="str">
        <f aca="false">_xlfn.CONCAT($A$843, ".", A25)</f>
        <v>FL.6.22</v>
      </c>
      <c r="B867" s="7" t="str">
        <f aca="false">_xlfn.CONCAT(B25, ": ", C25)</f>
        <v>Professional Services: Support</v>
      </c>
      <c r="C867" s="30" t="n">
        <f aca="false">AA25</f>
        <v>69888</v>
      </c>
      <c r="D867" s="30" t="n">
        <f aca="false">AG25</f>
        <v>67600</v>
      </c>
      <c r="E867" s="30" t="n">
        <f aca="false">AM25</f>
        <v>66352</v>
      </c>
      <c r="F867" s="30" t="n">
        <f aca="false">AS25</f>
        <v>71088</v>
      </c>
    </row>
    <row r="868" customFormat="false" ht="12.8" hidden="false" customHeight="false" outlineLevel="0" collapsed="false">
      <c r="A868" s="1" t="str">
        <f aca="false">_xlfn.CONCAT($A$843, ".", A26)</f>
        <v>FL.6.23</v>
      </c>
      <c r="B868" s="7" t="str">
        <f aca="false">_xlfn.CONCAT(B26, ": ", C26)</f>
        <v>Educational Services: Worker</v>
      </c>
      <c r="C868" s="30" t="n">
        <f aca="false">AA26</f>
        <v>65936</v>
      </c>
      <c r="D868" s="30" t="n">
        <f aca="false">AG26</f>
        <v>63936</v>
      </c>
      <c r="E868" s="30" t="n">
        <f aca="false">AM26</f>
        <v>62608</v>
      </c>
      <c r="F868" s="30" t="n">
        <f aca="false">AS26</f>
        <v>67264</v>
      </c>
    </row>
    <row r="869" customFormat="false" ht="12.8" hidden="false" customHeight="false" outlineLevel="0" collapsed="false">
      <c r="A869" s="1" t="str">
        <f aca="false">_xlfn.CONCAT($A$843, ".", A27)</f>
        <v>FL.6.24</v>
      </c>
      <c r="B869" s="7" t="str">
        <f aca="false">_xlfn.CONCAT(B27, ": ", C27)</f>
        <v>Educational Services: Support</v>
      </c>
      <c r="C869" s="30" t="n">
        <f aca="false">AA27</f>
        <v>56160</v>
      </c>
      <c r="D869" s="30" t="n">
        <f aca="false">AG27</f>
        <v>54336</v>
      </c>
      <c r="E869" s="30" t="n">
        <f aca="false">AM27</f>
        <v>53248</v>
      </c>
      <c r="F869" s="30" t="n">
        <f aca="false">AS27</f>
        <v>57200</v>
      </c>
    </row>
    <row r="870" customFormat="false" ht="12.8" hidden="false" customHeight="false" outlineLevel="0" collapsed="false">
      <c r="A870" s="1" t="str">
        <f aca="false">_xlfn.CONCAT($A$843, ".", A28)</f>
        <v>FL.6.25</v>
      </c>
      <c r="B870" s="7" t="str">
        <f aca="false">_xlfn.CONCAT(B28, ": ", C28)</f>
        <v>Finance &amp; Insurance: Worker</v>
      </c>
      <c r="C870" s="30" t="n">
        <f aca="false">AA28</f>
        <v>82160</v>
      </c>
      <c r="D870" s="30" t="n">
        <f aca="false">AG28</f>
        <v>79616</v>
      </c>
      <c r="E870" s="30" t="n">
        <f aca="false">AM28</f>
        <v>78000</v>
      </c>
      <c r="F870" s="30" t="n">
        <f aca="false">AS28</f>
        <v>83616</v>
      </c>
    </row>
    <row r="871" customFormat="false" ht="12.8" hidden="false" customHeight="false" outlineLevel="0" collapsed="false">
      <c r="A871" s="1" t="str">
        <f aca="false">_xlfn.CONCAT($A$843, ".", A29)</f>
        <v>FL.6.26</v>
      </c>
      <c r="B871" s="7" t="str">
        <f aca="false">_xlfn.CONCAT(B29, ": ", C29)</f>
        <v>Finance &amp; Insurance: Support</v>
      </c>
      <c r="C871" s="30" t="n">
        <f aca="false">AA29</f>
        <v>69888</v>
      </c>
      <c r="D871" s="30" t="n">
        <f aca="false">AG29</f>
        <v>67600</v>
      </c>
      <c r="E871" s="30" t="n">
        <f aca="false">AM29</f>
        <v>66352</v>
      </c>
      <c r="F871" s="30" t="n">
        <f aca="false">AS29</f>
        <v>71088</v>
      </c>
    </row>
    <row r="872" customFormat="false" ht="12.8" hidden="false" customHeight="false" outlineLevel="0" collapsed="false">
      <c r="A872" s="1" t="str">
        <f aca="false">_xlfn.CONCAT($A$843, ".", A30)</f>
        <v>FL.6.27</v>
      </c>
      <c r="B872" s="7" t="str">
        <f aca="false">_xlfn.CONCAT(B30, ": ", C30)</f>
        <v>Media and Information Technology: Worker</v>
      </c>
      <c r="C872" s="30" t="n">
        <f aca="false">AA30</f>
        <v>82784</v>
      </c>
      <c r="D872" s="30" t="n">
        <f aca="false">AG30</f>
        <v>80200</v>
      </c>
      <c r="E872" s="30" t="n">
        <f aca="false">AM30</f>
        <v>78624</v>
      </c>
      <c r="F872" s="30" t="n">
        <f aca="false">AS30</f>
        <v>84240</v>
      </c>
    </row>
    <row r="873" customFormat="false" ht="12.8" hidden="false" customHeight="false" outlineLevel="0" collapsed="false">
      <c r="A873" s="1" t="str">
        <f aca="false">_xlfn.CONCAT($A$843, ".", A31)</f>
        <v>FL.6.28</v>
      </c>
      <c r="B873" s="7" t="str">
        <f aca="false">_xlfn.CONCAT(B31, ": ", C31)</f>
        <v>Media and Information Technology: Support</v>
      </c>
      <c r="C873" s="30" t="n">
        <f aca="false">AA31</f>
        <v>70304</v>
      </c>
      <c r="D873" s="30" t="n">
        <f aca="false">AG31</f>
        <v>68136</v>
      </c>
      <c r="E873" s="30" t="n">
        <f aca="false">AM31</f>
        <v>64688</v>
      </c>
      <c r="F873" s="30" t="n">
        <f aca="false">AS31</f>
        <v>71552</v>
      </c>
    </row>
    <row r="874" customFormat="false" ht="12.8" hidden="false" customHeight="false" outlineLevel="0" collapsed="false">
      <c r="A874" s="1" t="str">
        <f aca="false">_xlfn.CONCAT($A$843, ".", A32)</f>
        <v>FL.6.29</v>
      </c>
      <c r="B874" s="7" t="str">
        <f aca="false">_xlfn.CONCAT(B32, ": ", C32)</f>
        <v>Government: Worker</v>
      </c>
      <c r="C874" s="30" t="n">
        <f aca="false">AA32</f>
        <v>70304</v>
      </c>
      <c r="D874" s="30" t="n">
        <f aca="false">AG32</f>
        <v>68384</v>
      </c>
      <c r="E874" s="30" t="n">
        <f aca="false">AM32</f>
        <v>66976</v>
      </c>
      <c r="F874" s="30" t="n">
        <f aca="false">AS32</f>
        <v>71552</v>
      </c>
    </row>
    <row r="875" customFormat="false" ht="12.8" hidden="false" customHeight="false" outlineLevel="0" collapsed="false">
      <c r="A875" s="1" t="str">
        <f aca="false">_xlfn.CONCAT($A$843, ".", A33)</f>
        <v>FL.6.30</v>
      </c>
      <c r="B875" s="7" t="str">
        <f aca="false">_xlfn.CONCAT(B33, ": ", C33)</f>
        <v>Government: Support</v>
      </c>
      <c r="C875" s="30" t="n">
        <f aca="false">AA33</f>
        <v>59696</v>
      </c>
      <c r="D875" s="30" t="n">
        <f aca="false">AG33</f>
        <v>58112</v>
      </c>
      <c r="E875" s="30" t="n">
        <f aca="false">AM33</f>
        <v>57008</v>
      </c>
      <c r="F875" s="30" t="n">
        <f aca="false">AS33</f>
        <v>60736</v>
      </c>
    </row>
    <row r="876" customFormat="false" ht="12.8" hidden="false" customHeight="false" outlineLevel="0" collapsed="false">
      <c r="A876" s="1" t="str">
        <f aca="false">_xlfn.CONCAT($A$843, ".", A34)</f>
        <v>FL.6.31</v>
      </c>
      <c r="B876" s="7" t="str">
        <f aca="false">_xlfn.CONCAT(B34, ": ", C34)</f>
        <v>Self-Employed / Non-Employer: Worker</v>
      </c>
      <c r="C876" s="30" t="n">
        <f aca="false">AA34</f>
        <v>52000</v>
      </c>
      <c r="D876" s="30" t="n">
        <f aca="false">AG34</f>
        <v>50336</v>
      </c>
      <c r="E876" s="30" t="n">
        <f aca="false">AM34</f>
        <v>46800</v>
      </c>
      <c r="F876" s="30" t="n">
        <f aca="false">AS34</f>
        <v>52832</v>
      </c>
    </row>
    <row r="877" customFormat="false" ht="12.8" hidden="false" customHeight="false" outlineLevel="0" collapsed="false">
      <c r="A877" s="1" t="str">
        <f aca="false">_xlfn.CONCAT($A$843, ".", A35)</f>
        <v>FL.6.32</v>
      </c>
      <c r="B877" s="7" t="str">
        <f aca="false">_xlfn.CONCAT(B35, ": ", C35)</f>
        <v>Self-Employed / Non-Employer: Support</v>
      </c>
      <c r="C877" s="30" t="n">
        <f aca="false">AA35</f>
        <v>44288</v>
      </c>
      <c r="D877" s="30" t="n">
        <f aca="false">AG35</f>
        <v>42928</v>
      </c>
      <c r="E877" s="30" t="n">
        <f aca="false">AM35</f>
        <v>39728</v>
      </c>
      <c r="F877" s="30" t="n">
        <f aca="false">AS35</f>
        <v>44928</v>
      </c>
    </row>
    <row r="878" customFormat="false" ht="12.8" hidden="false" customHeight="false" outlineLevel="0" collapsed="false">
      <c r="A878" s="1" t="str">
        <f aca="false">_xlfn.CONCAT($A$843, ".", A36)</f>
        <v>FL.6.33</v>
      </c>
      <c r="B878" s="7" t="str">
        <f aca="false">_xlfn.CONCAT(B36, ": ", C36)</f>
        <v>Other Services: Worker</v>
      </c>
      <c r="C878" s="30" t="n">
        <f aca="false">AA36</f>
        <v>42848</v>
      </c>
      <c r="D878" s="30" t="n">
        <f aca="false">AG36</f>
        <v>41600</v>
      </c>
      <c r="E878" s="30" t="n">
        <f aca="false">AM36</f>
        <v>36400</v>
      </c>
      <c r="F878" s="30" t="n">
        <f aca="false">AS36</f>
        <v>43680</v>
      </c>
    </row>
    <row r="879" customFormat="false" ht="12.8" hidden="false" customHeight="false" outlineLevel="0" collapsed="false">
      <c r="A879" s="1" t="str">
        <f aca="false">_xlfn.CONCAT($A$843, ".", A37)</f>
        <v>FL.6.34</v>
      </c>
      <c r="B879" s="7" t="str">
        <f aca="false">_xlfn.CONCAT(B37, ": ", C37)</f>
        <v>Other Services: Support</v>
      </c>
      <c r="C879" s="30" t="n">
        <f aca="false">AA37</f>
        <v>36400</v>
      </c>
      <c r="D879" s="30" t="n">
        <f aca="false">AG37</f>
        <v>35440</v>
      </c>
      <c r="E879" s="30" t="n">
        <f aca="false">AM37</f>
        <v>30992</v>
      </c>
      <c r="F879" s="30" t="n">
        <f aca="false">AS37</f>
        <v>37232</v>
      </c>
    </row>
    <row r="880" customFormat="false" ht="12.8" hidden="false" customHeight="false" outlineLevel="0" collapsed="false">
      <c r="A880" s="1"/>
      <c r="B880" s="7"/>
      <c r="C880" s="30"/>
      <c r="D880" s="30"/>
      <c r="E880" s="30"/>
      <c r="F880" s="30"/>
    </row>
    <row r="881" customFormat="false" ht="12.8" hidden="false" customHeight="false" outlineLevel="0" collapsed="false">
      <c r="A881" s="1"/>
      <c r="B881" s="7"/>
      <c r="C881" s="30"/>
      <c r="D881" s="30"/>
      <c r="E881" s="30"/>
      <c r="F881" s="30"/>
    </row>
    <row r="977" customFormat="false" ht="12.8" hidden="false" customHeight="false" outlineLevel="0" collapsed="false">
      <c r="A977" s="5" t="s">
        <v>183</v>
      </c>
      <c r="B977" s="24" t="s">
        <v>175</v>
      </c>
      <c r="C977" s="25" t="s">
        <v>154</v>
      </c>
    </row>
    <row r="978" customFormat="false" ht="46.25" hidden="false" customHeight="false" outlineLevel="0" collapsed="false">
      <c r="A978" s="5" t="s">
        <v>26</v>
      </c>
      <c r="B978" s="5" t="str">
        <f aca="false">_xlfn.CONCAT(B2, ": ", C2)</f>
        <v>Industry: Role</v>
      </c>
      <c r="C978" s="31" t="str">
        <f aca="false">AV2</f>
        <v>Federal Personal Income Tax Revenue ($)</v>
      </c>
      <c r="D978" s="31" t="str">
        <f aca="false">AW2</f>
        <v>Authorized Immigrant Federal Personal Income Tax Revenue ($)</v>
      </c>
      <c r="E978" s="31" t="str">
        <f aca="false">AX2</f>
        <v>Unauthorized Immigrant Federal Personal Income Tax Revenue ($)</v>
      </c>
      <c r="F978" s="31" t="str">
        <f aca="false">AY2</f>
        <v>American Federal Personal Income Tax Revenue ($)</v>
      </c>
    </row>
    <row r="979" customFormat="false" ht="12.8" hidden="false" customHeight="false" outlineLevel="0" collapsed="false">
      <c r="A979" s="7" t="str">
        <f aca="false">_xlfn.CONCAT($A$977, ".", A3)</f>
        <v>FL.7.0</v>
      </c>
      <c r="B979" s="7" t="str">
        <f aca="false">_xlfn.CONCAT(B3, ": ", C3)</f>
        <v>All Industries: All Roles</v>
      </c>
      <c r="C979" s="31" t="n">
        <f aca="false">AV3</f>
        <v>61200000000</v>
      </c>
      <c r="D979" s="31" t="n">
        <f aca="false">AW3</f>
        <v>12900000000</v>
      </c>
      <c r="E979" s="31" t="n">
        <f aca="false">AX3</f>
        <v>1350000000</v>
      </c>
      <c r="F979" s="31" t="n">
        <f aca="false">AY3</f>
        <v>46950000000</v>
      </c>
    </row>
    <row r="980" customFormat="false" ht="12.8" hidden="false" customHeight="false" outlineLevel="0" collapsed="false">
      <c r="A980" s="7" t="str">
        <f aca="false">_xlfn.CONCAT($A$977, ".", A4)</f>
        <v>FL.7.1</v>
      </c>
      <c r="B980" s="7" t="str">
        <f aca="false">_xlfn.CONCAT(B4, ": ", C4)</f>
        <v>Agriculture: Worker</v>
      </c>
      <c r="C980" s="31" t="n">
        <f aca="false">AV4</f>
        <v>144000000</v>
      </c>
      <c r="D980" s="31" t="n">
        <f aca="false">AW4</f>
        <v>30000000</v>
      </c>
      <c r="E980" s="31" t="n">
        <f aca="false">AX4</f>
        <v>3000000</v>
      </c>
      <c r="F980" s="31" t="n">
        <f aca="false">AY4</f>
        <v>111000000</v>
      </c>
    </row>
    <row r="981" customFormat="false" ht="12.8" hidden="false" customHeight="false" outlineLevel="0" collapsed="false">
      <c r="A981" s="7" t="str">
        <f aca="false">_xlfn.CONCAT($A$977, ".", A5)</f>
        <v>FL.7.2</v>
      </c>
      <c r="B981" s="7" t="str">
        <f aca="false">_xlfn.CONCAT(B5, ": ", C5)</f>
        <v>Agriculture: Support</v>
      </c>
      <c r="C981" s="31" t="n">
        <f aca="false">AV5</f>
        <v>72000000</v>
      </c>
      <c r="D981" s="31" t="n">
        <f aca="false">AW5</f>
        <v>15000000</v>
      </c>
      <c r="E981" s="31" t="n">
        <f aca="false">AX5</f>
        <v>1500000</v>
      </c>
      <c r="F981" s="31" t="n">
        <f aca="false">AY5</f>
        <v>55500000</v>
      </c>
    </row>
    <row r="982" customFormat="false" ht="12.8" hidden="false" customHeight="false" outlineLevel="0" collapsed="false">
      <c r="A982" s="7" t="str">
        <f aca="false">_xlfn.CONCAT($A$977, ".", A6)</f>
        <v>FL.7.3</v>
      </c>
      <c r="B982" s="7" t="str">
        <f aca="false">_xlfn.CONCAT(B6, ": ", C6)</f>
        <v>Construction: Worker</v>
      </c>
      <c r="C982" s="31" t="n">
        <f aca="false">AV6</f>
        <v>2280000000</v>
      </c>
      <c r="D982" s="31" t="n">
        <f aca="false">AW6</f>
        <v>480000000</v>
      </c>
      <c r="E982" s="31" t="n">
        <f aca="false">AX6</f>
        <v>45000000</v>
      </c>
      <c r="F982" s="31" t="n">
        <f aca="false">AY6</f>
        <v>1755000000</v>
      </c>
    </row>
    <row r="983" customFormat="false" ht="12.8" hidden="false" customHeight="false" outlineLevel="0" collapsed="false">
      <c r="A983" s="7" t="str">
        <f aca="false">_xlfn.CONCAT($A$977, ".", A7)</f>
        <v>FL.7.4</v>
      </c>
      <c r="B983" s="7" t="str">
        <f aca="false">_xlfn.CONCAT(B7, ": ", C7)</f>
        <v>Construction: Support</v>
      </c>
      <c r="C983" s="31" t="n">
        <f aca="false">AV7</f>
        <v>970000000</v>
      </c>
      <c r="D983" s="31" t="n">
        <f aca="false">AW7</f>
        <v>204000000</v>
      </c>
      <c r="E983" s="31" t="n">
        <f aca="false">AX7</f>
        <v>19000000</v>
      </c>
      <c r="F983" s="31" t="n">
        <f aca="false">AY7</f>
        <v>747000000</v>
      </c>
    </row>
    <row r="984" customFormat="false" ht="12.8" hidden="false" customHeight="false" outlineLevel="0" collapsed="false">
      <c r="A984" s="7" t="str">
        <f aca="false">_xlfn.CONCAT($A$977, ".", A8)</f>
        <v>FL.7.5</v>
      </c>
      <c r="B984" s="7" t="str">
        <f aca="false">_xlfn.CONCAT(B8, ": ", C8)</f>
        <v>Hospitality: Worker</v>
      </c>
      <c r="C984" s="31" t="n">
        <f aca="false">AV8</f>
        <v>2705000000</v>
      </c>
      <c r="D984" s="31" t="n">
        <f aca="false">AW8</f>
        <v>572000000</v>
      </c>
      <c r="E984" s="31" t="n">
        <f aca="false">AX8</f>
        <v>55000000</v>
      </c>
      <c r="F984" s="31" t="n">
        <f aca="false">AY8</f>
        <v>2082000000</v>
      </c>
    </row>
    <row r="985" customFormat="false" ht="12.8" hidden="false" customHeight="false" outlineLevel="0" collapsed="false">
      <c r="A985" s="7" t="str">
        <f aca="false">_xlfn.CONCAT($A$977, ".", A9)</f>
        <v>FL.7.6</v>
      </c>
      <c r="B985" s="7" t="str">
        <f aca="false">_xlfn.CONCAT(B9, ": ", C9)</f>
        <v>Hospitality: Support</v>
      </c>
      <c r="C985" s="31" t="n">
        <f aca="false">AV9</f>
        <v>1148000000</v>
      </c>
      <c r="D985" s="31" t="n">
        <f aca="false">AW9</f>
        <v>243000000</v>
      </c>
      <c r="E985" s="31" t="n">
        <f aca="false">AX9</f>
        <v>23000000</v>
      </c>
      <c r="F985" s="31" t="n">
        <f aca="false">AY9</f>
        <v>884000000</v>
      </c>
    </row>
    <row r="986" customFormat="false" ht="12.8" hidden="false" customHeight="false" outlineLevel="0" collapsed="false">
      <c r="A986" s="7" t="str">
        <f aca="false">_xlfn.CONCAT($A$977, ".", A10)</f>
        <v>FL.7.7</v>
      </c>
      <c r="B986" s="7" t="str">
        <f aca="false">_xlfn.CONCAT(B10, ": ", C10)</f>
        <v>Cleaning &amp; Maintenance: Worker</v>
      </c>
      <c r="C986" s="31" t="n">
        <f aca="false">AV10</f>
        <v>436000000</v>
      </c>
      <c r="D986" s="31" t="n">
        <f aca="false">AW10</f>
        <v>92000000</v>
      </c>
      <c r="E986" s="31" t="n">
        <f aca="false">AX10</f>
        <v>8500000</v>
      </c>
      <c r="F986" s="31" t="n">
        <f aca="false">AY10</f>
        <v>354500000</v>
      </c>
    </row>
    <row r="987" customFormat="false" ht="12.8" hidden="false" customHeight="false" outlineLevel="0" collapsed="false">
      <c r="A987" s="7" t="str">
        <f aca="false">_xlfn.CONCAT($A$977, ".", A11)</f>
        <v>FL.7.8</v>
      </c>
      <c r="B987" s="7" t="str">
        <f aca="false">_xlfn.CONCAT(B11, ": ", C11)</f>
        <v>Cleaning &amp; Maintenance: Support</v>
      </c>
      <c r="C987" s="31" t="n">
        <f aca="false">AV11</f>
        <v>195000000</v>
      </c>
      <c r="D987" s="31" t="n">
        <f aca="false">AW11</f>
        <v>41000000</v>
      </c>
      <c r="E987" s="31" t="n">
        <f aca="false">AX11</f>
        <v>4000000</v>
      </c>
      <c r="F987" s="31" t="n">
        <f aca="false">AY11</f>
        <v>150000000</v>
      </c>
    </row>
    <row r="988" customFormat="false" ht="12.8" hidden="false" customHeight="false" outlineLevel="0" collapsed="false">
      <c r="A988" s="7" t="str">
        <f aca="false">_xlfn.CONCAT($A$977, ".", A12)</f>
        <v>FL.7.9</v>
      </c>
      <c r="B988" s="7" t="str">
        <f aca="false">_xlfn.CONCAT(B12, ": ", C12)</f>
        <v>Manufacturing: Worker</v>
      </c>
      <c r="C988" s="31" t="n">
        <f aca="false">AV12</f>
        <v>1406000000</v>
      </c>
      <c r="D988" s="31" t="n">
        <f aca="false">AW12</f>
        <v>297000000</v>
      </c>
      <c r="E988" s="31" t="n">
        <f aca="false">AX12</f>
        <v>28000000</v>
      </c>
      <c r="F988" s="31" t="n">
        <f aca="false">AY12</f>
        <v>1081000000</v>
      </c>
    </row>
    <row r="989" customFormat="false" ht="12.8" hidden="false" customHeight="false" outlineLevel="0" collapsed="false">
      <c r="A989" s="7" t="str">
        <f aca="false">_xlfn.CONCAT($A$977, ".", A13)</f>
        <v>FL.7.10</v>
      </c>
      <c r="B989" s="7" t="str">
        <f aca="false">_xlfn.CONCAT(B13, ": ", C13)</f>
        <v>Manufacturing: Support</v>
      </c>
      <c r="C989" s="31" t="n">
        <f aca="false">AV13</f>
        <v>597000000</v>
      </c>
      <c r="D989" s="31" t="n">
        <f aca="false">AW13</f>
        <v>126000000</v>
      </c>
      <c r="E989" s="31" t="n">
        <f aca="false">AX13</f>
        <v>12000000</v>
      </c>
      <c r="F989" s="31" t="n">
        <f aca="false">AY13</f>
        <v>459000000</v>
      </c>
    </row>
    <row r="990" customFormat="false" ht="12.8" hidden="false" customHeight="false" outlineLevel="0" collapsed="false">
      <c r="A990" s="7" t="str">
        <f aca="false">_xlfn.CONCAT($A$977, ".", A14)</f>
        <v>FL.7.11</v>
      </c>
      <c r="B990" s="7" t="str">
        <f aca="false">_xlfn.CONCAT(B14, ": ", C14)</f>
        <v>Transportation &amp; Warehousing: Worker</v>
      </c>
      <c r="C990" s="31" t="n">
        <f aca="false">AV14</f>
        <v>1292000000</v>
      </c>
      <c r="D990" s="31" t="n">
        <f aca="false">AW14</f>
        <v>273000000</v>
      </c>
      <c r="E990" s="31" t="n">
        <f aca="false">AX14</f>
        <v>26000000</v>
      </c>
      <c r="F990" s="31" t="n">
        <f aca="false">AY14</f>
        <v>994000000</v>
      </c>
    </row>
    <row r="991" customFormat="false" ht="12.8" hidden="false" customHeight="false" outlineLevel="0" collapsed="false">
      <c r="A991" s="7" t="str">
        <f aca="false">_xlfn.CONCAT($A$977, ".", A15)</f>
        <v>FL.7.12</v>
      </c>
      <c r="B991" s="7" t="str">
        <f aca="false">_xlfn.CONCAT(B15, ": ", C15)</f>
        <v>Transportation &amp; Warehousing: Support</v>
      </c>
      <c r="C991" s="31" t="n">
        <f aca="false">AV15</f>
        <v>548000000</v>
      </c>
      <c r="D991" s="31" t="n">
        <f aca="false">AW15</f>
        <v>116000000</v>
      </c>
      <c r="E991" s="31" t="n">
        <f aca="false">AX15</f>
        <v>11000000</v>
      </c>
      <c r="F991" s="31" t="n">
        <f aca="false">AY15</f>
        <v>422000000</v>
      </c>
    </row>
    <row r="992" customFormat="false" ht="12.8" hidden="false" customHeight="false" outlineLevel="0" collapsed="false">
      <c r="A992" s="7" t="str">
        <f aca="false">_xlfn.CONCAT($A$977, ".", A16)</f>
        <v>FL.7.13</v>
      </c>
      <c r="B992" s="7" t="str">
        <f aca="false">_xlfn.CONCAT(B16, ": ", C16)</f>
        <v>Retail Trade: Worker</v>
      </c>
      <c r="C992" s="31" t="n">
        <f aca="false">AV16</f>
        <v>4581000000</v>
      </c>
      <c r="D992" s="31" t="n">
        <f aca="false">AW16</f>
        <v>968000000</v>
      </c>
      <c r="E992" s="31" t="n">
        <f aca="false">AX16</f>
        <v>87000000</v>
      </c>
      <c r="F992" s="31" t="n">
        <f aca="false">AY16</f>
        <v>3526000000</v>
      </c>
    </row>
    <row r="993" customFormat="false" ht="12.8" hidden="false" customHeight="false" outlineLevel="0" collapsed="false">
      <c r="A993" s="7" t="str">
        <f aca="false">_xlfn.CONCAT($A$977, ".", A17)</f>
        <v>FL.7.14</v>
      </c>
      <c r="B993" s="7" t="str">
        <f aca="false">_xlfn.CONCAT(B17, ": ", C17)</f>
        <v>Retail Trade: Support</v>
      </c>
      <c r="C993" s="31" t="n">
        <f aca="false">AV17</f>
        <v>1944000000</v>
      </c>
      <c r="D993" s="31" t="n">
        <f aca="false">AW17</f>
        <v>411000000</v>
      </c>
      <c r="E993" s="31" t="n">
        <f aca="false">AX17</f>
        <v>37000000</v>
      </c>
      <c r="F993" s="31" t="n">
        <f aca="false">AY17</f>
        <v>1496000000</v>
      </c>
    </row>
    <row r="994" customFormat="false" ht="12.8" hidden="false" customHeight="false" outlineLevel="0" collapsed="false">
      <c r="A994" s="7" t="str">
        <f aca="false">_xlfn.CONCAT($A$977, ".", A18)</f>
        <v>FL.7.15</v>
      </c>
      <c r="B994" s="7" t="str">
        <f aca="false">_xlfn.CONCAT(B18, ": ", C18)</f>
        <v>Landscaping / Groundskeeping: Worker</v>
      </c>
      <c r="C994" s="31" t="n">
        <f aca="false">AV18</f>
        <v>265000000</v>
      </c>
      <c r="D994" s="31" t="n">
        <f aca="false">AW18</f>
        <v>56000000</v>
      </c>
      <c r="E994" s="31" t="n">
        <f aca="false">AX18</f>
        <v>5000000</v>
      </c>
      <c r="F994" s="31" t="n">
        <f aca="false">AY18</f>
        <v>204000000</v>
      </c>
    </row>
    <row r="995" customFormat="false" ht="12.8" hidden="false" customHeight="false" outlineLevel="0" collapsed="false">
      <c r="A995" s="7" t="str">
        <f aca="false">_xlfn.CONCAT($A$977, ".", A19)</f>
        <v>FL.7.16</v>
      </c>
      <c r="B995" s="7" t="str">
        <f aca="false">_xlfn.CONCAT(B19, ": ", C19)</f>
        <v>Landscaping / Groundskeeping: Support</v>
      </c>
      <c r="C995" s="31" t="n">
        <f aca="false">AV19</f>
        <v>112000000</v>
      </c>
      <c r="D995" s="31" t="n">
        <f aca="false">AW19</f>
        <v>24000000</v>
      </c>
      <c r="E995" s="31" t="n">
        <f aca="false">AX19</f>
        <v>2000000</v>
      </c>
      <c r="F995" s="31" t="n">
        <f aca="false">AY19</f>
        <v>87000000</v>
      </c>
    </row>
    <row r="996" customFormat="false" ht="12.8" hidden="false" customHeight="false" outlineLevel="0" collapsed="false">
      <c r="A996" s="7" t="str">
        <f aca="false">_xlfn.CONCAT($A$977, ".", A20)</f>
        <v>FL.7.17</v>
      </c>
      <c r="B996" s="7" t="str">
        <f aca="false">_xlfn.CONCAT(B20, ": ", C20)</f>
        <v>Automotive &amp; Repair: Worker</v>
      </c>
      <c r="C996" s="31" t="n">
        <f aca="false">AV20</f>
        <v>300000000</v>
      </c>
      <c r="D996" s="31" t="n">
        <f aca="false">AW20</f>
        <v>63000000</v>
      </c>
      <c r="E996" s="31" t="n">
        <f aca="false">AX20</f>
        <v>6000000</v>
      </c>
      <c r="F996" s="31" t="n">
        <f aca="false">AY20</f>
        <v>231000000</v>
      </c>
    </row>
    <row r="997" customFormat="false" ht="12.8" hidden="false" customHeight="false" outlineLevel="0" collapsed="false">
      <c r="A997" s="7" t="str">
        <f aca="false">_xlfn.CONCAT($A$977, ".", A21)</f>
        <v>FL.7.18</v>
      </c>
      <c r="B997" s="7" t="str">
        <f aca="false">_xlfn.CONCAT(B21, ": ", C21)</f>
        <v>Automotive &amp; Repair: Support</v>
      </c>
      <c r="C997" s="31" t="n">
        <f aca="false">AV21</f>
        <v>127000000</v>
      </c>
      <c r="D997" s="31" t="n">
        <f aca="false">AW21</f>
        <v>27000000</v>
      </c>
      <c r="E997" s="31" t="n">
        <f aca="false">AX21</f>
        <v>3000000</v>
      </c>
      <c r="F997" s="31" t="n">
        <f aca="false">AY21</f>
        <v>98000000</v>
      </c>
    </row>
    <row r="998" customFormat="false" ht="12.8" hidden="false" customHeight="false" outlineLevel="0" collapsed="false">
      <c r="A998" s="7" t="str">
        <f aca="false">_xlfn.CONCAT($A$977, ".", A22)</f>
        <v>FL.7.19</v>
      </c>
      <c r="B998" s="7" t="str">
        <f aca="false">_xlfn.CONCAT(B22, ": ", C22)</f>
        <v>Healthcare &amp; Social Assistance: Worker</v>
      </c>
      <c r="C998" s="31" t="n">
        <f aca="false">AV22</f>
        <v>5419000000</v>
      </c>
      <c r="D998" s="31" t="n">
        <f aca="false">AW22</f>
        <v>1142000000</v>
      </c>
      <c r="E998" s="31" t="n">
        <f aca="false">AX22</f>
        <v>115000000</v>
      </c>
      <c r="F998" s="31" t="n">
        <f aca="false">AY22</f>
        <v>4162000000</v>
      </c>
    </row>
    <row r="999" customFormat="false" ht="12.8" hidden="false" customHeight="false" outlineLevel="0" collapsed="false">
      <c r="A999" s="7" t="str">
        <f aca="false">_xlfn.CONCAT($A$977, ".", A23)</f>
        <v>FL.7.20</v>
      </c>
      <c r="B999" s="7" t="str">
        <f aca="false">_xlfn.CONCAT(B23, ": ", C23)</f>
        <v>Healthcare &amp; Social Assistance: Support</v>
      </c>
      <c r="C999" s="31" t="n">
        <f aca="false">AV23</f>
        <v>2300000000</v>
      </c>
      <c r="D999" s="31" t="n">
        <f aca="false">AW23</f>
        <v>485000000</v>
      </c>
      <c r="E999" s="31" t="n">
        <f aca="false">AX23</f>
        <v>49000000</v>
      </c>
      <c r="F999" s="31" t="n">
        <f aca="false">AY23</f>
        <v>1766000000</v>
      </c>
    </row>
    <row r="1000" customFormat="false" ht="12.8" hidden="false" customHeight="false" outlineLevel="0" collapsed="false">
      <c r="A1000" s="7" t="str">
        <f aca="false">_xlfn.CONCAT($A$977, ".", A24)</f>
        <v>FL.7.21</v>
      </c>
      <c r="B1000" s="7" t="str">
        <f aca="false">_xlfn.CONCAT(B24, ": ", C24)</f>
        <v>Professional Services: Worker</v>
      </c>
      <c r="C1000" s="31" t="n">
        <f aca="false">AV24</f>
        <v>10142000000</v>
      </c>
      <c r="D1000" s="31" t="n">
        <f aca="false">AW24</f>
        <v>2138000000</v>
      </c>
      <c r="E1000" s="31" t="n">
        <f aca="false">AX24</f>
        <v>215000000</v>
      </c>
      <c r="F1000" s="31" t="n">
        <f aca="false">AY24</f>
        <v>7789000000</v>
      </c>
    </row>
    <row r="1001" customFormat="false" ht="12.8" hidden="false" customHeight="false" outlineLevel="0" collapsed="false">
      <c r="A1001" s="7" t="str">
        <f aca="false">_xlfn.CONCAT($A$977, ".", A25)</f>
        <v>FL.7.22</v>
      </c>
      <c r="B1001" s="7" t="str">
        <f aca="false">_xlfn.CONCAT(B25, ": ", C25)</f>
        <v>Professional Services: Support</v>
      </c>
      <c r="C1001" s="31" t="n">
        <f aca="false">AV25</f>
        <v>4304000000</v>
      </c>
      <c r="D1001" s="31" t="n">
        <f aca="false">AW25</f>
        <v>907000000</v>
      </c>
      <c r="E1001" s="31" t="n">
        <f aca="false">AX25</f>
        <v>91000000</v>
      </c>
      <c r="F1001" s="31" t="n">
        <f aca="false">AY25</f>
        <v>3306000000</v>
      </c>
    </row>
    <row r="1002" customFormat="false" ht="12.8" hidden="false" customHeight="false" outlineLevel="0" collapsed="false">
      <c r="A1002" s="7" t="str">
        <f aca="false">_xlfn.CONCAT($A$977, ".", A26)</f>
        <v>FL.7.23</v>
      </c>
      <c r="B1002" s="7" t="str">
        <f aca="false">_xlfn.CONCAT(B26, ": ", C26)</f>
        <v>Educational Services: Worker</v>
      </c>
      <c r="C1002" s="31" t="n">
        <f aca="false">AV26</f>
        <v>1820000000</v>
      </c>
      <c r="D1002" s="31" t="n">
        <f aca="false">AW26</f>
        <v>384000000</v>
      </c>
      <c r="E1002" s="31" t="n">
        <f aca="false">AX26</f>
        <v>39000000</v>
      </c>
      <c r="F1002" s="31" t="n">
        <f aca="false">AY26</f>
        <v>1398000000</v>
      </c>
    </row>
    <row r="1003" customFormat="false" ht="12.8" hidden="false" customHeight="false" outlineLevel="0" collapsed="false">
      <c r="A1003" s="7" t="str">
        <f aca="false">_xlfn.CONCAT($A$977, ".", A27)</f>
        <v>FL.7.24</v>
      </c>
      <c r="B1003" s="7" t="str">
        <f aca="false">_xlfn.CONCAT(B27, ": ", C27)</f>
        <v>Educational Services: Support</v>
      </c>
      <c r="C1003" s="31" t="n">
        <f aca="false">AV27</f>
        <v>772000000</v>
      </c>
      <c r="D1003" s="31" t="n">
        <f aca="false">AW27</f>
        <v>163000000</v>
      </c>
      <c r="E1003" s="31" t="n">
        <f aca="false">AX27</f>
        <v>16000000</v>
      </c>
      <c r="F1003" s="31" t="n">
        <f aca="false">AY27</f>
        <v>593000000</v>
      </c>
    </row>
    <row r="1004" customFormat="false" ht="12.8" hidden="false" customHeight="false" outlineLevel="0" collapsed="false">
      <c r="A1004" s="7" t="str">
        <f aca="false">_xlfn.CONCAT($A$977, ".", A28)</f>
        <v>FL.7.25</v>
      </c>
      <c r="B1004" s="7" t="str">
        <f aca="false">_xlfn.CONCAT(B28, ": ", C28)</f>
        <v>Finance &amp; Insurance: Worker</v>
      </c>
      <c r="C1004" s="31" t="n">
        <f aca="false">AV28</f>
        <v>4316000000</v>
      </c>
      <c r="D1004" s="31" t="n">
        <f aca="false">AW28</f>
        <v>910000000</v>
      </c>
      <c r="E1004" s="31" t="n">
        <f aca="false">AX28</f>
        <v>92000000</v>
      </c>
      <c r="F1004" s="31" t="n">
        <f aca="false">AY28</f>
        <v>3315000000</v>
      </c>
    </row>
    <row r="1005" customFormat="false" ht="12.8" hidden="false" customHeight="false" outlineLevel="0" collapsed="false">
      <c r="A1005" s="7" t="str">
        <f aca="false">_xlfn.CONCAT($A$977, ".", A29)</f>
        <v>FL.7.26</v>
      </c>
      <c r="B1005" s="7" t="str">
        <f aca="false">_xlfn.CONCAT(B29, ": ", C29)</f>
        <v>Finance &amp; Insurance: Support</v>
      </c>
      <c r="C1005" s="31" t="n">
        <f aca="false">AV29</f>
        <v>1832000000</v>
      </c>
      <c r="D1005" s="31" t="n">
        <f aca="false">AW29</f>
        <v>386000000</v>
      </c>
      <c r="E1005" s="31" t="n">
        <f aca="false">AX29</f>
        <v>39000000</v>
      </c>
      <c r="F1005" s="31" t="n">
        <f aca="false">AY29</f>
        <v>1407000000</v>
      </c>
    </row>
    <row r="1006" customFormat="false" ht="12.8" hidden="false" customHeight="false" outlineLevel="0" collapsed="false">
      <c r="A1006" s="7" t="str">
        <f aca="false">_xlfn.CONCAT($A$977, ".", A30)</f>
        <v>FL.7.27</v>
      </c>
      <c r="B1006" s="7" t="str">
        <f aca="false">_xlfn.CONCAT(B30, ": ", C30)</f>
        <v>Media and Information Technology: Worker</v>
      </c>
      <c r="C1006" s="31" t="n">
        <f aca="false">AV30</f>
        <v>922000000</v>
      </c>
      <c r="D1006" s="31" t="n">
        <f aca="false">AW30</f>
        <v>194000000</v>
      </c>
      <c r="E1006" s="31" t="n">
        <f aca="false">AX30</f>
        <v>20000000</v>
      </c>
      <c r="F1006" s="31" t="n">
        <f aca="false">AY30</f>
        <v>708000000</v>
      </c>
    </row>
    <row r="1007" customFormat="false" ht="12.8" hidden="false" customHeight="false" outlineLevel="0" collapsed="false">
      <c r="A1007" s="7" t="str">
        <f aca="false">_xlfn.CONCAT($A$977, ".", A31)</f>
        <v>FL.7.28</v>
      </c>
      <c r="B1007" s="7" t="str">
        <f aca="false">_xlfn.CONCAT(B31, ": ", C31)</f>
        <v>Media and Information Technology: Support</v>
      </c>
      <c r="C1007" s="31" t="n">
        <f aca="false">AV31</f>
        <v>391000000</v>
      </c>
      <c r="D1007" s="31" t="n">
        <f aca="false">AW31</f>
        <v>82000000</v>
      </c>
      <c r="E1007" s="31" t="n">
        <f aca="false">AX31</f>
        <v>8000000</v>
      </c>
      <c r="F1007" s="31" t="n">
        <f aca="false">AY31</f>
        <v>301000000</v>
      </c>
    </row>
    <row r="1008" customFormat="false" ht="12.8" hidden="false" customHeight="false" outlineLevel="0" collapsed="false">
      <c r="A1008" s="7" t="str">
        <f aca="false">_xlfn.CONCAT($A$977, ".", A32)</f>
        <v>FL.7.29</v>
      </c>
      <c r="B1008" s="7" t="str">
        <f aca="false">_xlfn.CONCAT(B32, ": ", C32)</f>
        <v>Government: Worker</v>
      </c>
      <c r="C1008" s="31" t="n">
        <f aca="false">AV32</f>
        <v>4200000000</v>
      </c>
      <c r="D1008" s="31" t="n">
        <f aca="false">AW32</f>
        <v>884000000</v>
      </c>
      <c r="E1008" s="31" t="n">
        <f aca="false">AX32</f>
        <v>90000000</v>
      </c>
      <c r="F1008" s="31" t="n">
        <f aca="false">AY32</f>
        <v>3226000000</v>
      </c>
    </row>
    <row r="1009" customFormat="false" ht="12.8" hidden="false" customHeight="false" outlineLevel="0" collapsed="false">
      <c r="A1009" s="7" t="str">
        <f aca="false">_xlfn.CONCAT($A$977, ".", A33)</f>
        <v>FL.7.30</v>
      </c>
      <c r="B1009" s="7" t="str">
        <f aca="false">_xlfn.CONCAT(B33, ": ", C33)</f>
        <v>Government: Support</v>
      </c>
      <c r="C1009" s="31" t="n">
        <f aca="false">AV33</f>
        <v>1780000000</v>
      </c>
      <c r="D1009" s="31" t="n">
        <f aca="false">AW33</f>
        <v>375000000</v>
      </c>
      <c r="E1009" s="31" t="n">
        <f aca="false">AX33</f>
        <v>38000000</v>
      </c>
      <c r="F1009" s="31" t="n">
        <f aca="false">AY33</f>
        <v>1367000000</v>
      </c>
    </row>
    <row r="1010" customFormat="false" ht="12.8" hidden="false" customHeight="false" outlineLevel="0" collapsed="false">
      <c r="A1010" s="7" t="str">
        <f aca="false">_xlfn.CONCAT($A$977, ".", A34)</f>
        <v>FL.7.31</v>
      </c>
      <c r="B1010" s="7" t="str">
        <f aca="false">_xlfn.CONCAT(B34, ": ", C34)</f>
        <v>Self-Employed / Non-Employer: Worker</v>
      </c>
      <c r="C1010" s="31" t="n">
        <f aca="false">AV34</f>
        <v>8750000000</v>
      </c>
      <c r="D1010" s="31" t="n">
        <f aca="false">AW34</f>
        <v>350000000</v>
      </c>
      <c r="E1010" s="31" t="n">
        <f aca="false">AX34</f>
        <v>350000000</v>
      </c>
      <c r="F1010" s="31" t="n">
        <f aca="false">AY34</f>
        <v>8050000000</v>
      </c>
    </row>
    <row r="1011" customFormat="false" ht="12.8" hidden="false" customHeight="false" outlineLevel="0" collapsed="false">
      <c r="A1011" s="7" t="str">
        <f aca="false">_xlfn.CONCAT($A$977, ".", A35)</f>
        <v>FL.7.32</v>
      </c>
      <c r="B1011" s="7" t="str">
        <f aca="false">_xlfn.CONCAT(B35, ": ", C35)</f>
        <v>Self-Employed / Non-Employer: Support</v>
      </c>
      <c r="C1011" s="31" t="n">
        <f aca="false">AV35</f>
        <v>970000000</v>
      </c>
      <c r="D1011" s="31" t="n">
        <f aca="false">AW35</f>
        <v>39000000</v>
      </c>
      <c r="E1011" s="31" t="n">
        <f aca="false">AX35</f>
        <v>39000000</v>
      </c>
      <c r="F1011" s="31" t="n">
        <f aca="false">AY35</f>
        <v>892000000</v>
      </c>
    </row>
    <row r="1012" customFormat="false" ht="12.8" hidden="false" customHeight="false" outlineLevel="0" collapsed="false">
      <c r="A1012" s="7" t="str">
        <f aca="false">_xlfn.CONCAT($A$977, ".", A36)</f>
        <v>FL.7.33</v>
      </c>
      <c r="B1012" s="7" t="str">
        <f aca="false">_xlfn.CONCAT(B36, ": ", C36)</f>
        <v>Other Services: Worker</v>
      </c>
      <c r="C1012" s="31" t="n">
        <f aca="false">AV36</f>
        <v>951000000</v>
      </c>
      <c r="D1012" s="31" t="n">
        <f aca="false">AW36</f>
        <v>201000000</v>
      </c>
      <c r="E1012" s="31" t="n">
        <f aca="false">AX36</f>
        <v>18000000</v>
      </c>
      <c r="F1012" s="31" t="n">
        <f aca="false">AY36</f>
        <v>732000000</v>
      </c>
    </row>
    <row r="1013" customFormat="false" ht="12.8" hidden="false" customHeight="false" outlineLevel="0" collapsed="false">
      <c r="A1013" s="7" t="str">
        <f aca="false">_xlfn.CONCAT($A$977, ".", A37)</f>
        <v>FL.7.34</v>
      </c>
      <c r="B1013" s="7" t="str">
        <f aca="false">_xlfn.CONCAT(B37, ": ", C37)</f>
        <v>Other Services: Support</v>
      </c>
      <c r="C1013" s="31" t="n">
        <f aca="false">AV37</f>
        <v>404000000</v>
      </c>
      <c r="D1013" s="31" t="n">
        <f aca="false">AW37</f>
        <v>85000000</v>
      </c>
      <c r="E1013" s="31" t="n">
        <f aca="false">AX37</f>
        <v>8000000</v>
      </c>
      <c r="F1013" s="31" t="n">
        <f aca="false">AY37</f>
        <v>311000000</v>
      </c>
    </row>
    <row r="1111" customFormat="false" ht="12.8" hidden="false" customHeight="false" outlineLevel="0" collapsed="false">
      <c r="A1111" s="5" t="s">
        <v>184</v>
      </c>
      <c r="B1111" s="24" t="s">
        <v>175</v>
      </c>
      <c r="C1111" s="25" t="s">
        <v>156</v>
      </c>
    </row>
    <row r="1112" customFormat="false" ht="34.4" hidden="false" customHeight="false" outlineLevel="0" collapsed="false">
      <c r="A1112" s="5" t="s">
        <v>26</v>
      </c>
      <c r="B1112" s="5" t="str">
        <f aca="false">_xlfn.CONCAT(B2, ": ", C2)</f>
        <v>Industry: Role</v>
      </c>
      <c r="C1112" s="31" t="str">
        <f aca="false">AZ2</f>
        <v>Payroll Tax Revenue ($)</v>
      </c>
      <c r="D1112" s="31" t="str">
        <f aca="false">BA2</f>
        <v>Authorized Immigrant Payroll Tax Revenue ($)</v>
      </c>
      <c r="E1112" s="31" t="str">
        <f aca="false">BB2</f>
        <v>Unauthorized Immigrant Payroll Tax Revenue ($)</v>
      </c>
      <c r="F1112" s="31" t="str">
        <f aca="false">BC2</f>
        <v>American Payroll Tax Revenue ($)</v>
      </c>
    </row>
    <row r="1113" customFormat="false" ht="12.8" hidden="false" customHeight="false" outlineLevel="0" collapsed="false">
      <c r="A1113" s="5" t="str">
        <f aca="false">_xlfn.CONCAT($A$977, ".", A3)</f>
        <v>FL.7.0</v>
      </c>
      <c r="B1113" s="5" t="str">
        <f aca="false">_xlfn.CONCAT(B3, ": ", C3)</f>
        <v>All Industries: All Roles</v>
      </c>
      <c r="C1113" s="31" t="n">
        <f aca="false">AZ3</f>
        <v>46500000000</v>
      </c>
      <c r="D1113" s="31" t="n">
        <f aca="false">BA3</f>
        <v>9900000000</v>
      </c>
      <c r="E1113" s="31" t="n">
        <f aca="false">BB3</f>
        <v>650000000</v>
      </c>
      <c r="F1113" s="31" t="n">
        <f aca="false">BC3</f>
        <v>36000000000</v>
      </c>
    </row>
    <row r="1114" customFormat="false" ht="12.8" hidden="false" customHeight="false" outlineLevel="0" collapsed="false">
      <c r="A1114" s="7" t="str">
        <f aca="false">_xlfn.CONCAT($A$977, ".", A4)</f>
        <v>FL.7.1</v>
      </c>
      <c r="B1114" s="7" t="str">
        <f aca="false">_xlfn.CONCAT(B4, ": ", C4)</f>
        <v>Agriculture: Worker</v>
      </c>
      <c r="C1114" s="17" t="n">
        <f aca="false">AZ4</f>
        <v>146000000</v>
      </c>
      <c r="D1114" s="17" t="n">
        <f aca="false">BA4</f>
        <v>31000000</v>
      </c>
      <c r="E1114" s="17" t="n">
        <f aca="false">BB4</f>
        <v>2000000</v>
      </c>
      <c r="F1114" s="17" t="n">
        <f aca="false">BC4</f>
        <v>113000000</v>
      </c>
    </row>
    <row r="1115" customFormat="false" ht="12.8" hidden="false" customHeight="false" outlineLevel="0" collapsed="false">
      <c r="A1115" s="7" t="str">
        <f aca="false">_xlfn.CONCAT($A$977, ".", A5)</f>
        <v>FL.7.2</v>
      </c>
      <c r="B1115" s="7" t="str">
        <f aca="false">_xlfn.CONCAT(B5, ": ", C5)</f>
        <v>Agriculture: Support</v>
      </c>
      <c r="C1115" s="17" t="n">
        <f aca="false">AZ5</f>
        <v>73000000</v>
      </c>
      <c r="D1115" s="17" t="n">
        <f aca="false">BA5</f>
        <v>15500000</v>
      </c>
      <c r="E1115" s="17" t="n">
        <f aca="false">BB5</f>
        <v>1000000</v>
      </c>
      <c r="F1115" s="17" t="n">
        <f aca="false">BC5</f>
        <v>56500000</v>
      </c>
    </row>
    <row r="1116" customFormat="false" ht="12.8" hidden="false" customHeight="false" outlineLevel="0" collapsed="false">
      <c r="A1116" s="7" t="str">
        <f aca="false">_xlfn.CONCAT($A$977, ".", A6)</f>
        <v>FL.7.3</v>
      </c>
      <c r="B1116" s="7" t="str">
        <f aca="false">_xlfn.CONCAT(B6, ": ", C6)</f>
        <v>Construction: Worker</v>
      </c>
      <c r="C1116" s="17" t="n">
        <f aca="false">AZ6</f>
        <v>1650000000</v>
      </c>
      <c r="D1116" s="17" t="n">
        <f aca="false">BA6</f>
        <v>350000000</v>
      </c>
      <c r="E1116" s="17" t="n">
        <f aca="false">BB6</f>
        <v>22000000</v>
      </c>
      <c r="F1116" s="17" t="n">
        <f aca="false">BC6</f>
        <v>1278000000</v>
      </c>
    </row>
    <row r="1117" customFormat="false" ht="12.8" hidden="false" customHeight="false" outlineLevel="0" collapsed="false">
      <c r="A1117" s="7" t="str">
        <f aca="false">_xlfn.CONCAT($A$977, ".", A7)</f>
        <v>FL.7.4</v>
      </c>
      <c r="B1117" s="7" t="str">
        <f aca="false">_xlfn.CONCAT(B7, ": ", C7)</f>
        <v>Construction: Support</v>
      </c>
      <c r="C1117" s="17" t="n">
        <f aca="false">AZ7</f>
        <v>700000000</v>
      </c>
      <c r="D1117" s="17" t="n">
        <f aca="false">BA7</f>
        <v>148000000</v>
      </c>
      <c r="E1117" s="17" t="n">
        <f aca="false">BB7</f>
        <v>9000000</v>
      </c>
      <c r="F1117" s="17" t="n">
        <f aca="false">BC7</f>
        <v>542000000</v>
      </c>
    </row>
    <row r="1118" customFormat="false" ht="12.8" hidden="false" customHeight="false" outlineLevel="0" collapsed="false">
      <c r="A1118" s="7" t="str">
        <f aca="false">_xlfn.CONCAT($A$977, ".", A8)</f>
        <v>FL.7.5</v>
      </c>
      <c r="B1118" s="7" t="str">
        <f aca="false">_xlfn.CONCAT(B8, ": ", C8)</f>
        <v>Hospitality: Worker</v>
      </c>
      <c r="C1118" s="17" t="n">
        <f aca="false">AZ8</f>
        <v>2164000000</v>
      </c>
      <c r="D1118" s="17" t="n">
        <f aca="false">BA8</f>
        <v>460000000</v>
      </c>
      <c r="E1118" s="17" t="n">
        <f aca="false">BB8</f>
        <v>28000000</v>
      </c>
      <c r="F1118" s="17" t="n">
        <f aca="false">BC8</f>
        <v>1677000000</v>
      </c>
    </row>
    <row r="1119" customFormat="false" ht="12.8" hidden="false" customHeight="false" outlineLevel="0" collapsed="false">
      <c r="A1119" s="7" t="str">
        <f aca="false">_xlfn.CONCAT($A$977, ".", A9)</f>
        <v>FL.7.6</v>
      </c>
      <c r="B1119" s="7" t="str">
        <f aca="false">_xlfn.CONCAT(B9, ": ", C9)</f>
        <v>Hospitality: Support</v>
      </c>
      <c r="C1119" s="17" t="n">
        <f aca="false">AZ9</f>
        <v>918000000</v>
      </c>
      <c r="D1119" s="17" t="n">
        <f aca="false">BA9</f>
        <v>195000000</v>
      </c>
      <c r="E1119" s="17" t="n">
        <f aca="false">BB9</f>
        <v>12000000</v>
      </c>
      <c r="F1119" s="17" t="n">
        <f aca="false">BC9</f>
        <v>712000000</v>
      </c>
    </row>
    <row r="1120" customFormat="false" ht="12.8" hidden="false" customHeight="false" outlineLevel="0" collapsed="false">
      <c r="A1120" s="7" t="str">
        <f aca="false">_xlfn.CONCAT($A$977, ".", A10)</f>
        <v>FL.7.7</v>
      </c>
      <c r="B1120" s="7" t="str">
        <f aca="false">_xlfn.CONCAT(B10, ": ", C10)</f>
        <v>Cleaning &amp; Maintenance: Worker</v>
      </c>
      <c r="C1120" s="17" t="n">
        <f aca="false">AZ10</f>
        <v>442000000</v>
      </c>
      <c r="D1120" s="17" t="n">
        <f aca="false">BA10</f>
        <v>94000000</v>
      </c>
      <c r="E1120" s="17" t="n">
        <f aca="false">BB10</f>
        <v>6500000</v>
      </c>
      <c r="F1120" s="17" t="n">
        <f aca="false">BC10</f>
        <v>361200000</v>
      </c>
    </row>
    <row r="1121" customFormat="false" ht="12.8" hidden="false" customHeight="false" outlineLevel="0" collapsed="false">
      <c r="A1121" s="7" t="str">
        <f aca="false">_xlfn.CONCAT($A$977, ".", A11)</f>
        <v>FL.7.8</v>
      </c>
      <c r="B1121" s="7" t="str">
        <f aca="false">_xlfn.CONCAT(B11, ": ", C11)</f>
        <v>Cleaning &amp; Maintenance: Support</v>
      </c>
      <c r="C1121" s="17" t="n">
        <f aca="false">AZ11</f>
        <v>198000000</v>
      </c>
      <c r="D1121" s="17" t="n">
        <f aca="false">BA11</f>
        <v>42000000</v>
      </c>
      <c r="E1121" s="17" t="n">
        <f aca="false">BB11</f>
        <v>3000000</v>
      </c>
      <c r="F1121" s="17" t="n">
        <f aca="false">BC11</f>
        <v>153000000</v>
      </c>
    </row>
    <row r="1122" customFormat="false" ht="12.8" hidden="false" customHeight="false" outlineLevel="0" collapsed="false">
      <c r="A1122" s="7" t="str">
        <f aca="false">_xlfn.CONCAT($A$977, ".", A12)</f>
        <v>FL.7.9</v>
      </c>
      <c r="B1122" s="7" t="str">
        <f aca="false">_xlfn.CONCAT(B12, ": ", C12)</f>
        <v>Manufacturing: Worker</v>
      </c>
      <c r="C1122" s="17" t="n">
        <f aca="false">AZ12</f>
        <v>929000000</v>
      </c>
      <c r="D1122" s="17" t="n">
        <f aca="false">BA12</f>
        <v>197000000</v>
      </c>
      <c r="E1122" s="17" t="n">
        <f aca="false">BB12</f>
        <v>12000000</v>
      </c>
      <c r="F1122" s="17" t="n">
        <f aca="false">BC12</f>
        <v>719000000</v>
      </c>
    </row>
    <row r="1123" customFormat="false" ht="12.8" hidden="false" customHeight="false" outlineLevel="0" collapsed="false">
      <c r="A1123" s="7" t="str">
        <f aca="false">_xlfn.CONCAT($A$977, ".", A13)</f>
        <v>FL.7.10</v>
      </c>
      <c r="B1123" s="7" t="str">
        <f aca="false">_xlfn.CONCAT(B13, ": ", C13)</f>
        <v>Manufacturing: Support</v>
      </c>
      <c r="C1123" s="17" t="n">
        <f aca="false">AZ13</f>
        <v>394000000</v>
      </c>
      <c r="D1123" s="17" t="n">
        <f aca="false">BA13</f>
        <v>84000000</v>
      </c>
      <c r="E1123" s="17" t="n">
        <f aca="false">BB13</f>
        <v>5000000</v>
      </c>
      <c r="F1123" s="17" t="n">
        <f aca="false">BC13</f>
        <v>305000000</v>
      </c>
    </row>
    <row r="1124" customFormat="false" ht="12.8" hidden="false" customHeight="false" outlineLevel="0" collapsed="false">
      <c r="A1124" s="7" t="str">
        <f aca="false">_xlfn.CONCAT($A$977, ".", A14)</f>
        <v>FL.7.11</v>
      </c>
      <c r="B1124" s="7" t="str">
        <f aca="false">_xlfn.CONCAT(B14, ": ", C14)</f>
        <v>Transportation &amp; Warehousing: Worker</v>
      </c>
      <c r="C1124" s="17" t="n">
        <f aca="false">AZ14</f>
        <v>935000000</v>
      </c>
      <c r="D1124" s="17" t="n">
        <f aca="false">BA14</f>
        <v>199000000</v>
      </c>
      <c r="E1124" s="17" t="n">
        <f aca="false">BB14</f>
        <v>12000000</v>
      </c>
      <c r="F1124" s="17" t="n">
        <f aca="false">BC14</f>
        <v>724000000</v>
      </c>
    </row>
    <row r="1125" customFormat="false" ht="12.8" hidden="false" customHeight="false" outlineLevel="0" collapsed="false">
      <c r="A1125" s="7" t="str">
        <f aca="false">_xlfn.CONCAT($A$977, ".", A15)</f>
        <v>FL.7.12</v>
      </c>
      <c r="B1125" s="7" t="str">
        <f aca="false">_xlfn.CONCAT(B15, ": ", C15)</f>
        <v>Transportation &amp; Warehousing: Support</v>
      </c>
      <c r="C1125" s="17" t="n">
        <f aca="false">AZ15</f>
        <v>397000000</v>
      </c>
      <c r="D1125" s="17" t="n">
        <f aca="false">BA15</f>
        <v>84000000</v>
      </c>
      <c r="E1125" s="17" t="n">
        <f aca="false">BB15</f>
        <v>5000000</v>
      </c>
      <c r="F1125" s="17" t="n">
        <f aca="false">BC15</f>
        <v>307000000</v>
      </c>
    </row>
    <row r="1126" customFormat="false" ht="12.8" hidden="false" customHeight="false" outlineLevel="0" collapsed="false">
      <c r="A1126" s="7" t="str">
        <f aca="false">_xlfn.CONCAT($A$977, ".", A16)</f>
        <v>FL.7.13</v>
      </c>
      <c r="B1126" s="7" t="str">
        <f aca="false">_xlfn.CONCAT(B16, ": ", C16)</f>
        <v>Retail Trade: Worker</v>
      </c>
      <c r="C1126" s="17" t="n">
        <f aca="false">AZ16</f>
        <v>3664000000</v>
      </c>
      <c r="D1126" s="17" t="n">
        <f aca="false">BA16</f>
        <v>779000000</v>
      </c>
      <c r="E1126" s="17" t="n">
        <f aca="false">BB16</f>
        <v>46000000</v>
      </c>
      <c r="F1126" s="17" t="n">
        <f aca="false">BC16</f>
        <v>2839000000</v>
      </c>
    </row>
    <row r="1127" customFormat="false" ht="12.8" hidden="false" customHeight="false" outlineLevel="0" collapsed="false">
      <c r="A1127" s="7" t="str">
        <f aca="false">_xlfn.CONCAT($A$977, ".", A17)</f>
        <v>FL.7.14</v>
      </c>
      <c r="B1127" s="7" t="str">
        <f aca="false">_xlfn.CONCAT(B17, ": ", C17)</f>
        <v>Retail Trade: Support</v>
      </c>
      <c r="C1127" s="17" t="n">
        <f aca="false">AZ17</f>
        <v>1555000000</v>
      </c>
      <c r="D1127" s="17" t="n">
        <f aca="false">BA17</f>
        <v>331000000</v>
      </c>
      <c r="E1127" s="17" t="n">
        <f aca="false">BB17</f>
        <v>19000000</v>
      </c>
      <c r="F1127" s="17" t="n">
        <f aca="false">BC17</f>
        <v>1205000000</v>
      </c>
    </row>
    <row r="1128" customFormat="false" ht="12.8" hidden="false" customHeight="false" outlineLevel="0" collapsed="false">
      <c r="A1128" s="7" t="str">
        <f aca="false">_xlfn.CONCAT($A$977, ".", A18)</f>
        <v>FL.7.15</v>
      </c>
      <c r="B1128" s="7" t="str">
        <f aca="false">_xlfn.CONCAT(B18, ": ", C18)</f>
        <v>Landscaping / Groundskeeping: Worker</v>
      </c>
      <c r="C1128" s="17" t="n">
        <f aca="false">AZ18</f>
        <v>269000000</v>
      </c>
      <c r="D1128" s="17" t="n">
        <f aca="false">BA18</f>
        <v>57000000</v>
      </c>
      <c r="E1128" s="17" t="n">
        <f aca="false">BB18</f>
        <v>3000000</v>
      </c>
      <c r="F1128" s="17" t="n">
        <f aca="false">BC18</f>
        <v>208000000</v>
      </c>
    </row>
    <row r="1129" customFormat="false" ht="12.8" hidden="false" customHeight="false" outlineLevel="0" collapsed="false">
      <c r="A1129" s="7" t="str">
        <f aca="false">_xlfn.CONCAT($A$977, ".", A19)</f>
        <v>FL.7.16</v>
      </c>
      <c r="B1129" s="7" t="str">
        <f aca="false">_xlfn.CONCAT(B19, ": ", C19)</f>
        <v>Landscaping / Groundskeeping: Support</v>
      </c>
      <c r="C1129" s="17" t="n">
        <f aca="false">AZ19</f>
        <v>114000000</v>
      </c>
      <c r="D1129" s="17" t="n">
        <f aca="false">BA19</f>
        <v>24000000</v>
      </c>
      <c r="E1129" s="17" t="n">
        <f aca="false">BB19</f>
        <v>1000000</v>
      </c>
      <c r="F1129" s="17" t="n">
        <f aca="false">BC19</f>
        <v>88000000</v>
      </c>
    </row>
    <row r="1130" customFormat="false" ht="12.8" hidden="false" customHeight="false" outlineLevel="0" collapsed="false">
      <c r="A1130" s="7" t="str">
        <f aca="false">_xlfn.CONCAT($A$977, ".", A20)</f>
        <v>FL.7.17</v>
      </c>
      <c r="B1130" s="7" t="str">
        <f aca="false">_xlfn.CONCAT(B20, ": ", C20)</f>
        <v>Automotive &amp; Repair: Worker</v>
      </c>
      <c r="C1130" s="17" t="n">
        <f aca="false">AZ20</f>
        <v>217000000</v>
      </c>
      <c r="D1130" s="17" t="n">
        <f aca="false">BA20</f>
        <v>46000000</v>
      </c>
      <c r="E1130" s="17" t="n">
        <f aca="false">BB20</f>
        <v>3000000</v>
      </c>
      <c r="F1130" s="17" t="n">
        <f aca="false">BC20</f>
        <v>168000000</v>
      </c>
    </row>
    <row r="1131" customFormat="false" ht="12.8" hidden="false" customHeight="false" outlineLevel="0" collapsed="false">
      <c r="A1131" s="7" t="str">
        <f aca="false">_xlfn.CONCAT($A$977, ".", A21)</f>
        <v>FL.7.18</v>
      </c>
      <c r="B1131" s="7" t="str">
        <f aca="false">_xlfn.CONCAT(B21, ": ", C21)</f>
        <v>Automotive &amp; Repair: Support</v>
      </c>
      <c r="C1131" s="17" t="n">
        <f aca="false">AZ21</f>
        <v>92000000</v>
      </c>
      <c r="D1131" s="17" t="n">
        <f aca="false">BA21</f>
        <v>20000000</v>
      </c>
      <c r="E1131" s="17" t="n">
        <f aca="false">BB21</f>
        <v>1000000</v>
      </c>
      <c r="F1131" s="17" t="n">
        <f aca="false">BC21</f>
        <v>71000000</v>
      </c>
    </row>
    <row r="1132" customFormat="false" ht="12.8" hidden="false" customHeight="false" outlineLevel="0" collapsed="false">
      <c r="A1132" s="7" t="str">
        <f aca="false">_xlfn.CONCAT($A$977, ".", A22)</f>
        <v>FL.7.19</v>
      </c>
      <c r="B1132" s="7" t="str">
        <f aca="false">_xlfn.CONCAT(B22, ": ", C22)</f>
        <v>Healthcare &amp; Social Assistance: Worker</v>
      </c>
      <c r="C1132" s="17" t="n">
        <f aca="false">AZ22</f>
        <v>3919000000</v>
      </c>
      <c r="D1132" s="17" t="n">
        <f aca="false">BA22</f>
        <v>832000000</v>
      </c>
      <c r="E1132" s="17" t="n">
        <f aca="false">BB22</f>
        <v>55000000</v>
      </c>
      <c r="F1132" s="17" t="n">
        <f aca="false">BC22</f>
        <v>3032000000</v>
      </c>
    </row>
    <row r="1133" customFormat="false" ht="12.8" hidden="false" customHeight="false" outlineLevel="0" collapsed="false">
      <c r="A1133" s="7" t="str">
        <f aca="false">_xlfn.CONCAT($A$977, ".", A23)</f>
        <v>FL.7.20</v>
      </c>
      <c r="B1133" s="7" t="str">
        <f aca="false">_xlfn.CONCAT(B23, ": ", C23)</f>
        <v>Healthcare &amp; Social Assistance: Support</v>
      </c>
      <c r="C1133" s="17" t="n">
        <f aca="false">AZ23</f>
        <v>1663000000</v>
      </c>
      <c r="D1133" s="17" t="n">
        <f aca="false">BA23</f>
        <v>353000000</v>
      </c>
      <c r="E1133" s="17" t="n">
        <f aca="false">BB23</f>
        <v>23000000</v>
      </c>
      <c r="F1133" s="17" t="n">
        <f aca="false">BC23</f>
        <v>1287000000</v>
      </c>
    </row>
    <row r="1134" customFormat="false" ht="12.8" hidden="false" customHeight="false" outlineLevel="0" collapsed="false">
      <c r="A1134" s="7" t="str">
        <f aca="false">_xlfn.CONCAT($A$977, ".", A24)</f>
        <v>FL.7.21</v>
      </c>
      <c r="B1134" s="7" t="str">
        <f aca="false">_xlfn.CONCAT(B24, ": ", C24)</f>
        <v>Professional Services: Worker</v>
      </c>
      <c r="C1134" s="17" t="n">
        <f aca="false">AZ24</f>
        <v>6162000000</v>
      </c>
      <c r="D1134" s="17" t="n">
        <f aca="false">BA24</f>
        <v>1308000000</v>
      </c>
      <c r="E1134" s="17" t="n">
        <f aca="false">BB24</f>
        <v>86000000</v>
      </c>
      <c r="F1134" s="17" t="n">
        <f aca="false">BC24</f>
        <v>4767000000</v>
      </c>
    </row>
    <row r="1135" customFormat="false" ht="12.8" hidden="false" customHeight="false" outlineLevel="0" collapsed="false">
      <c r="A1135" s="7" t="str">
        <f aca="false">_xlfn.CONCAT($A$977, ".", A25)</f>
        <v>FL.7.22</v>
      </c>
      <c r="B1135" s="7" t="str">
        <f aca="false">_xlfn.CONCAT(B25, ": ", C25)</f>
        <v>Professional Services: Support</v>
      </c>
      <c r="C1135" s="17" t="n">
        <f aca="false">AZ25</f>
        <v>2615000000</v>
      </c>
      <c r="D1135" s="17" t="n">
        <f aca="false">BA25</f>
        <v>555000000</v>
      </c>
      <c r="E1135" s="17" t="n">
        <f aca="false">BB25</f>
        <v>37000000</v>
      </c>
      <c r="F1135" s="17" t="n">
        <f aca="false">BC25</f>
        <v>2023000000</v>
      </c>
    </row>
    <row r="1136" customFormat="false" ht="12.8" hidden="false" customHeight="false" outlineLevel="0" collapsed="false">
      <c r="A1136" s="7" t="str">
        <f aca="false">_xlfn.CONCAT($A$977, ".", A26)</f>
        <v>FL.7.23</v>
      </c>
      <c r="B1136" s="7" t="str">
        <f aca="false">_xlfn.CONCAT(B26, ": ", C26)</f>
        <v>Educational Services: Worker</v>
      </c>
      <c r="C1136" s="17" t="n">
        <f aca="false">AZ26</f>
        <v>1316000000</v>
      </c>
      <c r="D1136" s="17" t="n">
        <f aca="false">BA26</f>
        <v>280000000</v>
      </c>
      <c r="E1136" s="17" t="n">
        <f aca="false">BB26</f>
        <v>18000000</v>
      </c>
      <c r="F1136" s="17" t="n">
        <f aca="false">BC26</f>
        <v>1018000000</v>
      </c>
    </row>
    <row r="1137" customFormat="false" ht="12.8" hidden="false" customHeight="false" outlineLevel="0" collapsed="false">
      <c r="A1137" s="7" t="str">
        <f aca="false">_xlfn.CONCAT($A$977, ".", A27)</f>
        <v>FL.7.24</v>
      </c>
      <c r="B1137" s="7" t="str">
        <f aca="false">_xlfn.CONCAT(B27, ": ", C27)</f>
        <v>Educational Services: Support</v>
      </c>
      <c r="C1137" s="17" t="n">
        <f aca="false">AZ27</f>
        <v>559000000</v>
      </c>
      <c r="D1137" s="17" t="n">
        <f aca="false">BA27</f>
        <v>119000000</v>
      </c>
      <c r="E1137" s="17" t="n">
        <f aca="false">BB27</f>
        <v>8000000</v>
      </c>
      <c r="F1137" s="17" t="n">
        <f aca="false">BC27</f>
        <v>432000000</v>
      </c>
    </row>
    <row r="1138" customFormat="false" ht="12.8" hidden="false" customHeight="false" outlineLevel="0" collapsed="false">
      <c r="A1138" s="7" t="str">
        <f aca="false">_xlfn.CONCAT($A$977, ".", A28)</f>
        <v>FL.7.25</v>
      </c>
      <c r="B1138" s="7" t="str">
        <f aca="false">_xlfn.CONCAT(B28, ": ", C28)</f>
        <v>Finance &amp; Insurance: Worker</v>
      </c>
      <c r="C1138" s="17" t="n">
        <f aca="false">AZ28</f>
        <v>2622000000</v>
      </c>
      <c r="D1138" s="17" t="n">
        <f aca="false">BA28</f>
        <v>557000000</v>
      </c>
      <c r="E1138" s="17" t="n">
        <f aca="false">BB28</f>
        <v>37000000</v>
      </c>
      <c r="F1138" s="17" t="n">
        <f aca="false">BC28</f>
        <v>2029000000</v>
      </c>
    </row>
    <row r="1139" customFormat="false" ht="12.8" hidden="false" customHeight="false" outlineLevel="0" collapsed="false">
      <c r="A1139" s="7" t="str">
        <f aca="false">_xlfn.CONCAT($A$977, ".", A29)</f>
        <v>FL.7.26</v>
      </c>
      <c r="B1139" s="7" t="str">
        <f aca="false">_xlfn.CONCAT(B29, ": ", C29)</f>
        <v>Finance &amp; Insurance: Support</v>
      </c>
      <c r="C1139" s="17" t="n">
        <f aca="false">AZ29</f>
        <v>1113000000</v>
      </c>
      <c r="D1139" s="17" t="n">
        <f aca="false">BA29</f>
        <v>236000000</v>
      </c>
      <c r="E1139" s="17" t="n">
        <f aca="false">BB29</f>
        <v>16000000</v>
      </c>
      <c r="F1139" s="17" t="n">
        <f aca="false">BC29</f>
        <v>861000000</v>
      </c>
    </row>
    <row r="1140" customFormat="false" ht="12.8" hidden="false" customHeight="false" outlineLevel="0" collapsed="false">
      <c r="A1140" s="7" t="str">
        <f aca="false">_xlfn.CONCAT($A$977, ".", A30)</f>
        <v>FL.7.27</v>
      </c>
      <c r="B1140" s="7" t="str">
        <f aca="false">_xlfn.CONCAT(B30, ": ", C30)</f>
        <v>Media and Information Technology: Worker</v>
      </c>
      <c r="C1140" s="17" t="n">
        <f aca="false">AZ30</f>
        <v>609000000</v>
      </c>
      <c r="D1140" s="17" t="n">
        <f aca="false">BA30</f>
        <v>129000000</v>
      </c>
      <c r="E1140" s="17" t="n">
        <f aca="false">BB30</f>
        <v>9000000</v>
      </c>
      <c r="F1140" s="17" t="n">
        <f aca="false">BC30</f>
        <v>471000000</v>
      </c>
    </row>
    <row r="1141" customFormat="false" ht="12.8" hidden="false" customHeight="false" outlineLevel="0" collapsed="false">
      <c r="A1141" s="7" t="str">
        <f aca="false">_xlfn.CONCAT($A$977, ".", A31)</f>
        <v>FL.7.28</v>
      </c>
      <c r="B1141" s="7" t="str">
        <f aca="false">_xlfn.CONCAT(B31, ": ", C31)</f>
        <v>Media and Information Technology: Support</v>
      </c>
      <c r="C1141" s="17" t="n">
        <f aca="false">AZ31</f>
        <v>258000000</v>
      </c>
      <c r="D1141" s="17" t="n">
        <f aca="false">BA31</f>
        <v>55000000</v>
      </c>
      <c r="E1141" s="17" t="n">
        <f aca="false">BB31</f>
        <v>4000000</v>
      </c>
      <c r="F1141" s="17" t="n">
        <f aca="false">BC31</f>
        <v>200000000</v>
      </c>
    </row>
    <row r="1142" customFormat="false" ht="12.8" hidden="false" customHeight="false" outlineLevel="0" collapsed="false">
      <c r="A1142" s="7" t="str">
        <f aca="false">_xlfn.CONCAT($A$977, ".", A32)</f>
        <v>FL.7.29</v>
      </c>
      <c r="B1142" s="7" t="str">
        <f aca="false">_xlfn.CONCAT(B32, ": ", C32)</f>
        <v>Government: Worker</v>
      </c>
      <c r="C1142" s="17" t="n">
        <f aca="false">AZ32</f>
        <v>2550000000</v>
      </c>
      <c r="D1142" s="17" t="n">
        <f aca="false">BA32</f>
        <v>541000000</v>
      </c>
      <c r="E1142" s="17" t="n">
        <f aca="false">BB32</f>
        <v>37000000</v>
      </c>
      <c r="F1142" s="17" t="n">
        <f aca="false">BC32</f>
        <v>1972000000</v>
      </c>
    </row>
    <row r="1143" customFormat="false" ht="12.8" hidden="false" customHeight="false" outlineLevel="0" collapsed="false">
      <c r="A1143" s="7" t="str">
        <f aca="false">_xlfn.CONCAT($A$977, ".", A33)</f>
        <v>FL.7.30</v>
      </c>
      <c r="B1143" s="7" t="str">
        <f aca="false">_xlfn.CONCAT(B33, ": ", C33)</f>
        <v>Government: Support</v>
      </c>
      <c r="C1143" s="17" t="n">
        <f aca="false">AZ33</f>
        <v>1080000000</v>
      </c>
      <c r="D1143" s="17" t="n">
        <f aca="false">BA33</f>
        <v>229000000</v>
      </c>
      <c r="E1143" s="17" t="n">
        <f aca="false">BB33</f>
        <v>16000000</v>
      </c>
      <c r="F1143" s="17" t="n">
        <f aca="false">BC33</f>
        <v>833000000</v>
      </c>
    </row>
    <row r="1144" customFormat="false" ht="12.8" hidden="false" customHeight="false" outlineLevel="0" collapsed="false">
      <c r="A1144" s="7" t="str">
        <f aca="false">_xlfn.CONCAT($A$977, ".", A34)</f>
        <v>FL.7.31</v>
      </c>
      <c r="B1144" s="7" t="str">
        <f aca="false">_xlfn.CONCAT(B34, ": ", C34)</f>
        <v>Self-Employed / Non-Employer: Worker</v>
      </c>
      <c r="C1144" s="17" t="n">
        <f aca="false">AZ34</f>
        <v>4550000000</v>
      </c>
      <c r="D1144" s="17" t="n">
        <f aca="false">BA34</f>
        <v>175000000</v>
      </c>
      <c r="E1144" s="17" t="n">
        <f aca="false">BB34</f>
        <v>175000000</v>
      </c>
      <c r="F1144" s="17" t="n">
        <f aca="false">BC34</f>
        <v>4200000000</v>
      </c>
    </row>
    <row r="1145" customFormat="false" ht="12.8" hidden="false" customHeight="false" outlineLevel="0" collapsed="false">
      <c r="A1145" s="7" t="str">
        <f aca="false">_xlfn.CONCAT($A$977, ".", A35)</f>
        <v>FL.7.32</v>
      </c>
      <c r="B1145" s="7" t="str">
        <f aca="false">_xlfn.CONCAT(B35, ": ", C35)</f>
        <v>Self-Employed / Non-Employer: Support</v>
      </c>
      <c r="C1145" s="17" t="n">
        <f aca="false">AZ35</f>
        <v>505000000</v>
      </c>
      <c r="D1145" s="17" t="n">
        <f aca="false">BA35</f>
        <v>19500000</v>
      </c>
      <c r="E1145" s="17" t="n">
        <f aca="false">BB35</f>
        <v>19500000</v>
      </c>
      <c r="F1145" s="17" t="n">
        <f aca="false">BC35</f>
        <v>466000000</v>
      </c>
    </row>
    <row r="1146" customFormat="false" ht="12.8" hidden="false" customHeight="false" outlineLevel="0" collapsed="false">
      <c r="A1146" s="7" t="str">
        <f aca="false">_xlfn.CONCAT($A$977, ".", A36)</f>
        <v>FL.7.33</v>
      </c>
      <c r="B1146" s="7" t="str">
        <f aca="false">_xlfn.CONCAT(B36, ": ", C36)</f>
        <v>Other Services: Worker</v>
      </c>
      <c r="C1146" s="17" t="n">
        <f aca="false">AZ36</f>
        <v>761000000</v>
      </c>
      <c r="D1146" s="17" t="n">
        <f aca="false">BA36</f>
        <v>162000000</v>
      </c>
      <c r="E1146" s="17" t="n">
        <f aca="false">BB36</f>
        <v>10000000</v>
      </c>
      <c r="F1146" s="17" t="n">
        <f aca="false">BC36</f>
        <v>589000000</v>
      </c>
    </row>
    <row r="1147" customFormat="false" ht="12.8" hidden="false" customHeight="false" outlineLevel="0" collapsed="false">
      <c r="A1147" s="7" t="str">
        <f aca="false">_xlfn.CONCAT($A$977, ".", A37)</f>
        <v>FL.7.34</v>
      </c>
      <c r="B1147" s="7" t="str">
        <f aca="false">_xlfn.CONCAT(B37, ": ", C37)</f>
        <v>Other Services: Support</v>
      </c>
      <c r="C1147" s="17" t="n">
        <f aca="false">AZ37</f>
        <v>323000000</v>
      </c>
      <c r="D1147" s="17" t="n">
        <f aca="false">BA37</f>
        <v>69000000</v>
      </c>
      <c r="E1147" s="17" t="n">
        <f aca="false">BB37</f>
        <v>4000000</v>
      </c>
      <c r="F1147" s="17" t="n">
        <f aca="false">BC37</f>
        <v>250000000</v>
      </c>
    </row>
    <row r="1148" customFormat="false" ht="12.8" hidden="false" customHeight="false" outlineLevel="0" collapsed="false">
      <c r="B1148" s="7"/>
      <c r="C1148" s="31"/>
      <c r="D1148" s="31"/>
      <c r="E1148" s="31"/>
      <c r="F1148" s="31"/>
    </row>
    <row r="1149" customFormat="false" ht="12.8" hidden="false" customHeight="false" outlineLevel="0" collapsed="false">
      <c r="B1149" s="7"/>
      <c r="C1149" s="31"/>
      <c r="D1149" s="31"/>
      <c r="E1149" s="31"/>
      <c r="F1149" s="31"/>
    </row>
    <row r="1150" customFormat="false" ht="12.8" hidden="false" customHeight="false" outlineLevel="0" collapsed="false">
      <c r="B1150" s="7"/>
      <c r="C1150" s="31"/>
      <c r="D1150" s="31"/>
      <c r="E1150" s="31"/>
      <c r="F1150" s="31"/>
    </row>
    <row r="1151" customFormat="false" ht="12.8" hidden="false" customHeight="false" outlineLevel="0" collapsed="false">
      <c r="B1151" s="7"/>
      <c r="C1151" s="31"/>
      <c r="D1151" s="31"/>
      <c r="E1151" s="31"/>
      <c r="F1151" s="31"/>
    </row>
    <row r="1152" customFormat="false" ht="12.8" hidden="false" customHeight="false" outlineLevel="0" collapsed="false">
      <c r="B1152" s="7"/>
      <c r="C1152" s="31"/>
      <c r="D1152" s="31"/>
      <c r="E1152" s="31"/>
      <c r="F1152" s="31"/>
    </row>
    <row r="1245" customFormat="false" ht="12.8" hidden="false" customHeight="false" outlineLevel="0" collapsed="false">
      <c r="A1245" s="5" t="s">
        <v>185</v>
      </c>
      <c r="B1245" s="24" t="s">
        <v>175</v>
      </c>
      <c r="C1245" s="25" t="s">
        <v>158</v>
      </c>
    </row>
    <row r="1246" customFormat="false" ht="35.05" hidden="false" customHeight="false" outlineLevel="0" collapsed="false">
      <c r="A1246" s="5" t="s">
        <v>26</v>
      </c>
      <c r="B1246" s="5" t="str">
        <f aca="false">_xlfn.CONCAT(B2, ": ", C2)</f>
        <v>Industry: Role</v>
      </c>
      <c r="C1246" s="31" t="str">
        <f aca="false">BD2</f>
        <v>EITC Credit Refund</v>
      </c>
      <c r="D1246" s="31" t="str">
        <f aca="false">BE2</f>
        <v>Authorized Immigrant EITC Credit Refund</v>
      </c>
      <c r="E1246" s="31" t="str">
        <f aca="false">BF2</f>
        <v>Unauthorized Immigrant EITC Credit Refund</v>
      </c>
      <c r="F1246" s="31" t="str">
        <f aca="false">BG2</f>
        <v>American Effective Tax EITC Credit Refund</v>
      </c>
    </row>
    <row r="1247" customFormat="false" ht="12.8" hidden="false" customHeight="false" outlineLevel="0" collapsed="false">
      <c r="A1247" s="7" t="str">
        <f aca="false">_xlfn.CONCAT($A$977, ".", A3)</f>
        <v>FL.7.0</v>
      </c>
      <c r="B1247" s="7" t="str">
        <f aca="false">_xlfn.CONCAT(B3, ": ", C3)</f>
        <v>All Industries: All Roles</v>
      </c>
      <c r="C1247" s="17" t="n">
        <f aca="false">BD3</f>
        <v>62000000000</v>
      </c>
      <c r="D1247" s="17" t="n">
        <f aca="false">BE3</f>
        <v>13700000000</v>
      </c>
      <c r="E1247" s="17" t="n">
        <f aca="false">BF3</f>
        <v>0</v>
      </c>
      <c r="F1247" s="17" t="n">
        <f aca="false">BG3</f>
        <v>48300000000</v>
      </c>
    </row>
    <row r="1248" customFormat="false" ht="12.8" hidden="false" customHeight="false" outlineLevel="0" collapsed="false">
      <c r="A1248" s="7" t="str">
        <f aca="false">_xlfn.CONCAT($A$977, ".", A4)</f>
        <v>FL.7.1</v>
      </c>
      <c r="B1248" s="7" t="str">
        <f aca="false">_xlfn.CONCAT(B4, ": ", C4)</f>
        <v>Agriculture: Worker</v>
      </c>
      <c r="C1248" s="17" t="n">
        <f aca="false">BD4</f>
        <v>338000000</v>
      </c>
      <c r="D1248" s="17" t="n">
        <f aca="false">BE4</f>
        <v>75000000</v>
      </c>
      <c r="E1248" s="17" t="n">
        <f aca="false">BF4</f>
        <v>0</v>
      </c>
      <c r="F1248" s="17" t="n">
        <f aca="false">BG4</f>
        <v>263000000</v>
      </c>
    </row>
    <row r="1249" customFormat="false" ht="12.8" hidden="false" customHeight="false" outlineLevel="0" collapsed="false">
      <c r="A1249" s="7" t="str">
        <f aca="false">_xlfn.CONCAT($A$977, ".", A5)</f>
        <v>FL.7.2</v>
      </c>
      <c r="B1249" s="7" t="str">
        <f aca="false">_xlfn.CONCAT(B5, ": ", C5)</f>
        <v>Agriculture: Support</v>
      </c>
      <c r="C1249" s="17" t="n">
        <f aca="false">BD5</f>
        <v>169000000</v>
      </c>
      <c r="D1249" s="17" t="n">
        <f aca="false">BE5</f>
        <v>37500000</v>
      </c>
      <c r="E1249" s="17" t="n">
        <f aca="false">BF5</f>
        <v>0</v>
      </c>
      <c r="F1249" s="17" t="n">
        <f aca="false">BG5</f>
        <v>131500000</v>
      </c>
    </row>
    <row r="1250" customFormat="false" ht="12.8" hidden="false" customHeight="false" outlineLevel="0" collapsed="false">
      <c r="A1250" s="7" t="str">
        <f aca="false">_xlfn.CONCAT($A$977, ".", A6)</f>
        <v>FL.7.3</v>
      </c>
      <c r="B1250" s="7" t="str">
        <f aca="false">_xlfn.CONCAT(B6, ": ", C6)</f>
        <v>Construction: Worker</v>
      </c>
      <c r="C1250" s="17" t="n">
        <f aca="false">BD6</f>
        <v>2590000000</v>
      </c>
      <c r="D1250" s="17" t="n">
        <f aca="false">BE6</f>
        <v>573000000</v>
      </c>
      <c r="E1250" s="17" t="n">
        <f aca="false">BF6</f>
        <v>0</v>
      </c>
      <c r="F1250" s="17" t="n">
        <f aca="false">BG6</f>
        <v>2017000000</v>
      </c>
    </row>
    <row r="1251" customFormat="false" ht="12.8" hidden="false" customHeight="false" outlineLevel="0" collapsed="false">
      <c r="A1251" s="7" t="str">
        <f aca="false">_xlfn.CONCAT($A$977, ".", A7)</f>
        <v>FL.7.4</v>
      </c>
      <c r="B1251" s="7" t="str">
        <f aca="false">_xlfn.CONCAT(B7, ": ", C7)</f>
        <v>Construction: Support</v>
      </c>
      <c r="C1251" s="17" t="n">
        <f aca="false">BD7</f>
        <v>1300000000</v>
      </c>
      <c r="D1251" s="17" t="n">
        <f aca="false">BE7</f>
        <v>288000000</v>
      </c>
      <c r="E1251" s="17" t="n">
        <f aca="false">BF7</f>
        <v>0</v>
      </c>
      <c r="F1251" s="17" t="n">
        <f aca="false">BG7</f>
        <v>1012000000</v>
      </c>
    </row>
    <row r="1252" customFormat="false" ht="12.8" hidden="false" customHeight="false" outlineLevel="0" collapsed="false">
      <c r="A1252" s="7" t="str">
        <f aca="false">_xlfn.CONCAT($A$977, ".", A8)</f>
        <v>FL.7.5</v>
      </c>
      <c r="B1252" s="7" t="str">
        <f aca="false">_xlfn.CONCAT(B8, ": ", C8)</f>
        <v>Hospitality: Worker</v>
      </c>
      <c r="C1252" s="17" t="n">
        <f aca="false">BD8</f>
        <v>5016000000</v>
      </c>
      <c r="D1252" s="17" t="n">
        <f aca="false">BE8</f>
        <v>1110000000</v>
      </c>
      <c r="E1252" s="17" t="n">
        <f aca="false">BF8</f>
        <v>0</v>
      </c>
      <c r="F1252" s="17" t="n">
        <f aca="false">BG8</f>
        <v>3906000000</v>
      </c>
    </row>
    <row r="1253" customFormat="false" ht="12.8" hidden="false" customHeight="false" outlineLevel="0" collapsed="false">
      <c r="A1253" s="7" t="str">
        <f aca="false">_xlfn.CONCAT($A$977, ".", A9)</f>
        <v>FL.7.6</v>
      </c>
      <c r="B1253" s="7" t="str">
        <f aca="false">_xlfn.CONCAT(B9, ": ", C9)</f>
        <v>Hospitality: Support</v>
      </c>
      <c r="C1253" s="17" t="n">
        <f aca="false">BD9</f>
        <v>2504000000</v>
      </c>
      <c r="D1253" s="17" t="n">
        <f aca="false">BE9</f>
        <v>554000000</v>
      </c>
      <c r="E1253" s="17" t="n">
        <f aca="false">BF9</f>
        <v>0</v>
      </c>
      <c r="F1253" s="17" t="n">
        <f aca="false">BG9</f>
        <v>1950000000</v>
      </c>
    </row>
    <row r="1254" customFormat="false" ht="12.8" hidden="false" customHeight="false" outlineLevel="0" collapsed="false">
      <c r="A1254" s="7" t="str">
        <f aca="false">_xlfn.CONCAT($A$977, ".", A10)</f>
        <v>FL.7.7</v>
      </c>
      <c r="B1254" s="7" t="str">
        <f aca="false">_xlfn.CONCAT(B10, ": ", C10)</f>
        <v>Cleaning &amp; Maintenance: Worker</v>
      </c>
      <c r="C1254" s="17" t="n">
        <f aca="false">BD10</f>
        <v>1050000000</v>
      </c>
      <c r="D1254" s="17" t="n">
        <f aca="false">BE10</f>
        <v>232000000</v>
      </c>
      <c r="E1254" s="17" t="n">
        <f aca="false">BF10</f>
        <v>0</v>
      </c>
      <c r="F1254" s="17" t="n">
        <f aca="false">BG10</f>
        <v>816000000</v>
      </c>
    </row>
    <row r="1255" customFormat="false" ht="12.8" hidden="false" customHeight="false" outlineLevel="0" collapsed="false">
      <c r="A1255" s="7" t="str">
        <f aca="false">_xlfn.CONCAT($A$977, ".", A11)</f>
        <v>FL.7.8</v>
      </c>
      <c r="B1255" s="7" t="str">
        <f aca="false">_xlfn.CONCAT(B11, ": ", C11)</f>
        <v>Cleaning &amp; Maintenance: Support</v>
      </c>
      <c r="C1255" s="17" t="n">
        <f aca="false">BD11</f>
        <v>525000000</v>
      </c>
      <c r="D1255" s="17" t="n">
        <f aca="false">BE11</f>
        <v>116000000</v>
      </c>
      <c r="E1255" s="17" t="n">
        <f aca="false">BF11</f>
        <v>0</v>
      </c>
      <c r="F1255" s="17" t="n">
        <f aca="false">BG11</f>
        <v>409000000</v>
      </c>
    </row>
    <row r="1256" customFormat="false" ht="12.8" hidden="false" customHeight="false" outlineLevel="0" collapsed="false">
      <c r="A1256" s="7" t="str">
        <f aca="false">_xlfn.CONCAT($A$977, ".", A12)</f>
        <v>FL.7.9</v>
      </c>
      <c r="B1256" s="7" t="str">
        <f aca="false">_xlfn.CONCAT(B12, ": ", C12)</f>
        <v>Manufacturing: Worker</v>
      </c>
      <c r="C1256" s="17" t="n">
        <f aca="false">BD12</f>
        <v>1611000000</v>
      </c>
      <c r="D1256" s="17" t="n">
        <f aca="false">BE12</f>
        <v>357000000</v>
      </c>
      <c r="E1256" s="17" t="n">
        <f aca="false">BF12</f>
        <v>0</v>
      </c>
      <c r="F1256" s="17" t="n">
        <f aca="false">BG12</f>
        <v>1255000000</v>
      </c>
    </row>
    <row r="1257" customFormat="false" ht="12.8" hidden="false" customHeight="false" outlineLevel="0" collapsed="false">
      <c r="A1257" s="7" t="str">
        <f aca="false">_xlfn.CONCAT($A$977, ".", A13)</f>
        <v>FL.7.10</v>
      </c>
      <c r="B1257" s="7" t="str">
        <f aca="false">_xlfn.CONCAT(B13, ": ", C13)</f>
        <v>Manufacturing: Support</v>
      </c>
      <c r="C1257" s="17" t="n">
        <f aca="false">BD13</f>
        <v>804000000</v>
      </c>
      <c r="D1257" s="17" t="n">
        <f aca="false">BE13</f>
        <v>178000000</v>
      </c>
      <c r="E1257" s="17" t="n">
        <f aca="false">BF13</f>
        <v>0</v>
      </c>
      <c r="F1257" s="17" t="n">
        <f aca="false">BG13</f>
        <v>626000000</v>
      </c>
    </row>
    <row r="1258" customFormat="false" ht="12.8" hidden="false" customHeight="false" outlineLevel="0" collapsed="false">
      <c r="A1258" s="7" t="str">
        <f aca="false">_xlfn.CONCAT($A$977, ".", A14)</f>
        <v>FL.7.11</v>
      </c>
      <c r="B1258" s="7" t="str">
        <f aca="false">_xlfn.CONCAT(B14, ": ", C14)</f>
        <v>Transportation &amp; Warehousing: Worker</v>
      </c>
      <c r="C1258" s="17" t="n">
        <f aca="false">BD14</f>
        <v>1578000000</v>
      </c>
      <c r="D1258" s="17" t="n">
        <f aca="false">BE14</f>
        <v>349000000</v>
      </c>
      <c r="E1258" s="17" t="n">
        <f aca="false">BF14</f>
        <v>0</v>
      </c>
      <c r="F1258" s="17" t="n">
        <f aca="false">BG14</f>
        <v>1229000000</v>
      </c>
    </row>
    <row r="1259" customFormat="false" ht="12.8" hidden="false" customHeight="false" outlineLevel="0" collapsed="false">
      <c r="A1259" s="7" t="str">
        <f aca="false">_xlfn.CONCAT($A$977, ".", A15)</f>
        <v>FL.7.12</v>
      </c>
      <c r="B1259" s="7" t="str">
        <f aca="false">_xlfn.CONCAT(B15, ": ", C15)</f>
        <v>Transportation &amp; Warehousing: Support</v>
      </c>
      <c r="C1259" s="17" t="n">
        <f aca="false">BD15</f>
        <v>788000000</v>
      </c>
      <c r="D1259" s="17" t="n">
        <f aca="false">BE15</f>
        <v>174000000</v>
      </c>
      <c r="E1259" s="17" t="n">
        <f aca="false">BF15</f>
        <v>0</v>
      </c>
      <c r="F1259" s="17" t="n">
        <f aca="false">BG15</f>
        <v>614000000</v>
      </c>
    </row>
    <row r="1260" customFormat="false" ht="12.8" hidden="false" customHeight="false" outlineLevel="0" collapsed="false">
      <c r="A1260" s="7" t="str">
        <f aca="false">_xlfn.CONCAT($A$977, ".", A16)</f>
        <v>FL.7.13</v>
      </c>
      <c r="B1260" s="7" t="str">
        <f aca="false">_xlfn.CONCAT(B16, ": ", C16)</f>
        <v>Retail Trade: Worker</v>
      </c>
      <c r="C1260" s="17" t="n">
        <f aca="false">BD16</f>
        <v>6004000000</v>
      </c>
      <c r="D1260" s="17" t="n">
        <f aca="false">BE16</f>
        <v>1329000000</v>
      </c>
      <c r="E1260" s="17" t="n">
        <f aca="false">BF16</f>
        <v>0</v>
      </c>
      <c r="F1260" s="17" t="n">
        <f aca="false">BG16</f>
        <v>4675000000</v>
      </c>
    </row>
    <row r="1261" customFormat="false" ht="12.8" hidden="false" customHeight="false" outlineLevel="0" collapsed="false">
      <c r="A1261" s="7" t="str">
        <f aca="false">_xlfn.CONCAT($A$977, ".", A17)</f>
        <v>FL.7.14</v>
      </c>
      <c r="B1261" s="7" t="str">
        <f aca="false">_xlfn.CONCAT(B17, ": ", C17)</f>
        <v>Retail Trade: Support</v>
      </c>
      <c r="C1261" s="17" t="n">
        <f aca="false">BD17</f>
        <v>2997000000</v>
      </c>
      <c r="D1261" s="17" t="n">
        <f aca="false">BE17</f>
        <v>663000000</v>
      </c>
      <c r="E1261" s="17" t="n">
        <f aca="false">BF17</f>
        <v>0</v>
      </c>
      <c r="F1261" s="17" t="n">
        <f aca="false">BG17</f>
        <v>2334000000</v>
      </c>
    </row>
    <row r="1262" customFormat="false" ht="12.8" hidden="false" customHeight="false" outlineLevel="0" collapsed="false">
      <c r="A1262" s="7" t="str">
        <f aca="false">_xlfn.CONCAT($A$977, ".", A18)</f>
        <v>FL.7.15</v>
      </c>
      <c r="B1262" s="7" t="str">
        <f aca="false">_xlfn.CONCAT(B18, ": ", C18)</f>
        <v>Landscaping / Groundskeeping: Worker</v>
      </c>
      <c r="C1262" s="17" t="n">
        <f aca="false">BD18</f>
        <v>600000000</v>
      </c>
      <c r="D1262" s="17" t="n">
        <f aca="false">BE18</f>
        <v>133000000</v>
      </c>
      <c r="E1262" s="17" t="n">
        <f aca="false">BF18</f>
        <v>0</v>
      </c>
      <c r="F1262" s="17" t="n">
        <f aca="false">BG18</f>
        <v>468000000</v>
      </c>
    </row>
    <row r="1263" customFormat="false" ht="12.8" hidden="false" customHeight="false" outlineLevel="0" collapsed="false">
      <c r="A1263" s="7" t="str">
        <f aca="false">_xlfn.CONCAT($A$977, ".", A19)</f>
        <v>FL.7.16</v>
      </c>
      <c r="B1263" s="7" t="str">
        <f aca="false">_xlfn.CONCAT(B19, ": ", C19)</f>
        <v>Landscaping / Groundskeeping: Support</v>
      </c>
      <c r="C1263" s="17" t="n">
        <f aca="false">BD19</f>
        <v>300000000</v>
      </c>
      <c r="D1263" s="17" t="n">
        <f aca="false">BE19</f>
        <v>66000000</v>
      </c>
      <c r="E1263" s="17" t="n">
        <f aca="false">BF19</f>
        <v>0</v>
      </c>
      <c r="F1263" s="17" t="n">
        <f aca="false">BG19</f>
        <v>233000000</v>
      </c>
    </row>
    <row r="1264" customFormat="false" ht="12.8" hidden="false" customHeight="false" outlineLevel="0" collapsed="false">
      <c r="A1264" s="7" t="str">
        <f aca="false">_xlfn.CONCAT($A$977, ".", A20)</f>
        <v>FL.7.17</v>
      </c>
      <c r="B1264" s="7" t="str">
        <f aca="false">_xlfn.CONCAT(B20, ": ", C20)</f>
        <v>Automotive &amp; Repair: Worker</v>
      </c>
      <c r="C1264" s="17" t="n">
        <f aca="false">BD20</f>
        <v>321000000</v>
      </c>
      <c r="D1264" s="17" t="n">
        <f aca="false">BE20</f>
        <v>71000000</v>
      </c>
      <c r="E1264" s="17" t="n">
        <f aca="false">BF20</f>
        <v>0</v>
      </c>
      <c r="F1264" s="17" t="n">
        <f aca="false">BG20</f>
        <v>250000000</v>
      </c>
    </row>
    <row r="1265" customFormat="false" ht="12.8" hidden="false" customHeight="false" outlineLevel="0" collapsed="false">
      <c r="A1265" s="7" t="str">
        <f aca="false">_xlfn.CONCAT($A$977, ".", A21)</f>
        <v>FL.7.18</v>
      </c>
      <c r="B1265" s="7" t="str">
        <f aca="false">_xlfn.CONCAT(B21, ": ", C21)</f>
        <v>Automotive &amp; Repair: Support</v>
      </c>
      <c r="C1265" s="17" t="n">
        <f aca="false">BD21</f>
        <v>160000000</v>
      </c>
      <c r="D1265" s="17" t="n">
        <f aca="false">BE21</f>
        <v>35000000</v>
      </c>
      <c r="E1265" s="17" t="n">
        <f aca="false">BF21</f>
        <v>0</v>
      </c>
      <c r="F1265" s="17" t="n">
        <f aca="false">BG21</f>
        <v>125000000</v>
      </c>
    </row>
    <row r="1266" customFormat="false" ht="12.8" hidden="false" customHeight="false" outlineLevel="0" collapsed="false">
      <c r="A1266" s="7" t="str">
        <f aca="false">_xlfn.CONCAT($A$977, ".", A22)</f>
        <v>FL.7.19</v>
      </c>
      <c r="B1266" s="7" t="str">
        <f aca="false">_xlfn.CONCAT(B22, ": ", C22)</f>
        <v>Healthcare &amp; Social Assistance: Worker</v>
      </c>
      <c r="C1266" s="17" t="n">
        <f aca="false">BD22</f>
        <v>4440000000</v>
      </c>
      <c r="D1266" s="17" t="n">
        <f aca="false">BE22</f>
        <v>983000000</v>
      </c>
      <c r="E1266" s="17" t="n">
        <f aca="false">BF22</f>
        <v>0</v>
      </c>
      <c r="F1266" s="17" t="n">
        <f aca="false">BG22</f>
        <v>3458000000</v>
      </c>
    </row>
    <row r="1267" customFormat="false" ht="12.8" hidden="false" customHeight="false" outlineLevel="0" collapsed="false">
      <c r="A1267" s="7" t="str">
        <f aca="false">_xlfn.CONCAT($A$977, ".", A23)</f>
        <v>FL.7.20</v>
      </c>
      <c r="B1267" s="7" t="str">
        <f aca="false">_xlfn.CONCAT(B23, ": ", C23)</f>
        <v>Healthcare &amp; Social Assistance: Support</v>
      </c>
      <c r="C1267" s="17" t="n">
        <f aca="false">BD23</f>
        <v>2217000000</v>
      </c>
      <c r="D1267" s="17" t="n">
        <f aca="false">BE23</f>
        <v>491000000</v>
      </c>
      <c r="E1267" s="17" t="n">
        <f aca="false">BF23</f>
        <v>0</v>
      </c>
      <c r="F1267" s="17" t="n">
        <f aca="false">BG23</f>
        <v>1726000000</v>
      </c>
    </row>
    <row r="1268" customFormat="false" ht="12.8" hidden="false" customHeight="false" outlineLevel="0" collapsed="false">
      <c r="A1268" s="7" t="str">
        <f aca="false">_xlfn.CONCAT($A$977, ".", A24)</f>
        <v>FL.7.21</v>
      </c>
      <c r="B1268" s="7" t="str">
        <f aca="false">_xlfn.CONCAT(B24, ": ", C24)</f>
        <v>Professional Services: Worker</v>
      </c>
      <c r="C1268" s="17" t="n">
        <f aca="false">BD24</f>
        <v>6106000000</v>
      </c>
      <c r="D1268" s="17" t="n">
        <f aca="false">BE24</f>
        <v>1351000000</v>
      </c>
      <c r="E1268" s="17" t="n">
        <f aca="false">BF24</f>
        <v>0</v>
      </c>
      <c r="F1268" s="17" t="n">
        <f aca="false">BG24</f>
        <v>4755000000</v>
      </c>
    </row>
    <row r="1269" customFormat="false" ht="12.8" hidden="false" customHeight="false" outlineLevel="0" collapsed="false">
      <c r="A1269" s="7" t="str">
        <f aca="false">_xlfn.CONCAT($A$977, ".", A25)</f>
        <v>FL.7.22</v>
      </c>
      <c r="B1269" s="7" t="str">
        <f aca="false">_xlfn.CONCAT(B25, ": ", C25)</f>
        <v>Professional Services: Support</v>
      </c>
      <c r="C1269" s="17" t="n">
        <f aca="false">BD25</f>
        <v>3048000000</v>
      </c>
      <c r="D1269" s="17" t="n">
        <f aca="false">BE25</f>
        <v>675000000</v>
      </c>
      <c r="E1269" s="17" t="n">
        <f aca="false">BF25</f>
        <v>0</v>
      </c>
      <c r="F1269" s="17" t="n">
        <f aca="false">BG25</f>
        <v>2374000000</v>
      </c>
    </row>
    <row r="1270" customFormat="false" ht="12.8" hidden="false" customHeight="false" outlineLevel="0" collapsed="false">
      <c r="A1270" s="7" t="str">
        <f aca="false">_xlfn.CONCAT($A$977, ".", A26)</f>
        <v>FL.7.23</v>
      </c>
      <c r="B1270" s="7" t="str">
        <f aca="false">_xlfn.CONCAT(B26, ": ", C26)</f>
        <v>Educational Services: Worker</v>
      </c>
      <c r="C1270" s="17" t="n">
        <f aca="false">BD26</f>
        <v>1627000000</v>
      </c>
      <c r="D1270" s="17" t="n">
        <f aca="false">BE26</f>
        <v>360000000</v>
      </c>
      <c r="E1270" s="17" t="n">
        <f aca="false">BF26</f>
        <v>0</v>
      </c>
      <c r="F1270" s="17" t="n">
        <f aca="false">BG26</f>
        <v>1267000000</v>
      </c>
    </row>
    <row r="1271" customFormat="false" ht="12.8" hidden="false" customHeight="false" outlineLevel="0" collapsed="false">
      <c r="A1271" s="7" t="str">
        <f aca="false">_xlfn.CONCAT($A$977, ".", A27)</f>
        <v>FL.7.24</v>
      </c>
      <c r="B1271" s="7" t="str">
        <f aca="false">_xlfn.CONCAT(B27, ": ", C27)</f>
        <v>Educational Services: Support</v>
      </c>
      <c r="C1271" s="17" t="n">
        <f aca="false">BD27</f>
        <v>812000000</v>
      </c>
      <c r="D1271" s="17" t="n">
        <f aca="false">BE27</f>
        <v>180000000</v>
      </c>
      <c r="E1271" s="17" t="n">
        <f aca="false">BF27</f>
        <v>0</v>
      </c>
      <c r="F1271" s="17" t="n">
        <f aca="false">BG27</f>
        <v>633000000</v>
      </c>
    </row>
    <row r="1272" customFormat="false" ht="12.8" hidden="false" customHeight="false" outlineLevel="0" collapsed="false">
      <c r="A1272" s="7" t="str">
        <f aca="false">_xlfn.CONCAT($A$977, ".", A28)</f>
        <v>FL.7.25</v>
      </c>
      <c r="B1272" s="7" t="str">
        <f aca="false">_xlfn.CONCAT(B28, ": ", C28)</f>
        <v>Finance &amp; Insurance: Worker</v>
      </c>
      <c r="C1272" s="17" t="n">
        <f aca="false">BD28</f>
        <v>2599000000</v>
      </c>
      <c r="D1272" s="17" t="n">
        <f aca="false">BE28</f>
        <v>575000000</v>
      </c>
      <c r="E1272" s="17" t="n">
        <f aca="false">BF28</f>
        <v>0</v>
      </c>
      <c r="F1272" s="17" t="n">
        <f aca="false">BG28</f>
        <v>2023000000</v>
      </c>
    </row>
    <row r="1273" customFormat="false" ht="12.8" hidden="false" customHeight="false" outlineLevel="0" collapsed="false">
      <c r="A1273" s="7" t="str">
        <f aca="false">_xlfn.CONCAT($A$977, ".", A29)</f>
        <v>FL.7.26</v>
      </c>
      <c r="B1273" s="7" t="str">
        <f aca="false">_xlfn.CONCAT(B29, ": ", C29)</f>
        <v>Finance &amp; Insurance: Support</v>
      </c>
      <c r="C1273" s="17" t="n">
        <f aca="false">BD29</f>
        <v>1297000000</v>
      </c>
      <c r="D1273" s="17" t="n">
        <f aca="false">BE29</f>
        <v>287000000</v>
      </c>
      <c r="E1273" s="17" t="n">
        <f aca="false">BF29</f>
        <v>0</v>
      </c>
      <c r="F1273" s="17" t="n">
        <f aca="false">BG29</f>
        <v>1010000000</v>
      </c>
    </row>
    <row r="1274" customFormat="false" ht="12.8" hidden="false" customHeight="false" outlineLevel="0" collapsed="false">
      <c r="A1274" s="7" t="str">
        <f aca="false">_xlfn.CONCAT($A$977, ".", A30)</f>
        <v>FL.7.27</v>
      </c>
      <c r="B1274" s="7" t="str">
        <f aca="false">_xlfn.CONCAT(B30, ": ", C30)</f>
        <v>Media and Information Technology: Worker</v>
      </c>
      <c r="C1274" s="17" t="n">
        <f aca="false">BD30</f>
        <v>600000000</v>
      </c>
      <c r="D1274" s="17" t="n">
        <f aca="false">BE30</f>
        <v>133000000</v>
      </c>
      <c r="E1274" s="17" t="n">
        <f aca="false">BF30</f>
        <v>0</v>
      </c>
      <c r="F1274" s="17" t="n">
        <f aca="false">BG30</f>
        <v>468000000</v>
      </c>
    </row>
    <row r="1275" customFormat="false" ht="12.8" hidden="false" customHeight="false" outlineLevel="0" collapsed="false">
      <c r="A1275" s="7" t="str">
        <f aca="false">_xlfn.CONCAT($A$977, ".", A31)</f>
        <v>FL.7.28</v>
      </c>
      <c r="B1275" s="7" t="str">
        <f aca="false">_xlfn.CONCAT(B31, ": ", C31)</f>
        <v>Media and Information Technology: Support</v>
      </c>
      <c r="C1275" s="17" t="n">
        <f aca="false">BD31</f>
        <v>300000000</v>
      </c>
      <c r="D1275" s="17" t="n">
        <f aca="false">BE31</f>
        <v>66000000</v>
      </c>
      <c r="E1275" s="17" t="n">
        <f aca="false">BF31</f>
        <v>0</v>
      </c>
      <c r="F1275" s="17" t="n">
        <f aca="false">BG31</f>
        <v>233000000</v>
      </c>
    </row>
    <row r="1276" customFormat="false" ht="12.8" hidden="false" customHeight="false" outlineLevel="0" collapsed="false">
      <c r="A1276" s="7" t="str">
        <f aca="false">_xlfn.CONCAT($A$977, ".", A32)</f>
        <v>FL.7.29</v>
      </c>
      <c r="B1276" s="7" t="str">
        <f aca="false">_xlfn.CONCAT(B32, ": ", C32)</f>
        <v>Government: Worker</v>
      </c>
      <c r="C1276" s="17" t="n">
        <f aca="false">BD32</f>
        <v>2980000000</v>
      </c>
      <c r="D1276" s="17" t="n">
        <f aca="false">BE32</f>
        <v>659000000</v>
      </c>
      <c r="E1276" s="17" t="n">
        <f aca="false">BF32</f>
        <v>0</v>
      </c>
      <c r="F1276" s="17" t="n">
        <f aca="false">BG32</f>
        <v>2319000000</v>
      </c>
    </row>
    <row r="1277" customFormat="false" ht="12.8" hidden="false" customHeight="false" outlineLevel="0" collapsed="false">
      <c r="A1277" s="7" t="str">
        <f aca="false">_xlfn.CONCAT($A$977, ".", A33)</f>
        <v>FL.7.30</v>
      </c>
      <c r="B1277" s="7" t="str">
        <f aca="false">_xlfn.CONCAT(B33, ": ", C33)</f>
        <v>Government: Support</v>
      </c>
      <c r="C1277" s="17" t="n">
        <f aca="false">BD33</f>
        <v>1490000000</v>
      </c>
      <c r="D1277" s="17" t="n">
        <f aca="false">BE33</f>
        <v>330000000</v>
      </c>
      <c r="E1277" s="17" t="n">
        <f aca="false">BF33</f>
        <v>0</v>
      </c>
      <c r="F1277" s="17" t="n">
        <f aca="false">BG33</f>
        <v>1160000000</v>
      </c>
    </row>
    <row r="1278" customFormat="false" ht="12.8" hidden="false" customHeight="false" outlineLevel="0" collapsed="false">
      <c r="A1278" s="7" t="str">
        <f aca="false">_xlfn.CONCAT($A$977, ".", A34)</f>
        <v>FL.7.31</v>
      </c>
      <c r="B1278" s="7" t="str">
        <f aca="false">_xlfn.CONCAT(B34, ": ", C34)</f>
        <v>Self-Employed / Non-Employer: Worker</v>
      </c>
      <c r="C1278" s="17" t="n">
        <f aca="false">BD34</f>
        <v>9800000000</v>
      </c>
      <c r="D1278" s="17" t="n">
        <f aca="false">BE34</f>
        <v>3900000000</v>
      </c>
      <c r="E1278" s="17" t="n">
        <f aca="false">BF34</f>
        <v>0</v>
      </c>
      <c r="F1278" s="17" t="n">
        <f aca="false">BG34</f>
        <v>9410000000</v>
      </c>
    </row>
    <row r="1279" customFormat="false" ht="12.8" hidden="false" customHeight="false" outlineLevel="0" collapsed="false">
      <c r="A1279" s="7" t="str">
        <f aca="false">_xlfn.CONCAT($A$977, ".", A35)</f>
        <v>FL.7.32</v>
      </c>
      <c r="B1279" s="7" t="str">
        <f aca="false">_xlfn.CONCAT(B35, ": ", C35)</f>
        <v>Self-Employed / Non-Employer: Support</v>
      </c>
      <c r="C1279" s="17" t="n">
        <f aca="false">BD35</f>
        <v>1090000000</v>
      </c>
      <c r="D1279" s="17" t="n">
        <f aca="false">BE35</f>
        <v>435000000</v>
      </c>
      <c r="E1279" s="17" t="n">
        <f aca="false">BF35</f>
        <v>0</v>
      </c>
      <c r="F1279" s="17" t="n">
        <f aca="false">BG35</f>
        <v>1045000000</v>
      </c>
    </row>
    <row r="1280" customFormat="false" ht="12.8" hidden="false" customHeight="false" outlineLevel="0" collapsed="false">
      <c r="A1280" s="7" t="str">
        <f aca="false">_xlfn.CONCAT($A$977, ".", A36)</f>
        <v>FL.7.33</v>
      </c>
      <c r="B1280" s="7" t="str">
        <f aca="false">_xlfn.CONCAT(B36, ": ", C36)</f>
        <v>Other Services: Worker</v>
      </c>
      <c r="C1280" s="17" t="n">
        <f aca="false">BD36</f>
        <v>1446000000</v>
      </c>
      <c r="D1280" s="17" t="n">
        <f aca="false">BE36</f>
        <v>320000000</v>
      </c>
      <c r="E1280" s="17" t="n">
        <f aca="false">BF36</f>
        <v>0</v>
      </c>
      <c r="F1280" s="17" t="n">
        <f aca="false">BG36</f>
        <v>1126000000</v>
      </c>
    </row>
    <row r="1281" customFormat="false" ht="12.8" hidden="false" customHeight="false" outlineLevel="0" collapsed="false">
      <c r="A1281" s="7" t="str">
        <f aca="false">_xlfn.CONCAT($A$977, ".", A37)</f>
        <v>FL.7.34</v>
      </c>
      <c r="B1281" s="7" t="str">
        <f aca="false">_xlfn.CONCAT(B37, ": ", C37)</f>
        <v>Other Services: Support</v>
      </c>
      <c r="C1281" s="17" t="n">
        <f aca="false">BD37</f>
        <v>722000000</v>
      </c>
      <c r="D1281" s="17" t="n">
        <f aca="false">BE37</f>
        <v>160000000</v>
      </c>
      <c r="E1281" s="17" t="n">
        <f aca="false">BF37</f>
        <v>0</v>
      </c>
      <c r="F1281" s="17" t="n">
        <f aca="false">BG37</f>
        <v>562000000</v>
      </c>
    </row>
    <row r="1379" customFormat="false" ht="12.8" hidden="false" customHeight="false" outlineLevel="0" collapsed="false">
      <c r="A1379" s="5" t="s">
        <v>186</v>
      </c>
      <c r="B1379" s="24" t="s">
        <v>175</v>
      </c>
      <c r="C1379" s="25" t="s">
        <v>160</v>
      </c>
    </row>
    <row r="1380" customFormat="false" ht="35.05" hidden="false" customHeight="false" outlineLevel="0" collapsed="false">
      <c r="A1380" s="5" t="s">
        <v>26</v>
      </c>
      <c r="B1380" s="5" t="str">
        <f aca="false">_xlfn.CONCAT(B2, ": ", C2)</f>
        <v>Industry: Role</v>
      </c>
      <c r="C1380" s="31" t="str">
        <f aca="false">BH2</f>
        <v>ACTC Credit Refund</v>
      </c>
      <c r="D1380" s="31" t="str">
        <f aca="false">BI2</f>
        <v>Authorized Immigrant ACTC Credit Refund</v>
      </c>
      <c r="E1380" s="31" t="str">
        <f aca="false">BJ2</f>
        <v>Unauthorized Immigrant ACTC Credit Refund</v>
      </c>
      <c r="F1380" s="31" t="str">
        <f aca="false">BK2</f>
        <v>American Effective Tax ACTC Credit Refund</v>
      </c>
    </row>
    <row r="1381" customFormat="false" ht="12.8" hidden="false" customHeight="false" outlineLevel="0" collapsed="false">
      <c r="A1381" s="7" t="str">
        <f aca="false">_xlfn.CONCAT($A$977, ".", A3)</f>
        <v>FL.7.0</v>
      </c>
      <c r="B1381" s="7" t="str">
        <f aca="false">_xlfn.CONCAT(B3, ": ", C3)</f>
        <v>All Industries: All Roles</v>
      </c>
      <c r="C1381" s="31" t="n">
        <f aca="false">BH3</f>
        <v>28400000000</v>
      </c>
      <c r="D1381" s="31" t="n">
        <f aca="false">BI3</f>
        <v>7250000000</v>
      </c>
      <c r="E1381" s="31" t="n">
        <f aca="false">BJ3</f>
        <v>0</v>
      </c>
      <c r="F1381" s="31" t="n">
        <f aca="false">BK3</f>
        <v>21150000000</v>
      </c>
    </row>
    <row r="1382" customFormat="false" ht="12.8" hidden="false" customHeight="false" outlineLevel="0" collapsed="false">
      <c r="A1382" s="7" t="str">
        <f aca="false">_xlfn.CONCAT($A$977, ".", A4)</f>
        <v>FL.7.1</v>
      </c>
      <c r="B1382" s="7" t="str">
        <f aca="false">_xlfn.CONCAT(B4, ": ", C4)</f>
        <v>Agriculture: Worker</v>
      </c>
      <c r="C1382" s="31" t="n">
        <f aca="false">BH4</f>
        <v>155000000</v>
      </c>
      <c r="D1382" s="31" t="n">
        <f aca="false">BI4</f>
        <v>39000000</v>
      </c>
      <c r="E1382" s="31" t="n">
        <f aca="false">BJ4</f>
        <v>0</v>
      </c>
      <c r="F1382" s="31" t="n">
        <f aca="false">BK4</f>
        <v>116000000</v>
      </c>
    </row>
    <row r="1383" customFormat="false" ht="12.8" hidden="false" customHeight="false" outlineLevel="0" collapsed="false">
      <c r="A1383" s="7" t="str">
        <f aca="false">_xlfn.CONCAT($A$977, ".", A5)</f>
        <v>FL.7.2</v>
      </c>
      <c r="B1383" s="7" t="str">
        <f aca="false">_xlfn.CONCAT(B5, ": ", C5)</f>
        <v>Agriculture: Support</v>
      </c>
      <c r="C1383" s="31" t="n">
        <f aca="false">BH5</f>
        <v>77500000</v>
      </c>
      <c r="D1383" s="31" t="n">
        <f aca="false">BI5</f>
        <v>19500000</v>
      </c>
      <c r="E1383" s="31" t="n">
        <f aca="false">BJ5</f>
        <v>0</v>
      </c>
      <c r="F1383" s="31" t="n">
        <f aca="false">BK5</f>
        <v>58000000</v>
      </c>
    </row>
    <row r="1384" customFormat="false" ht="12.8" hidden="false" customHeight="false" outlineLevel="0" collapsed="false">
      <c r="A1384" s="7" t="str">
        <f aca="false">_xlfn.CONCAT($A$977, ".", A6)</f>
        <v>FL.7.3</v>
      </c>
      <c r="B1384" s="7" t="str">
        <f aca="false">_xlfn.CONCAT(B6, ": ", C6)</f>
        <v>Construction: Worker</v>
      </c>
      <c r="C1384" s="31" t="n">
        <f aca="false">BH6</f>
        <v>1190000000</v>
      </c>
      <c r="D1384" s="31" t="n">
        <f aca="false">BI6</f>
        <v>304000000</v>
      </c>
      <c r="E1384" s="31" t="n">
        <f aca="false">BJ6</f>
        <v>0</v>
      </c>
      <c r="F1384" s="31" t="n">
        <f aca="false">BK6</f>
        <v>886000000</v>
      </c>
    </row>
    <row r="1385" customFormat="false" ht="12.8" hidden="false" customHeight="false" outlineLevel="0" collapsed="false">
      <c r="A1385" s="7" t="str">
        <f aca="false">_xlfn.CONCAT($A$977, ".", A7)</f>
        <v>FL.7.4</v>
      </c>
      <c r="B1385" s="7" t="str">
        <f aca="false">_xlfn.CONCAT(B7, ": ", C7)</f>
        <v>Construction: Support</v>
      </c>
      <c r="C1385" s="31" t="n">
        <f aca="false">BH7</f>
        <v>595000000</v>
      </c>
      <c r="D1385" s="31" t="n">
        <f aca="false">BI7</f>
        <v>152000000</v>
      </c>
      <c r="E1385" s="31" t="n">
        <f aca="false">BJ7</f>
        <v>0</v>
      </c>
      <c r="F1385" s="31" t="n">
        <f aca="false">BK7</f>
        <v>443000000</v>
      </c>
    </row>
    <row r="1386" customFormat="false" ht="12.8" hidden="false" customHeight="false" outlineLevel="0" collapsed="false">
      <c r="A1386" s="7" t="str">
        <f aca="false">_xlfn.CONCAT($A$977, ".", A8)</f>
        <v>FL.7.5</v>
      </c>
      <c r="B1386" s="7" t="str">
        <f aca="false">_xlfn.CONCAT(B8, ": ", C8)</f>
        <v>Hospitality: Worker</v>
      </c>
      <c r="C1386" s="31" t="n">
        <f aca="false">BH8</f>
        <v>2299000000</v>
      </c>
      <c r="D1386" s="31" t="n">
        <f aca="false">BI8</f>
        <v>586000000</v>
      </c>
      <c r="E1386" s="31" t="n">
        <f aca="false">BJ8</f>
        <v>0</v>
      </c>
      <c r="F1386" s="31" t="n">
        <f aca="false">BK8</f>
        <v>1714000000</v>
      </c>
    </row>
    <row r="1387" customFormat="false" ht="12.8" hidden="false" customHeight="false" outlineLevel="0" collapsed="false">
      <c r="A1387" s="7" t="str">
        <f aca="false">_xlfn.CONCAT($A$977, ".", A9)</f>
        <v>FL.7.6</v>
      </c>
      <c r="B1387" s="7" t="str">
        <f aca="false">_xlfn.CONCAT(B9, ": ", C9)</f>
        <v>Hospitality: Support</v>
      </c>
      <c r="C1387" s="31" t="n">
        <f aca="false">BH9</f>
        <v>1148000000</v>
      </c>
      <c r="D1387" s="31" t="n">
        <f aca="false">BI9</f>
        <v>292000000</v>
      </c>
      <c r="E1387" s="31" t="n">
        <f aca="false">BJ9</f>
        <v>0</v>
      </c>
      <c r="F1387" s="31" t="n">
        <f aca="false">BK9</f>
        <v>855000000</v>
      </c>
    </row>
    <row r="1388" customFormat="false" ht="12.8" hidden="false" customHeight="false" outlineLevel="0" collapsed="false">
      <c r="A1388" s="7" t="str">
        <f aca="false">_xlfn.CONCAT($A$977, ".", A10)</f>
        <v>FL.7.7</v>
      </c>
      <c r="B1388" s="7" t="str">
        <f aca="false">_xlfn.CONCAT(B10, ": ", C10)</f>
        <v>Cleaning &amp; Maintenance: Worker</v>
      </c>
      <c r="C1388" s="31" t="n">
        <f aca="false">BH10</f>
        <v>485000000</v>
      </c>
      <c r="D1388" s="31" t="n">
        <f aca="false">BI10</f>
        <v>123000000</v>
      </c>
      <c r="E1388" s="31" t="n">
        <f aca="false">BJ10</f>
        <v>0</v>
      </c>
      <c r="F1388" s="31" t="n">
        <f aca="false">BK10</f>
        <v>362000000</v>
      </c>
    </row>
    <row r="1389" customFormat="false" ht="12.8" hidden="false" customHeight="false" outlineLevel="0" collapsed="false">
      <c r="A1389" s="7" t="str">
        <f aca="false">_xlfn.CONCAT($A$977, ".", A11)</f>
        <v>FL.7.8</v>
      </c>
      <c r="B1389" s="7" t="str">
        <f aca="false">_xlfn.CONCAT(B11, ": ", C11)</f>
        <v>Cleaning &amp; Maintenance: Support</v>
      </c>
      <c r="C1389" s="31" t="n">
        <f aca="false">BH11</f>
        <v>242000000</v>
      </c>
      <c r="D1389" s="31" t="n">
        <f aca="false">BI11</f>
        <v>61500000</v>
      </c>
      <c r="E1389" s="31" t="n">
        <f aca="false">BJ11</f>
        <v>0</v>
      </c>
      <c r="F1389" s="31" t="n">
        <f aca="false">BK11</f>
        <v>180500000</v>
      </c>
    </row>
    <row r="1390" customFormat="false" ht="12.8" hidden="false" customHeight="false" outlineLevel="0" collapsed="false">
      <c r="A1390" s="7" t="str">
        <f aca="false">_xlfn.CONCAT($A$977, ".", A12)</f>
        <v>FL.7.9</v>
      </c>
      <c r="B1390" s="7" t="str">
        <f aca="false">_xlfn.CONCAT(B12, ": ", C12)</f>
        <v>Manufacturing: Worker</v>
      </c>
      <c r="C1390" s="31" t="n">
        <f aca="false">BH12</f>
        <v>739000000</v>
      </c>
      <c r="D1390" s="31" t="n">
        <f aca="false">BI12</f>
        <v>188000000</v>
      </c>
      <c r="E1390" s="31" t="n">
        <f aca="false">BJ12</f>
        <v>0</v>
      </c>
      <c r="F1390" s="31" t="n">
        <f aca="false">BK12</f>
        <v>550000000</v>
      </c>
    </row>
    <row r="1391" customFormat="false" ht="12.8" hidden="false" customHeight="false" outlineLevel="0" collapsed="false">
      <c r="A1391" s="7" t="str">
        <f aca="false">_xlfn.CONCAT($A$977, ".", A13)</f>
        <v>FL.7.10</v>
      </c>
      <c r="B1391" s="7" t="str">
        <f aca="false">_xlfn.CONCAT(B13, ": ", C13)</f>
        <v>Manufacturing: Support</v>
      </c>
      <c r="C1391" s="31" t="n">
        <f aca="false">BH13</f>
        <v>369000000</v>
      </c>
      <c r="D1391" s="31" t="n">
        <f aca="false">BI13</f>
        <v>94000000</v>
      </c>
      <c r="E1391" s="31" t="n">
        <f aca="false">BJ13</f>
        <v>0</v>
      </c>
      <c r="F1391" s="31" t="n">
        <f aca="false">BK13</f>
        <v>275000000</v>
      </c>
    </row>
    <row r="1392" customFormat="false" ht="12.8" hidden="false" customHeight="false" outlineLevel="0" collapsed="false">
      <c r="A1392" s="7" t="str">
        <f aca="false">_xlfn.CONCAT($A$977, ".", A14)</f>
        <v>FL.7.11</v>
      </c>
      <c r="B1392" s="7" t="str">
        <f aca="false">_xlfn.CONCAT(B14, ": ", C14)</f>
        <v>Transportation &amp; Warehousing: Worker</v>
      </c>
      <c r="C1392" s="31" t="n">
        <f aca="false">BH14</f>
        <v>723000000</v>
      </c>
      <c r="D1392" s="31" t="n">
        <f aca="false">BI14</f>
        <v>184000000</v>
      </c>
      <c r="E1392" s="31" t="n">
        <f aca="false">BJ14</f>
        <v>0</v>
      </c>
      <c r="F1392" s="31" t="n">
        <f aca="false">BK14</f>
        <v>539000000</v>
      </c>
    </row>
    <row r="1393" customFormat="false" ht="12.8" hidden="false" customHeight="false" outlineLevel="0" collapsed="false">
      <c r="A1393" s="7" t="str">
        <f aca="false">_xlfn.CONCAT($A$977, ".", A15)</f>
        <v>FL.7.12</v>
      </c>
      <c r="B1393" s="7" t="str">
        <f aca="false">_xlfn.CONCAT(B15, ": ", C15)</f>
        <v>Transportation &amp; Warehousing: Support</v>
      </c>
      <c r="C1393" s="31" t="n">
        <f aca="false">BH15</f>
        <v>361000000</v>
      </c>
      <c r="D1393" s="31" t="n">
        <f aca="false">BI15</f>
        <v>92000000</v>
      </c>
      <c r="E1393" s="31" t="n">
        <f aca="false">BJ15</f>
        <v>0</v>
      </c>
      <c r="F1393" s="31" t="n">
        <f aca="false">BK15</f>
        <v>269000000</v>
      </c>
    </row>
    <row r="1394" customFormat="false" ht="12.8" hidden="false" customHeight="false" outlineLevel="0" collapsed="false">
      <c r="A1394" s="7" t="str">
        <f aca="false">_xlfn.CONCAT($A$977, ".", A16)</f>
        <v>FL.7.13</v>
      </c>
      <c r="B1394" s="7" t="str">
        <f aca="false">_xlfn.CONCAT(B16, ": ", C16)</f>
        <v>Retail Trade: Worker</v>
      </c>
      <c r="C1394" s="31" t="n">
        <f aca="false">BH16</f>
        <v>2752000000</v>
      </c>
      <c r="D1394" s="31" t="n">
        <f aca="false">BI16</f>
        <v>701000000</v>
      </c>
      <c r="E1394" s="31" t="n">
        <f aca="false">BJ16</f>
        <v>0</v>
      </c>
      <c r="F1394" s="31" t="n">
        <f aca="false">BK16</f>
        <v>2051000000</v>
      </c>
    </row>
    <row r="1395" customFormat="false" ht="12.8" hidden="false" customHeight="false" outlineLevel="0" collapsed="false">
      <c r="A1395" s="7" t="str">
        <f aca="false">_xlfn.CONCAT($A$977, ".", A17)</f>
        <v>FL.7.14</v>
      </c>
      <c r="B1395" s="7" t="str">
        <f aca="false">_xlfn.CONCAT(B17, ": ", C17)</f>
        <v>Retail Trade: Support</v>
      </c>
      <c r="C1395" s="31" t="n">
        <f aca="false">BH17</f>
        <v>1374000000</v>
      </c>
      <c r="D1395" s="31" t="n">
        <f aca="false">BI17</f>
        <v>350000000</v>
      </c>
      <c r="E1395" s="31" t="n">
        <f aca="false">BJ17</f>
        <v>0</v>
      </c>
      <c r="F1395" s="31" t="n">
        <f aca="false">BK17</f>
        <v>1024000000</v>
      </c>
    </row>
    <row r="1396" customFormat="false" ht="12.8" hidden="false" customHeight="false" outlineLevel="0" collapsed="false">
      <c r="A1396" s="7" t="str">
        <f aca="false">_xlfn.CONCAT($A$977, ".", A18)</f>
        <v>FL.7.15</v>
      </c>
      <c r="B1396" s="7" t="str">
        <f aca="false">_xlfn.CONCAT(B18, ": ", C18)</f>
        <v>Landscaping / Groundskeeping: Worker</v>
      </c>
      <c r="C1396" s="31" t="n">
        <f aca="false">BH18</f>
        <v>275000000</v>
      </c>
      <c r="D1396" s="31" t="n">
        <f aca="false">BI18</f>
        <v>70000000</v>
      </c>
      <c r="E1396" s="31" t="n">
        <f aca="false">BJ18</f>
        <v>0</v>
      </c>
      <c r="F1396" s="31" t="n">
        <f aca="false">BK18</f>
        <v>205000000</v>
      </c>
    </row>
    <row r="1397" customFormat="false" ht="12.8" hidden="false" customHeight="false" outlineLevel="0" collapsed="false">
      <c r="A1397" s="7" t="str">
        <f aca="false">_xlfn.CONCAT($A$977, ".", A19)</f>
        <v>FL.7.16</v>
      </c>
      <c r="B1397" s="7" t="str">
        <f aca="false">_xlfn.CONCAT(B19, ": ", C19)</f>
        <v>Landscaping / Groundskeeping: Support</v>
      </c>
      <c r="C1397" s="31" t="n">
        <f aca="false">BH19</f>
        <v>137000000</v>
      </c>
      <c r="D1397" s="31" t="n">
        <f aca="false">BI19</f>
        <v>35000000</v>
      </c>
      <c r="E1397" s="31" t="n">
        <f aca="false">BJ19</f>
        <v>0</v>
      </c>
      <c r="F1397" s="31" t="n">
        <f aca="false">BK19</f>
        <v>102000000</v>
      </c>
    </row>
    <row r="1398" customFormat="false" ht="12.8" hidden="false" customHeight="false" outlineLevel="0" collapsed="false">
      <c r="A1398" s="7" t="str">
        <f aca="false">_xlfn.CONCAT($A$977, ".", A20)</f>
        <v>FL.7.17</v>
      </c>
      <c r="B1398" s="7" t="str">
        <f aca="false">_xlfn.CONCAT(B20, ": ", C20)</f>
        <v>Automotive &amp; Repair: Worker</v>
      </c>
      <c r="C1398" s="31" t="n">
        <f aca="false">BH20</f>
        <v>147000000</v>
      </c>
      <c r="D1398" s="31" t="n">
        <f aca="false">BI20</f>
        <v>37000000</v>
      </c>
      <c r="E1398" s="31" t="n">
        <f aca="false">BJ20</f>
        <v>0</v>
      </c>
      <c r="F1398" s="31" t="n">
        <f aca="false">BK20</f>
        <v>110000000</v>
      </c>
    </row>
    <row r="1399" customFormat="false" ht="12.8" hidden="false" customHeight="false" outlineLevel="0" collapsed="false">
      <c r="A1399" s="7" t="str">
        <f aca="false">_xlfn.CONCAT($A$977, ".", A21)</f>
        <v>FL.7.18</v>
      </c>
      <c r="B1399" s="7" t="str">
        <f aca="false">_xlfn.CONCAT(B21, ": ", C21)</f>
        <v>Automotive &amp; Repair: Support</v>
      </c>
      <c r="C1399" s="31" t="n">
        <f aca="false">BH21</f>
        <v>73000000</v>
      </c>
      <c r="D1399" s="31" t="n">
        <f aca="false">BI21</f>
        <v>19000000</v>
      </c>
      <c r="E1399" s="31" t="n">
        <f aca="false">BJ21</f>
        <v>0</v>
      </c>
      <c r="F1399" s="31" t="n">
        <f aca="false">BK21</f>
        <v>55000000</v>
      </c>
    </row>
    <row r="1400" customFormat="false" ht="12.8" hidden="false" customHeight="false" outlineLevel="0" collapsed="false">
      <c r="A1400" s="7" t="str">
        <f aca="false">_xlfn.CONCAT($A$977, ".", A22)</f>
        <v>FL.7.19</v>
      </c>
      <c r="B1400" s="7" t="str">
        <f aca="false">_xlfn.CONCAT(B22, ": ", C22)</f>
        <v>Healthcare &amp; Social Assistance: Worker</v>
      </c>
      <c r="C1400" s="31" t="n">
        <f aca="false">BH22</f>
        <v>2035000000</v>
      </c>
      <c r="D1400" s="31" t="n">
        <f aca="false">BI22</f>
        <v>518000000</v>
      </c>
      <c r="E1400" s="31" t="n">
        <f aca="false">BJ22</f>
        <v>0</v>
      </c>
      <c r="F1400" s="31" t="n">
        <f aca="false">BK22</f>
        <v>1517000000</v>
      </c>
    </row>
    <row r="1401" customFormat="false" ht="12.8" hidden="false" customHeight="false" outlineLevel="0" collapsed="false">
      <c r="A1401" s="7" t="str">
        <f aca="false">_xlfn.CONCAT($A$977, ".", A23)</f>
        <v>FL.7.20</v>
      </c>
      <c r="B1401" s="7" t="str">
        <f aca="false">_xlfn.CONCAT(B23, ": ", C23)</f>
        <v>Healthcare &amp; Social Assistance: Support</v>
      </c>
      <c r="C1401" s="31" t="n">
        <f aca="false">BH23</f>
        <v>1016000000</v>
      </c>
      <c r="D1401" s="31" t="n">
        <f aca="false">BI23</f>
        <v>259000000</v>
      </c>
      <c r="E1401" s="31" t="n">
        <f aca="false">BJ23</f>
        <v>0</v>
      </c>
      <c r="F1401" s="31" t="n">
        <f aca="false">BK23</f>
        <v>757000000</v>
      </c>
    </row>
    <row r="1402" customFormat="false" ht="12.8" hidden="false" customHeight="false" outlineLevel="0" collapsed="false">
      <c r="A1402" s="7" t="str">
        <f aca="false">_xlfn.CONCAT($A$977, ".", A24)</f>
        <v>FL.7.21</v>
      </c>
      <c r="B1402" s="7" t="str">
        <f aca="false">_xlfn.CONCAT(B24, ": ", C24)</f>
        <v>Professional Services: Worker</v>
      </c>
      <c r="C1402" s="31" t="n">
        <f aca="false">BH24</f>
        <v>2799000000</v>
      </c>
      <c r="D1402" s="31" t="n">
        <f aca="false">BI24</f>
        <v>713000000</v>
      </c>
      <c r="E1402" s="31" t="n">
        <f aca="false">BJ24</f>
        <v>0</v>
      </c>
      <c r="F1402" s="31" t="n">
        <f aca="false">BK24</f>
        <v>2086000000</v>
      </c>
    </row>
    <row r="1403" customFormat="false" ht="12.8" hidden="false" customHeight="false" outlineLevel="0" collapsed="false">
      <c r="A1403" s="7" t="str">
        <f aca="false">_xlfn.CONCAT($A$977, ".", A25)</f>
        <v>FL.7.22</v>
      </c>
      <c r="B1403" s="7" t="str">
        <f aca="false">_xlfn.CONCAT(B25, ": ", C25)</f>
        <v>Professional Services: Support</v>
      </c>
      <c r="C1403" s="31" t="n">
        <f aca="false">BH25</f>
        <v>1397000000</v>
      </c>
      <c r="D1403" s="31" t="n">
        <f aca="false">BI25</f>
        <v>356000000</v>
      </c>
      <c r="E1403" s="31" t="n">
        <f aca="false">BJ25</f>
        <v>0</v>
      </c>
      <c r="F1403" s="31" t="n">
        <f aca="false">BK25</f>
        <v>1041000000</v>
      </c>
    </row>
    <row r="1404" customFormat="false" ht="12.8" hidden="false" customHeight="false" outlineLevel="0" collapsed="false">
      <c r="A1404" s="7" t="str">
        <f aca="false">_xlfn.CONCAT($A$977, ".", A26)</f>
        <v>FL.7.23</v>
      </c>
      <c r="B1404" s="7" t="str">
        <f aca="false">_xlfn.CONCAT(B26, ": ", C26)</f>
        <v>Educational Services: Worker</v>
      </c>
      <c r="C1404" s="31" t="n">
        <f aca="false">BH26</f>
        <v>746000000</v>
      </c>
      <c r="D1404" s="31" t="n">
        <f aca="false">BI26</f>
        <v>190000000</v>
      </c>
      <c r="E1404" s="31" t="n">
        <f aca="false">BJ26</f>
        <v>0</v>
      </c>
      <c r="F1404" s="31" t="n">
        <f aca="false">BK26</f>
        <v>556000000</v>
      </c>
    </row>
    <row r="1405" customFormat="false" ht="12.8" hidden="false" customHeight="false" outlineLevel="0" collapsed="false">
      <c r="A1405" s="7" t="str">
        <f aca="false">_xlfn.CONCAT($A$977, ".", A27)</f>
        <v>FL.7.24</v>
      </c>
      <c r="B1405" s="7" t="str">
        <f aca="false">_xlfn.CONCAT(B27, ": ", C27)</f>
        <v>Educational Services: Support</v>
      </c>
      <c r="C1405" s="31" t="n">
        <f aca="false">BH27</f>
        <v>372000000</v>
      </c>
      <c r="D1405" s="31" t="n">
        <f aca="false">BI27</f>
        <v>95000000</v>
      </c>
      <c r="E1405" s="31" t="n">
        <f aca="false">BJ27</f>
        <v>0</v>
      </c>
      <c r="F1405" s="31" t="n">
        <f aca="false">BK27</f>
        <v>278000000</v>
      </c>
    </row>
    <row r="1406" customFormat="false" ht="12.8" hidden="false" customHeight="false" outlineLevel="0" collapsed="false">
      <c r="A1406" s="7" t="str">
        <f aca="false">_xlfn.CONCAT($A$977, ".", A28)</f>
        <v>FL.7.25</v>
      </c>
      <c r="B1406" s="7" t="str">
        <f aca="false">_xlfn.CONCAT(B28, ": ", C28)</f>
        <v>Finance &amp; Insurance: Worker</v>
      </c>
      <c r="C1406" s="31" t="n">
        <f aca="false">BH28</f>
        <v>1191000000</v>
      </c>
      <c r="D1406" s="31" t="n">
        <f aca="false">BI28</f>
        <v>303000000</v>
      </c>
      <c r="E1406" s="31" t="n">
        <f aca="false">BJ28</f>
        <v>0</v>
      </c>
      <c r="F1406" s="31" t="n">
        <f aca="false">BK28</f>
        <v>888000000</v>
      </c>
    </row>
    <row r="1407" customFormat="false" ht="12.8" hidden="false" customHeight="false" outlineLevel="0" collapsed="false">
      <c r="A1407" s="7" t="str">
        <f aca="false">_xlfn.CONCAT($A$977, ".", A29)</f>
        <v>FL.7.26</v>
      </c>
      <c r="B1407" s="7" t="str">
        <f aca="false">_xlfn.CONCAT(B29, ": ", C29)</f>
        <v>Finance &amp; Insurance: Support</v>
      </c>
      <c r="C1407" s="31" t="n">
        <f aca="false">BH29</f>
        <v>595000000</v>
      </c>
      <c r="D1407" s="31" t="n">
        <f aca="false">BI29</f>
        <v>151000000</v>
      </c>
      <c r="E1407" s="31" t="n">
        <f aca="false">BJ29</f>
        <v>0</v>
      </c>
      <c r="F1407" s="31" t="n">
        <f aca="false">BK29</f>
        <v>443000000</v>
      </c>
    </row>
    <row r="1408" customFormat="false" ht="12.8" hidden="false" customHeight="false" outlineLevel="0" collapsed="false">
      <c r="A1408" s="7" t="str">
        <f aca="false">_xlfn.CONCAT($A$977, ".", A30)</f>
        <v>FL.7.27</v>
      </c>
      <c r="B1408" s="7" t="str">
        <f aca="false">_xlfn.CONCAT(B30, ": ", C30)</f>
        <v>Media and Information Technology: Worker</v>
      </c>
      <c r="C1408" s="31" t="n">
        <f aca="false">BH30</f>
        <v>275000000</v>
      </c>
      <c r="D1408" s="31" t="n">
        <f aca="false">BI30</f>
        <v>70000000</v>
      </c>
      <c r="E1408" s="31" t="n">
        <f aca="false">BJ30</f>
        <v>0</v>
      </c>
      <c r="F1408" s="31" t="n">
        <f aca="false">BK30</f>
        <v>205000000</v>
      </c>
    </row>
    <row r="1409" customFormat="false" ht="12.8" hidden="false" customHeight="false" outlineLevel="0" collapsed="false">
      <c r="A1409" s="7" t="str">
        <f aca="false">_xlfn.CONCAT($A$977, ".", A31)</f>
        <v>FL.7.28</v>
      </c>
      <c r="B1409" s="7" t="str">
        <f aca="false">_xlfn.CONCAT(B31, ": ", C31)</f>
        <v>Media and Information Technology: Support</v>
      </c>
      <c r="C1409" s="31" t="n">
        <f aca="false">BH31</f>
        <v>137000000</v>
      </c>
      <c r="D1409" s="31" t="n">
        <f aca="false">BI31</f>
        <v>35000000</v>
      </c>
      <c r="E1409" s="31" t="n">
        <f aca="false">BJ31</f>
        <v>0</v>
      </c>
      <c r="F1409" s="31" t="n">
        <f aca="false">BK31</f>
        <v>102000000</v>
      </c>
    </row>
    <row r="1410" customFormat="false" ht="12.8" hidden="false" customHeight="false" outlineLevel="0" collapsed="false">
      <c r="A1410" s="7" t="str">
        <f aca="false">_xlfn.CONCAT($A$977, ".", A32)</f>
        <v>FL.7.29</v>
      </c>
      <c r="B1410" s="7" t="str">
        <f aca="false">_xlfn.CONCAT(B32, ": ", C32)</f>
        <v>Government: Worker</v>
      </c>
      <c r="C1410" s="31" t="n">
        <f aca="false">BH32</f>
        <v>1060000000</v>
      </c>
      <c r="D1410" s="31" t="n">
        <f aca="false">BI32</f>
        <v>270000000</v>
      </c>
      <c r="E1410" s="31" t="n">
        <f aca="false">BJ32</f>
        <v>0</v>
      </c>
      <c r="F1410" s="31" t="n">
        <f aca="false">BK32</f>
        <v>790000000</v>
      </c>
    </row>
    <row r="1411" customFormat="false" ht="12.8" hidden="false" customHeight="false" outlineLevel="0" collapsed="false">
      <c r="A1411" s="7" t="str">
        <f aca="false">_xlfn.CONCAT($A$977, ".", A33)</f>
        <v>FL.7.30</v>
      </c>
      <c r="B1411" s="7" t="str">
        <f aca="false">_xlfn.CONCAT(B33, ": ", C33)</f>
        <v>Government: Support</v>
      </c>
      <c r="C1411" s="31" t="n">
        <f aca="false">BH33</f>
        <v>530000000</v>
      </c>
      <c r="D1411" s="31" t="n">
        <f aca="false">BI33</f>
        <v>135000000</v>
      </c>
      <c r="E1411" s="31" t="n">
        <f aca="false">BJ33</f>
        <v>0</v>
      </c>
      <c r="F1411" s="31" t="n">
        <f aca="false">BK33</f>
        <v>395000000</v>
      </c>
    </row>
    <row r="1412" customFormat="false" ht="12.8" hidden="false" customHeight="false" outlineLevel="0" collapsed="false">
      <c r="A1412" s="7" t="str">
        <f aca="false">_xlfn.CONCAT($A$977, ".", A34)</f>
        <v>FL.7.31</v>
      </c>
      <c r="B1412" s="7" t="str">
        <f aca="false">_xlfn.CONCAT(B34, ": ", C34)</f>
        <v>Self-Employed / Non-Employer: Worker</v>
      </c>
      <c r="C1412" s="31" t="n">
        <f aca="false">BH34</f>
        <v>7800000000</v>
      </c>
      <c r="D1412" s="31" t="n">
        <f aca="false">BI34</f>
        <v>1950000000</v>
      </c>
      <c r="E1412" s="31" t="n">
        <f aca="false">BJ34</f>
        <v>0</v>
      </c>
      <c r="F1412" s="31" t="n">
        <f aca="false">BK34</f>
        <v>5850000000</v>
      </c>
    </row>
    <row r="1413" customFormat="false" ht="12.8" hidden="false" customHeight="false" outlineLevel="0" collapsed="false">
      <c r="A1413" s="7" t="str">
        <f aca="false">_xlfn.CONCAT($A$977, ".", A35)</f>
        <v>FL.7.32</v>
      </c>
      <c r="B1413" s="7" t="str">
        <f aca="false">_xlfn.CONCAT(B35, ": ", C35)</f>
        <v>Self-Employed / Non-Employer: Support</v>
      </c>
      <c r="C1413" s="31" t="n">
        <f aca="false">BH35</f>
        <v>865000000</v>
      </c>
      <c r="D1413" s="31" t="n">
        <f aca="false">BI35</f>
        <v>216000000</v>
      </c>
      <c r="E1413" s="31" t="n">
        <f aca="false">BJ35</f>
        <v>0</v>
      </c>
      <c r="F1413" s="31" t="n">
        <f aca="false">BK35</f>
        <v>649000000</v>
      </c>
    </row>
    <row r="1414" customFormat="false" ht="12.8" hidden="false" customHeight="false" outlineLevel="0" collapsed="false">
      <c r="A1414" s="7" t="str">
        <f aca="false">_xlfn.CONCAT($A$977, ".", A36)</f>
        <v>FL.7.33</v>
      </c>
      <c r="B1414" s="7" t="str">
        <f aca="false">_xlfn.CONCAT(B36, ": ", C36)</f>
        <v>Other Services: Worker</v>
      </c>
      <c r="C1414" s="31" t="n">
        <f aca="false">BH36</f>
        <v>663000000</v>
      </c>
      <c r="D1414" s="31" t="n">
        <f aca="false">BI36</f>
        <v>169000000</v>
      </c>
      <c r="E1414" s="31" t="n">
        <f aca="false">BJ36</f>
        <v>0</v>
      </c>
      <c r="F1414" s="31" t="n">
        <f aca="false">BK36</f>
        <v>494000000</v>
      </c>
    </row>
    <row r="1415" customFormat="false" ht="12.8" hidden="false" customHeight="false" outlineLevel="0" collapsed="false">
      <c r="A1415" s="7" t="str">
        <f aca="false">_xlfn.CONCAT($A$977, ".", A37)</f>
        <v>FL.7.34</v>
      </c>
      <c r="B1415" s="7" t="str">
        <f aca="false">_xlfn.CONCAT(B37, ": ", C37)</f>
        <v>Other Services: Support</v>
      </c>
      <c r="C1415" s="31" t="n">
        <f aca="false">BH37</f>
        <v>331000000</v>
      </c>
      <c r="D1415" s="31" t="n">
        <f aca="false">BI37</f>
        <v>84000000</v>
      </c>
      <c r="E1415" s="31" t="n">
        <f aca="false">BJ37</f>
        <v>0</v>
      </c>
      <c r="F1415" s="31" t="n">
        <f aca="false">BK37</f>
        <v>247000000</v>
      </c>
    </row>
    <row r="1512" customFormat="false" ht="12.8" hidden="false" customHeight="false" outlineLevel="0" collapsed="false">
      <c r="A1512" s="5" t="s">
        <v>186</v>
      </c>
      <c r="B1512" s="24" t="s">
        <v>175</v>
      </c>
      <c r="C1512" s="7" t="s">
        <v>161</v>
      </c>
    </row>
    <row r="1513" customFormat="false" ht="35.05" hidden="false" customHeight="false" outlineLevel="0" collapsed="false">
      <c r="A1513" s="5" t="s">
        <v>26</v>
      </c>
      <c r="B1513" s="5" t="str">
        <f aca="false">_xlfn.CONCAT(B2, ": ", C2)</f>
        <v>Industry: Role</v>
      </c>
      <c r="C1513" s="31" t="str">
        <f aca="false">BL2</f>
        <v>AOTC Credit Refund</v>
      </c>
      <c r="D1513" s="31" t="str">
        <f aca="false">BM2</f>
        <v>Authorized Immigrant AOTC Credit Refund</v>
      </c>
      <c r="E1513" s="31" t="str">
        <f aca="false">BN2</f>
        <v>Unauthorized Immigrant AOTC Credit Refund</v>
      </c>
      <c r="F1513" s="31" t="str">
        <f aca="false">BO2</f>
        <v>American Effective Tax AOTC Credit Refund</v>
      </c>
    </row>
    <row r="1514" customFormat="false" ht="12.8" hidden="false" customHeight="false" outlineLevel="0" collapsed="false">
      <c r="A1514" s="7" t="str">
        <f aca="false">_xlfn.CONCAT($A$977, ".", A3)</f>
        <v>FL.7.0</v>
      </c>
      <c r="B1514" s="7" t="str">
        <f aca="false">_xlfn.CONCAT(B3, ": ", C3)</f>
        <v>All Industries: All Roles</v>
      </c>
      <c r="C1514" s="31" t="n">
        <f aca="false">BL3</f>
        <v>6080000000</v>
      </c>
      <c r="D1514" s="31" t="n">
        <f aca="false">BM3</f>
        <v>1300000000</v>
      </c>
      <c r="E1514" s="31" t="n">
        <f aca="false">BN3</f>
        <v>0</v>
      </c>
      <c r="F1514" s="31" t="n">
        <f aca="false">BO3</f>
        <v>4780000000</v>
      </c>
    </row>
    <row r="1515" customFormat="false" ht="12.8" hidden="false" customHeight="false" outlineLevel="0" collapsed="false">
      <c r="A1515" s="7" t="str">
        <f aca="false">_xlfn.CONCAT($A$977, ".", A4)</f>
        <v>FL.7.1</v>
      </c>
      <c r="B1515" s="7" t="str">
        <f aca="false">_xlfn.CONCAT(B4, ": ", C4)</f>
        <v>Agriculture: Worker</v>
      </c>
      <c r="C1515" s="31" t="n">
        <f aca="false">BL4</f>
        <v>12000000</v>
      </c>
      <c r="D1515" s="31" t="n">
        <f aca="false">BM4</f>
        <v>2200000</v>
      </c>
      <c r="E1515" s="31" t="n">
        <f aca="false">BN4</f>
        <v>0</v>
      </c>
      <c r="F1515" s="31" t="n">
        <f aca="false">BO4</f>
        <v>9800000</v>
      </c>
    </row>
    <row r="1516" customFormat="false" ht="12.8" hidden="false" customHeight="false" outlineLevel="0" collapsed="false">
      <c r="A1516" s="7" t="str">
        <f aca="false">_xlfn.CONCAT($A$977, ".", A5)</f>
        <v>FL.7.2</v>
      </c>
      <c r="B1516" s="7" t="str">
        <f aca="false">_xlfn.CONCAT(B5, ": ", C5)</f>
        <v>Agriculture: Support</v>
      </c>
      <c r="C1516" s="31" t="n">
        <f aca="false">BL5</f>
        <v>6000000</v>
      </c>
      <c r="D1516" s="31" t="n">
        <f aca="false">BM5</f>
        <v>1100000</v>
      </c>
      <c r="E1516" s="31" t="n">
        <f aca="false">BN5</f>
        <v>0</v>
      </c>
      <c r="F1516" s="31" t="n">
        <f aca="false">BO5</f>
        <v>4900000</v>
      </c>
    </row>
    <row r="1517" customFormat="false" ht="12.8" hidden="false" customHeight="false" outlineLevel="0" collapsed="false">
      <c r="A1517" s="7" t="str">
        <f aca="false">_xlfn.CONCAT($A$977, ".", A6)</f>
        <v>FL.7.3</v>
      </c>
      <c r="B1517" s="7" t="str">
        <f aca="false">_xlfn.CONCAT(B6, ": ", C6)</f>
        <v>Construction: Worker</v>
      </c>
      <c r="C1517" s="31" t="n">
        <f aca="false">BL6</f>
        <v>114000000</v>
      </c>
      <c r="D1517" s="31" t="n">
        <f aca="false">BM6</f>
        <v>24000000</v>
      </c>
      <c r="E1517" s="31" t="n">
        <f aca="false">BN6</f>
        <v>0</v>
      </c>
      <c r="F1517" s="31" t="n">
        <f aca="false">BO6</f>
        <v>90000000</v>
      </c>
    </row>
    <row r="1518" customFormat="false" ht="12.8" hidden="false" customHeight="false" outlineLevel="0" collapsed="false">
      <c r="A1518" s="7" t="str">
        <f aca="false">_xlfn.CONCAT($A$977, ".", A7)</f>
        <v>FL.7.4</v>
      </c>
      <c r="B1518" s="7" t="str">
        <f aca="false">_xlfn.CONCAT(B7, ": ", C7)</f>
        <v>Construction: Support</v>
      </c>
      <c r="C1518" s="31" t="n">
        <f aca="false">BL7</f>
        <v>57000000</v>
      </c>
      <c r="D1518" s="31" t="n">
        <f aca="false">BM7</f>
        <v>12000000</v>
      </c>
      <c r="E1518" s="31" t="n">
        <f aca="false">BN7</f>
        <v>0</v>
      </c>
      <c r="F1518" s="31" t="n">
        <f aca="false">BO7</f>
        <v>45000000</v>
      </c>
    </row>
    <row r="1519" customFormat="false" ht="12.8" hidden="false" customHeight="false" outlineLevel="0" collapsed="false">
      <c r="A1519" s="7" t="str">
        <f aca="false">_xlfn.CONCAT($A$977, ".", A8)</f>
        <v>FL.7.5</v>
      </c>
      <c r="B1519" s="7" t="str">
        <f aca="false">_xlfn.CONCAT(B8, ": ", C8)</f>
        <v>Hospitality: Worker</v>
      </c>
      <c r="C1519" s="31" t="n">
        <f aca="false">BL8</f>
        <v>319000000</v>
      </c>
      <c r="D1519" s="31" t="n">
        <f aca="false">BM8</f>
        <v>68000000</v>
      </c>
      <c r="E1519" s="31" t="n">
        <f aca="false">BN8</f>
        <v>0</v>
      </c>
      <c r="F1519" s="31" t="n">
        <f aca="false">BO8</f>
        <v>251000000</v>
      </c>
    </row>
    <row r="1520" customFormat="false" ht="12.8" hidden="false" customHeight="false" outlineLevel="0" collapsed="false">
      <c r="A1520" s="7" t="str">
        <f aca="false">_xlfn.CONCAT($A$977, ".", A9)</f>
        <v>FL.7.6</v>
      </c>
      <c r="B1520" s="7" t="str">
        <f aca="false">_xlfn.CONCAT(B9, ": ", C9)</f>
        <v>Hospitality: Support</v>
      </c>
      <c r="C1520" s="31" t="n">
        <f aca="false">BL9</f>
        <v>159000000</v>
      </c>
      <c r="D1520" s="31" t="n">
        <f aca="false">BM9</f>
        <v>34000000</v>
      </c>
      <c r="E1520" s="31" t="n">
        <f aca="false">BN9</f>
        <v>0</v>
      </c>
      <c r="F1520" s="31" t="n">
        <f aca="false">BO9</f>
        <v>125000000</v>
      </c>
    </row>
    <row r="1521" customFormat="false" ht="12.8" hidden="false" customHeight="false" outlineLevel="0" collapsed="false">
      <c r="A1521" s="7" t="str">
        <f aca="false">_xlfn.CONCAT($A$977, ".", A10)</f>
        <v>FL.7.7</v>
      </c>
      <c r="B1521" s="7" t="str">
        <f aca="false">_xlfn.CONCAT(B10, ": ", C10)</f>
        <v>Cleaning &amp; Maintenance: Worker</v>
      </c>
      <c r="C1521" s="31" t="n">
        <f aca="false">BL10</f>
        <v>46000000</v>
      </c>
      <c r="D1521" s="31" t="n">
        <f aca="false">BM10</f>
        <v>9500000</v>
      </c>
      <c r="E1521" s="31" t="n">
        <f aca="false">BN10</f>
        <v>0</v>
      </c>
      <c r="F1521" s="31" t="n">
        <f aca="false">BO10</f>
        <v>36500000</v>
      </c>
    </row>
    <row r="1522" customFormat="false" ht="12.8" hidden="false" customHeight="false" outlineLevel="0" collapsed="false">
      <c r="A1522" s="7" t="str">
        <f aca="false">_xlfn.CONCAT($A$977, ".", A11)</f>
        <v>FL.7.8</v>
      </c>
      <c r="B1522" s="7" t="str">
        <f aca="false">_xlfn.CONCAT(B11, ": ", C11)</f>
        <v>Cleaning &amp; Maintenance: Support</v>
      </c>
      <c r="C1522" s="31" t="n">
        <f aca="false">BL11</f>
        <v>23000000</v>
      </c>
      <c r="D1522" s="31" t="n">
        <f aca="false">BM11</f>
        <v>4750000</v>
      </c>
      <c r="E1522" s="31" t="n">
        <f aca="false">BN11</f>
        <v>0</v>
      </c>
      <c r="F1522" s="31" t="n">
        <f aca="false">BO11</f>
        <v>18250000</v>
      </c>
    </row>
    <row r="1523" customFormat="false" ht="12.8" hidden="false" customHeight="false" outlineLevel="0" collapsed="false">
      <c r="A1523" s="7" t="str">
        <f aca="false">_xlfn.CONCAT($A$977, ".", A12)</f>
        <v>FL.7.9</v>
      </c>
      <c r="B1523" s="7" t="str">
        <f aca="false">_xlfn.CONCAT(B12, ": ", C12)</f>
        <v>Manufacturing: Worker</v>
      </c>
      <c r="C1523" s="31" t="n">
        <f aca="false">BL12</f>
        <v>87000000</v>
      </c>
      <c r="D1523" s="31" t="n">
        <f aca="false">BM12</f>
        <v>19000000</v>
      </c>
      <c r="E1523" s="31" t="n">
        <f aca="false">BN12</f>
        <v>0</v>
      </c>
      <c r="F1523" s="31" t="n">
        <f aca="false">BO12</f>
        <v>68000000</v>
      </c>
    </row>
    <row r="1524" customFormat="false" ht="12.8" hidden="false" customHeight="false" outlineLevel="0" collapsed="false">
      <c r="A1524" s="7" t="str">
        <f aca="false">_xlfn.CONCAT($A$977, ".", A13)</f>
        <v>FL.7.10</v>
      </c>
      <c r="B1524" s="7" t="str">
        <f aca="false">_xlfn.CONCAT(B13, ": ", C13)</f>
        <v>Manufacturing: Support</v>
      </c>
      <c r="C1524" s="31" t="n">
        <f aca="false">BL13</f>
        <v>43000000</v>
      </c>
      <c r="D1524" s="31" t="n">
        <f aca="false">BM13</f>
        <v>9000000</v>
      </c>
      <c r="E1524" s="31" t="n">
        <f aca="false">BN13</f>
        <v>0</v>
      </c>
      <c r="F1524" s="31" t="n">
        <f aca="false">BO13</f>
        <v>34000000</v>
      </c>
    </row>
    <row r="1525" customFormat="false" ht="12.8" hidden="false" customHeight="false" outlineLevel="0" collapsed="false">
      <c r="A1525" s="7" t="str">
        <f aca="false">_xlfn.CONCAT($A$977, ".", A14)</f>
        <v>FL.7.11</v>
      </c>
      <c r="B1525" s="7" t="str">
        <f aca="false">_xlfn.CONCAT(B14, ": ", C14)</f>
        <v>Transportation &amp; Warehousing: Worker</v>
      </c>
      <c r="C1525" s="31" t="n">
        <f aca="false">BL14</f>
        <v>85000000</v>
      </c>
      <c r="D1525" s="31" t="n">
        <f aca="false">BM14</f>
        <v>18000000</v>
      </c>
      <c r="E1525" s="31" t="n">
        <f aca="false">BN14</f>
        <v>0</v>
      </c>
      <c r="F1525" s="31" t="n">
        <f aca="false">BO14</f>
        <v>67000000</v>
      </c>
    </row>
    <row r="1526" customFormat="false" ht="12.8" hidden="false" customHeight="false" outlineLevel="0" collapsed="false">
      <c r="A1526" s="7" t="str">
        <f aca="false">_xlfn.CONCAT($A$977, ".", A15)</f>
        <v>FL.7.12</v>
      </c>
      <c r="B1526" s="7" t="str">
        <f aca="false">_xlfn.CONCAT(B15, ": ", C15)</f>
        <v>Transportation &amp; Warehousing: Support</v>
      </c>
      <c r="C1526" s="31" t="n">
        <f aca="false">BL15</f>
        <v>42000000</v>
      </c>
      <c r="D1526" s="31" t="n">
        <f aca="false">BM15</f>
        <v>9000000</v>
      </c>
      <c r="E1526" s="31" t="n">
        <f aca="false">BN15</f>
        <v>0</v>
      </c>
      <c r="F1526" s="31" t="n">
        <f aca="false">BO15</f>
        <v>33000000</v>
      </c>
    </row>
    <row r="1527" customFormat="false" ht="12.8" hidden="false" customHeight="false" outlineLevel="0" collapsed="false">
      <c r="A1527" s="7" t="str">
        <f aca="false">_xlfn.CONCAT($A$977, ".", A16)</f>
        <v>FL.7.13</v>
      </c>
      <c r="B1527" s="7" t="str">
        <f aca="false">_xlfn.CONCAT(B16, ": ", C16)</f>
        <v>Retail Trade: Worker</v>
      </c>
      <c r="C1527" s="31" t="n">
        <f aca="false">BL16</f>
        <v>382000000</v>
      </c>
      <c r="D1527" s="31" t="n">
        <f aca="false">BM16</f>
        <v>82000000</v>
      </c>
      <c r="E1527" s="31" t="n">
        <f aca="false">BN16</f>
        <v>0</v>
      </c>
      <c r="F1527" s="31" t="n">
        <f aca="false">BO16</f>
        <v>300000000</v>
      </c>
    </row>
    <row r="1528" customFormat="false" ht="12.8" hidden="false" customHeight="false" outlineLevel="0" collapsed="false">
      <c r="A1528" s="7" t="str">
        <f aca="false">_xlfn.CONCAT($A$977, ".", A17)</f>
        <v>FL.7.14</v>
      </c>
      <c r="B1528" s="7" t="str">
        <f aca="false">_xlfn.CONCAT(B17, ": ", C17)</f>
        <v>Retail Trade: Support</v>
      </c>
      <c r="C1528" s="31" t="n">
        <f aca="false">BL17</f>
        <v>191000000</v>
      </c>
      <c r="D1528" s="31" t="n">
        <f aca="false">BM17</f>
        <v>41000000</v>
      </c>
      <c r="E1528" s="31" t="n">
        <f aca="false">BN17</f>
        <v>0</v>
      </c>
      <c r="F1528" s="31" t="n">
        <f aca="false">BO17</f>
        <v>150000000</v>
      </c>
    </row>
    <row r="1529" customFormat="false" ht="12.8" hidden="false" customHeight="false" outlineLevel="0" collapsed="false">
      <c r="A1529" s="7" t="str">
        <f aca="false">_xlfn.CONCAT($A$977, ".", A18)</f>
        <v>FL.7.15</v>
      </c>
      <c r="B1529" s="7" t="str">
        <f aca="false">_xlfn.CONCAT(B18, ": ", C18)</f>
        <v>Landscaping / Groundskeeping: Worker</v>
      </c>
      <c r="C1529" s="31" t="n">
        <f aca="false">BL18</f>
        <v>26000000</v>
      </c>
      <c r="D1529" s="31" t="n">
        <f aca="false">BM18</f>
        <v>6000000</v>
      </c>
      <c r="E1529" s="31" t="n">
        <f aca="false">BN18</f>
        <v>0</v>
      </c>
      <c r="F1529" s="31" t="n">
        <f aca="false">BO18</f>
        <v>21000000</v>
      </c>
    </row>
    <row r="1530" customFormat="false" ht="12.8" hidden="false" customHeight="false" outlineLevel="0" collapsed="false">
      <c r="A1530" s="7" t="str">
        <f aca="false">_xlfn.CONCAT($A$977, ".", A19)</f>
        <v>FL.7.16</v>
      </c>
      <c r="B1530" s="7" t="str">
        <f aca="false">_xlfn.CONCAT(B19, ": ", C19)</f>
        <v>Landscaping / Groundskeeping: Support</v>
      </c>
      <c r="C1530" s="31" t="n">
        <f aca="false">BL19</f>
        <v>13000000</v>
      </c>
      <c r="D1530" s="31" t="n">
        <f aca="false">BM19</f>
        <v>3000000</v>
      </c>
      <c r="E1530" s="31" t="n">
        <f aca="false">BN19</f>
        <v>0</v>
      </c>
      <c r="F1530" s="31" t="n">
        <f aca="false">BO19</f>
        <v>10000000</v>
      </c>
    </row>
    <row r="1531" customFormat="false" ht="12.8" hidden="false" customHeight="false" outlineLevel="0" collapsed="false">
      <c r="A1531" s="7" t="str">
        <f aca="false">_xlfn.CONCAT($A$977, ".", A20)</f>
        <v>FL.7.17</v>
      </c>
      <c r="B1531" s="7" t="str">
        <f aca="false">_xlfn.CONCAT(B20, ": ", C20)</f>
        <v>Automotive &amp; Repair: Worker</v>
      </c>
      <c r="C1531" s="31" t="n">
        <f aca="false">BL20</f>
        <v>17000000</v>
      </c>
      <c r="D1531" s="31" t="n">
        <f aca="false">BM20</f>
        <v>4000000</v>
      </c>
      <c r="E1531" s="31" t="n">
        <f aca="false">BN20</f>
        <v>0</v>
      </c>
      <c r="F1531" s="31" t="n">
        <f aca="false">BO20</f>
        <v>14000000</v>
      </c>
    </row>
    <row r="1532" customFormat="false" ht="12.8" hidden="false" customHeight="false" outlineLevel="0" collapsed="false">
      <c r="A1532" s="7" t="str">
        <f aca="false">_xlfn.CONCAT($A$977, ".", A21)</f>
        <v>FL.7.18</v>
      </c>
      <c r="B1532" s="7" t="str">
        <f aca="false">_xlfn.CONCAT(B21, ": ", C21)</f>
        <v>Automotive &amp; Repair: Support</v>
      </c>
      <c r="C1532" s="31" t="n">
        <f aca="false">BL21</f>
        <v>9000000</v>
      </c>
      <c r="D1532" s="31" t="n">
        <f aca="false">BM21</f>
        <v>2000000</v>
      </c>
      <c r="E1532" s="31" t="n">
        <f aca="false">BN21</f>
        <v>0</v>
      </c>
      <c r="F1532" s="31" t="n">
        <f aca="false">BO21</f>
        <v>7000000</v>
      </c>
    </row>
    <row r="1533" customFormat="false" ht="12.8" hidden="false" customHeight="false" outlineLevel="0" collapsed="false">
      <c r="A1533" s="7" t="str">
        <f aca="false">_xlfn.CONCAT($A$977, ".", A22)</f>
        <v>FL.7.19</v>
      </c>
      <c r="B1533" s="7" t="str">
        <f aca="false">_xlfn.CONCAT(B22, ": ", C22)</f>
        <v>Healthcare &amp; Social Assistance: Worker</v>
      </c>
      <c r="C1533" s="31" t="n">
        <f aca="false">BL22</f>
        <v>326000000</v>
      </c>
      <c r="D1533" s="31" t="n">
        <f aca="false">BM22</f>
        <v>70000000</v>
      </c>
      <c r="E1533" s="31" t="n">
        <f aca="false">BN22</f>
        <v>0</v>
      </c>
      <c r="F1533" s="31" t="n">
        <f aca="false">BO22</f>
        <v>256000000</v>
      </c>
    </row>
    <row r="1534" customFormat="false" ht="12.8" hidden="false" customHeight="false" outlineLevel="0" collapsed="false">
      <c r="A1534" s="7" t="str">
        <f aca="false">_xlfn.CONCAT($A$977, ".", A23)</f>
        <v>FL.7.20</v>
      </c>
      <c r="B1534" s="7" t="str">
        <f aca="false">_xlfn.CONCAT(B23, ": ", C23)</f>
        <v>Healthcare &amp; Social Assistance: Support</v>
      </c>
      <c r="C1534" s="31" t="n">
        <f aca="false">BL23</f>
        <v>163000000</v>
      </c>
      <c r="D1534" s="31" t="n">
        <f aca="false">BM23</f>
        <v>35000000</v>
      </c>
      <c r="E1534" s="31" t="n">
        <f aca="false">BN23</f>
        <v>0</v>
      </c>
      <c r="F1534" s="31" t="n">
        <f aca="false">BO23</f>
        <v>128000000</v>
      </c>
    </row>
    <row r="1535" customFormat="false" ht="12.8" hidden="false" customHeight="false" outlineLevel="0" collapsed="false">
      <c r="A1535" s="7" t="str">
        <f aca="false">_xlfn.CONCAT($A$977, ".", A24)</f>
        <v>FL.7.21</v>
      </c>
      <c r="B1535" s="7" t="str">
        <f aca="false">_xlfn.CONCAT(B24, ": ", C24)</f>
        <v>Professional Services: Worker</v>
      </c>
      <c r="C1535" s="31" t="n">
        <f aca="false">BL24</f>
        <v>688000000</v>
      </c>
      <c r="D1535" s="31" t="n">
        <f aca="false">BM24</f>
        <v>147000000</v>
      </c>
      <c r="E1535" s="31" t="n">
        <f aca="false">BN24</f>
        <v>0</v>
      </c>
      <c r="F1535" s="31" t="n">
        <f aca="false">BO24</f>
        <v>540000000</v>
      </c>
    </row>
    <row r="1536" customFormat="false" ht="12.8" hidden="false" customHeight="false" outlineLevel="0" collapsed="false">
      <c r="A1536" s="7" t="str">
        <f aca="false">_xlfn.CONCAT($A$977, ".", A25)</f>
        <v>FL.7.22</v>
      </c>
      <c r="B1536" s="7" t="str">
        <f aca="false">_xlfn.CONCAT(B25, ": ", C25)</f>
        <v>Professional Services: Support</v>
      </c>
      <c r="C1536" s="31" t="n">
        <f aca="false">BL25</f>
        <v>343000000</v>
      </c>
      <c r="D1536" s="31" t="n">
        <f aca="false">BM25</f>
        <v>74000000</v>
      </c>
      <c r="E1536" s="31" t="n">
        <f aca="false">BN25</f>
        <v>0</v>
      </c>
      <c r="F1536" s="31" t="n">
        <f aca="false">BO25</f>
        <v>270000000</v>
      </c>
    </row>
    <row r="1537" customFormat="false" ht="12.8" hidden="false" customHeight="false" outlineLevel="0" collapsed="false">
      <c r="A1537" s="7" t="str">
        <f aca="false">_xlfn.CONCAT($A$977, ".", A26)</f>
        <v>FL.7.23</v>
      </c>
      <c r="B1537" s="7" t="str">
        <f aca="false">_xlfn.CONCAT(B26, ": ", C26)</f>
        <v>Educational Services: Worker</v>
      </c>
      <c r="C1537" s="31" t="n">
        <f aca="false">BL26</f>
        <v>183000000</v>
      </c>
      <c r="D1537" s="31" t="n">
        <f aca="false">BM26</f>
        <v>39000000</v>
      </c>
      <c r="E1537" s="31" t="n">
        <f aca="false">BN26</f>
        <v>0</v>
      </c>
      <c r="F1537" s="31" t="n">
        <f aca="false">BO26</f>
        <v>144000000</v>
      </c>
    </row>
    <row r="1538" customFormat="false" ht="12.8" hidden="false" customHeight="false" outlineLevel="0" collapsed="false">
      <c r="A1538" s="7" t="str">
        <f aca="false">_xlfn.CONCAT($A$977, ".", A27)</f>
        <v>FL.7.24</v>
      </c>
      <c r="B1538" s="7" t="str">
        <f aca="false">_xlfn.CONCAT(B27, ": ", C27)</f>
        <v>Educational Services: Support</v>
      </c>
      <c r="C1538" s="31" t="n">
        <f aca="false">BL27</f>
        <v>91000000</v>
      </c>
      <c r="D1538" s="31" t="n">
        <f aca="false">BM27</f>
        <v>20000000</v>
      </c>
      <c r="E1538" s="31" t="n">
        <f aca="false">BN27</f>
        <v>0</v>
      </c>
      <c r="F1538" s="31" t="n">
        <f aca="false">BO27</f>
        <v>72000000</v>
      </c>
    </row>
    <row r="1539" customFormat="false" ht="12.8" hidden="false" customHeight="false" outlineLevel="0" collapsed="false">
      <c r="A1539" s="7" t="str">
        <f aca="false">_xlfn.CONCAT($A$977, ".", A28)</f>
        <v>FL.7.25</v>
      </c>
      <c r="B1539" s="7" t="str">
        <f aca="false">_xlfn.CONCAT(B28, ": ", C28)</f>
        <v>Finance &amp; Insurance: Worker</v>
      </c>
      <c r="C1539" s="31" t="n">
        <f aca="false">BL28</f>
        <v>216000000</v>
      </c>
      <c r="D1539" s="31" t="n">
        <f aca="false">BM28</f>
        <v>46000000</v>
      </c>
      <c r="E1539" s="31" t="n">
        <f aca="false">BN28</f>
        <v>0</v>
      </c>
      <c r="F1539" s="31" t="n">
        <f aca="false">BO28</f>
        <v>170000000</v>
      </c>
    </row>
    <row r="1540" customFormat="false" ht="12.8" hidden="false" customHeight="false" outlineLevel="0" collapsed="false">
      <c r="A1540" s="7" t="str">
        <f aca="false">_xlfn.CONCAT($A$977, ".", A29)</f>
        <v>FL.7.26</v>
      </c>
      <c r="B1540" s="7" t="str">
        <f aca="false">_xlfn.CONCAT(B29, ": ", C29)</f>
        <v>Finance &amp; Insurance: Support</v>
      </c>
      <c r="C1540" s="31" t="n">
        <f aca="false">BL29</f>
        <v>108000000</v>
      </c>
      <c r="D1540" s="31" t="n">
        <f aca="false">BM29</f>
        <v>23000000</v>
      </c>
      <c r="E1540" s="31" t="n">
        <f aca="false">BN29</f>
        <v>0</v>
      </c>
      <c r="F1540" s="31" t="n">
        <f aca="false">BO29</f>
        <v>85000000</v>
      </c>
    </row>
    <row r="1541" customFormat="false" ht="12.8" hidden="false" customHeight="false" outlineLevel="0" collapsed="false">
      <c r="A1541" s="7" t="str">
        <f aca="false">_xlfn.CONCAT($A$977, ".", A30)</f>
        <v>FL.7.27</v>
      </c>
      <c r="B1541" s="7" t="str">
        <f aca="false">_xlfn.CONCAT(B30, ": ", C30)</f>
        <v>Media and Information Technology: Worker</v>
      </c>
      <c r="C1541" s="31" t="n">
        <f aca="false">BL30</f>
        <v>50000000</v>
      </c>
      <c r="D1541" s="31" t="n">
        <f aca="false">BM30</f>
        <v>11000000</v>
      </c>
      <c r="E1541" s="31" t="n">
        <f aca="false">BN30</f>
        <v>0</v>
      </c>
      <c r="F1541" s="31" t="n">
        <f aca="false">BO30</f>
        <v>39000000</v>
      </c>
    </row>
    <row r="1542" customFormat="false" ht="12.8" hidden="false" customHeight="false" outlineLevel="0" collapsed="false">
      <c r="A1542" s="7" t="str">
        <f aca="false">_xlfn.CONCAT($A$977, ".", A31)</f>
        <v>FL.7.28</v>
      </c>
      <c r="B1542" s="7" t="str">
        <f aca="false">_xlfn.CONCAT(B31, ": ", C31)</f>
        <v>Media and Information Technology: Support</v>
      </c>
      <c r="C1542" s="31" t="n">
        <f aca="false">BL31</f>
        <v>25000000</v>
      </c>
      <c r="D1542" s="31" t="n">
        <f aca="false">BM31</f>
        <v>5000000</v>
      </c>
      <c r="E1542" s="31" t="n">
        <f aca="false">BN31</f>
        <v>0</v>
      </c>
      <c r="F1542" s="31" t="n">
        <f aca="false">BO31</f>
        <v>20000000</v>
      </c>
    </row>
    <row r="1543" customFormat="false" ht="12.8" hidden="false" customHeight="false" outlineLevel="0" collapsed="false">
      <c r="A1543" s="7" t="str">
        <f aca="false">_xlfn.CONCAT($A$977, ".", A32)</f>
        <v>FL.7.29</v>
      </c>
      <c r="B1543" s="7" t="str">
        <f aca="false">_xlfn.CONCAT(B32, ": ", C32)</f>
        <v>Government: Worker</v>
      </c>
      <c r="C1543" s="31" t="n">
        <f aca="false">BL32</f>
        <v>260000000</v>
      </c>
      <c r="D1543" s="31" t="n">
        <f aca="false">BM32</f>
        <v>56000000</v>
      </c>
      <c r="E1543" s="31" t="n">
        <f aca="false">BN32</f>
        <v>0</v>
      </c>
      <c r="F1543" s="31" t="n">
        <f aca="false">BO32</f>
        <v>204000000</v>
      </c>
    </row>
    <row r="1544" customFormat="false" ht="12.8" hidden="false" customHeight="false" outlineLevel="0" collapsed="false">
      <c r="A1544" s="7" t="str">
        <f aca="false">_xlfn.CONCAT($A$977, ".", A33)</f>
        <v>FL.7.30</v>
      </c>
      <c r="B1544" s="7" t="str">
        <f aca="false">_xlfn.CONCAT(B33, ": ", C33)</f>
        <v>Government: Support</v>
      </c>
      <c r="C1544" s="31" t="n">
        <f aca="false">BL33</f>
        <v>130000000</v>
      </c>
      <c r="D1544" s="31" t="n">
        <f aca="false">BM33</f>
        <v>28000000</v>
      </c>
      <c r="E1544" s="31" t="n">
        <f aca="false">BN33</f>
        <v>0</v>
      </c>
      <c r="F1544" s="31" t="n">
        <f aca="false">BO33</f>
        <v>102000000</v>
      </c>
    </row>
    <row r="1545" customFormat="false" ht="12.8" hidden="false" customHeight="false" outlineLevel="0" collapsed="false">
      <c r="A1545" s="7" t="str">
        <f aca="false">_xlfn.CONCAT($A$977, ".", A34)</f>
        <v>FL.7.31</v>
      </c>
      <c r="B1545" s="7" t="str">
        <f aca="false">_xlfn.CONCAT(B34, ": ", C34)</f>
        <v>Self-Employed / Non-Employer: Worker</v>
      </c>
      <c r="C1545" s="31" t="n">
        <f aca="false">BL34</f>
        <v>1200000000</v>
      </c>
      <c r="D1545" s="31" t="n">
        <f aca="false">BM34</f>
        <v>300000000</v>
      </c>
      <c r="E1545" s="31" t="n">
        <f aca="false">BN34</f>
        <v>0</v>
      </c>
      <c r="F1545" s="31" t="n">
        <f aca="false">BO34</f>
        <v>900000000</v>
      </c>
    </row>
    <row r="1546" customFormat="false" ht="12.8" hidden="false" customHeight="false" outlineLevel="0" collapsed="false">
      <c r="A1546" s="7" t="str">
        <f aca="false">_xlfn.CONCAT($A$977, ".", A35)</f>
        <v>FL.7.32</v>
      </c>
      <c r="B1546" s="7" t="str">
        <f aca="false">_xlfn.CONCAT(B35, ": ", C35)</f>
        <v>Self-Employed / Non-Employer: Support</v>
      </c>
      <c r="C1546" s="31" t="n">
        <f aca="false">BL35</f>
        <v>133000000</v>
      </c>
      <c r="D1546" s="31" t="n">
        <f aca="false">BM35</f>
        <v>33000000</v>
      </c>
      <c r="E1546" s="31" t="n">
        <f aca="false">BN35</f>
        <v>0</v>
      </c>
      <c r="F1546" s="31" t="n">
        <f aca="false">BO35</f>
        <v>100000000</v>
      </c>
    </row>
    <row r="1547" customFormat="false" ht="12.8" hidden="false" customHeight="false" outlineLevel="0" collapsed="false">
      <c r="A1547" s="7" t="str">
        <f aca="false">_xlfn.CONCAT($A$977, ".", A36)</f>
        <v>FL.7.33</v>
      </c>
      <c r="B1547" s="7" t="str">
        <f aca="false">_xlfn.CONCAT(B36, ": ", C36)</f>
        <v>Other Services: Worker</v>
      </c>
      <c r="C1547" s="31" t="n">
        <f aca="false">BL36</f>
        <v>92000000</v>
      </c>
      <c r="D1547" s="31" t="n">
        <f aca="false">BM36</f>
        <v>20000000</v>
      </c>
      <c r="E1547" s="31" t="n">
        <f aca="false">BN36</f>
        <v>0</v>
      </c>
      <c r="F1547" s="31" t="n">
        <f aca="false">BO36</f>
        <v>72000000</v>
      </c>
    </row>
    <row r="1548" customFormat="false" ht="12.8" hidden="false" customHeight="false" outlineLevel="0" collapsed="false">
      <c r="A1548" s="7" t="str">
        <f aca="false">_xlfn.CONCAT($A$977, ".", A37)</f>
        <v>FL.7.34</v>
      </c>
      <c r="B1548" s="7" t="str">
        <f aca="false">_xlfn.CONCAT(B37, ": ", C37)</f>
        <v>Other Services: Support</v>
      </c>
      <c r="C1548" s="31" t="n">
        <f aca="false">BL37</f>
        <v>46000000</v>
      </c>
      <c r="D1548" s="31" t="n">
        <f aca="false">BM37</f>
        <v>10000000</v>
      </c>
      <c r="E1548" s="31" t="n">
        <f aca="false">BN37</f>
        <v>0</v>
      </c>
      <c r="F1548" s="31" t="n">
        <f aca="false">BO37</f>
        <v>36000000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3402</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2026-02-05T08:01:58Z</dcterms:modified>
  <cp:revision>447</cp:revision>
  <dc:subject/>
  <dc:title/>
</cp:coreProperties>
</file>

<file path=docProps/custom.xml><?xml version="1.0" encoding="utf-8"?>
<Properties xmlns="http://schemas.openxmlformats.org/officeDocument/2006/custom-properties" xmlns:vt="http://schemas.openxmlformats.org/officeDocument/2006/docPropsVTypes"/>
</file>