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charts/chart3.xml" ContentType="application/vnd.openxmlformats-officedocument.drawingml.chart+xml"/>
  <Override PartName="/xl/charts/chart4.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1.xml" ContentType="application/vnd.openxmlformats-officedocument.drawingml.chart+xml"/>
  <Override PartName="/xl/charts/chart13.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3"/>
  </bookViews>
  <sheets>
    <sheet name="INDEX" sheetId="1" state="visible" r:id="rId3"/>
    <sheet name="FORM" sheetId="2" state="visible" r:id="rId4"/>
    <sheet name="PARAM" sheetId="3" state="visible" r:id="rId5"/>
    <sheet name="CALC" sheetId="4" state="visible" r:id="rId6"/>
    <sheet name="LFP" sheetId="5" state="visible" r:id="rId7"/>
    <sheet name="ETPR" sheetId="6" state="visible" r:id="rId8"/>
    <sheet name="LFPR" sheetId="7" state="visible" r:id="rId9"/>
    <sheet name="U3R" sheetId="8" state="visible" r:id="rId10"/>
    <sheet name="U6R" sheetId="9" state="visible" r:id="rId11"/>
    <sheet name="WAVG" sheetId="10" state="visible" r:id="rId12"/>
    <sheet name="AIAVG" sheetId="11" state="visible" r:id="rId13"/>
    <sheet name="FPITREV" sheetId="12" state="visible" r:id="rId14"/>
    <sheet name="FPPTREV" sheetId="13" state="visible" r:id="rId15"/>
    <sheet name="EITCREF" sheetId="14" state="visible" r:id="rId16"/>
    <sheet name="ACTCREF" sheetId="15" state="visible" r:id="rId17"/>
    <sheet name="AOTCREF" sheetId="16" state="visible" r:id="rId18"/>
  </sheets>
  <externalReferences>
    <externalReference r:id="rId19"/>
  </externalReferenc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<sst xmlns="http://schemas.openxmlformats.org/spreadsheetml/2006/main" count="1326" uniqueCount="1162">
  <si>
    <t xml:space="preserve">LSD.RID.0.AL</t>
  </si>
  <si>
    <t xml:space="preserve">Arkansas Labor Statistics</t>
  </si>
  <si>
    <t xml:space="preserve">January, 2026</t>
  </si>
  <si>
    <t xml:space="preserve">TID</t>
  </si>
  <si>
    <t xml:space="preserve">Title</t>
  </si>
  <si>
    <t xml:space="preserve">LSD.REF.AR.FORM</t>
  </si>
  <si>
    <t xml:space="preserve">Arkansas Labor Statistic Logic Formulae</t>
  </si>
  <si>
    <t xml:space="preserve">LSD.REF.AR.PARAM</t>
  </si>
  <si>
    <t xml:space="preserve">Arkansas Labor Statistic Logic Parameters</t>
  </si>
  <si>
    <t xml:space="preserve">LSD.RID.0.AR.CALC</t>
  </si>
  <si>
    <t xml:space="preserve">Arkansas Labor Statistic Calculations</t>
  </si>
  <si>
    <t xml:space="preserve">LSD.RID.0.AR.LFP</t>
  </si>
  <si>
    <t xml:space="preserve">Arkansas Labor Force Population (LFP)</t>
  </si>
  <si>
    <t xml:space="preserve">LSD.RID.0.AR.ETPR</t>
  </si>
  <si>
    <t xml:space="preserve">Arkansas Employment-to-Population Ratio (ETPR)</t>
  </si>
  <si>
    <t xml:space="preserve">LSD.RID.0.AR.LFPR</t>
  </si>
  <si>
    <t xml:space="preserve">Arkansas Labor Force Participation Rate (LFPR)</t>
  </si>
  <si>
    <t xml:space="preserve">GLO</t>
  </si>
  <si>
    <t xml:space="preserve">Glossary</t>
  </si>
  <si>
    <t xml:space="preserve">Definition</t>
  </si>
  <si>
    <t xml:space="preserve">GID</t>
  </si>
  <si>
    <t xml:space="preserve">RID</t>
  </si>
  <si>
    <t xml:space="preserve">Region ID</t>
  </si>
  <si>
    <t xml:space="preserve">DES</t>
  </si>
  <si>
    <t xml:space="preserve">Department of Economic Security</t>
  </si>
  <si>
    <t xml:space="preserve">LSD</t>
  </si>
  <si>
    <t xml:space="preserve">Labor Security Division</t>
  </si>
  <si>
    <t xml:space="preserve">SLIID</t>
  </si>
  <si>
    <t xml:space="preserve">State Labor Industry ID</t>
  </si>
  <si>
    <t xml:space="preserve">SLIVID</t>
  </si>
  <si>
    <t xml:space="preserve">State Labor Industry Visualization ID</t>
  </si>
  <si>
    <t xml:space="preserve">INVID</t>
  </si>
  <si>
    <t xml:space="preserve">Invocation ID</t>
  </si>
  <si>
    <t xml:space="preserve">LFP</t>
  </si>
  <si>
    <t xml:space="preserve">Labor Force Population</t>
  </si>
  <si>
    <t xml:space="preserve">ETPR</t>
  </si>
  <si>
    <t xml:space="preserve">Employment-to-Population Ratio</t>
  </si>
  <si>
    <t xml:space="preserve">LFPR</t>
  </si>
  <si>
    <t xml:space="preserve">Labor Force Population Rate</t>
  </si>
  <si>
    <t xml:space="preserve">U3R</t>
  </si>
  <si>
    <t xml:space="preserve">Unemployment Rate</t>
  </si>
  <si>
    <t xml:space="preserve">U6R</t>
  </si>
  <si>
    <t xml:space="preserve">Underemployment Rate</t>
  </si>
  <si>
    <t xml:space="preserve">WAVG</t>
  </si>
  <si>
    <t xml:space="preserve">Wage Average</t>
  </si>
  <si>
    <t xml:space="preserve">AIAVG</t>
  </si>
  <si>
    <t xml:space="preserve">Annual Income Average</t>
  </si>
  <si>
    <t xml:space="preserve">FPITREV</t>
  </si>
  <si>
    <t xml:space="preserve">Federal Personal Income Tax Revenue</t>
  </si>
  <si>
    <t xml:space="preserve">FPPTREV</t>
  </si>
  <si>
    <t xml:space="preserve">Federal Personal Payroll Tax Revenue</t>
  </si>
  <si>
    <t xml:space="preserve">EITCREF</t>
  </si>
  <si>
    <t xml:space="preserve">Earned Income Tax Credit Refund</t>
  </si>
  <si>
    <t xml:space="preserve">ACTCREF</t>
  </si>
  <si>
    <t xml:space="preserve">Additional Child Tax Credit Refund</t>
  </si>
  <si>
    <t xml:space="preserve">AOTCREF</t>
  </si>
  <si>
    <t xml:space="preserve">American Opportunity Tax Credit Refund</t>
  </si>
  <si>
    <t xml:space="preserve">FORM</t>
  </si>
  <si>
    <t xml:space="preserve">Formulae</t>
  </si>
  <si>
    <t xml:space="preserve">PARAM</t>
  </si>
  <si>
    <t xml:space="preserve">Parameters</t>
  </si>
  <si>
    <t xml:space="preserve">CALC</t>
  </si>
  <si>
    <t xml:space="preserve">Calculations</t>
  </si>
  <si>
    <t xml:space="preserve">INV</t>
  </si>
  <si>
    <t xml:space="preserve">Invocations</t>
  </si>
  <si>
    <t xml:space="preserve">Invocation Name</t>
  </si>
  <si>
    <t xml:space="preserve">Invocation Script</t>
  </si>
  <si>
    <t xml:space="preserve">References</t>
  </si>
  <si>
    <t xml:space="preserve">Reference Account</t>
  </si>
  <si>
    <t xml:space="preserve">3</t>
  </si>
  <si>
    <t xml:space="preserve">Arkansas, Arkansas, Florida Labor Statistics Formulae, Parameters, Calculations</t>
  </si>
  <si>
    <t xml:space="preserve">N/A</t>
  </si>
  <si>
    <t xml:space="preserve">https://grok.com/share/c2hhcmQtMi1jb3B5_e3140b59-169a-487d-9539-b52e3cb64dad</t>
  </si>
  <si>
    <t xml:space="preserve">thomas.welborn@protonmail.com</t>
  </si>
  <si>
    <t xml:space="preserve">2</t>
  </si>
  <si>
    <t xml:space="preserve">Arkansas,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</si>
  <si>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</si>
  <si>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</si>
  <si>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thomas.tom.welborn@gmail.com</t>
  </si>
  <si>
    <t xml:space="preserve">1</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</si>
  <si>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</si>
  <si>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</si>
  <si>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</si>
  <si>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thomas.patrick.welborn@outlook.com</t>
  </si>
  <si>
    <t xml:space="preserve">0</t>
  </si>
  <si>
    <t xml:space="preserve">https://grok.com/share/c2hhcmQtMg_9fc2e9b2-bc97-4724-b16d-fc3d1e8312f2</t>
  </si>
  <si>
    <t xml:space="preserve">FID</t>
  </si>
  <si>
    <t xml:space="preserve">Formula Name</t>
  </si>
  <si>
    <t xml:space="preserve">Formula (using PARAMETERS)</t>
  </si>
  <si>
    <t xml:space="preserve">Logic / Key Inputs</t>
  </si>
  <si>
    <t xml:space="preserve">Notes / Machine Instruction</t>
  </si>
  <si>
    <t xml:space="preserve">Total Workers (i)</t>
  </si>
  <si>
    <t xml:space="preserve">T_i = VLOOKUP(i, PARAMETERS!INDUSTRY_EMPLOYMENT_AR, 3, FALSE)</t>
  </si>
  <si>
    <t xml:space="preserve">Total employed in industry i from BLS CES Dec 2025 override table</t>
  </si>
  <si>
    <t xml:space="preserve">Sum should = 1,392,900 (nonfarm total from BLS CES Dec 2025)</t>
  </si>
  <si>
    <t xml:space="preserve">Total Workers Worker (i)</t>
  </si>
  <si>
    <t xml:space="preserve">T_worker_i = T_i × 0.667</t>
  </si>
  <si>
    <t xml:space="preserve">Prorated for Worker role (approx. 2/3 of industry)</t>
  </si>
  <si>
    <t xml:space="preserve">Assumes Worker/Support split for role-specific rows</t>
  </si>
  <si>
    <t xml:space="preserve">Total Workers Support (i)</t>
  </si>
  <si>
    <t xml:space="preserve">T_support_i = T_i × 0.333</t>
  </si>
  <si>
    <t xml:space="preserve">Prorated for Support role (approx. 1/3 of industry)</t>
  </si>
  <si>
    <t xml:space="preserve">American Population (i)</t>
  </si>
  <si>
    <t xml:space="preserve">A_i = T_i × VLOOKUP("AMER_SHARE_OVERALL", PARAMETERS!OTHER.ADJUSTMENTS, 3, FALSE)</t>
  </si>
  <si>
    <t xml:space="preserve">Total × American share (derived)</t>
  </si>
  <si>
    <t xml:space="preserve">Authorized Workers (i)</t>
  </si>
  <si>
    <t xml:space="preserve">V_i = T_i × VLOOKUP("AUTH_SHARE_OVERALL", PARAMETERS!OTHER.ADJUSTMENTS, 3, FALSE)</t>
  </si>
  <si>
    <t xml:space="preserve">Total × authorized share (~55,700 total employed)</t>
  </si>
  <si>
    <t xml:space="preserve">Unauthorized Workers (i)</t>
  </si>
  <si>
    <t xml:space="preserve">U_i = T_i × VLOOKUP("UNAUTH_SHARE_OVERALL", PARAMETERS!OTHER.ADJUSTMENTS, 3, FALSE)</t>
  </si>
  <si>
    <t xml:space="preserve">Total × unauthorized share (~47,400 employed)</t>
  </si>
  <si>
    <t xml:space="preserve">Self-Employed Population (i)</t>
  </si>
  <si>
    <t xml:space="preserve">SE_i = VLOOKUP("SELF_EMPLOYED_TOTAL", PARAMETERS!OTHER.ADJUSTMENTS, 3, FALSE) * VLOOKUP("AMER_SHARE_SELF", PARAMETERS!OTHER.ADJUSTMENTS, 3, FALSE) + VLOOKUP("SELF_EMPLOYED_TOTAL", PARAMETERS!OTHER.ADJUSTMENTS, 3, FALSE) * VLOOKUP("AUTH_SHARE_SELF", PARAMETERS!OTHER.ADJUSTMENTS, 3, FALSE) + VLOOKUP("SELF_EMPLOYED_TOTAL", PARAMETERS!OTHER.ADJUSTMENTS, 3, FALSE) * VLOOKUP("UNAUTH_SHARE_SELF", PARAMETERS!OTHER.ADJUSTMENTS, 3, FALSE)</t>
  </si>
  <si>
    <t xml:space="preserve">Total self-employed × group shares</t>
  </si>
  <si>
    <t xml:space="preserve">Added for self-employment component</t>
  </si>
  <si>
    <t xml:space="preserve">Unemployment Rate (g,i)</t>
  </si>
  <si>
    <t xml:space="preserve">Unemp_g,i = VLOOKUP("UNEMP_RATE_"&amp;i&amp;"_"&amp;g, PARAMETERS!OTHER.ADJUSTMENTS, 3, FALSE)</t>
  </si>
  <si>
    <t xml:space="preserve">Group and industry-specific unemployment rate</t>
  </si>
  <si>
    <t xml:space="preserve">Uses per-industry and per-group parameters adjusted from national BLS data scaled to Arkansas overall rate</t>
  </si>
  <si>
    <t xml:space="preserve">Overall Unemployment Rate (i)</t>
  </si>
  <si>
    <t xml:space="preserve">Unemp_overall,i = (A_i × Unemp_AMER + V_i × Unemp_AUTH + U_i × Unemp_UNAUTH) / (A_i + V_i + U_i)</t>
  </si>
  <si>
    <t xml:space="preserve">Weighted average using employed populations as proxy weights</t>
  </si>
  <si>
    <t xml:space="preserve">Unemployment Rate (g)</t>
  </si>
  <si>
    <t xml:space="preserve">Unemp_g = SUM(Unemp_g,i × LF_g,i) / SUM(LF_g,i)</t>
  </si>
  <si>
    <t xml:space="preserve">Group overall unemp weighted by industry labor force</t>
  </si>
  <si>
    <t xml:space="preserve">Self-Employed Unemployment Rate (g)</t>
  </si>
  <si>
    <t xml:space="preserve">Unemp_SELF_g = VLOOKUP("UNEMP_RATE_SELF_"&amp;g, PARAMETERS!OTHER.ADJUSTMENTS, 3, FALSE)</t>
  </si>
  <si>
    <t xml:space="preserve">Proxy rate for self-employed (lower than payroll)</t>
  </si>
  <si>
    <t xml:space="preserve">Underemployment Rate (g,i)</t>
  </si>
  <si>
    <t xml:space="preserve">Under_g,i = VLOOKUP("U6_BASE_AR", PARAMETERS!OTHER.ADJUSTMENTS, 3, FALSE) × VLOOKUP("UNDEREMP_RATIO_"&amp;i, PARAMETERS!OTHER.ADJUSTMENTS, 3, FALSE) × VLOOKUP("UNDEREMP_RATIO"&amp;g, PARAMETERS!OTHER.ADJUSTMENTS, 3, FALSE) × VLOOKUP("UNDEREMP_RATIO_"&amp;subrole, PARAMETERS!OTHER.ADJUSTMENTS, 3, FALSE)</t>
  </si>
  <si>
    <t xml:space="preserve">Industry base × group × role/sub-role multiplier</t>
  </si>
  <si>
    <t xml:space="preserve">Overall Underemployment Rate (i)</t>
  </si>
  <si>
    <t xml:space="preserve">Under_overall,i = (A_i × Under_AMER + V_i × Under_AUTH + U_i × Under_UNAUTH) / (A_i + V_i + U_i)</t>
  </si>
  <si>
    <t xml:space="preserve">Weighted average of group underemployment rates</t>
  </si>
  <si>
    <t xml:space="preserve">Underemployment Rate (g)</t>
  </si>
  <si>
    <t xml:space="preserve">Under_g = SUM(Under_g,i × LF_g,i) / SUM(LF_g,i)</t>
  </si>
  <si>
    <t xml:space="preserve">Group overall underemp weighted by industry labor force</t>
  </si>
  <si>
    <t xml:space="preserve">Self-Employed Underemployment Rate (g)</t>
  </si>
  <si>
    <t xml:space="preserve">Under_SELF_g = VLOOKUP("U6_BASE_AR", PARAMETERS!OTHER.ADJUSTMENTS, 3, FALSE) × VLOOKUP("UNDEREMP_RATIO_SELF", PARAMETERS!OTHER.ADJUSTMENTS, 3, FALSE)</t>
  </si>
  <si>
    <t xml:space="preserve">Higher due to involuntary part-time</t>
  </si>
  <si>
    <t xml:space="preserve">Wage Average (g,i)</t>
  </si>
  <si>
    <t xml:space="preserve">IF(i = "SELF", VLOOKUP("WAGE_MEAN"&amp;i, PARAMETERS!OTHER.ADJUSTMENTS, 3, FALSE) × VLOOKUP("SELF_WAGE_DISCOUNT", PARAMETERS!OTHER.ADJUSTMENTS, 3, FALSE), IF(g = "UNAUTH", VLOOKUP("WAGE_MEAN"&amp;i, PARAMETERS!OTHER.ADJUSTMENTS, 3, FALSE) × VLOOKUP("UNAUTH_WAGE_RATIO_"&amp;i, PARAMETERS!OTHER.ADJUSTMENTS, 3, FALSE), VLOOKUP("WAGE_MEAN_"&amp;i, PARAMETERS!OTHER.ADJUSTMENTS, 3, FALSE) × VLOOKUP("WAGE_RATIO_"&amp;g, PARAMETERS!OTHER.ADJUSTMENTS, 3, FALSE))) × VLOOKUP("WAGE_INFLATION_2025", PARAMETERS!OTHER.ADJUSTMENTS, 3, FALSE)</t>
  </si>
  <si>
    <t xml:space="preserve">Group-specific wage mean with self-employed discount</t>
  </si>
  <si>
    <t xml:space="preserve">Overall Wage Average (i)</t>
  </si>
  <si>
    <t xml:space="preserve">Wage_overall,i = (A_i × Wage_AMER + V_i × Wage_AUTH + U_i × Wage_UNAUTH + SE_i × Wage_SELF) / (A_i + V_i + U_i + SE_i)</t>
  </si>
  <si>
    <t xml:space="preserve">Weighted average including self-employed</t>
  </si>
  <si>
    <t xml:space="preserve">Wage Min (g,i)</t>
  </si>
  <si>
    <t xml:space="preserve">Wage_g_min,i = Wage_g,i × VLOOKUP("WAGE_MIN_RATIO", PARAMETERS!OTHER.ADJUSTMENTS, 3, FALSE)</t>
  </si>
  <si>
    <t xml:space="preserve">Group-specific min wage</t>
  </si>
  <si>
    <t xml:space="preserve">Wage Max (g,i)</t>
  </si>
  <si>
    <t xml:space="preserve">Wage_g_max,i = Wage_g,i × VLOOKUP("WAGE_MAX_RATIO", PARAMETERS!OTHER.ADJUSTMENTS, 3, FALSE)</t>
  </si>
  <si>
    <t xml:space="preserve">Group-specific max wage</t>
  </si>
  <si>
    <t xml:space="preserve">Overall Wage Min (i)</t>
  </si>
  <si>
    <t xml:space="preserve">Wage_overall_min,i = Wage_overall,i × VLOOKUP("WAGE_MIN_RATIO", PARAMETERS!OTHER.ADJUSTMENTS, 3, FALSE)</t>
  </si>
  <si>
    <t xml:space="preserve">Weighted min wage</t>
  </si>
  <si>
    <t xml:space="preserve">Overall Wage Max (i)</t>
  </si>
  <si>
    <t xml:space="preserve">Wage_overall_max,i = Wage_overall,i × VLOOKUP("WAGE_MAX_RATIO", PARAMETERS!OTHER.ADJUSTMENTS, 3, FALSE)</t>
  </si>
  <si>
    <t xml:space="preserve">Weighted max wage</t>
  </si>
  <si>
    <t xml:space="preserve">Wage Average (g)</t>
  </si>
  <si>
    <t xml:space="preserve">Wage_g = SUM(Wage_g,i × T_i) / SUM(T_i)</t>
  </si>
  <si>
    <t xml:space="preserve">Group overall wage weighted by industry employment</t>
  </si>
  <si>
    <t xml:space="preserve">Annual Income (g,i)</t>
  </si>
  <si>
    <t xml:space="preserve">Income_g,i = Wage_g,i × 2080 × VLOOKUP("UNDERREPORT_"&amp;g&amp;"_SELF", PARAMETERS!OTHER.ADJUSTMENTS, 3, FALSE) IF(i = "SELF", VLOOKUP("UNDERREPORT_SELF_"&amp;g, PARAMETERS!OTHER.ADJUSTMENTS, 3, FALSE), VLOOKUP("UNDERREPORT_"&amp;g, PARAMETERS!OTHER.ADJUSTMENTS, 3, FALSE))</t>
  </si>
  <si>
    <t xml:space="preserve">Hourly wage × hours × underreporting (higher for self-employed)</t>
  </si>
  <si>
    <t xml:space="preserve">Overall Annual Income (i)</t>
  </si>
  <si>
    <t xml:space="preserve">Income_overall,i = (A_i × Income_AMER + V_i × Income_AUTH + U_i × Income_UNAUTH + SE_i × Income_SELF) / (A_i + V_i + U_i + SE_i)</t>
  </si>
  <si>
    <t xml:space="preserve">Weighted including self-employed</t>
  </si>
  <si>
    <t xml:space="preserve">Annual Income Min (g,i)</t>
  </si>
  <si>
    <t xml:space="preserve">Income_g_min,i = Wage_g_min,i × 2080 × VLOOKUP("UNDERREPORT_"&amp;g, PARAMETERS!OTHER.ADJUSTMENTS, 3, FALSE)</t>
  </si>
  <si>
    <t xml:space="preserve">Group-specific min annual income</t>
  </si>
  <si>
    <t xml:space="preserve">Annual Income Max (g,i)</t>
  </si>
  <si>
    <t xml:space="preserve">Income_g_max,i = Wage_g_max,i × 2080 × VLOOKUP("UNDERREPORT_"&amp;g, PARAMETERS!OTHER.ADJUSTMENTS, 3, FALSE)</t>
  </si>
  <si>
    <t xml:space="preserve">Group-specific max annual income</t>
  </si>
  <si>
    <t xml:space="preserve">Overall Annual Income Min (i)</t>
  </si>
  <si>
    <t xml:space="preserve">Income_overall_min,i = Wage_overall_min,i × 2080</t>
  </si>
  <si>
    <t xml:space="preserve">Weighted min annual income</t>
  </si>
  <si>
    <t xml:space="preserve">Overall Annual Income Max (i)</t>
  </si>
  <si>
    <t xml:space="preserve">Income_overall_max,i = Wage_overall_max,i × 2080</t>
  </si>
  <si>
    <t xml:space="preserve">Weighted max annual income</t>
  </si>
  <si>
    <t xml:space="preserve">Annual Income (g)</t>
  </si>
  <si>
    <t xml:space="preserve">Income_g = SUM(Income_g,i × T_i) / SUM(T_i)</t>
  </si>
  <si>
    <t xml:space="preserve">Group overall annual income weighted by industry employment</t>
  </si>
  <si>
    <t xml:space="preserve">Labor Force (g,i)</t>
  </si>
  <si>
    <t xml:space="preserve">LF_g,i = employed_g,i / (1 - Unemp_g,i)</t>
  </si>
  <si>
    <t xml:space="preserve">Employed divided by employment rate</t>
  </si>
  <si>
    <t xml:space="preserve">Overall Labor Force (i)</t>
  </si>
  <si>
    <t xml:space="preserve">LF_overall,i = LF_AMER,i + LF_AUTH,i + LF_UNAUTH,i + LF_SELF,i</t>
  </si>
  <si>
    <t xml:space="preserve">Sum across groups including self-employed</t>
  </si>
  <si>
    <t xml:space="preserve">Labor Force (g)</t>
  </si>
  <si>
    <t xml:space="preserve">LF_g = SUM(LF_g,i)</t>
  </si>
  <si>
    <t xml:space="preserve">Group overall labor force sum across industries</t>
  </si>
  <si>
    <t xml:space="preserve">Labor Force Participation Rate (g,i)</t>
  </si>
  <si>
    <t xml:space="preserve">LFPR_g,i = VLOOKUP("LFPR_"&amp;g, PARAMETERS!OTHER.ADJUSTMENTS, 3, FALSE) * VLOOKUP("LFPR_RATIO_"&amp;i, PARAMETERS!OTHER.ADJUSTMENTS, 3, FALSE) * VLOOKUP("LFPR_RATIO_"&amp;role, PARAMETERS!OTHER.ADJUSTMENTS, 3, FALSE) * IF(role="SUPPORT", VLOOKUP("SUPPORT_ROLE_RATIO", PARAMETERS!OTHER.ADJUSTMENTS, 3, FALSE), 1) * IF(i = "SELF", VLOOKUP("LFPR_SELF_"&amp;g, PARAMETERS!OTHER.ADJUSTMENTS, 3, FALSE), 1)</t>
  </si>
  <si>
    <t xml:space="preserve">Group-specific LFPR with self-employed adjustment</t>
  </si>
  <si>
    <t xml:space="preserve">Overall Labor Force Participation Rate (i)</t>
  </si>
  <si>
    <t xml:space="preserve">LFPR_overall,i = (LF_AMER,i × LFPR_AMER + LF_AUTH,i × LFPR_AUTH + LF_UNAUTH,i × LFPR_UNAUTH + LF_SELF,i × LFPR_SELF) / LF_overall,i</t>
  </si>
  <si>
    <t xml:space="preserve">Labor Force Participation Rate (g)</t>
  </si>
  <si>
    <t xml:space="preserve">LFPR_g = VLOOKUP("LFPR_"&amp;g, PARAMETERS!OTHER.ADJUSTMENTS, 3, FALSE)</t>
  </si>
  <si>
    <t xml:space="preserve">Group base LFPR</t>
  </si>
  <si>
    <t xml:space="preserve">Employment-to-Population Ratio (g,i)</t>
  </si>
  <si>
    <t xml:space="preserve">EPR_g,i = 1 - Unemp_g,i</t>
  </si>
  <si>
    <t xml:space="preserve">Group-specific EPR</t>
  </si>
  <si>
    <t xml:space="preserve">Overall Employment-to-Population Ratio (i)</t>
  </si>
  <si>
    <t xml:space="preserve">EPR_overall,i = 1 - Unemp_overall,i</t>
  </si>
  <si>
    <t xml:space="preserve">Weighted overall EPR</t>
  </si>
  <si>
    <t xml:space="preserve">Employment-to-Population Ratio (g)</t>
  </si>
  <si>
    <t xml:space="preserve">EPR_g = 1 - Unemp_g</t>
  </si>
  <si>
    <t xml:space="preserve">Group overall EPR</t>
  </si>
  <si>
    <t xml:space="preserve">Federal Personal Income Tax Revenue (g,i)</t>
  </si>
  <si>
    <t xml:space="preserve">Fed_PIT_g,i = Income_g,i × VLOOKUP("FED_TAX_BASE_RATE", PARAMETERS!OTHER.ADJUSTMENTS, 3, FALSE) × VLOOKUP("TAX_ADJ_"&amp;i, PARAMETERS!OTHER.ADJUSTMENTS, 3, FALSE) × VLOOKUP("COMPLIANCE_ADJ_"&amp;g, PARAMETERS!OTHER.ADJUSTMENTS, 3, FALSE) × IF(g="UNAUTH", VLOOKUP("UNAUTH_COMPLIANCE_ADJ", PARAMETERS!OTHER.ADJUSTMENTS, 3, FALSE), 1) × IF(i = "SELF", VLOOKUP("TAX_ADJ_SELF", PARAMETERS!OTHER.ADJUSTMENTS, 3, FALSE), 1)</t>
  </si>
  <si>
    <t xml:space="preserve">Income × base rate × industry adj. × group compliance × self-employed adjustment</t>
  </si>
  <si>
    <t xml:space="preserve">Overall Federal Personal Income Tax Revenue (i)</t>
  </si>
  <si>
    <t xml:space="preserve">Fed_PIT_overall,i = Fed_PIT_AMER,i + Fed_PIT_AUTH,i + Fed_PIT_UNAUTH,i + Fed_PIT_SELF,i</t>
  </si>
  <si>
    <t xml:space="preserve">Federal Personal Income Tax Revenue (g)</t>
  </si>
  <si>
    <t xml:space="preserve">Fed_PIT_g = SUM(Fed_PIT_g,i)</t>
  </si>
  <si>
    <t xml:space="preserve">Group overall PIT sum across industries</t>
  </si>
  <si>
    <t xml:space="preserve">Payroll Tax Revenue (g,i)</t>
  </si>
  <si>
    <t xml:space="preserve">Payroll_g,i = Income_g,i × VLOOKUP("PAYROLL_RATE_"&amp;g&amp;"_SELF", PARAMETERS!OTHER.ADJUSTMENTS, 3, FALSE) × VLOOKUP("COMPLIANCE_ADJ_"&amp;g, PARAMETERS!OTHER.ADJUSTMENTS, 3, FALSE) × IF(i = "SELF", VLOOKUP("EMPLOYER_MATCH_SELF", PARAMETERS!OTHER.ADJUSTMENTS, 3, FALSE), VLOOKUP("EMPLOYER_MATCH_RATIO", PARAMETERS!OTHER.ADJUSTMENTS, 3, FALSE))</t>
  </si>
  <si>
    <t xml:space="preserve">Income × payroll rate × compliance (self-employed has no employer match)</t>
  </si>
  <si>
    <t xml:space="preserve">Overall Payroll Tax Revenue (i)</t>
  </si>
  <si>
    <t xml:space="preserve">Payroll_overall,i = Payroll_AMER,i + Payroll_AUTH,i + Payroll_UNAUTH,i + Payroll_SELF,i</t>
  </si>
  <si>
    <t xml:space="preserve">Payroll Tax Revenue (g)</t>
  </si>
  <si>
    <t xml:space="preserve">Payroll_g = SUM(Payroll_g,i)</t>
  </si>
  <si>
    <t xml:space="preserve">Group overall payroll tax sum across industries</t>
  </si>
  <si>
    <t xml:space="preserve">EITC Credit Refund (g,i)</t>
  </si>
  <si>
    <t xml:space="preserve">EITC_g,i = IF(VLOOKUP("SSN_VALID_"&amp;g, PARAMETERS!OTHER.ADJUSTMENTS, 3, FALSE), MIN(VLOOKUP("EITC_MAX_"&amp;g, PARAMETERS!OTHER.ADJUSTMENTS, 3, FALSE), MAX(0, (Income_g,i - PHASE_IN_START) × (PHASE_IN_RATE + (0.1 × DEPENDENTS_AVG_g))) - MAX(0, (Income_g,i - PHASE_OUT_START) × PHASE_OUT_RATE)), 0)</t>
  </si>
  <si>
    <t xml:space="preserve">Phase-in/out adjusted for dependents (no/partial for unauth)</t>
  </si>
  <si>
    <t xml:space="preserve">Overall EITC Credit Refund (i)</t>
  </si>
  <si>
    <t xml:space="preserve">EITC_overall,i = EITC_AMER,i + EITC_AUTH,i + EITC_UNAUTH,i + EITC_SELF,i</t>
  </si>
  <si>
    <t xml:space="preserve">EITC Credit Refund (g)</t>
  </si>
  <si>
    <t xml:space="preserve">EITC_g = SUM(EITC_g,i)</t>
  </si>
  <si>
    <t xml:space="preserve">Group overall EITC sum across industries</t>
  </si>
  <si>
    <t xml:space="preserve">ACTC Credit Refund (g,i)</t>
  </si>
  <si>
    <t xml:space="preserve">ACTC_g,i = IF(VLOOKUP("SSN_VALID_"&amp;g, PARAMETERS!OTHER.ADJUSTMENTS, 3, FALSE) AND Income_g,i &gt;= ACTC_MIN_EARNED, MIN(VLOOKUP("ACTC_MAX_"&amp;g, PARAMETERS!OTHER.ADJUSTMENTS, 3, FALSE) × VLOOKUP("QUAL_CHILDREN_"&amp;g, PARAMETERS!OTHER.ADJUSTMENTS, 3, FALSE), MAX(0, (Income_g,i - ACTC_MIN_EARNED) × ACTC_REFUND_RATE) × (1 - MAX(0, (Income_g,i - ACTC_PHASE_OUT)/10000 × 0.05))), 0)</t>
  </si>
  <si>
    <t xml:space="preserve">Refundable portion, phased out over threshold</t>
  </si>
  <si>
    <t xml:space="preserve">Overall ACTC Credit Refund (i)</t>
  </si>
  <si>
    <t xml:space="preserve">ACTC_overall,i = ACTC_AMER,i + ACTC_AUTH,i + ACTC_UNAUTH,i + ACTC_SELF,i</t>
  </si>
  <si>
    <t xml:space="preserve">ACTC Credit Refund (g)</t>
  </si>
  <si>
    <t xml:space="preserve">ACTC_g = SUM(ACTC_g,i)</t>
  </si>
  <si>
    <t xml:space="preserve">Group overall ACTC sum across industries</t>
  </si>
  <si>
    <t xml:space="preserve">AOTC Credit Refund (g,i)</t>
  </si>
  <si>
    <t xml:space="preserve">AOTC_g,i = IF(VLOOKUP("SSN_VALID_"&amp;g, PARAMETERS!OTHER.ADJUSTMENTS, 3, FALSE), MIN(2500 × VLOOKUP("STUDENT_RATE_"&amp;g, PARAMETERS!OTHER.ADJUSTMENTS, 3, FALSE) × VLOOKUP("EDUCATION_RATIO_"&amp;i, PARAMETERS!OTHER.ADJUSTMENTS, 3, FALSE) × (VLOOKUP("DEPENDENTS_AVG_"&amp;g, PARAMETERS!OTHER.ADJUSTMENTS, 3, FALSE) + VLOOKUP("QUAL_CHILDREN_"&amp;g, PARAMETERS!OTHER.ADJUSTMENTS, 3, FALSE))/2, 2500), 0) × VLOOKUP("COMPLIANCE_ADJ_"&amp;g, PARAMETERS!OTHER.ADJUSTMENTS, 3, FALSE)</t>
  </si>
  <si>
    <t xml:space="preserve">Up to $2,500 per student, adjusted by industry education ratio and dependents</t>
  </si>
  <si>
    <t xml:space="preserve">Overall AOTC Credit Refund (i)</t>
  </si>
  <si>
    <t xml:space="preserve">AOTC_overall,i = AOTC_AMER,i + AOTC_AUTH,i + AOTC_UNAUTH,i + AOTC_SELF,i</t>
  </si>
  <si>
    <t xml:space="preserve">AOTC Credit Refund (g)</t>
  </si>
  <si>
    <t xml:space="preserve">AOTC_g = SUM(AOTC_g,i)</t>
  </si>
  <si>
    <t xml:space="preserve">Group overall AOTC sum across industries</t>
  </si>
  <si>
    <t xml:space="preserve">PID</t>
  </si>
  <si>
    <t xml:space="preserve">Name</t>
  </si>
  <si>
    <t xml:space="preserve">Value</t>
  </si>
  <si>
    <t xml:space="preserve">Description</t>
  </si>
  <si>
    <t xml:space="preserve">Source/Notes</t>
  </si>
  <si>
    <t xml:space="preserve">P001</t>
  </si>
  <si>
    <t xml:space="preserve">AG_EMPLOYMENT</t>
  </si>
  <si>
    <t xml:space="preserve">AR / Ag total employed</t>
  </si>
  <si>
    <t xml:space="preserve">USDA NASS 2025 est. adj.</t>
  </si>
  <si>
    <t xml:space="preserve">P002</t>
  </si>
  <si>
    <t xml:space="preserve">CONSTR_EMPLOYMENT</t>
  </si>
  <si>
    <t xml:space="preserve">AR / Constr total employed</t>
  </si>
  <si>
    <t xml:space="preserve">BLS CES Dec 2025</t>
  </si>
  <si>
    <t xml:space="preserve">P003</t>
  </si>
  <si>
    <t xml:space="preserve">HOSP_EMPLOYMENT</t>
  </si>
  <si>
    <t xml:space="preserve">AR / Hosp total employed</t>
  </si>
  <si>
    <t xml:space="preserve">BLS CES Dec 2025 (Leisure &amp; Hosp)</t>
  </si>
  <si>
    <t xml:space="preserve">P004</t>
  </si>
  <si>
    <t xml:space="preserve">CLEAN_EMPLOYMENT</t>
  </si>
  <si>
    <t xml:space="preserve">AR / Clean total employed</t>
  </si>
  <si>
    <t xml:space="preserve">BLS OEWS adj.</t>
  </si>
  <si>
    <t xml:space="preserve">P005</t>
  </si>
  <si>
    <t xml:space="preserve">MFG_EMPLOYMENT</t>
  </si>
  <si>
    <t xml:space="preserve">AR / Mfg total employed</t>
  </si>
  <si>
    <t xml:space="preserve">P006</t>
  </si>
  <si>
    <t xml:space="preserve">TRANS_EMPLOYMENT</t>
  </si>
  <si>
    <t xml:space="preserve">AR / Trans total employed</t>
  </si>
  <si>
    <t xml:space="preserve">BLS CES adj.</t>
  </si>
  <si>
    <t xml:space="preserve">P007</t>
  </si>
  <si>
    <t xml:space="preserve">RETAIL_EMPLOYMENT</t>
  </si>
  <si>
    <t xml:space="preserve">AR / Retail total employed</t>
  </si>
  <si>
    <t xml:space="preserve">P008</t>
  </si>
  <si>
    <t xml:space="preserve">LAND_EMPLOYMENT</t>
  </si>
  <si>
    <t xml:space="preserve">AR / Land total employed</t>
  </si>
  <si>
    <t xml:space="preserve">P009</t>
  </si>
  <si>
    <t xml:space="preserve">AUTO_EMPLOYMENT</t>
  </si>
  <si>
    <t xml:space="preserve">AR / Auto total employed</t>
  </si>
  <si>
    <t xml:space="preserve">P010</t>
  </si>
  <si>
    <t xml:space="preserve">OTHER_EMPLOYMENT</t>
  </si>
  <si>
    <t xml:space="preserve">AR / Other total employed</t>
  </si>
  <si>
    <t xml:space="preserve">BLS CES Dec 2025 Other Services</t>
  </si>
  <si>
    <t xml:space="preserve">P011</t>
  </si>
  <si>
    <t xml:space="preserve">HEALTH_EMPLOYMENT</t>
  </si>
  <si>
    <t xml:space="preserve">AR / Health total employed</t>
  </si>
  <si>
    <t xml:space="preserve">P012</t>
  </si>
  <si>
    <t xml:space="preserve">PROF_EMPLOYMENT</t>
  </si>
  <si>
    <t xml:space="preserve">AR / Prof total employed</t>
  </si>
  <si>
    <t xml:space="preserve">BLS CES Dec 2025 Prof &amp; Bus</t>
  </si>
  <si>
    <t xml:space="preserve">P013</t>
  </si>
  <si>
    <t xml:space="preserve">EDU_EMPLOYMENT</t>
  </si>
  <si>
    <t xml:space="preserve">AR / Edu total employed</t>
  </si>
  <si>
    <t xml:space="preserve">P014</t>
  </si>
  <si>
    <t xml:space="preserve">FIN_EMPLOYMENT</t>
  </si>
  <si>
    <t xml:space="preserve">AR / Fin total employed</t>
  </si>
  <si>
    <t xml:space="preserve">P015</t>
  </si>
  <si>
    <t xml:space="preserve">MEDIA_EMPLOYMENT</t>
  </si>
  <si>
    <t xml:space="preserve">AR / Media total employed</t>
  </si>
  <si>
    <t xml:space="preserve">BLS CES Dec 2025 Information</t>
  </si>
  <si>
    <t xml:space="preserve">P016</t>
  </si>
  <si>
    <t xml:space="preserve">GOVERNMENT_EMPLOYMENT</t>
  </si>
  <si>
    <t xml:space="preserve">AR / Govt total employed</t>
  </si>
  <si>
    <t xml:space="preserve">P017</t>
  </si>
  <si>
    <t xml:space="preserve">SELF_EMPLOYED_TOTAL</t>
  </si>
  <si>
    <t xml:space="preserve">AR / Self-employed total employed</t>
  </si>
  <si>
    <t xml:space="preserve">CPS/BEA est. 2023–2025</t>
  </si>
  <si>
    <t xml:space="preserve">P018</t>
  </si>
  <si>
    <t xml:space="preserve">AMER_SHARE_SELF</t>
  </si>
  <si>
    <t xml:space="preserve">AR / American share self-employed</t>
  </si>
  <si>
    <t xml:space="preserve">Lower unauthorized in self-employed</t>
  </si>
  <si>
    <t xml:space="preserve">P019</t>
  </si>
  <si>
    <t xml:space="preserve">AUTH_SHARE_SELF</t>
  </si>
  <si>
    <t xml:space="preserve">AR / Authorized share self-employed</t>
  </si>
  <si>
    <t xml:space="preserve">P020</t>
  </si>
  <si>
    <t xml:space="preserve">UNAUTH_SHARE_SELF</t>
  </si>
  <si>
    <t xml:space="preserve">AR / Unauthorized share self-employed</t>
  </si>
  <si>
    <t xml:space="preserve">P100</t>
  </si>
  <si>
    <t xml:space="preserve">UNEMP_RATE_OVERALL</t>
  </si>
  <si>
    <t xml:space="preserve">AR overall U-3</t>
  </si>
  <si>
    <t xml:space="preserve">BLS Dec 2025</t>
  </si>
  <si>
    <t xml:space="preserve">P101</t>
  </si>
  <si>
    <t xml:space="preserve">UNEMP_RATE_AMER</t>
  </si>
  <si>
    <t xml:space="preserve">AR / American unemp rate</t>
  </si>
  <si>
    <t xml:space="preserve">Adj. from BLS</t>
  </si>
  <si>
    <t xml:space="preserve">P102</t>
  </si>
  <si>
    <t xml:space="preserve">UNEMP_RATE_AUTH</t>
  </si>
  <si>
    <t xml:space="preserve">AR / Authorized unemp rate</t>
  </si>
  <si>
    <t xml:space="preserve">Adj. from MPI/BLS</t>
  </si>
  <si>
    <t xml:space="preserve">P103</t>
  </si>
  <si>
    <t xml:space="preserve">UNEMP_RATE_UNAUTH</t>
  </si>
  <si>
    <t xml:space="preserve">AR / Unauthorized unemp rate</t>
  </si>
  <si>
    <t xml:space="preserve">Adj. from MPI</t>
  </si>
  <si>
    <t xml:space="preserve">P104</t>
  </si>
  <si>
    <t xml:space="preserve">UNEMP_RATE_AG_AMER</t>
  </si>
  <si>
    <t xml:space="preserve">AR / Ag American unemp</t>
  </si>
  <si>
    <t xml:space="preserve">Scaled</t>
  </si>
  <si>
    <t xml:space="preserve">P105</t>
  </si>
  <si>
    <t xml:space="preserve">UNEMP_RATE_AG_AUTH</t>
  </si>
  <si>
    <t xml:space="preserve">AR / Ag Authorized unemp</t>
  </si>
  <si>
    <t xml:space="preserve">P106</t>
  </si>
  <si>
    <t xml:space="preserve">UNEMP_RATE_AG_UNAUTH</t>
  </si>
  <si>
    <t xml:space="preserve">AR / Ag Unauthorized unemp</t>
  </si>
  <si>
    <t xml:space="preserve">P107</t>
  </si>
  <si>
    <t xml:space="preserve">UNEMP_RATE_CONSTR_AMER</t>
  </si>
  <si>
    <t xml:space="preserve">AR / Constr American unemp</t>
  </si>
  <si>
    <t xml:space="preserve">P108</t>
  </si>
  <si>
    <t xml:space="preserve">UNEMP_RATE_CONSTR_AUTH</t>
  </si>
  <si>
    <t xml:space="preserve">AR / Constr Authorized unemp</t>
  </si>
  <si>
    <t xml:space="preserve">P109</t>
  </si>
  <si>
    <t xml:space="preserve">UNEMP_RATE_CONSTR_UNAUTH</t>
  </si>
  <si>
    <t xml:space="preserve">AR / Constr Unauthorized unemp</t>
  </si>
  <si>
    <t xml:space="preserve">P110</t>
  </si>
  <si>
    <t xml:space="preserve">UNEMP_RATE_HOSP_AMER</t>
  </si>
  <si>
    <t xml:space="preserve">AR / Hosp American unemp</t>
  </si>
  <si>
    <t xml:space="preserve">P111</t>
  </si>
  <si>
    <t xml:space="preserve">UNEMP_RATE_HOSP_AUTH</t>
  </si>
  <si>
    <t xml:space="preserve">AR / Hosp Authorized unemp</t>
  </si>
  <si>
    <t xml:space="preserve">P112</t>
  </si>
  <si>
    <t xml:space="preserve">UNEMP_RATE_HOSP_UNAUTH</t>
  </si>
  <si>
    <t xml:space="preserve">AR / Hosp Unauthorized unemp</t>
  </si>
  <si>
    <t xml:space="preserve">P113</t>
  </si>
  <si>
    <t xml:space="preserve">UNEMP_RATE_CLEAN_AMER</t>
  </si>
  <si>
    <t xml:space="preserve">AR / Clean American unemp</t>
  </si>
  <si>
    <t xml:space="preserve">P114</t>
  </si>
  <si>
    <t xml:space="preserve">UNEMP_RATE_CLEAN_AUTH</t>
  </si>
  <si>
    <t xml:space="preserve">AR / Clean Authorized unemp</t>
  </si>
  <si>
    <t xml:space="preserve">P115</t>
  </si>
  <si>
    <t xml:space="preserve">UNEMP_RATE_CLEAN_UNAUTH</t>
  </si>
  <si>
    <t xml:space="preserve">AR / Clean Unauthorized unemp</t>
  </si>
  <si>
    <t xml:space="preserve">P116</t>
  </si>
  <si>
    <t xml:space="preserve">UNEMP_RATE_MFG_AMER</t>
  </si>
  <si>
    <t xml:space="preserve">AR / Mfg American unemp</t>
  </si>
  <si>
    <t xml:space="preserve">P117</t>
  </si>
  <si>
    <t xml:space="preserve">UNEMP_RATE_MFG_AUTH</t>
  </si>
  <si>
    <t xml:space="preserve">AR / Mfg Authorized unemp</t>
  </si>
  <si>
    <t xml:space="preserve">P118</t>
  </si>
  <si>
    <t xml:space="preserve">UNEMP_RATE_MFG_UNAUTH</t>
  </si>
  <si>
    <t xml:space="preserve">AR / Mfg Unauthorized unemp</t>
  </si>
  <si>
    <t xml:space="preserve">P119</t>
  </si>
  <si>
    <t xml:space="preserve">UNEMP_RATE_TRANS_AMER</t>
  </si>
  <si>
    <t xml:space="preserve">AR / Trans American unemp</t>
  </si>
  <si>
    <t xml:space="preserve">P120</t>
  </si>
  <si>
    <t xml:space="preserve">UNEMP_RATE_TRANS_AUTH</t>
  </si>
  <si>
    <t xml:space="preserve">AR / Trans Authorized unemp</t>
  </si>
  <si>
    <t xml:space="preserve">P121</t>
  </si>
  <si>
    <t xml:space="preserve">UNEMP_RATE_TRANS_UNAUTH</t>
  </si>
  <si>
    <t xml:space="preserve">AR / Trans Unauthorized unemp</t>
  </si>
  <si>
    <t xml:space="preserve">P122</t>
  </si>
  <si>
    <t xml:space="preserve">UNEMP_RATE_RETAIL_AMER</t>
  </si>
  <si>
    <t xml:space="preserve">AR / Retail American unemp</t>
  </si>
  <si>
    <t xml:space="preserve">P123</t>
  </si>
  <si>
    <t xml:space="preserve">UNEMP_RATE_RETAIL_AUTH</t>
  </si>
  <si>
    <t xml:space="preserve">AR / Retail Authorized unemp</t>
  </si>
  <si>
    <t xml:space="preserve">P124</t>
  </si>
  <si>
    <t xml:space="preserve">UNEMP_RATE_RETAIL_UNAUTH</t>
  </si>
  <si>
    <t xml:space="preserve">AR / Retail Unauthorized unemp</t>
  </si>
  <si>
    <t xml:space="preserve">P125</t>
  </si>
  <si>
    <t xml:space="preserve">UNEMP_RATE_LAND_AMER</t>
  </si>
  <si>
    <t xml:space="preserve">AR / Land American unemp</t>
  </si>
  <si>
    <t xml:space="preserve">P126</t>
  </si>
  <si>
    <t xml:space="preserve">UNEMP_RATE_LAND_AUTH</t>
  </si>
  <si>
    <t xml:space="preserve">AR / Land Authorized unemp</t>
  </si>
  <si>
    <t xml:space="preserve">P127</t>
  </si>
  <si>
    <t xml:space="preserve">UNEMP_RATE_LAND_UNAUTH</t>
  </si>
  <si>
    <t xml:space="preserve">AR / Land Unauthorized unemp</t>
  </si>
  <si>
    <t xml:space="preserve">P128</t>
  </si>
  <si>
    <t xml:space="preserve">UNEMP_RATE_AUTO_AMER</t>
  </si>
  <si>
    <t xml:space="preserve">AR / Auto American unemp</t>
  </si>
  <si>
    <t xml:space="preserve">P129</t>
  </si>
  <si>
    <t xml:space="preserve">UNEMP_RATE_AUTO_AUTH</t>
  </si>
  <si>
    <t xml:space="preserve">AR / Auto Authorized unemp</t>
  </si>
  <si>
    <t xml:space="preserve">P130</t>
  </si>
  <si>
    <t xml:space="preserve">UNEMP_RATE_AUTO_UNAUTH</t>
  </si>
  <si>
    <t xml:space="preserve">AR / Auto Unauthorized unemp</t>
  </si>
  <si>
    <t xml:space="preserve">P131</t>
  </si>
  <si>
    <t xml:space="preserve">UNEMP_RATE_OTHER_AMER</t>
  </si>
  <si>
    <t xml:space="preserve">AR / Other American unemp</t>
  </si>
  <si>
    <t xml:space="preserve">P132</t>
  </si>
  <si>
    <t xml:space="preserve">UNEMP_RATE_OTHER_AUTH</t>
  </si>
  <si>
    <t xml:space="preserve">AR / Other Authorized unemp</t>
  </si>
  <si>
    <t xml:space="preserve">P133</t>
  </si>
  <si>
    <t xml:space="preserve">UNEMP_RATE_OTHER_UNAUTH</t>
  </si>
  <si>
    <t xml:space="preserve">AR / Other Unauthorized unemp</t>
  </si>
  <si>
    <t xml:space="preserve">P134</t>
  </si>
  <si>
    <t xml:space="preserve">UNEMP_RATE_HEALTH_AMER</t>
  </si>
  <si>
    <t xml:space="preserve">AR / Health American unemp</t>
  </si>
  <si>
    <t xml:space="preserve">P135</t>
  </si>
  <si>
    <t xml:space="preserve">UNEMP_RATE_HEALTH_AUTH</t>
  </si>
  <si>
    <t xml:space="preserve">AR / Health Authorized unemp</t>
  </si>
  <si>
    <t xml:space="preserve">P136</t>
  </si>
  <si>
    <t xml:space="preserve">UNEMP_RATE_HEALTH_UNAUTH</t>
  </si>
  <si>
    <t xml:space="preserve">AR / Health Unauthorized unemp</t>
  </si>
  <si>
    <t xml:space="preserve">P137</t>
  </si>
  <si>
    <t xml:space="preserve">UNEMP_RATE_PROF_AMER</t>
  </si>
  <si>
    <t xml:space="preserve">AR / Prof American unemp</t>
  </si>
  <si>
    <t xml:space="preserve">P138</t>
  </si>
  <si>
    <t xml:space="preserve">UNEMP_RATE_PROF_AUTH</t>
  </si>
  <si>
    <t xml:space="preserve">AR / Prof Authorized unemp</t>
  </si>
  <si>
    <t xml:space="preserve">P139</t>
  </si>
  <si>
    <t xml:space="preserve">UNEMP_RATE_PROF_UNAUTH</t>
  </si>
  <si>
    <t xml:space="preserve">AR / Prof Unauthorized unemp</t>
  </si>
  <si>
    <t xml:space="preserve">P140</t>
  </si>
  <si>
    <t xml:space="preserve">UNEMP_RATE_EDU_AMER</t>
  </si>
  <si>
    <t xml:space="preserve">AR / Edu American unemp</t>
  </si>
  <si>
    <t xml:space="preserve">P141</t>
  </si>
  <si>
    <t xml:space="preserve">UNEMP_RATE_EDU_AUTH</t>
  </si>
  <si>
    <t xml:space="preserve">AR / Edu Authorized unemp</t>
  </si>
  <si>
    <t xml:space="preserve">P142</t>
  </si>
  <si>
    <t xml:space="preserve">UNEMP_RATE_EDU_UNAUTH</t>
  </si>
  <si>
    <t xml:space="preserve">AR / Edu Unauthorized unemp</t>
  </si>
  <si>
    <t xml:space="preserve">P143</t>
  </si>
  <si>
    <t xml:space="preserve">UNEMP_RATE_FIN_AMER</t>
  </si>
  <si>
    <t xml:space="preserve">AR / Fin American unemp</t>
  </si>
  <si>
    <t xml:space="preserve">P144</t>
  </si>
  <si>
    <t xml:space="preserve">UNEMP_RATE_FIN_AUTH</t>
  </si>
  <si>
    <t xml:space="preserve">AR / Fin Authorized unemp</t>
  </si>
  <si>
    <t xml:space="preserve">P145</t>
  </si>
  <si>
    <t xml:space="preserve">UNEMP_RATE_FIN_UNAUTH</t>
  </si>
  <si>
    <t xml:space="preserve">AR / Fin Unauthorized unemp</t>
  </si>
  <si>
    <t xml:space="preserve">P146</t>
  </si>
  <si>
    <t xml:space="preserve">UNEMP_RATE_MEDIA_AMER</t>
  </si>
  <si>
    <t xml:space="preserve">AR / Media American unemp</t>
  </si>
  <si>
    <t xml:space="preserve">P147</t>
  </si>
  <si>
    <t xml:space="preserve">UNEMP_RATE_MEDIA_AUTH</t>
  </si>
  <si>
    <t xml:space="preserve">AR / Media Authorized unemp</t>
  </si>
  <si>
    <t xml:space="preserve">P148</t>
  </si>
  <si>
    <t xml:space="preserve">UNEMP_RATE_MEDIA_UNAUTH</t>
  </si>
  <si>
    <t xml:space="preserve">AR / Media Unauthorized unemp</t>
  </si>
  <si>
    <t xml:space="preserve">P149</t>
  </si>
  <si>
    <t xml:space="preserve">UNEMP_RATE_GOVT_AMER</t>
  </si>
  <si>
    <t xml:space="preserve">AR / Govt American unemp</t>
  </si>
  <si>
    <t xml:space="preserve">Scaled for public sector</t>
  </si>
  <si>
    <t xml:space="preserve">P150</t>
  </si>
  <si>
    <t xml:space="preserve">UNEMP_RATE_GOVT_AUTH</t>
  </si>
  <si>
    <t xml:space="preserve">AR / Govt Authorized unemp</t>
  </si>
  <si>
    <t xml:space="preserve">P151</t>
  </si>
  <si>
    <t xml:space="preserve">UNEMP_RATE_GOVT_UNAUTH</t>
  </si>
  <si>
    <t xml:space="preserve">AR / Govt Unauthorized unemp</t>
  </si>
  <si>
    <t xml:space="preserve">P152</t>
  </si>
  <si>
    <t xml:space="preserve">UNEMP_RATE_SELF_AMER</t>
  </si>
  <si>
    <t xml:space="preserve">AR / Self-employed American unemp</t>
  </si>
  <si>
    <t xml:space="preserve">Proxy (lower than payroll)</t>
  </si>
  <si>
    <t xml:space="preserve">P153</t>
  </si>
  <si>
    <t xml:space="preserve">UNEMP_RATE_SELF_AUTH</t>
  </si>
  <si>
    <t xml:space="preserve">AR / Self-employed Authorized unemp</t>
  </si>
  <si>
    <t xml:space="preserve">P154</t>
  </si>
  <si>
    <t xml:space="preserve">UNEMP_RATE_SELF_UNAUTH</t>
  </si>
  <si>
    <t xml:space="preserve">AR / Self-employed Unauthorized unemp</t>
  </si>
  <si>
    <t xml:space="preserve">P200</t>
  </si>
  <si>
    <t xml:space="preserve">U6_BASE_AR</t>
  </si>
  <si>
    <t xml:space="preserve">AR / Overall U-6 base</t>
  </si>
  <si>
    <t xml:space="preserve">FRED Q3 2025</t>
  </si>
  <si>
    <t xml:space="preserve">P201</t>
  </si>
  <si>
    <t xml:space="preserve">UNDEREMP_RATIO_AMER</t>
  </si>
  <si>
    <t xml:space="preserve">AR / American underemp ratio</t>
  </si>
  <si>
    <t xml:space="preserve">Adj.</t>
  </si>
  <si>
    <t xml:space="preserve">P202</t>
  </si>
  <si>
    <t xml:space="preserve">UNDEREMP_RATIO_AUTH</t>
  </si>
  <si>
    <t xml:space="preserve">AR / Authorized underemp ratio</t>
  </si>
  <si>
    <t xml:space="preserve">P203</t>
  </si>
  <si>
    <t xml:space="preserve">UNDEREMP_RATIO_UNAUTH</t>
  </si>
  <si>
    <t xml:space="preserve">AR / Unauthorized underemp ratio</t>
  </si>
  <si>
    <t xml:space="preserve">P204</t>
  </si>
  <si>
    <t xml:space="preserve">UNDEREMP_RATIO_AG</t>
  </si>
  <si>
    <t xml:space="preserve">AR / Ag underemp ratio</t>
  </si>
  <si>
    <t xml:space="preserve">Higher</t>
  </si>
  <si>
    <t xml:space="preserve">P205</t>
  </si>
  <si>
    <t xml:space="preserve">UNDEREMP_RATIO_CONSTR</t>
  </si>
  <si>
    <t xml:space="preserve">AR / Constr ratio</t>
  </si>
  <si>
    <t xml:space="preserve">P206</t>
  </si>
  <si>
    <t xml:space="preserve">UNDEREMP_RATIO_HOSP</t>
  </si>
  <si>
    <t xml:space="preserve">AR / Hosp ratio</t>
  </si>
  <si>
    <t xml:space="preserve">P207</t>
  </si>
  <si>
    <t xml:space="preserve">UNDEREMP_RATIO_CLEAN</t>
  </si>
  <si>
    <t xml:space="preserve">AR / Clean ratio</t>
  </si>
  <si>
    <t xml:space="preserve">P208</t>
  </si>
  <si>
    <t xml:space="preserve">UNDEREMP_RATIO_MFG</t>
  </si>
  <si>
    <t xml:space="preserve">AR / Mfg ratio</t>
  </si>
  <si>
    <t xml:space="preserve">P209</t>
  </si>
  <si>
    <t xml:space="preserve">UNDEREMP_RATIO_TRANS</t>
  </si>
  <si>
    <t xml:space="preserve">AR / Trans ratio</t>
  </si>
  <si>
    <t xml:space="preserve">P210</t>
  </si>
  <si>
    <t xml:space="preserve">UNDEREMP_RATIO_RETAIL</t>
  </si>
  <si>
    <t xml:space="preserve">AR / Retail ratio</t>
  </si>
  <si>
    <t xml:space="preserve">P211</t>
  </si>
  <si>
    <t xml:space="preserve">UNDEREMP_RATIO_LAND</t>
  </si>
  <si>
    <t xml:space="preserve">AR / Land ratio</t>
  </si>
  <si>
    <t xml:space="preserve">P212</t>
  </si>
  <si>
    <t xml:space="preserve">UNDEREMP_RATIO_AUTO</t>
  </si>
  <si>
    <t xml:space="preserve">AR / Auto ratio</t>
  </si>
  <si>
    <t xml:space="preserve">P213</t>
  </si>
  <si>
    <t xml:space="preserve">UNDEREMP_RATIO_OTHER</t>
  </si>
  <si>
    <t xml:space="preserve">AR / Other ratio</t>
  </si>
  <si>
    <t xml:space="preserve">P214</t>
  </si>
  <si>
    <t xml:space="preserve">UNDEREMP_RATIO_HEALTH</t>
  </si>
  <si>
    <t xml:space="preserve">AR / Health ratio</t>
  </si>
  <si>
    <t xml:space="preserve">P215</t>
  </si>
  <si>
    <t xml:space="preserve">UNDEREMP_RATIO_PROF</t>
  </si>
  <si>
    <t xml:space="preserve">AR / Prof ratio</t>
  </si>
  <si>
    <t xml:space="preserve">P216</t>
  </si>
  <si>
    <t xml:space="preserve">UNDEREMP_RATIO_EDU</t>
  </si>
  <si>
    <t xml:space="preserve">AR / Edu ratio</t>
  </si>
  <si>
    <t xml:space="preserve">P217</t>
  </si>
  <si>
    <t xml:space="preserve">UNDEREMP_RATIO_FIN</t>
  </si>
  <si>
    <t xml:space="preserve">AR / Fin ratio</t>
  </si>
  <si>
    <t xml:space="preserve">P218</t>
  </si>
  <si>
    <t xml:space="preserve">UNDEREMP_RATIO_MEDIA</t>
  </si>
  <si>
    <t xml:space="preserve">AR / Media ratio</t>
  </si>
  <si>
    <t xml:space="preserve">P219</t>
  </si>
  <si>
    <t xml:space="preserve">UNDEREMP_RATIO_GOVT</t>
  </si>
  <si>
    <t xml:space="preserve">AR / Govt underemp ratio</t>
  </si>
  <si>
    <t xml:space="preserve">Lower in public sector</t>
  </si>
  <si>
    <t xml:space="preserve">P220</t>
  </si>
  <si>
    <t xml:space="preserve">UNDEREMP_RATIO_SELF</t>
  </si>
  <si>
    <t xml:space="preserve">AR / Self-employed underemp ratio</t>
  </si>
  <si>
    <t xml:space="preserve">Higher involuntary part-time</t>
  </si>
  <si>
    <t xml:space="preserve">P221</t>
  </si>
  <si>
    <t xml:space="preserve">UNDEREMP_RATIO_WORKER</t>
  </si>
  <si>
    <t xml:space="preserve">AR / Worker sub-role ratio</t>
  </si>
  <si>
    <t xml:space="preserve">P222</t>
  </si>
  <si>
    <t xml:space="preserve">UNDEREMP_RATIO_SUPPORT</t>
  </si>
  <si>
    <t xml:space="preserve">AR / Support sub-role ratio</t>
  </si>
  <si>
    <t xml:space="preserve">P300</t>
  </si>
  <si>
    <t xml:space="preserve">WAGE_MEAN_AG</t>
  </si>
  <si>
    <t xml:space="preserve">AR / Ag mean wage</t>
  </si>
  <si>
    <t xml:space="preserve">BLS OEWS</t>
  </si>
  <si>
    <t xml:space="preserve">P301</t>
  </si>
  <si>
    <t xml:space="preserve">WAGE_MEAN_CONSTR</t>
  </si>
  <si>
    <t xml:space="preserve">AR / Constr mean wage</t>
  </si>
  <si>
    <t xml:space="preserve">P302</t>
  </si>
  <si>
    <t xml:space="preserve">WAGE_MEAN_HOSP</t>
  </si>
  <si>
    <t xml:space="preserve">AR / Hosp mean wage</t>
  </si>
  <si>
    <t xml:space="preserve">P303</t>
  </si>
  <si>
    <t xml:space="preserve">WAGE_MEAN_CLEAN</t>
  </si>
  <si>
    <t xml:space="preserve">AR / Clean mean wage</t>
  </si>
  <si>
    <t xml:space="preserve">P304</t>
  </si>
  <si>
    <t xml:space="preserve">WAGE_MEAN_MFG</t>
  </si>
  <si>
    <t xml:space="preserve">AR / Mfg mean wage</t>
  </si>
  <si>
    <t xml:space="preserve">P305</t>
  </si>
  <si>
    <t xml:space="preserve">WAGE_MEAN_TRANS</t>
  </si>
  <si>
    <t xml:space="preserve">AR / Trans mean wage</t>
  </si>
  <si>
    <t xml:space="preserve">P306</t>
  </si>
  <si>
    <t xml:space="preserve">WAGE_MEAN_RETAIL</t>
  </si>
  <si>
    <t xml:space="preserve">AR / Retail mean wage</t>
  </si>
  <si>
    <t xml:space="preserve">P307</t>
  </si>
  <si>
    <t xml:space="preserve">WAGE_MEAN_LAND</t>
  </si>
  <si>
    <t xml:space="preserve">AR / Land mean wage</t>
  </si>
  <si>
    <t xml:space="preserve">P308</t>
  </si>
  <si>
    <t xml:space="preserve">WAGE_MEAN_AUTO</t>
  </si>
  <si>
    <t xml:space="preserve">AR / Auto mean wage</t>
  </si>
  <si>
    <t xml:space="preserve">P309</t>
  </si>
  <si>
    <t xml:space="preserve">WAGE_MEAN_OTHER</t>
  </si>
  <si>
    <t xml:space="preserve">AR / Other mean wage</t>
  </si>
  <si>
    <t xml:space="preserve">P310</t>
  </si>
  <si>
    <t xml:space="preserve">WAGE_MEAN_HEALTH</t>
  </si>
  <si>
    <t xml:space="preserve">AR / Health mean wage</t>
  </si>
  <si>
    <t xml:space="preserve">P311</t>
  </si>
  <si>
    <t xml:space="preserve">WAGE_MEAN_PROF</t>
  </si>
  <si>
    <t xml:space="preserve">AR / Prof mean wage</t>
  </si>
  <si>
    <t xml:space="preserve">P312</t>
  </si>
  <si>
    <t xml:space="preserve">WAGE_MEAN_EDU</t>
  </si>
  <si>
    <t xml:space="preserve">AR / Edu mean wage</t>
  </si>
  <si>
    <t xml:space="preserve">P313</t>
  </si>
  <si>
    <t xml:space="preserve">WAGE_MEAN_FIN</t>
  </si>
  <si>
    <t xml:space="preserve">AR / Fin mean wage</t>
  </si>
  <si>
    <t xml:space="preserve">P314</t>
  </si>
  <si>
    <t xml:space="preserve">WAGE_MEAN_MEDIA</t>
  </si>
  <si>
    <t xml:space="preserve">AR / Media mean wage</t>
  </si>
  <si>
    <t xml:space="preserve">P315</t>
  </si>
  <si>
    <t xml:space="preserve">WAGE_MEAN_GOVT</t>
  </si>
  <si>
    <t xml:space="preserve">AR / Govt mean wage</t>
  </si>
  <si>
    <t xml:space="preserve">BLS OEWS public admin</t>
  </si>
  <si>
    <t xml:space="preserve">P316</t>
  </si>
  <si>
    <t xml:space="preserve">WAGE_MEAN_SELF_AG</t>
  </si>
  <si>
    <t xml:space="preserve">AR / Self-employed Ag mean wage</t>
  </si>
  <si>
    <t xml:space="preserve">Lower than payroll</t>
  </si>
  <si>
    <t xml:space="preserve">P317</t>
  </si>
  <si>
    <t xml:space="preserve">WAGE_MEAN_SELF_CONSTR</t>
  </si>
  <si>
    <t xml:space="preserve">AR / Self-employed Constr mean wage</t>
  </si>
  <si>
    <t xml:space="preserve">P318</t>
  </si>
  <si>
    <t xml:space="preserve">WAGE_MEAN_SELF_HOSP</t>
  </si>
  <si>
    <t xml:space="preserve">AR / Self-employed Hosp mean wage</t>
  </si>
  <si>
    <t xml:space="preserve">P319</t>
  </si>
  <si>
    <t xml:space="preserve">WAGE_MEAN_SELF_CLEAN</t>
  </si>
  <si>
    <t xml:space="preserve">AR / Self-employed Clean mean wage</t>
  </si>
  <si>
    <t xml:space="preserve">P320</t>
  </si>
  <si>
    <t xml:space="preserve">WAGE_MEAN_SELF_MFG</t>
  </si>
  <si>
    <t xml:space="preserve">AR / Self-employed Mfg mean wage</t>
  </si>
  <si>
    <t xml:space="preserve">P321</t>
  </si>
  <si>
    <t xml:space="preserve">WAGE_MEAN_SELF_TRANS</t>
  </si>
  <si>
    <t xml:space="preserve">AR / Self-employed Trans mean wage</t>
  </si>
  <si>
    <t xml:space="preserve">P322</t>
  </si>
  <si>
    <t xml:space="preserve">WAGE_MEAN_SELF_RETAIL</t>
  </si>
  <si>
    <t xml:space="preserve">AR / Self-employed Retail mean wage</t>
  </si>
  <si>
    <t xml:space="preserve">P323</t>
  </si>
  <si>
    <t xml:space="preserve">WAGE_MEAN_SELF_LAND</t>
  </si>
  <si>
    <t xml:space="preserve">AR / Self-employed Land mean wage</t>
  </si>
  <si>
    <t xml:space="preserve">P324</t>
  </si>
  <si>
    <t xml:space="preserve">WAGE_MEAN_SELF_AUTO</t>
  </si>
  <si>
    <t xml:space="preserve">AR / Self-employed Auto mean wage</t>
  </si>
  <si>
    <t xml:space="preserve">P325</t>
  </si>
  <si>
    <t xml:space="preserve">WAGE_MEAN_SELF_OTHER</t>
  </si>
  <si>
    <t xml:space="preserve">AR / Self-employed Other mean wage</t>
  </si>
  <si>
    <t xml:space="preserve">P326</t>
  </si>
  <si>
    <t xml:space="preserve">WAGE_MEAN_SELF_HEALTH</t>
  </si>
  <si>
    <t xml:space="preserve">AR / Self-employed Health mean wage</t>
  </si>
  <si>
    <t xml:space="preserve">P327</t>
  </si>
  <si>
    <t xml:space="preserve">WAGE_MEAN_SELF_PROF</t>
  </si>
  <si>
    <t xml:space="preserve">AR / Self-employed Prof mean wage</t>
  </si>
  <si>
    <t xml:space="preserve">P328</t>
  </si>
  <si>
    <t xml:space="preserve">WAGE_MEAN_SELF_EDU</t>
  </si>
  <si>
    <t xml:space="preserve">AR / Self-employed Edu mean wage</t>
  </si>
  <si>
    <t xml:space="preserve">P329</t>
  </si>
  <si>
    <t xml:space="preserve">WAGE_MEAN_SELF_FIN</t>
  </si>
  <si>
    <t xml:space="preserve">AR / Self-employed Fin mean wage</t>
  </si>
  <si>
    <t xml:space="preserve">P330</t>
  </si>
  <si>
    <t xml:space="preserve">WAGE_MEAN_SELF_MEDIA</t>
  </si>
  <si>
    <t xml:space="preserve">AR / Self-employed Media mean wage</t>
  </si>
  <si>
    <t xml:space="preserve">P331</t>
  </si>
  <si>
    <t xml:space="preserve">WAGE_MEAN_SELF_GOVT</t>
  </si>
  <si>
    <t xml:space="preserve">AR / Self-employed Govt mean wage</t>
  </si>
  <si>
    <t xml:space="preserve">Negligible</t>
  </si>
  <si>
    <t xml:space="preserve">P340</t>
  </si>
  <si>
    <t xml:space="preserve">UNDERREPORT_AMER</t>
  </si>
  <si>
    <t xml:space="preserve">AR / American underreport</t>
  </si>
  <si>
    <t xml:space="preserve">Full</t>
  </si>
  <si>
    <t xml:space="preserve">P341</t>
  </si>
  <si>
    <t xml:space="preserve">UNDERREPORT_AUTH</t>
  </si>
  <si>
    <t xml:space="preserve">AR / Authorized underreport</t>
  </si>
  <si>
    <t xml:space="preserve">P342</t>
  </si>
  <si>
    <t xml:space="preserve">UNDERREPORT_UNAUTH</t>
  </si>
  <si>
    <t xml:space="preserve">AR / Unauthorized underreport</t>
  </si>
  <si>
    <t xml:space="preserve">ITEP est.</t>
  </si>
  <si>
    <t xml:space="preserve">P343</t>
  </si>
  <si>
    <t xml:space="preserve">UNDERREPORT_SELF_AMER</t>
  </si>
  <si>
    <t xml:space="preserve">AR / Self-employed American underreport</t>
  </si>
  <si>
    <t xml:space="preserve">Higher due to Schedule C</t>
  </si>
  <si>
    <t xml:space="preserve">P344</t>
  </si>
  <si>
    <t xml:space="preserve">UNDERREPORT_SELF_AUTH</t>
  </si>
  <si>
    <t xml:space="preserve">AR / Self-employed Authorized underreport</t>
  </si>
  <si>
    <t xml:space="preserve">P345</t>
  </si>
  <si>
    <t xml:space="preserve">UNDERREPORT_SELF_UNAUTH</t>
  </si>
  <si>
    <t xml:space="preserve">AR / Self-employed Unauthorized underreport</t>
  </si>
  <si>
    <t xml:space="preserve">Very high</t>
  </si>
  <si>
    <t xml:space="preserve">P350</t>
  </si>
  <si>
    <t xml:space="preserve">WAGE_MIN_RATIO</t>
  </si>
  <si>
    <t xml:space="preserve">AR / Min wage ratio to mean (10th percentile approx.)</t>
  </si>
  <si>
    <t xml:space="preserve">P351</t>
  </si>
  <si>
    <t xml:space="preserve">WAGE_MAX_RATIO</t>
  </si>
  <si>
    <t xml:space="preserve">AR / Max wage ratio to mean (90th percentile approx.)</t>
  </si>
  <si>
    <t xml:space="preserve">P352</t>
  </si>
  <si>
    <t xml:space="preserve">SUPPORT_ROLE_RATIO</t>
  </si>
  <si>
    <t xml:space="preserve">AR / Support role multiplier for wages/LFPR/underemp</t>
  </si>
  <si>
    <t xml:space="preserve">Adj. for lower-skilled support roles</t>
  </si>
  <si>
    <t xml:space="preserve">P353</t>
  </si>
  <si>
    <t xml:space="preserve">WAGE_INFLATION_2025</t>
  </si>
  <si>
    <t xml:space="preserve">AR / Wage inflation adj. for 2025</t>
  </si>
  <si>
    <t xml:space="preserve">BLS CPI proj. (~3% yoy)</t>
  </si>
  <si>
    <t xml:space="preserve">P354</t>
  </si>
  <si>
    <t xml:space="preserve">SELF_WAGE_DISCOUNT</t>
  </si>
  <si>
    <t xml:space="preserve">AR / Self-employed wage discount vs. payroll</t>
  </si>
  <si>
    <t xml:space="preserve">Median lower</t>
  </si>
  <si>
    <t xml:space="preserve">P400</t>
  </si>
  <si>
    <t xml:space="preserve">LFPR_OVERALL</t>
  </si>
  <si>
    <t xml:space="preserve">AR / Overall LFPR</t>
  </si>
  <si>
    <t xml:space="preserve">BLS CPS / state report Dec 2025</t>
  </si>
  <si>
    <t xml:space="preserve">P401</t>
  </si>
  <si>
    <t xml:space="preserve">LFPR_AMER</t>
  </si>
  <si>
    <t xml:space="preserve">AR / American LFPR</t>
  </si>
  <si>
    <t xml:space="preserve">P402</t>
  </si>
  <si>
    <t xml:space="preserve">LFPR_AUTH</t>
  </si>
  <si>
    <t xml:space="preserve">AR / Authorized LFPR</t>
  </si>
  <si>
    <t xml:space="preserve">P403</t>
  </si>
  <si>
    <t xml:space="preserve">LFPR_UNAUTH</t>
  </si>
  <si>
    <t xml:space="preserve">AR / Unauthorized LFPR</t>
  </si>
  <si>
    <t xml:space="preserve">P404</t>
  </si>
  <si>
    <t xml:space="preserve">LFPR_SELF_AMER</t>
  </si>
  <si>
    <t xml:space="preserve">AR / Self-employed American LFPR</t>
  </si>
  <si>
    <t xml:space="preserve">Higher persistence</t>
  </si>
  <si>
    <t xml:space="preserve">P405</t>
  </si>
  <si>
    <t xml:space="preserve">LFPR_SELF_AUTH</t>
  </si>
  <si>
    <t xml:space="preserve">AR / Self-employed Authorized LFPR</t>
  </si>
  <si>
    <t xml:space="preserve">P406</t>
  </si>
  <si>
    <t xml:space="preserve">LFPR_SELF_UNAUTH</t>
  </si>
  <si>
    <t xml:space="preserve">AR / Self-employed Unauthorized LFPR</t>
  </si>
  <si>
    <t xml:space="preserve">P407</t>
  </si>
  <si>
    <t xml:space="preserve">LFPR_RATIO_AG</t>
  </si>
  <si>
    <t xml:space="preserve">AR / LFPR industry ratio Ag</t>
  </si>
  <si>
    <t xml:space="preserve">P408</t>
  </si>
  <si>
    <t xml:space="preserve">LFPR_RATIO_CONSTR</t>
  </si>
  <si>
    <t xml:space="preserve">AR / Constr</t>
  </si>
  <si>
    <t xml:space="preserve">P409</t>
  </si>
  <si>
    <t xml:space="preserve">LFPR_RATIO_HOSP</t>
  </si>
  <si>
    <t xml:space="preserve">AR / Hosp</t>
  </si>
  <si>
    <t xml:space="preserve">P410</t>
  </si>
  <si>
    <t xml:space="preserve">LFPR_RATIO_CLEAN</t>
  </si>
  <si>
    <t xml:space="preserve">AR / Clean</t>
  </si>
  <si>
    <t xml:space="preserve">P411</t>
  </si>
  <si>
    <t xml:space="preserve">LFPR_RATIO_MFG</t>
  </si>
  <si>
    <t xml:space="preserve">AR / Mfg</t>
  </si>
  <si>
    <t xml:space="preserve">P412</t>
  </si>
  <si>
    <t xml:space="preserve">LFPR_RATIO_TRANS</t>
  </si>
  <si>
    <t xml:space="preserve">AR / Trans</t>
  </si>
  <si>
    <t xml:space="preserve">P413</t>
  </si>
  <si>
    <t xml:space="preserve">LFPR_RATIO_RETAIL</t>
  </si>
  <si>
    <t xml:space="preserve">AR / Retail</t>
  </si>
  <si>
    <t xml:space="preserve">P414</t>
  </si>
  <si>
    <t xml:space="preserve">LFPR_RATIO_LAND</t>
  </si>
  <si>
    <t xml:space="preserve">AR / Land</t>
  </si>
  <si>
    <t xml:space="preserve">P415</t>
  </si>
  <si>
    <t xml:space="preserve">LFPR_RATIO_AUTO</t>
  </si>
  <si>
    <t xml:space="preserve">AR / Auto</t>
  </si>
  <si>
    <t xml:space="preserve">P416</t>
  </si>
  <si>
    <t xml:space="preserve">LFPR_RATIO_OTHER</t>
  </si>
  <si>
    <t xml:space="preserve">AR / Other</t>
  </si>
  <si>
    <t xml:space="preserve">P417</t>
  </si>
  <si>
    <t xml:space="preserve">LFPR_RATIO_HEALTH</t>
  </si>
  <si>
    <t xml:space="preserve">AR / Health</t>
  </si>
  <si>
    <t xml:space="preserve">P418</t>
  </si>
  <si>
    <t xml:space="preserve">LFPR_RATIO_PROF</t>
  </si>
  <si>
    <t xml:space="preserve">AR / Prof</t>
  </si>
  <si>
    <t xml:space="preserve">P419</t>
  </si>
  <si>
    <t xml:space="preserve">LFPR_RATIO_EDU</t>
  </si>
  <si>
    <t xml:space="preserve">AR / Edu</t>
  </si>
  <si>
    <t xml:space="preserve">P420</t>
  </si>
  <si>
    <t xml:space="preserve">LFPR_RATIO_FIN</t>
  </si>
  <si>
    <t xml:space="preserve">AR / Fin</t>
  </si>
  <si>
    <t xml:space="preserve">P421</t>
  </si>
  <si>
    <t xml:space="preserve">LFPR_RATIO_MEDIA</t>
  </si>
  <si>
    <t xml:space="preserve">AR / Media</t>
  </si>
  <si>
    <t xml:space="preserve">P422</t>
  </si>
  <si>
    <t xml:space="preserve">LFPR_RATIO_GOVT</t>
  </si>
  <si>
    <t xml:space="preserve">AR / Govt</t>
  </si>
  <si>
    <t xml:space="preserve">P423</t>
  </si>
  <si>
    <t xml:space="preserve">LFPR_RATIO_SELF</t>
  </si>
  <si>
    <t xml:space="preserve">AR / Self-employed LFPR multiplier</t>
  </si>
  <si>
    <t xml:space="preserve">P424</t>
  </si>
  <si>
    <t xml:space="preserve">PAYROLL_RATE_AMER</t>
  </si>
  <si>
    <t xml:space="preserve">AR / American payroll rate</t>
  </si>
  <si>
    <t xml:space="preserve">P425</t>
  </si>
  <si>
    <t xml:space="preserve">PAYROLL_RATE_AUTH</t>
  </si>
  <si>
    <t xml:space="preserve">AR / Authorized payroll rate</t>
  </si>
  <si>
    <t xml:space="preserve">P426</t>
  </si>
  <si>
    <t xml:space="preserve">PAYROLL_RATE_UNAUTH</t>
  </si>
  <si>
    <t xml:space="preserve">AR / Unauthorized payroll rate</t>
  </si>
  <si>
    <t xml:space="preserve">Partial</t>
  </si>
  <si>
    <t xml:space="preserve">P427</t>
  </si>
  <si>
    <t xml:space="preserve">PAYROLL_RATE_SELF_AMER</t>
  </si>
  <si>
    <t xml:space="preserve">AR / Self-employed American payroll rate</t>
  </si>
  <si>
    <t xml:space="preserve">15.3% self-employment tax</t>
  </si>
  <si>
    <t xml:space="preserve">P428</t>
  </si>
  <si>
    <t xml:space="preserve">PAYROLL_RATE_SELF_AUTH</t>
  </si>
  <si>
    <t xml:space="preserve">AR / Self-employed Authorized payroll rate</t>
  </si>
  <si>
    <t xml:space="preserve">P429</t>
  </si>
  <si>
    <t xml:space="preserve">PAYROLL_RATE_SELF_UNAUTH</t>
  </si>
  <si>
    <t xml:space="preserve">AR / Self-employed Unauthorized payroll rate</t>
  </si>
  <si>
    <t xml:space="preserve">Low compliance</t>
  </si>
  <si>
    <t xml:space="preserve">P430</t>
  </si>
  <si>
    <t xml:space="preserve">EMPLOYER_MATCH_RATIO</t>
  </si>
  <si>
    <t xml:space="preserve">AR / Employer FICA match</t>
  </si>
  <si>
    <t xml:space="preserve">For payroll</t>
  </si>
  <si>
    <t xml:space="preserve">P431</t>
  </si>
  <si>
    <t xml:space="preserve">EMPLOYER_MATCH_SELF</t>
  </si>
  <si>
    <t xml:space="preserve">AR / Employer match for self-employed</t>
  </si>
  <si>
    <t xml:space="preserve">None</t>
  </si>
  <si>
    <t xml:space="preserve">P432</t>
  </si>
  <si>
    <t xml:space="preserve">COMPLIANCE_ADJ_AMER</t>
  </si>
  <si>
    <t xml:space="preserve">AR / American compliance adj</t>
  </si>
  <si>
    <t xml:space="preserve">P433</t>
  </si>
  <si>
    <t xml:space="preserve">COMPLIANCE_ADJ_AUTH</t>
  </si>
  <si>
    <t xml:space="preserve">AR / Authorized compliance adj</t>
  </si>
  <si>
    <t xml:space="preserve">P434</t>
  </si>
  <si>
    <t xml:space="preserve">COMPLIANCE_ADJ_UNAUTH</t>
  </si>
  <si>
    <t xml:space="preserve">AR / Unauthorized compliance adj</t>
  </si>
  <si>
    <t xml:space="preserve">P435</t>
  </si>
  <si>
    <t xml:space="preserve">COMPLIANCE_ADJ_SELF_AMER</t>
  </si>
  <si>
    <t xml:space="preserve">AR / Self-employed American compliance adj</t>
  </si>
  <si>
    <t xml:space="preserve">P436</t>
  </si>
  <si>
    <t xml:space="preserve">COMPLIANCE_ADJ_SELF_AUTH</t>
  </si>
  <si>
    <t xml:space="preserve">AR / Self-employed Authorized compliance adj</t>
  </si>
  <si>
    <t xml:space="preserve">P437</t>
  </si>
  <si>
    <t xml:space="preserve">COMPLIANCE_ADJ_SELF_UNAUTH</t>
  </si>
  <si>
    <t xml:space="preserve">AR / Self-employed Unauthorized compliance adj</t>
  </si>
  <si>
    <t xml:space="preserve">Very low</t>
  </si>
  <si>
    <t xml:space="preserve">P438</t>
  </si>
  <si>
    <t xml:space="preserve">TAX_ADJ_AG</t>
  </si>
  <si>
    <t xml:space="preserve">AR / Tax industry adj Ag</t>
  </si>
  <si>
    <t xml:space="preserve">Lower income</t>
  </si>
  <si>
    <t xml:space="preserve">P439</t>
  </si>
  <si>
    <t xml:space="preserve">TAX_ADJ_CONSTR</t>
  </si>
  <si>
    <t xml:space="preserve">AR / Constr adj</t>
  </si>
  <si>
    <t xml:space="preserve">Avg</t>
  </si>
  <si>
    <t xml:space="preserve">P440</t>
  </si>
  <si>
    <t xml:space="preserve">TAX_ADJ_HOSP</t>
  </si>
  <si>
    <t xml:space="preserve">AR / Hosp adj</t>
  </si>
  <si>
    <t xml:space="preserve">P441</t>
  </si>
  <si>
    <t xml:space="preserve">TAX_ADJ_CLEAN</t>
  </si>
  <si>
    <t xml:space="preserve">AR / Clean adj</t>
  </si>
  <si>
    <t xml:space="preserve">Low</t>
  </si>
  <si>
    <t xml:space="preserve">P442</t>
  </si>
  <si>
    <t xml:space="preserve">TAX_ADJ_MFG</t>
  </si>
  <si>
    <t xml:space="preserve">AR / Mfg adj</t>
  </si>
  <si>
    <t xml:space="preserve">P443</t>
  </si>
  <si>
    <t xml:space="preserve">TAX_ADJ_TRANS</t>
  </si>
  <si>
    <t xml:space="preserve">AR / Trans adj</t>
  </si>
  <si>
    <t xml:space="preserve">P444</t>
  </si>
  <si>
    <t xml:space="preserve">TAX_ADJ_RETAIL</t>
  </si>
  <si>
    <t xml:space="preserve">AR / Retail adj</t>
  </si>
  <si>
    <t xml:space="preserve">P445</t>
  </si>
  <si>
    <t xml:space="preserve">TAX_ADJ_LAND</t>
  </si>
  <si>
    <t xml:space="preserve">AR / Land adj</t>
  </si>
  <si>
    <t xml:space="preserve">P446</t>
  </si>
  <si>
    <t xml:space="preserve">TAX_ADJ_AUTO</t>
  </si>
  <si>
    <t xml:space="preserve">AR / Auto adj</t>
  </si>
  <si>
    <t xml:space="preserve">P447</t>
  </si>
  <si>
    <t xml:space="preserve">TAX_ADJ_OTHER</t>
  </si>
  <si>
    <t xml:space="preserve">AR / Other adj</t>
  </si>
  <si>
    <t xml:space="preserve">P448</t>
  </si>
  <si>
    <t xml:space="preserve">TAX_ADJ_HEALTH</t>
  </si>
  <si>
    <t xml:space="preserve">AR / Health adj</t>
  </si>
  <si>
    <t xml:space="preserve">P449</t>
  </si>
  <si>
    <t xml:space="preserve">TAX_ADJ_PROF</t>
  </si>
  <si>
    <t xml:space="preserve">AR / Prof adj</t>
  </si>
  <si>
    <t xml:space="preserve">High income</t>
  </si>
  <si>
    <t xml:space="preserve">P450</t>
  </si>
  <si>
    <t xml:space="preserve">TAX_ADJ_EDU</t>
  </si>
  <si>
    <t xml:space="preserve">AR / Edu adj</t>
  </si>
  <si>
    <t xml:space="preserve">P451</t>
  </si>
  <si>
    <t xml:space="preserve">TAX_ADJ_FIN</t>
  </si>
  <si>
    <t xml:space="preserve">AR / Fin adj</t>
  </si>
  <si>
    <t xml:space="preserve">High</t>
  </si>
  <si>
    <t xml:space="preserve">P452</t>
  </si>
  <si>
    <t xml:space="preserve">TAX_ADJ_MEDIA</t>
  </si>
  <si>
    <t xml:space="preserve">AR / Media adj</t>
  </si>
  <si>
    <t xml:space="preserve">Moderate high</t>
  </si>
  <si>
    <t xml:space="preserve">P453</t>
  </si>
  <si>
    <t xml:space="preserve">TAX_ADJ_GOVT</t>
  </si>
  <si>
    <t xml:space="preserve">AR / Govt adj</t>
  </si>
  <si>
    <t xml:space="preserve">P454</t>
  </si>
  <si>
    <t xml:space="preserve">TAX_ADJ_SELF</t>
  </si>
  <si>
    <t xml:space="preserve">AR / Self-employed tax adj</t>
  </si>
  <si>
    <t xml:space="preserve">Business deductions lower effective rate</t>
  </si>
  <si>
    <t xml:space="preserve">P455</t>
  </si>
  <si>
    <t xml:space="preserve">FED_TAX_BASE_RATE</t>
  </si>
  <si>
    <t xml:space="preserve">AR / Base federal income tax rate (effective avg.)</t>
  </si>
  <si>
    <t xml:space="preserve">IRS SOI avg. for mid-income brackets</t>
  </si>
  <si>
    <t xml:space="preserve">P500</t>
  </si>
  <si>
    <t xml:space="preserve">UNAUTH_COMPLIANCE_ADJ</t>
  </si>
  <si>
    <t xml:space="preserve">AR / Unauthorized fed compliance</t>
  </si>
  <si>
    <t xml:space="preserve">TIGTA/ITIN filing rates</t>
  </si>
  <si>
    <t xml:space="preserve">P501</t>
  </si>
  <si>
    <t xml:space="preserve">DEPENDENTS_AVG_AMER</t>
  </si>
  <si>
    <t xml:space="preserve">AR / Avg dependents American</t>
  </si>
  <si>
    <t xml:space="preserve">Census CPS AR data.</t>
  </si>
  <si>
    <t xml:space="preserve">P502</t>
  </si>
  <si>
    <t xml:space="preserve">DEPENDENTS_AVG_AUTH</t>
  </si>
  <si>
    <t xml:space="preserve">AR / Authorized</t>
  </si>
  <si>
    <t xml:space="preserve">Higher family size.</t>
  </si>
  <si>
    <t xml:space="preserve">P503</t>
  </si>
  <si>
    <t xml:space="preserve">DEPENDENTS_AVG_UNAUTH</t>
  </si>
  <si>
    <t xml:space="preserve">AR / Unauthorized</t>
  </si>
  <si>
    <t xml:space="preserve">MPI AR est.</t>
  </si>
  <si>
    <t xml:space="preserve">P504</t>
  </si>
  <si>
    <t xml:space="preserve">EDUCATION_RATIO_AG</t>
  </si>
  <si>
    <t xml:space="preserve">AR / Ed level ratio Ag</t>
  </si>
  <si>
    <t xml:space="preserve">Low ed for AOTC</t>
  </si>
  <si>
    <t xml:space="preserve">P505</t>
  </si>
  <si>
    <t xml:space="preserve">EDUCATION_RATIO_CONSTR</t>
  </si>
  <si>
    <t xml:space="preserve">P506</t>
  </si>
  <si>
    <t xml:space="preserve">EDUCATION_RATIO_HOSP</t>
  </si>
  <si>
    <t xml:space="preserve">P507</t>
  </si>
  <si>
    <t xml:space="preserve">EDUCATION_RATIO_CLEAN</t>
  </si>
  <si>
    <t xml:space="preserve">P508</t>
  </si>
  <si>
    <t xml:space="preserve">EDUCATION_RATIO_MFG</t>
  </si>
  <si>
    <t xml:space="preserve">P509</t>
  </si>
  <si>
    <t xml:space="preserve">EDUCATION_RATIO_TRANS</t>
  </si>
  <si>
    <t xml:space="preserve">P510</t>
  </si>
  <si>
    <t xml:space="preserve">EDUCATION_RATIO_RETAIL</t>
  </si>
  <si>
    <t xml:space="preserve">P511</t>
  </si>
  <si>
    <t xml:space="preserve">EDUCATION_RATIO_LAND</t>
  </si>
  <si>
    <t xml:space="preserve">P512</t>
  </si>
  <si>
    <t xml:space="preserve">EDUCATION_RATIO_AUTO</t>
  </si>
  <si>
    <t xml:space="preserve">P513</t>
  </si>
  <si>
    <t xml:space="preserve">EDUCATION_RATIO_OTHER</t>
  </si>
  <si>
    <t xml:space="preserve">P514</t>
  </si>
  <si>
    <t xml:space="preserve">EDUCATION_RATIO_HEALTH</t>
  </si>
  <si>
    <t xml:space="preserve">Higher students</t>
  </si>
  <si>
    <t xml:space="preserve">P515</t>
  </si>
  <si>
    <t xml:space="preserve">EDUCATION_RATIO_PROF</t>
  </si>
  <si>
    <t xml:space="preserve">P516</t>
  </si>
  <si>
    <t xml:space="preserve">EDUCATION_RATIO_EDU</t>
  </si>
  <si>
    <t xml:space="preserve">Highest</t>
  </si>
  <si>
    <t xml:space="preserve">P517</t>
  </si>
  <si>
    <t xml:space="preserve">EDUCATION_RATIO_FIN</t>
  </si>
  <si>
    <t xml:space="preserve">P518</t>
  </si>
  <si>
    <t xml:space="preserve">EDUCATION_RATIO_MEDIA</t>
  </si>
  <si>
    <t xml:space="preserve">P519</t>
  </si>
  <si>
    <t xml:space="preserve">EDUCATION_RATIO_GOVT</t>
  </si>
  <si>
    <t xml:space="preserve">AR / Govt ratio</t>
  </si>
  <si>
    <t xml:space="preserve">Moderate-high ed</t>
  </si>
  <si>
    <t xml:space="preserve">P520</t>
  </si>
  <si>
    <t xml:space="preserve">STUDENT_RATE_AMER</t>
  </si>
  <si>
    <t xml:space="preserve">AR / American student rate</t>
  </si>
  <si>
    <t xml:space="preserve">IRS SOI</t>
  </si>
  <si>
    <t xml:space="preserve">P521</t>
  </si>
  <si>
    <t xml:space="preserve">STUDENT_RATE_AUTH</t>
  </si>
  <si>
    <t xml:space="preserve">AR / Authorized student rate</t>
  </si>
  <si>
    <t xml:space="preserve">P522</t>
  </si>
  <si>
    <t xml:space="preserve">STUDENT_RATE_UNAUTH</t>
  </si>
  <si>
    <t xml:space="preserve">AR / Unauthorized student rate</t>
  </si>
  <si>
    <t xml:space="preserve">Limited</t>
  </si>
  <si>
    <t xml:space="preserve">P523</t>
  </si>
  <si>
    <t xml:space="preserve">PHASE_IN_START</t>
  </si>
  <si>
    <t xml:space="preserve">AR / EITC phase-in start</t>
  </si>
  <si>
    <t xml:space="preserve">IRS 2025</t>
  </si>
  <si>
    <t xml:space="preserve">P524</t>
  </si>
  <si>
    <t xml:space="preserve">PHASE_IN_RATE</t>
  </si>
  <si>
    <t xml:space="preserve">AR / Phase-in rate (no kids)</t>
  </si>
  <si>
    <t xml:space="preserve">Adjustable per dependents</t>
  </si>
  <si>
    <t xml:space="preserve">P525</t>
  </si>
  <si>
    <t xml:space="preserve">PHASE_OUT_START</t>
  </si>
  <si>
    <t xml:space="preserve">AR / Phase-out start</t>
  </si>
  <si>
    <t xml:space="preserve">P526</t>
  </si>
  <si>
    <t xml:space="preserve">PHASE_OUT_RATE</t>
  </si>
  <si>
    <t xml:space="preserve">AR / Phase-out rate</t>
  </si>
  <si>
    <t xml:space="preserve">P527</t>
  </si>
  <si>
    <t xml:space="preserve">EITC_MAX_AMER</t>
  </si>
  <si>
    <t xml:space="preserve">AR / Max EITC (with kids)</t>
  </si>
  <si>
    <t xml:space="preserve">IRS adj</t>
  </si>
  <si>
    <t xml:space="preserve">P528</t>
  </si>
  <si>
    <t xml:space="preserve">EITC_MAX_AUTH</t>
  </si>
  <si>
    <t xml:space="preserve">AR / Authorized max</t>
  </si>
  <si>
    <t xml:space="preserve">P529</t>
  </si>
  <si>
    <t xml:space="preserve">EITC_MAX_UNAUTH</t>
  </si>
  <si>
    <t xml:space="preserve">AR / Unauthorized max</t>
  </si>
  <si>
    <t xml:space="preserve">Official 0</t>
  </si>
  <si>
    <t xml:space="preserve">P530</t>
  </si>
  <si>
    <t xml:space="preserve">ACTC_PHASE_OUT</t>
  </si>
  <si>
    <t xml:space="preserve">AR / ACTC phase-out threshold (single)</t>
  </si>
  <si>
    <t xml:space="preserve">P531</t>
  </si>
  <si>
    <t xml:space="preserve">ACTC_MIN_EARNED</t>
  </si>
  <si>
    <t xml:space="preserve">AR / Min earned income for ACTC</t>
  </si>
  <si>
    <t xml:space="preserve">IRS 2025 req.</t>
  </si>
  <si>
    <t xml:space="preserve">P532</t>
  </si>
  <si>
    <t xml:space="preserve">ACTC_REFUND_RATE</t>
  </si>
  <si>
    <t xml:space="preserve">AR / Refund calc rate (15% over min)</t>
  </si>
  <si>
    <t xml:space="preserve">IRS formula.</t>
  </si>
  <si>
    <t xml:space="preserve">P533</t>
  </si>
  <si>
    <t xml:space="preserve">ACTC_MAX_AMER</t>
  </si>
  <si>
    <t xml:space="preserve">AR / Max ACTC per child</t>
  </si>
  <si>
    <t xml:space="preserve">IRS 2025.</t>
  </si>
  <si>
    <t xml:space="preserve">P534</t>
  </si>
  <si>
    <t xml:space="preserve">ACTC_MAX_AUTH</t>
  </si>
  <si>
    <t xml:space="preserve">Full.</t>
  </si>
  <si>
    <t xml:space="preserve">P535</t>
  </si>
  <si>
    <t xml:space="preserve">ACTC_MAX_UNAUTH</t>
  </si>
  <si>
    <t xml:space="preserve">P536</t>
  </si>
  <si>
    <t xml:space="preserve">QUAL_CHILDREN_AMER</t>
  </si>
  <si>
    <t xml:space="preserve">AR / Avg qualifying children American</t>
  </si>
  <si>
    <t xml:space="preserve">Under 17/SSN; Census.</t>
  </si>
  <si>
    <t xml:space="preserve">P537</t>
  </si>
  <si>
    <t xml:space="preserve">QUAL_CHILDREN_AUTH</t>
  </si>
  <si>
    <t xml:space="preserve">Higher.</t>
  </si>
  <si>
    <t xml:space="preserve">P538</t>
  </si>
  <si>
    <t xml:space="preserve">QUAL_CHILDREN_UNAUTH</t>
  </si>
  <si>
    <t xml:space="preserve">Limited SSN.</t>
  </si>
  <si>
    <t xml:space="preserve">P539</t>
  </si>
  <si>
    <t xml:space="preserve">SSN_VALID_AMER</t>
  </si>
  <si>
    <t xml:space="preserve">AR / SSN valid for American</t>
  </si>
  <si>
    <t xml:space="preserve">P540</t>
  </si>
  <si>
    <t xml:space="preserve">SSN_VALID_AUTH</t>
  </si>
  <si>
    <t xml:space="preserve">P541</t>
  </si>
  <si>
    <t xml:space="preserve">SSN_VALID_UNAUTH</t>
  </si>
  <si>
    <t xml:space="preserve">IRS req. for credit.</t>
  </si>
  <si>
    <t xml:space="preserve">P999</t>
  </si>
  <si>
    <t xml:space="preserve">UPDATE_DATE</t>
  </si>
  <si>
    <t xml:space="preserve">AR / Last refinement date</t>
  </si>
  <si>
    <t xml:space="preserve">BLS CES Dec 2025 updated Feb 2026</t>
  </si>
  <si>
    <t xml:space="preserve">Labor Industry Role (LIR)</t>
  </si>
  <si>
    <t xml:space="preserve">Labor Force Population (LFP)</t>
  </si>
  <si>
    <t xml:space="preserve">Employment-to-Population Ratio (ETPR)</t>
  </si>
  <si>
    <t xml:space="preserve">Labor Force Population Ratio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</si>
  <si>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</si>
  <si>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</si>
  <si>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</si>
  <si>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</si>
  <si>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</si>
  <si>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</si>
  <si>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</si>
  <si>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</si>
  <si>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Wave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</si>
  <si>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</si>
  <si>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</si>
  <si>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</si>
  <si>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</si>
  <si>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</si>
  <si>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LIRID</t>
  </si>
  <si>
    <t xml:space="preserve">Industry</t>
  </si>
  <si>
    <t xml:space="preserve">Role</t>
  </si>
  <si>
    <t xml:space="preserve">Authorized Labor Force Population</t>
  </si>
  <si>
    <t xml:space="preserve">Unauthorized Labor Force Population</t>
  </si>
  <si>
    <t xml:space="preserve">American Labor Force Population</t>
  </si>
  <si>
    <t xml:space="preserve">Authorized Immigrant Employment-to-Population Ratio</t>
  </si>
  <si>
    <t xml:space="preserve">Unauthorized Immigrant Employment-to-Population Ratio</t>
  </si>
  <si>
    <t xml:space="preserve">American Employment-to-Population Ratio</t>
  </si>
  <si>
    <t xml:space="preserve">Labor Force Participation Rate (LFPR)</t>
  </si>
  <si>
    <t xml:space="preserve">Authorized Immigrant Labor Force Participation Rate (LFPR)</t>
  </si>
  <si>
    <t xml:space="preserve">Unauthorized Immigrant Labor Force Participation Rate (LFPR)</t>
  </si>
  <si>
    <t xml:space="preserve">American Labor Force Participation Rate (LFPR)</t>
  </si>
  <si>
    <t xml:space="preserve">Authorized Immigrant Unemployment Rate</t>
  </si>
  <si>
    <t xml:space="preserve">Unauthorized Immigrant Unemployment Rate</t>
  </si>
  <si>
    <t xml:space="preserve">American Unemployment Rate</t>
  </si>
  <si>
    <t xml:space="preserve">Authorized Immigrant Underemployment Rate</t>
  </si>
  <si>
    <t xml:space="preserve">Unauthorized Immigrant Underemployment Rate</t>
  </si>
  <si>
    <t xml:space="preserve">American Underemployment Rate</t>
  </si>
  <si>
    <t xml:space="preserve">Wage Average ($  /hr)</t>
  </si>
  <si>
    <t xml:space="preserve">Wage Min (  $/hr)</t>
  </si>
  <si>
    <t xml:space="preserve">Wage Max ($  /hr)</t>
  </si>
  <si>
    <t xml:space="preserve">Annual Income (  $)</t>
  </si>
  <si>
    <t xml:space="preserve">Annual Income Min ($  )</t>
  </si>
  <si>
    <t xml:space="preserve">Annual Income Max (  $)</t>
  </si>
  <si>
    <t xml:space="preserve">Authorized Immigrant Wage Average ($  /hr)</t>
  </si>
  <si>
    <t xml:space="preserve">Authorized Immigrant Wage Min (  $/hr)</t>
  </si>
  <si>
    <t xml:space="preserve">Authorized Immigrant Wage Max ($  /hr)</t>
  </si>
  <si>
    <t xml:space="preserve">Authorized Immigrant Annual Income Average (  $)</t>
  </si>
  <si>
    <t xml:space="preserve">Authorized Immigrant Annual Income Min ($  )</t>
  </si>
  <si>
    <t xml:space="preserve">Authorized Immigrant Annual Income Max (  $)</t>
  </si>
  <si>
    <t xml:space="preserve">Unauthorized Immigrant Wage Average ($  /hr)</t>
  </si>
  <si>
    <t xml:space="preserve">Unauthorized Immigrant Wage Min (  $/hr)</t>
  </si>
  <si>
    <t xml:space="preserve">Unauthorized Immigrant Wage Max ($  /hr)</t>
  </si>
  <si>
    <t xml:space="preserve">Unauthorized Immigrant Annual Income Average (  $)</t>
  </si>
  <si>
    <t xml:space="preserve">Unauthorized Immigrant Annual Income Min ($  )</t>
  </si>
  <si>
    <t xml:space="preserve">Unauthorized Immigrant Annual Income Max (  $)</t>
  </si>
  <si>
    <t xml:space="preserve">American Wage Average ($  /hr)</t>
  </si>
  <si>
    <t xml:space="preserve">American Wage Min (  $/hr)</t>
  </si>
  <si>
    <t xml:space="preserve">American Wage Max ($  /hr)</t>
  </si>
  <si>
    <t xml:space="preserve">American Annual Income Average (  $)</t>
  </si>
  <si>
    <t xml:space="preserve">American Annual Income Min ($  )</t>
  </si>
  <si>
    <t xml:space="preserve">American Annual Income Max (  $)</t>
  </si>
  <si>
    <t xml:space="preserve">Federal Personal Income Tax Revenue ($  )</t>
  </si>
  <si>
    <t xml:space="preserve">Authorized Immigrant Federal Personal Income Tax Revenue (  $)</t>
  </si>
  <si>
    <t xml:space="preserve">Unauthorized Immigrant Federal Personal Income Tax Revenue ($  )</t>
  </si>
  <si>
    <t xml:space="preserve">American Federal Personal Income Tax Revenue (  $)</t>
  </si>
  <si>
    <t xml:space="preserve">Payroll Tax Revenue ($  )</t>
  </si>
  <si>
    <t xml:space="preserve">Authorized Immigrant Payroll Tax Revenue (  $)</t>
  </si>
  <si>
    <t xml:space="preserve">Unauthorized Immigrant Payroll Tax Revenue ($  )</t>
  </si>
  <si>
    <t xml:space="preserve">American Payroll Tax Revenue (  $)</t>
  </si>
  <si>
    <t xml:space="preserve">EITC Credit Refund</t>
  </si>
  <si>
    <t xml:space="preserve">Authorized Immigrant EITC Credit Refund</t>
  </si>
  <si>
    <t xml:space="preserve">Unauthorized Immigrant EITC Credit Refund</t>
  </si>
  <si>
    <t xml:space="preserve">American Effective Tax EITC Credit Refund</t>
  </si>
  <si>
    <t xml:space="preserve">ACTC Credit Refund</t>
  </si>
  <si>
    <t xml:space="preserve">Authorized Immigrant ACTC Credit Refund</t>
  </si>
  <si>
    <t xml:space="preserve">Unauthorized Immigrant ACTC Credit Refund</t>
  </si>
  <si>
    <t xml:space="preserve">American Effective Tax ACTC Credit Refund</t>
  </si>
  <si>
    <t xml:space="preserve">AOTC Credit Refund</t>
  </si>
  <si>
    <t xml:space="preserve">Authorized Immigrant AOTC Credit Refund</t>
  </si>
  <si>
    <t xml:space="preserve">Unauthorized Immigrant AOTC Credit Refund</t>
  </si>
  <si>
    <t xml:space="preserve">American Effective Tax AOTC Credit Refund</t>
  </si>
  <si>
    <t xml:space="preserve">All Industries</t>
  </si>
  <si>
    <t xml:space="preserve">All Roles</t>
  </si>
  <si>
    <t xml:space="preserve">Agriculture</t>
  </si>
  <si>
    <t xml:space="preserve">Worker</t>
  </si>
  <si>
    <t xml:space="preserve">Support</t>
  </si>
  <si>
    <t xml:space="preserve">Construction</t>
  </si>
  <si>
    <t xml:space="preserve">Hospitality</t>
  </si>
  <si>
    <t xml:space="preserve">Cleaning &amp; Maintenance</t>
  </si>
  <si>
    <t xml:space="preserve">Manufacturing</t>
  </si>
  <si>
    <t xml:space="preserve">Transportation &amp; Warehousing</t>
  </si>
  <si>
    <t xml:space="preserve">Retail Trade</t>
  </si>
  <si>
    <t xml:space="preserve">Landscaping / Groundskeeping</t>
  </si>
  <si>
    <t xml:space="preserve">Automotive &amp; Repair</t>
  </si>
  <si>
    <t xml:space="preserve">Healthcare &amp; Social Assistance</t>
  </si>
  <si>
    <t xml:space="preserve">Professional Services</t>
  </si>
  <si>
    <t xml:space="preserve">Educational Services</t>
  </si>
  <si>
    <t xml:space="preserve">Finance &amp; Insurance</t>
  </si>
  <si>
    <t xml:space="preserve">Media and Information Technology</t>
  </si>
  <si>
    <t xml:space="preserve">Government</t>
  </si>
  <si>
    <t xml:space="preserve">Self-Employed / Non-Employer</t>
  </si>
  <si>
    <t xml:space="preserve">Other Services</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</si>
  <si>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</si>
  <si>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LIRVID</t>
  </si>
  <si>
    <t xml:space="preserve">Industry: Role</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</si>
  <si>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</si>
  <si>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</si>
  <si>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</si>
  <si>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AR.U3R</t>
  </si>
  <si>
    <t xml:space="preserve">Arkansas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</si>
  <si>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</si>
  <si>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AR.U6R</t>
  </si>
  <si>
    <t xml:space="preserve">Arkansas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</si>
  <si>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</si>
  <si>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AR.4</t>
  </si>
  <si>
    <t xml:space="preserve">U.S. Labor Statistics (Arkansas)</t>
  </si>
  <si>
    <t xml:space="preserve">AR.WAVG</t>
  </si>
  <si>
    <t xml:space="preserve">Arkansas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</si>
  <si>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</si>
  <si>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AR.AIAVG</t>
  </si>
  <si>
    <t xml:space="preserve">Arkansas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</si>
  <si>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</si>
  <si>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AR.FPITREV</t>
  </si>
  <si>
    <t xml:space="preserve">Arkansas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</si>
  <si>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</si>
  <si>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AR.FPPTR</t>
  </si>
  <si>
    <t xml:space="preserve">Arkansas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</si>
  <si>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</si>
  <si>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t xml:space="preserve">AR.EITCREF</t>
  </si>
  <si>
    <t xml:space="preserve">Arkansas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</si>
  <si>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</si>
  <si>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t xml:space="preserve">AR.ACTCREF</t>
  </si>
  <si>
    <t xml:space="preserve">Arkansas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</si>
  <si>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</si>
  <si>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t xml:space="preserve">AR.AOTCREF</t>
  </si>
  <si>
    <t xml:space="preserve">Arkansas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</si>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</sst>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2">
    <numFmt numFmtId="164" formatCode="General"/>
    <numFmt numFmtId="165" formatCode="\$#,##0.00_);&quot;($&quot;#,##0.00\)"/>
    <numFmt numFmtId="166" formatCode="\$#,##0_);[RED]&quot;($&quot;#,##0\)"/>
    <numFmt numFmtId="167" formatCode="mm/dd/yy"/>
    <numFmt numFmtId="168" formatCode="@"/>
    <numFmt numFmtId="169" formatCode="yyyy\-mm\-dd"/>
    <numFmt numFmtId="170" formatCode="#,##0"/>
    <numFmt numFmtId="171" formatCode="0.00%"/>
    <numFmt numFmtId="172" formatCode="[$$-409]#,##0;\-[$$-409]#,##0"/>
    <numFmt numFmtId="173" formatCode="[$$-409]#,##0.00;\-[$$-409]#,##0.00"/>
    <numFmt numFmtId="174" formatCode="[$$-409]#,##0.00;[RED]\-[$$-409]#,##0.00"/>
    <numFmt numFmtId="175" formatCode="[$$-409]#,##0;[RED]\-[$$-409]#,##0"/>
  </numFmts>
  <fonts count="19">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b val="true"/>
      <sz val="10"/>
      <name val="Arial"/>
      <family val="2"/>
      <charset val="1"/>
    </font>
    <font>
      <b val="true"/>
      <sz val="10"/>
      <name val="arial"/>
      <family val="2"/>
      <charset val="1"/>
    </font>
    <font>
      <sz val="10"/>
      <color rgb="FF0000FF"/>
      <name val="Arial"/>
      <family val="2"/>
      <charset val="1"/>
    </font>
    <font>
      <sz val="10"/>
      <name val="Times New Roman"/>
      <family val="1"/>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FFFFFF"/>
      <name val="Arial"/>
      <family val="2"/>
    </font>
    <font>
      <sz val="7"/>
      <color rgb="FFFFFFFF"/>
      <name val="Arial"/>
      <family val="2"/>
    </font>
  </fonts>
  <fills count="4">
    <fill>
      <patternFill patternType="none"/>
    </fill>
    <fill>
      <patternFill patternType="gray125"/>
    </fill>
    <fill>
      <patternFill patternType="solid">
        <fgColor rgb="FF333300"/>
        <bgColor rgb="FF333333"/>
      </patternFill>
    </fill>
    <fill>
      <patternFill patternType="solid">
        <fgColor rgb="FFFFCC00"/>
        <bgColor rgb="FFFFD32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0" fontId="0" fillId="0" borderId="0" xfId="0" applyFont="true" applyBorder="false" applyAlignment="true" applyProtection="true">
      <alignment horizontal="center"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71" fontId="9"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center" vertical="bottom" textRotation="0" wrapText="false" indent="0" shrinkToFit="false"/>
      <protection locked="true" hidden="false"/>
    </xf>
    <xf numFmtId="172" fontId="0" fillId="0" borderId="0" xfId="0" applyFont="true" applyBorder="false" applyAlignment="true" applyProtection="true">
      <alignment horizontal="center" vertical="bottom" textRotation="0" wrapText="false" indent="0" shrinkToFit="false"/>
      <protection locked="true" hidden="false"/>
    </xf>
    <xf numFmtId="173" fontId="0" fillId="0" borderId="0" xfId="0" applyFont="true" applyBorder="false" applyAlignment="true" applyProtection="true">
      <alignment horizontal="center"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2" fontId="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0" fontId="6"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71" fontId="6" fillId="0" borderId="0" xfId="0" applyFont="true" applyBorder="false" applyAlignment="true" applyProtection="true">
      <alignment horizontal="center" vertical="bottom" textRotation="0" wrapText="true" indent="0" shrinkToFit="false"/>
      <protection locked="true" hidden="false"/>
    </xf>
    <xf numFmtId="171" fontId="0" fillId="0" borderId="0" xfId="0" applyFont="true" applyBorder="false" applyAlignment="true" applyProtection="true">
      <alignment horizontal="center" vertical="bottom" textRotation="0" wrapText="true" indent="0" shrinkToFit="false"/>
      <protection locked="true" hidden="false"/>
    </xf>
    <xf numFmtId="174" fontId="6"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75" fontId="6" fillId="0" borderId="0" xfId="0" applyFont="true" applyBorder="false" applyAlignment="true" applyProtection="true">
      <alignment horizontal="center" vertical="bottom" textRotation="0" wrapText="true" indent="0" shrinkToFit="false"/>
      <protection locked="true" hidden="false"/>
    </xf>
    <xf numFmtId="175" fontId="0" fillId="0" borderId="0" xfId="0" applyFont="true" applyBorder="false" applyAlignment="true" applyProtection="true">
      <alignment horizontal="center" vertical="bottom" textRotation="0" wrapText="true" indent="0" shrinkToFit="false"/>
      <protection locked="true" hidden="false"/>
    </xf>
    <xf numFmtId="172" fontId="6" fillId="0" borderId="0" xfId="0" applyFont="true" applyBorder="false" applyAlignment="true" applyProtection="true">
      <alignment horizontal="center" vertical="bottom" textRotation="0" wrapText="true" indent="0" shrinkToFit="false"/>
      <protection locked="true" hidden="false"/>
    </xf>
    <xf numFmtId="172"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3838"/>
      <rgbColor rgb="FF00FF00"/>
      <rgbColor rgb="FF0000FF"/>
      <rgbColor rgb="FFE6E905"/>
      <rgbColor rgb="FFFF00FF"/>
      <rgbColor rgb="FF00FFFF"/>
      <rgbColor rgb="FF800000"/>
      <rgbColor rgb="FF008000"/>
      <rgbColor rgb="FF000080"/>
      <rgbColor rgb="FF579D1C"/>
      <rgbColor rgb="FF800080"/>
      <rgbColor rgb="FF008080"/>
      <rgbColor rgb="FFC0C0C0"/>
      <rgbColor rgb="FF666666"/>
      <rgbColor rgb="FF9999FF"/>
      <rgbColor rgb="FF8D1D75"/>
      <rgbColor rgb="FFFFFFCC"/>
      <rgbColor rgb="FFCCFFFF"/>
      <rgbColor rgb="FF660066"/>
      <rgbColor rgb="FFFF5429"/>
      <rgbColor rgb="FF0066CC"/>
      <rgbColor rgb="FFCCCCCC"/>
      <rgbColor rgb="FF000080"/>
      <rgbColor rgb="FFFF00FF"/>
      <rgbColor rgb="FFFFD320"/>
      <rgbColor rgb="FF00FFFF"/>
      <rgbColor rgb="FF800080"/>
      <rgbColor rgb="FF800000"/>
      <rgbColor rgb="FF008080"/>
      <rgbColor rgb="FF0000FF"/>
      <rgbColor rgb="FF00CCFF"/>
      <rgbColor rgb="FFCCFFFF"/>
      <rgbColor rgb="FFCCFFCC"/>
      <rgbColor rgb="FFFFFF99"/>
      <rgbColor rgb="FFB3B3B3"/>
      <rgbColor rgb="FFFF99CC"/>
      <rgbColor rgb="FFCC99FF"/>
      <rgbColor rgb="FFFFCC99"/>
      <rgbColor rgb="FF5983B0"/>
      <rgbColor rgb="FF3FAF46"/>
      <rgbColor rgb="FFBBE33D"/>
      <rgbColor rgb="FFFFCC00"/>
      <rgbColor rgb="FFE8A202"/>
      <rgbColor rgb="FFEA7500"/>
      <rgbColor rgb="FF6B5E9B"/>
      <rgbColor rgb="FF999999"/>
      <rgbColor rgb="FF004586"/>
      <rgbColor rgb="FF50938A"/>
      <rgbColor rgb="FF003300"/>
      <rgbColor rgb="FF333300"/>
      <rgbColor rgb="FFFF420E"/>
      <rgbColor rgb="FFD62E4E"/>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externalLink" Target="externalLinks/externalLink1.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Labor Force Population</a:t>
            </a:r>
          </a:p>
        </c:rich>
      </c:tx>
      <c:layout>
        <c:manualLayout>
          <c:xMode val="edge"/>
          <c:yMode val="edge"/>
          <c:x val="0.276606643287758"/>
          <c:y val="0.0107585120263916"/>
        </c:manualLayout>
      </c:layout>
      <c:overlay val="0"/>
      <c:spPr>
        <a:noFill/>
        <a:ln w="0">
          <a:noFill/>
        </a:ln>
      </c:spPr>
    </c:title>
    <c:autoTitleDeleted val="0"/>
    <c:plotArea>
      <c:layout>
        <c:manualLayout>
          <c:layoutTarget val="inner"/>
          <c:xMode val="edge"/>
          <c:yMode val="edge"/>
          <c:x val="0.299617794239332"/>
          <c:y val="0.0468746153278023"/>
          <c:w val="0.521730564640057"/>
          <c:h val="0.87461532780226"/>
        </c:manualLayout>
      </c:layout>
      <c:barChart>
        <c:barDir val="bar"/>
        <c:grouping val="clustered"/>
        <c:varyColors val="0"/>
        <c:ser>
          <c:idx val="0"/>
          <c:order val="0"/>
          <c:tx>
            <c:strRef>
              <c:f>LFP!$C$2</c:f>
              <c:strCache>
                <c:ptCount val="1"/>
                <c:pt idx="0">
                  <c:v>Labor Force Population</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LFP!$C$4:$C$37</c:f>
              <c:numCache>
                <c:formatCode>General</c:formatCode>
                <c:ptCount val="34"/>
                <c:pt idx="0">
                  <c:v>30000</c:v>
                </c:pt>
                <c:pt idx="1">
                  <c:v>15000</c:v>
                </c:pt>
                <c:pt idx="2">
                  <c:v>95000</c:v>
                </c:pt>
                <c:pt idx="3">
                  <c:v>47500</c:v>
                </c:pt>
                <c:pt idx="4">
                  <c:v>240000</c:v>
                </c:pt>
                <c:pt idx="5">
                  <c:v>120000</c:v>
                </c:pt>
                <c:pt idx="6">
                  <c:v>65000</c:v>
                </c:pt>
                <c:pt idx="7">
                  <c:v>32500</c:v>
                </c:pt>
                <c:pt idx="8">
                  <c:v>270000</c:v>
                </c:pt>
                <c:pt idx="9">
                  <c:v>135000</c:v>
                </c:pt>
                <c:pt idx="10">
                  <c:v>90000</c:v>
                </c:pt>
                <c:pt idx="11">
                  <c:v>45000</c:v>
                </c:pt>
                <c:pt idx="12">
                  <c:v>320000</c:v>
                </c:pt>
                <c:pt idx="13">
                  <c:v>160000</c:v>
                </c:pt>
                <c:pt idx="14">
                  <c:v>55000</c:v>
                </c:pt>
                <c:pt idx="15">
                  <c:v>27500</c:v>
                </c:pt>
                <c:pt idx="16">
                  <c:v>45000</c:v>
                </c:pt>
                <c:pt idx="17">
                  <c:v>22500</c:v>
                </c:pt>
                <c:pt idx="18">
                  <c:v>320000</c:v>
                </c:pt>
                <c:pt idx="19">
                  <c:v>160000</c:v>
                </c:pt>
                <c:pt idx="20">
                  <c:v>220000</c:v>
                </c:pt>
                <c:pt idx="21">
                  <c:v>110000</c:v>
                </c:pt>
                <c:pt idx="22">
                  <c:v>140000</c:v>
                </c:pt>
                <c:pt idx="23">
                  <c:v>70000</c:v>
                </c:pt>
                <c:pt idx="24">
                  <c:v>100000</c:v>
                </c:pt>
                <c:pt idx="25">
                  <c:v>50000</c:v>
                </c:pt>
                <c:pt idx="26">
                  <c:v>30000</c:v>
                </c:pt>
                <c:pt idx="27">
                  <c:v>15000</c:v>
                </c:pt>
                <c:pt idx="28">
                  <c:v>400000</c:v>
                </c:pt>
                <c:pt idx="29">
                  <c:v>200000</c:v>
                </c:pt>
                <c:pt idx="30">
                  <c:v>180000</c:v>
                </c:pt>
                <c:pt idx="31">
                  <c:v>90000</c:v>
                </c:pt>
                <c:pt idx="32">
                  <c:v>110000</c:v>
                </c:pt>
                <c:pt idx="33">
                  <c:v>55000</c:v>
                </c:pt>
              </c:numCache>
            </c:numRef>
          </c:val>
        </c:ser>
        <c:ser>
          <c:idx val="1"/>
          <c:order val="1"/>
          <c:tx>
            <c:strRef>
              <c:f>LFP!$D$2</c:f>
              <c:strCache>
                <c:ptCount val="1"/>
                <c:pt idx="0">
                  <c:v>Authorized Labor Force Population</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LFP!$D$4:$D$37</c:f>
              <c:numCache>
                <c:formatCode>General</c:formatCode>
                <c:ptCount val="34"/>
                <c:pt idx="0">
                  <c:v>1020</c:v>
                </c:pt>
                <c:pt idx="1">
                  <c:v>510</c:v>
                </c:pt>
                <c:pt idx="2">
                  <c:v>3230</c:v>
                </c:pt>
                <c:pt idx="3">
                  <c:v>1615</c:v>
                </c:pt>
                <c:pt idx="4">
                  <c:v>8160</c:v>
                </c:pt>
                <c:pt idx="5">
                  <c:v>4080</c:v>
                </c:pt>
                <c:pt idx="6">
                  <c:v>2210</c:v>
                </c:pt>
                <c:pt idx="7">
                  <c:v>1105</c:v>
                </c:pt>
                <c:pt idx="8">
                  <c:v>9180</c:v>
                </c:pt>
                <c:pt idx="9">
                  <c:v>4590</c:v>
                </c:pt>
                <c:pt idx="10">
                  <c:v>3060</c:v>
                </c:pt>
                <c:pt idx="11">
                  <c:v>1530</c:v>
                </c:pt>
                <c:pt idx="12">
                  <c:v>10880</c:v>
                </c:pt>
                <c:pt idx="13">
                  <c:v>5440</c:v>
                </c:pt>
                <c:pt idx="14">
                  <c:v>1870</c:v>
                </c:pt>
                <c:pt idx="15">
                  <c:v>935</c:v>
                </c:pt>
                <c:pt idx="16">
                  <c:v>1530</c:v>
                </c:pt>
                <c:pt idx="17">
                  <c:v>765</c:v>
                </c:pt>
                <c:pt idx="18">
                  <c:v>10880</c:v>
                </c:pt>
                <c:pt idx="19">
                  <c:v>5440</c:v>
                </c:pt>
                <c:pt idx="20">
                  <c:v>7480</c:v>
                </c:pt>
                <c:pt idx="21">
                  <c:v>3740</c:v>
                </c:pt>
                <c:pt idx="22">
                  <c:v>4760</c:v>
                </c:pt>
                <c:pt idx="23">
                  <c:v>2380</c:v>
                </c:pt>
                <c:pt idx="24">
                  <c:v>3400</c:v>
                </c:pt>
                <c:pt idx="25">
                  <c:v>1700</c:v>
                </c:pt>
                <c:pt idx="26">
                  <c:v>1020</c:v>
                </c:pt>
                <c:pt idx="27">
                  <c:v>510</c:v>
                </c:pt>
                <c:pt idx="28">
                  <c:v>13600</c:v>
                </c:pt>
                <c:pt idx="29">
                  <c:v>6800</c:v>
                </c:pt>
                <c:pt idx="30">
                  <c:v>6120</c:v>
                </c:pt>
                <c:pt idx="31">
                  <c:v>3060</c:v>
                </c:pt>
                <c:pt idx="32">
                  <c:v>3740</c:v>
                </c:pt>
                <c:pt idx="33">
                  <c:v>1870</c:v>
                </c:pt>
              </c:numCache>
            </c:numRef>
          </c:val>
        </c:ser>
        <c:ser>
          <c:idx val="2"/>
          <c:order val="2"/>
          <c:tx>
            <c:strRef>
              <c:f>LFP!$E$2</c:f>
              <c:strCache>
                <c:ptCount val="1"/>
                <c:pt idx="0">
                  <c:v>Unauthorized Labor Force Population</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LFP!$E$4:$E$37</c:f>
              <c:numCache>
                <c:formatCode>General</c:formatCode>
                <c:ptCount val="34"/>
                <c:pt idx="0">
                  <c:v>540</c:v>
                </c:pt>
                <c:pt idx="1">
                  <c:v>270</c:v>
                </c:pt>
                <c:pt idx="2">
                  <c:v>1710</c:v>
                </c:pt>
                <c:pt idx="3">
                  <c:v>855</c:v>
                </c:pt>
                <c:pt idx="4">
                  <c:v>4320</c:v>
                </c:pt>
                <c:pt idx="5">
                  <c:v>2160</c:v>
                </c:pt>
                <c:pt idx="6">
                  <c:v>1170</c:v>
                </c:pt>
                <c:pt idx="7">
                  <c:v>585</c:v>
                </c:pt>
                <c:pt idx="8">
                  <c:v>4860</c:v>
                </c:pt>
                <c:pt idx="9">
                  <c:v>2430</c:v>
                </c:pt>
                <c:pt idx="10">
                  <c:v>1620</c:v>
                </c:pt>
                <c:pt idx="11">
                  <c:v>810</c:v>
                </c:pt>
                <c:pt idx="12">
                  <c:v>5760</c:v>
                </c:pt>
                <c:pt idx="13">
                  <c:v>2880</c:v>
                </c:pt>
                <c:pt idx="14">
                  <c:v>990</c:v>
                </c:pt>
                <c:pt idx="15">
                  <c:v>495</c:v>
                </c:pt>
                <c:pt idx="16">
                  <c:v>810</c:v>
                </c:pt>
                <c:pt idx="17">
                  <c:v>405</c:v>
                </c:pt>
                <c:pt idx="18">
                  <c:v>5760</c:v>
                </c:pt>
                <c:pt idx="19">
                  <c:v>2880</c:v>
                </c:pt>
                <c:pt idx="20">
                  <c:v>3960</c:v>
                </c:pt>
                <c:pt idx="21">
                  <c:v>1980</c:v>
                </c:pt>
                <c:pt idx="22">
                  <c:v>2520</c:v>
                </c:pt>
                <c:pt idx="23">
                  <c:v>1260</c:v>
                </c:pt>
                <c:pt idx="24">
                  <c:v>1800</c:v>
                </c:pt>
                <c:pt idx="25">
                  <c:v>900</c:v>
                </c:pt>
                <c:pt idx="26">
                  <c:v>540</c:v>
                </c:pt>
                <c:pt idx="27">
                  <c:v>270</c:v>
                </c:pt>
                <c:pt idx="28">
                  <c:v>7200</c:v>
                </c:pt>
                <c:pt idx="29">
                  <c:v>3600</c:v>
                </c:pt>
                <c:pt idx="30">
                  <c:v>3240</c:v>
                </c:pt>
                <c:pt idx="31">
                  <c:v>1620</c:v>
                </c:pt>
                <c:pt idx="32">
                  <c:v>1980</c:v>
                </c:pt>
                <c:pt idx="33">
                  <c:v>990</c:v>
                </c:pt>
              </c:numCache>
            </c:numRef>
          </c:val>
        </c:ser>
        <c:ser>
          <c:idx val="3"/>
          <c:order val="3"/>
          <c:tx>
            <c:strRef>
              <c:f>LFP!$F$2</c:f>
              <c:strCache>
                <c:ptCount val="1"/>
                <c:pt idx="0">
                  <c:v>American Labor Force Population</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LFP!$F$4:$F$37</c:f>
              <c:numCache>
                <c:formatCode>General</c:formatCode>
                <c:ptCount val="34"/>
                <c:pt idx="0">
                  <c:v>28440</c:v>
                </c:pt>
                <c:pt idx="1">
                  <c:v>14220</c:v>
                </c:pt>
                <c:pt idx="2">
                  <c:v>90060</c:v>
                </c:pt>
                <c:pt idx="3">
                  <c:v>45030</c:v>
                </c:pt>
                <c:pt idx="4">
                  <c:v>227520</c:v>
                </c:pt>
                <c:pt idx="5">
                  <c:v>113760</c:v>
                </c:pt>
                <c:pt idx="6">
                  <c:v>61620</c:v>
                </c:pt>
                <c:pt idx="7">
                  <c:v>30810</c:v>
                </c:pt>
                <c:pt idx="8">
                  <c:v>255960</c:v>
                </c:pt>
                <c:pt idx="9">
                  <c:v>127980</c:v>
                </c:pt>
                <c:pt idx="10">
                  <c:v>85320</c:v>
                </c:pt>
                <c:pt idx="11">
                  <c:v>42660</c:v>
                </c:pt>
                <c:pt idx="12">
                  <c:v>303360</c:v>
                </c:pt>
                <c:pt idx="13">
                  <c:v>151680</c:v>
                </c:pt>
                <c:pt idx="14">
                  <c:v>52140</c:v>
                </c:pt>
                <c:pt idx="15">
                  <c:v>26070</c:v>
                </c:pt>
                <c:pt idx="16">
                  <c:v>42660</c:v>
                </c:pt>
                <c:pt idx="17">
                  <c:v>21330</c:v>
                </c:pt>
                <c:pt idx="18">
                  <c:v>303360</c:v>
                </c:pt>
                <c:pt idx="19">
                  <c:v>151680</c:v>
                </c:pt>
                <c:pt idx="20">
                  <c:v>208560</c:v>
                </c:pt>
                <c:pt idx="21">
                  <c:v>104280</c:v>
                </c:pt>
                <c:pt idx="22">
                  <c:v>127720</c:v>
                </c:pt>
                <c:pt idx="23">
                  <c:v>63860</c:v>
                </c:pt>
                <c:pt idx="24">
                  <c:v>94800</c:v>
                </c:pt>
                <c:pt idx="25">
                  <c:v>47400</c:v>
                </c:pt>
                <c:pt idx="26">
                  <c:v>28440</c:v>
                </c:pt>
                <c:pt idx="27">
                  <c:v>14220</c:v>
                </c:pt>
                <c:pt idx="28">
                  <c:v>379200</c:v>
                </c:pt>
                <c:pt idx="29">
                  <c:v>189600</c:v>
                </c:pt>
                <c:pt idx="30">
                  <c:v>170640</c:v>
                </c:pt>
                <c:pt idx="31">
                  <c:v>85320</c:v>
                </c:pt>
                <c:pt idx="32">
                  <c:v>104280</c:v>
                </c:pt>
                <c:pt idx="33">
                  <c:v>52140</c:v>
                </c:pt>
              </c:numCache>
            </c:numRef>
          </c:val>
        </c:ser>
        <c:gapWidth val="100"/>
        <c:overlap val="0"/>
        <c:axId val="91991096"/>
        <c:axId val="83243182"/>
      </c:barChart>
      <c:catAx>
        <c:axId val="9199109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889189788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3243182"/>
        <c:crosses val="autoZero"/>
        <c:auto val="1"/>
        <c:lblAlgn val="ctr"/>
        <c:lblOffset val="100"/>
        <c:noMultiLvlLbl val="0"/>
      </c:catAx>
      <c:valAx>
        <c:axId val="8324318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986248473147"/>
              <c:y val="0.96976784263522"/>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991096"/>
        <c:crosses val="max"/>
        <c:crossBetween val="midCat"/>
        <c:majorUnit val="10000"/>
      </c:valAx>
      <c:spPr>
        <a:noFill/>
        <a:ln w="0">
          <a:solidFill>
            <a:srgbClr val="b3b3b3"/>
          </a:solidFill>
        </a:ln>
      </c:spPr>
    </c:plotArea>
    <c:legend>
      <c:legendPos val="r"/>
      <c:layout>
        <c:manualLayout>
          <c:xMode val="edge"/>
          <c:yMode val="edge"/>
          <c:x val="0.854767533490938"/>
          <c:y val="0.0768586903003447"/>
          <c:w val="0.11978407344655"/>
          <c:h val="0.1117703537753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Employment-To-Population Ratio</a:t>
            </a:r>
          </a:p>
        </c:rich>
      </c:tx>
      <c:layout>
        <c:manualLayout>
          <c:xMode val="edge"/>
          <c:yMode val="edge"/>
          <c:x val="0.276663646034435"/>
          <c:y val="0.0107585120263916"/>
        </c:manualLayout>
      </c:layout>
      <c:overlay val="0"/>
      <c:spPr>
        <a:noFill/>
        <a:ln w="0">
          <a:noFill/>
        </a:ln>
      </c:spPr>
    </c:title>
    <c:autoTitleDeleted val="0"/>
    <c:plotArea>
      <c:layout>
        <c:manualLayout>
          <c:layoutTarget val="inner"/>
          <c:xMode val="edge"/>
          <c:yMode val="edge"/>
          <c:x val="0.299594184626295"/>
          <c:y val="0.0468746153278023"/>
          <c:w val="0.470706433946653"/>
          <c:h val="0.87461532780226"/>
        </c:manualLayout>
      </c:layout>
      <c:barChart>
        <c:barDir val="bar"/>
        <c:grouping val="clustered"/>
        <c:varyColors val="0"/>
        <c:ser>
          <c:idx val="0"/>
          <c:order val="0"/>
          <c:tx>
            <c:strRef>
              <c:f>ETPR!$C$2</c:f>
              <c:strCache>
                <c:ptCount val="1"/>
                <c:pt idx="0">
                  <c:v>Employment-to-Population Ratio</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ETPR!$C$4:$C$37</c:f>
              <c:numCache>
                <c:formatCode>0.00%</c:formatCode>
                <c:ptCount val="34"/>
                <c:pt idx="0">
                  <c:v>0.952</c:v>
                </c:pt>
                <c:pt idx="1">
                  <c:v>0.952</c:v>
                </c:pt>
                <c:pt idx="2">
                  <c:v>0.967</c:v>
                </c:pt>
                <c:pt idx="3">
                  <c:v>0.967</c:v>
                </c:pt>
                <c:pt idx="4">
                  <c:v>0.96</c:v>
                </c:pt>
                <c:pt idx="5">
                  <c:v>0.96</c:v>
                </c:pt>
                <c:pt idx="6">
                  <c:v>0.957</c:v>
                </c:pt>
                <c:pt idx="7">
                  <c:v>0.957</c:v>
                </c:pt>
                <c:pt idx="8">
                  <c:v>0.98</c:v>
                </c:pt>
                <c:pt idx="9">
                  <c:v>0.98</c:v>
                </c:pt>
                <c:pt idx="10">
                  <c:v>0.976</c:v>
                </c:pt>
                <c:pt idx="11">
                  <c:v>0.976</c:v>
                </c:pt>
                <c:pt idx="12">
                  <c:v>0.96</c:v>
                </c:pt>
                <c:pt idx="13">
                  <c:v>0.96</c:v>
                </c:pt>
                <c:pt idx="14">
                  <c:v>0.952</c:v>
                </c:pt>
                <c:pt idx="15">
                  <c:v>0.952</c:v>
                </c:pt>
                <c:pt idx="16">
                  <c:v>0.976</c:v>
                </c:pt>
                <c:pt idx="17">
                  <c:v>0.976</c:v>
                </c:pt>
                <c:pt idx="18">
                  <c:v>0.98</c:v>
                </c:pt>
                <c:pt idx="19">
                  <c:v>0.98</c:v>
                </c:pt>
                <c:pt idx="20">
                  <c:v>0.98</c:v>
                </c:pt>
                <c:pt idx="21">
                  <c:v>0.98</c:v>
                </c:pt>
                <c:pt idx="22">
                  <c:v>0.98</c:v>
                </c:pt>
                <c:pt idx="23">
                  <c:v>0.98</c:v>
                </c:pt>
                <c:pt idx="24">
                  <c:v>0.98</c:v>
                </c:pt>
                <c:pt idx="25">
                  <c:v>0.98</c:v>
                </c:pt>
                <c:pt idx="26">
                  <c:v>0.98</c:v>
                </c:pt>
                <c:pt idx="27">
                  <c:v>0.98</c:v>
                </c:pt>
                <c:pt idx="28">
                  <c:v>0.98</c:v>
                </c:pt>
                <c:pt idx="29">
                  <c:v>0.98</c:v>
                </c:pt>
                <c:pt idx="30">
                  <c:v>0.965</c:v>
                </c:pt>
                <c:pt idx="31">
                  <c:v>0.965</c:v>
                </c:pt>
                <c:pt idx="32">
                  <c:v>0.96</c:v>
                </c:pt>
                <c:pt idx="33">
                  <c:v>0.96</c:v>
                </c:pt>
              </c:numCache>
            </c:numRef>
          </c:val>
        </c:ser>
        <c:ser>
          <c:idx val="1"/>
          <c:order val="1"/>
          <c:tx>
            <c:strRef>
              <c:f>ETPR!$D$2</c:f>
              <c:strCache>
                <c:ptCount val="1"/>
                <c:pt idx="0">
                  <c:v>Authorized Immigrant Employment-to-Population Ratio</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ETPR!$D$4:$D$37</c:f>
              <c:numCache>
                <c:formatCode>0.00%</c:formatCode>
                <c:ptCount val="34"/>
                <c:pt idx="0">
                  <c:v>0.93</c:v>
                </c:pt>
                <c:pt idx="1">
                  <c:v>0.93</c:v>
                </c:pt>
                <c:pt idx="2">
                  <c:v>0.94</c:v>
                </c:pt>
                <c:pt idx="3">
                  <c:v>0.94</c:v>
                </c:pt>
                <c:pt idx="4">
                  <c:v>0.93</c:v>
                </c:pt>
                <c:pt idx="5">
                  <c:v>0.93</c:v>
                </c:pt>
                <c:pt idx="6">
                  <c:v>0.92</c:v>
                </c:pt>
                <c:pt idx="7">
                  <c:v>0.92</c:v>
                </c:pt>
                <c:pt idx="8">
                  <c:v>0.96</c:v>
                </c:pt>
                <c:pt idx="9">
                  <c:v>0.96</c:v>
                </c:pt>
                <c:pt idx="10">
                  <c:v>0.95</c:v>
                </c:pt>
                <c:pt idx="11">
                  <c:v>0.95</c:v>
                </c:pt>
                <c:pt idx="12">
                  <c:v>0.93</c:v>
                </c:pt>
                <c:pt idx="13">
                  <c:v>0.93</c:v>
                </c:pt>
                <c:pt idx="14">
                  <c:v>0.93</c:v>
                </c:pt>
                <c:pt idx="15">
                  <c:v>0.93</c:v>
                </c:pt>
                <c:pt idx="16">
                  <c:v>0.95</c:v>
                </c:pt>
                <c:pt idx="17">
                  <c:v>0.95</c:v>
                </c:pt>
                <c:pt idx="18">
                  <c:v>0.96</c:v>
                </c:pt>
                <c:pt idx="19">
                  <c:v>0.96</c:v>
                </c:pt>
                <c:pt idx="20">
                  <c:v>0.96</c:v>
                </c:pt>
                <c:pt idx="21">
                  <c:v>0.96</c:v>
                </c:pt>
                <c:pt idx="22">
                  <c:v>0.96</c:v>
                </c:pt>
                <c:pt idx="23">
                  <c:v>0.96</c:v>
                </c:pt>
                <c:pt idx="24">
                  <c:v>0.96</c:v>
                </c:pt>
                <c:pt idx="25">
                  <c:v>0.96</c:v>
                </c:pt>
                <c:pt idx="26">
                  <c:v>0.96</c:v>
                </c:pt>
                <c:pt idx="27">
                  <c:v>0.96</c:v>
                </c:pt>
                <c:pt idx="28">
                  <c:v>0.96</c:v>
                </c:pt>
                <c:pt idx="29">
                  <c:v>0.96</c:v>
                </c:pt>
                <c:pt idx="30">
                  <c:v>0.955</c:v>
                </c:pt>
                <c:pt idx="31">
                  <c:v>0.955</c:v>
                </c:pt>
                <c:pt idx="32">
                  <c:v>0.93</c:v>
                </c:pt>
                <c:pt idx="33">
                  <c:v>0.93</c:v>
                </c:pt>
              </c:numCache>
            </c:numRef>
          </c:val>
        </c:ser>
        <c:ser>
          <c:idx val="2"/>
          <c:order val="2"/>
          <c:tx>
            <c:strRef>
              <c:f>ETPR!$E$2</c:f>
              <c:strCache>
                <c:ptCount val="1"/>
                <c:pt idx="0">
                  <c:v>Unauthorized Immigrant Employment-to-Population Ratio</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ETPR!$E$4:$E$37</c:f>
              <c:numCache>
                <c:formatCode>0.00%</c:formatCode>
                <c:ptCount val="34"/>
                <c:pt idx="0">
                  <c:v>0.89</c:v>
                </c:pt>
                <c:pt idx="1">
                  <c:v>0.89</c:v>
                </c:pt>
                <c:pt idx="2">
                  <c:v>0.9</c:v>
                </c:pt>
                <c:pt idx="3">
                  <c:v>0.9</c:v>
                </c:pt>
                <c:pt idx="4">
                  <c:v>0.88</c:v>
                </c:pt>
                <c:pt idx="5">
                  <c:v>0.88</c:v>
                </c:pt>
                <c:pt idx="6">
                  <c:v>0.87</c:v>
                </c:pt>
                <c:pt idx="7">
                  <c:v>0.87</c:v>
                </c:pt>
                <c:pt idx="8">
                  <c:v>0.93</c:v>
                </c:pt>
                <c:pt idx="9">
                  <c:v>0.93</c:v>
                </c:pt>
                <c:pt idx="10">
                  <c:v>0.92</c:v>
                </c:pt>
                <c:pt idx="11">
                  <c:v>0.92</c:v>
                </c:pt>
                <c:pt idx="12">
                  <c:v>0.88</c:v>
                </c:pt>
                <c:pt idx="13">
                  <c:v>0.88</c:v>
                </c:pt>
                <c:pt idx="14">
                  <c:v>0.89</c:v>
                </c:pt>
                <c:pt idx="15">
                  <c:v>0.89</c:v>
                </c:pt>
                <c:pt idx="16">
                  <c:v>0.92</c:v>
                </c:pt>
                <c:pt idx="17">
                  <c:v>0.92</c:v>
                </c:pt>
                <c:pt idx="18">
                  <c:v>0.93</c:v>
                </c:pt>
                <c:pt idx="19">
                  <c:v>0.93</c:v>
                </c:pt>
                <c:pt idx="20">
                  <c:v>0.93</c:v>
                </c:pt>
                <c:pt idx="21">
                  <c:v>0.93</c:v>
                </c:pt>
                <c:pt idx="22">
                  <c:v>0.93</c:v>
                </c:pt>
                <c:pt idx="23">
                  <c:v>0.93</c:v>
                </c:pt>
                <c:pt idx="24">
                  <c:v>0.93</c:v>
                </c:pt>
                <c:pt idx="25">
                  <c:v>0.93</c:v>
                </c:pt>
                <c:pt idx="26">
                  <c:v>0.93</c:v>
                </c:pt>
                <c:pt idx="27">
                  <c:v>0.93</c:v>
                </c:pt>
                <c:pt idx="28">
                  <c:v>0.93</c:v>
                </c:pt>
                <c:pt idx="29">
                  <c:v>0.93</c:v>
                </c:pt>
                <c:pt idx="30">
                  <c:v>0.94</c:v>
                </c:pt>
                <c:pt idx="31">
                  <c:v>0.94</c:v>
                </c:pt>
                <c:pt idx="32">
                  <c:v>0.88</c:v>
                </c:pt>
                <c:pt idx="33">
                  <c:v>0.88</c:v>
                </c:pt>
              </c:numCache>
            </c:numRef>
          </c:val>
        </c:ser>
        <c:ser>
          <c:idx val="3"/>
          <c:order val="3"/>
          <c:tx>
            <c:strRef>
              <c:f>ETPR!$F$2</c:f>
              <c:strCache>
                <c:ptCount val="1"/>
                <c:pt idx="0">
                  <c:v>American Employment-to-Population Ratio</c:v>
                </c:pt>
              </c:strCache>
            </c:strRef>
          </c:tx>
          <c:spPr>
            <a:solidFill>
              <a:srgbClr val="579d1c"/>
            </a:solidFill>
            <a:ln w="0">
              <a:noFill/>
            </a:ln>
          </c:spPr>
          <c:invertIfNegative val="0"/>
          <c:dPt>
            <c:idx val="8"/>
            <c:invertIfNegative val="0"/>
            <c:spPr>
              <a:solidFill>
                <a:srgbClr val="579d1c"/>
              </a:solidFill>
              <a:ln w="0">
                <a:noFill/>
              </a:ln>
            </c:spPr>
          </c:dPt>
          <c:dPt>
            <c:idx val="24"/>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ETPR!$F$4:$F$37</c:f>
              <c:numCache>
                <c:formatCode>0.00%</c:formatCode>
                <c:ptCount val="34"/>
                <c:pt idx="0">
                  <c:v>0.955</c:v>
                </c:pt>
                <c:pt idx="1">
                  <c:v>0.955</c:v>
                </c:pt>
                <c:pt idx="2">
                  <c:v>0.97</c:v>
                </c:pt>
                <c:pt idx="3">
                  <c:v>0.97</c:v>
                </c:pt>
                <c:pt idx="4">
                  <c:v>0.963</c:v>
                </c:pt>
                <c:pt idx="5">
                  <c:v>0.963</c:v>
                </c:pt>
                <c:pt idx="6">
                  <c:v>0.96</c:v>
                </c:pt>
                <c:pt idx="7">
                  <c:v>0.96</c:v>
                </c:pt>
                <c:pt idx="8">
                  <c:v>0.982</c:v>
                </c:pt>
                <c:pt idx="9">
                  <c:v>0.982</c:v>
                </c:pt>
                <c:pt idx="10">
                  <c:v>0.978</c:v>
                </c:pt>
                <c:pt idx="11">
                  <c:v>0.978</c:v>
                </c:pt>
                <c:pt idx="12">
                  <c:v>0.963</c:v>
                </c:pt>
                <c:pt idx="13">
                  <c:v>0.963</c:v>
                </c:pt>
                <c:pt idx="14">
                  <c:v>0.955</c:v>
                </c:pt>
                <c:pt idx="15">
                  <c:v>0.955</c:v>
                </c:pt>
                <c:pt idx="16">
                  <c:v>0.978</c:v>
                </c:pt>
                <c:pt idx="17">
                  <c:v>0.978</c:v>
                </c:pt>
                <c:pt idx="18">
                  <c:v>0.982</c:v>
                </c:pt>
                <c:pt idx="19">
                  <c:v>0.982</c:v>
                </c:pt>
                <c:pt idx="20">
                  <c:v>0.982</c:v>
                </c:pt>
                <c:pt idx="21">
                  <c:v>0.982</c:v>
                </c:pt>
                <c:pt idx="22">
                  <c:v>0.982</c:v>
                </c:pt>
                <c:pt idx="23">
                  <c:v>0.982</c:v>
                </c:pt>
                <c:pt idx="24">
                  <c:v>0.982</c:v>
                </c:pt>
                <c:pt idx="25">
                  <c:v>0.982</c:v>
                </c:pt>
                <c:pt idx="26">
                  <c:v>0.982</c:v>
                </c:pt>
                <c:pt idx="27">
                  <c:v>0.982</c:v>
                </c:pt>
                <c:pt idx="28">
                  <c:v>0.982</c:v>
                </c:pt>
                <c:pt idx="29">
                  <c:v>0.982</c:v>
                </c:pt>
                <c:pt idx="30">
                  <c:v>0.965</c:v>
                </c:pt>
                <c:pt idx="31">
                  <c:v>0.965</c:v>
                </c:pt>
                <c:pt idx="32">
                  <c:v>0.963</c:v>
                </c:pt>
                <c:pt idx="33">
                  <c:v>0.963</c:v>
                </c:pt>
              </c:numCache>
            </c:numRef>
          </c:val>
        </c:ser>
        <c:gapWidth val="100"/>
        <c:overlap val="0"/>
        <c:axId val="78374859"/>
        <c:axId val="14912203"/>
      </c:barChart>
      <c:catAx>
        <c:axId val="7837485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637484732674"/>
              <c:y val="0.47876609468475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912203"/>
        <c:crosses val="autoZero"/>
        <c:auto val="1"/>
        <c:lblAlgn val="ctr"/>
        <c:lblOffset val="100"/>
        <c:noMultiLvlLbl val="0"/>
      </c:catAx>
      <c:valAx>
        <c:axId val="1491220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43205547456759"/>
              <c:y val="0.9697678426352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374859"/>
        <c:crosses val="max"/>
        <c:crossBetween val="midCat"/>
        <c:majorUnit val="0.01"/>
      </c:valAx>
      <c:spPr>
        <a:noFill/>
        <a:ln w="0">
          <a:solidFill>
            <a:srgbClr val="b3b3b3"/>
          </a:solidFill>
        </a:ln>
      </c:spPr>
    </c:plotArea>
    <c:legend>
      <c:legendPos val="r"/>
      <c:layout>
        <c:manualLayout>
          <c:xMode val="edge"/>
          <c:yMode val="edge"/>
          <c:x val="0.80253723110866"/>
          <c:y val="0.0768340718857706"/>
          <c:w val="0.171939639888105"/>
          <c:h val="0.1117457347546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Labor Force Participation Rate</a:t>
            </a:r>
          </a:p>
        </c:rich>
      </c:tx>
      <c:layout>
        <c:manualLayout>
          <c:xMode val="edge"/>
          <c:yMode val="edge"/>
          <c:x val="0.270499231648213"/>
          <c:y val="0.0106600359437702"/>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LFPR!$C$2</c:f>
              <c:strCache>
                <c:ptCount val="1"/>
                <c:pt idx="0">
                  <c:v>Labor Force Participation Rate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LFPR!$C$4:$C$37</c:f>
              <c:numCache>
                <c:formatCode>0.00%</c:formatCode>
                <c:ptCount val="34"/>
                <c:pt idx="0">
                  <c:v>0.62</c:v>
                </c:pt>
                <c:pt idx="1">
                  <c:v>0.589</c:v>
                </c:pt>
                <c:pt idx="2">
                  <c:v>0.61</c:v>
                </c:pt>
                <c:pt idx="3">
                  <c:v>0.579</c:v>
                </c:pt>
                <c:pt idx="4">
                  <c:v>0.58</c:v>
                </c:pt>
                <c:pt idx="5">
                  <c:v>0.551</c:v>
                </c:pt>
                <c:pt idx="6">
                  <c:v>0.595</c:v>
                </c:pt>
                <c:pt idx="7">
                  <c:v>0.565</c:v>
                </c:pt>
                <c:pt idx="8">
                  <c:v>0.605</c:v>
                </c:pt>
                <c:pt idx="9">
                  <c:v>0.575</c:v>
                </c:pt>
                <c:pt idx="10">
                  <c:v>0.6</c:v>
                </c:pt>
                <c:pt idx="11">
                  <c:v>0.57</c:v>
                </c:pt>
                <c:pt idx="12">
                  <c:v>0.58</c:v>
                </c:pt>
                <c:pt idx="13">
                  <c:v>0.551</c:v>
                </c:pt>
                <c:pt idx="14">
                  <c:v>0.62</c:v>
                </c:pt>
                <c:pt idx="15">
                  <c:v>0.589</c:v>
                </c:pt>
                <c:pt idx="16">
                  <c:v>0.6</c:v>
                </c:pt>
                <c:pt idx="17">
                  <c:v>0.57</c:v>
                </c:pt>
                <c:pt idx="18">
                  <c:v>0.605</c:v>
                </c:pt>
                <c:pt idx="19">
                  <c:v>0.575</c:v>
                </c:pt>
                <c:pt idx="20">
                  <c:v>0.605</c:v>
                </c:pt>
                <c:pt idx="21">
                  <c:v>0.575</c:v>
                </c:pt>
                <c:pt idx="22">
                  <c:v>0.605</c:v>
                </c:pt>
                <c:pt idx="23">
                  <c:v>0.575</c:v>
                </c:pt>
                <c:pt idx="24">
                  <c:v>0.605</c:v>
                </c:pt>
                <c:pt idx="25">
                  <c:v>0.575</c:v>
                </c:pt>
                <c:pt idx="26">
                  <c:v>0.605</c:v>
                </c:pt>
                <c:pt idx="27">
                  <c:v>0.575</c:v>
                </c:pt>
                <c:pt idx="28">
                  <c:v>0.605</c:v>
                </c:pt>
                <c:pt idx="29">
                  <c:v>0.575</c:v>
                </c:pt>
                <c:pt idx="30">
                  <c:v>0.65</c:v>
                </c:pt>
                <c:pt idx="31">
                  <c:v>0.552</c:v>
                </c:pt>
                <c:pt idx="32">
                  <c:v>0.58</c:v>
                </c:pt>
                <c:pt idx="33">
                  <c:v>0.551</c:v>
                </c:pt>
              </c:numCache>
            </c:numRef>
          </c:val>
        </c:ser>
        <c:ser>
          <c:idx val="1"/>
          <c:order val="1"/>
          <c:tx>
            <c:strRef>
              <c:f>LFPR!$D$2</c:f>
              <c:strCache>
                <c:ptCount val="1"/>
                <c:pt idx="0">
                  <c:v>Authorized Immigrant Labor Force Participation Rate (LFPR)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LFPR!$D$4:$D$37</c:f>
              <c:numCache>
                <c:formatCode>0.00%</c:formatCode>
                <c:ptCount val="34"/>
                <c:pt idx="0">
                  <c:v>0.68</c:v>
                </c:pt>
                <c:pt idx="1">
                  <c:v>0.646</c:v>
                </c:pt>
                <c:pt idx="2">
                  <c:v>0.67</c:v>
                </c:pt>
                <c:pt idx="3">
                  <c:v>0.637</c:v>
                </c:pt>
                <c:pt idx="4">
                  <c:v>0.64</c:v>
                </c:pt>
                <c:pt idx="5">
                  <c:v>0.608</c:v>
                </c:pt>
                <c:pt idx="6">
                  <c:v>0.655</c:v>
                </c:pt>
                <c:pt idx="7">
                  <c:v>0.622</c:v>
                </c:pt>
                <c:pt idx="8">
                  <c:v>0.665</c:v>
                </c:pt>
                <c:pt idx="9">
                  <c:v>0.632</c:v>
                </c:pt>
                <c:pt idx="10">
                  <c:v>0.66</c:v>
                </c:pt>
                <c:pt idx="11">
                  <c:v>0.627</c:v>
                </c:pt>
                <c:pt idx="12">
                  <c:v>0.64</c:v>
                </c:pt>
                <c:pt idx="13">
                  <c:v>0.608</c:v>
                </c:pt>
                <c:pt idx="14">
                  <c:v>0.68</c:v>
                </c:pt>
                <c:pt idx="15">
                  <c:v>0.646</c:v>
                </c:pt>
                <c:pt idx="16">
                  <c:v>0.66</c:v>
                </c:pt>
                <c:pt idx="17">
                  <c:v>0.627</c:v>
                </c:pt>
                <c:pt idx="18">
                  <c:v>0.665</c:v>
                </c:pt>
                <c:pt idx="19">
                  <c:v>0.632</c:v>
                </c:pt>
                <c:pt idx="20">
                  <c:v>0.665</c:v>
                </c:pt>
                <c:pt idx="21">
                  <c:v>0.632</c:v>
                </c:pt>
                <c:pt idx="22">
                  <c:v>0.665</c:v>
                </c:pt>
                <c:pt idx="23">
                  <c:v>0.632</c:v>
                </c:pt>
                <c:pt idx="24">
                  <c:v>0.665</c:v>
                </c:pt>
                <c:pt idx="25">
                  <c:v>0.632</c:v>
                </c:pt>
                <c:pt idx="26">
                  <c:v>0.665</c:v>
                </c:pt>
                <c:pt idx="27">
                  <c:v>0.632</c:v>
                </c:pt>
                <c:pt idx="28">
                  <c:v>0.665</c:v>
                </c:pt>
                <c:pt idx="29">
                  <c:v>0.632</c:v>
                </c:pt>
                <c:pt idx="30">
                  <c:v>0.7</c:v>
                </c:pt>
                <c:pt idx="31">
                  <c:v>0.595</c:v>
                </c:pt>
                <c:pt idx="32">
                  <c:v>0.64</c:v>
                </c:pt>
                <c:pt idx="33">
                  <c:v>0.608</c:v>
                </c:pt>
              </c:numCache>
            </c:numRef>
          </c:val>
        </c:ser>
        <c:ser>
          <c:idx val="2"/>
          <c:order val="2"/>
          <c:tx>
            <c:strRef>
              <c:f>LFPR!$E$2</c:f>
              <c:strCache>
                <c:ptCount val="1"/>
                <c:pt idx="0">
                  <c:v>Unauthorized Immigrant Labor Force Participation Rate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Pt>
            <c:idx val="27"/>
            <c:invertIfNegative val="0"/>
            <c:spPr>
              <a:solidFill>
                <a:srgbClr val="ffd320"/>
              </a:solidFill>
              <a:ln w="0">
                <a:noFill/>
              </a:ln>
            </c:spPr>
          </c:dPt>
          <c:dPt>
            <c:idx val="28"/>
            <c:invertIfNegative val="0"/>
            <c:spPr>
              <a:solidFill>
                <a:srgbClr val="ffd320"/>
              </a:solidFill>
              <a:ln w="0">
                <a:noFill/>
              </a:ln>
            </c:spPr>
          </c:dPt>
          <c:dPt>
            <c:idx val="3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3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LFPR!$E$4:$E$37</c:f>
              <c:numCache>
                <c:formatCode>0.00%</c:formatCode>
                <c:ptCount val="34"/>
                <c:pt idx="0">
                  <c:v>0.78</c:v>
                </c:pt>
                <c:pt idx="1">
                  <c:v>0.741</c:v>
                </c:pt>
                <c:pt idx="2">
                  <c:v>0.76</c:v>
                </c:pt>
                <c:pt idx="3">
                  <c:v>0.722</c:v>
                </c:pt>
                <c:pt idx="4">
                  <c:v>0.71</c:v>
                </c:pt>
                <c:pt idx="5">
                  <c:v>0.674</c:v>
                </c:pt>
                <c:pt idx="6">
                  <c:v>0.74</c:v>
                </c:pt>
                <c:pt idx="7">
                  <c:v>0.703</c:v>
                </c:pt>
                <c:pt idx="8">
                  <c:v>0.74</c:v>
                </c:pt>
                <c:pt idx="9">
                  <c:v>0.703</c:v>
                </c:pt>
                <c:pt idx="10">
                  <c:v>0.75</c:v>
                </c:pt>
                <c:pt idx="11">
                  <c:v>0.712</c:v>
                </c:pt>
                <c:pt idx="12">
                  <c:v>0.71</c:v>
                </c:pt>
                <c:pt idx="13">
                  <c:v>0.674</c:v>
                </c:pt>
                <c:pt idx="14">
                  <c:v>0.78</c:v>
                </c:pt>
                <c:pt idx="15">
                  <c:v>0.741</c:v>
                </c:pt>
                <c:pt idx="16">
                  <c:v>0.75</c:v>
                </c:pt>
                <c:pt idx="17">
                  <c:v>0.712</c:v>
                </c:pt>
                <c:pt idx="18">
                  <c:v>0.74</c:v>
                </c:pt>
                <c:pt idx="19">
                  <c:v>0.703</c:v>
                </c:pt>
                <c:pt idx="20">
                  <c:v>0.74</c:v>
                </c:pt>
                <c:pt idx="21">
                  <c:v>0.703</c:v>
                </c:pt>
                <c:pt idx="22">
                  <c:v>0.74</c:v>
                </c:pt>
                <c:pt idx="23">
                  <c:v>0.703</c:v>
                </c:pt>
                <c:pt idx="24">
                  <c:v>0.74</c:v>
                </c:pt>
                <c:pt idx="25">
                  <c:v>0.703</c:v>
                </c:pt>
                <c:pt idx="26">
                  <c:v>0.74</c:v>
                </c:pt>
                <c:pt idx="27">
                  <c:v>0.703</c:v>
                </c:pt>
                <c:pt idx="28">
                  <c:v>0.74</c:v>
                </c:pt>
                <c:pt idx="29">
                  <c:v>0.703</c:v>
                </c:pt>
                <c:pt idx="30">
                  <c:v>0.75</c:v>
                </c:pt>
                <c:pt idx="31">
                  <c:v>0.637</c:v>
                </c:pt>
                <c:pt idx="32">
                  <c:v>0.71</c:v>
                </c:pt>
                <c:pt idx="33">
                  <c:v>0.674</c:v>
                </c:pt>
              </c:numCache>
            </c:numRef>
          </c:val>
        </c:ser>
        <c:ser>
          <c:idx val="3"/>
          <c:order val="3"/>
          <c:tx>
            <c:strRef>
              <c:f>LFPR!$F$2</c:f>
              <c:strCache>
                <c:ptCount val="1"/>
                <c:pt idx="0">
                  <c:v>American Labor Force Participation Rate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LFPR!$F$4:$F$37</c:f>
              <c:numCache>
                <c:formatCode>0.00%</c:formatCode>
                <c:ptCount val="34"/>
                <c:pt idx="0">
                  <c:v>0.6</c:v>
                </c:pt>
                <c:pt idx="1">
                  <c:v>0.57</c:v>
                </c:pt>
                <c:pt idx="2">
                  <c:v>0.59</c:v>
                </c:pt>
                <c:pt idx="3">
                  <c:v>0.56</c:v>
                </c:pt>
                <c:pt idx="4">
                  <c:v>0.57</c:v>
                </c:pt>
                <c:pt idx="5">
                  <c:v>0.542</c:v>
                </c:pt>
                <c:pt idx="6">
                  <c:v>0.58</c:v>
                </c:pt>
                <c:pt idx="7">
                  <c:v>0.551</c:v>
                </c:pt>
                <c:pt idx="8">
                  <c:v>0.59</c:v>
                </c:pt>
                <c:pt idx="9">
                  <c:v>0.56</c:v>
                </c:pt>
                <c:pt idx="10">
                  <c:v>0.58</c:v>
                </c:pt>
                <c:pt idx="11">
                  <c:v>0.55</c:v>
                </c:pt>
                <c:pt idx="12">
                  <c:v>0.57</c:v>
                </c:pt>
                <c:pt idx="13">
                  <c:v>0.542</c:v>
                </c:pt>
                <c:pt idx="14">
                  <c:v>0.6</c:v>
                </c:pt>
                <c:pt idx="15">
                  <c:v>0.57</c:v>
                </c:pt>
                <c:pt idx="16">
                  <c:v>0.58</c:v>
                </c:pt>
                <c:pt idx="17">
                  <c:v>0.55</c:v>
                </c:pt>
                <c:pt idx="18">
                  <c:v>0.59</c:v>
                </c:pt>
                <c:pt idx="19">
                  <c:v>0.56</c:v>
                </c:pt>
                <c:pt idx="20">
                  <c:v>0.59</c:v>
                </c:pt>
                <c:pt idx="21">
                  <c:v>0.56</c:v>
                </c:pt>
                <c:pt idx="22">
                  <c:v>0.59</c:v>
                </c:pt>
                <c:pt idx="23">
                  <c:v>0.56</c:v>
                </c:pt>
                <c:pt idx="24">
                  <c:v>0.59</c:v>
                </c:pt>
                <c:pt idx="25">
                  <c:v>0.56</c:v>
                </c:pt>
                <c:pt idx="26">
                  <c:v>0.59</c:v>
                </c:pt>
                <c:pt idx="27">
                  <c:v>0.56</c:v>
                </c:pt>
                <c:pt idx="28">
                  <c:v>0.59</c:v>
                </c:pt>
                <c:pt idx="29">
                  <c:v>0.56</c:v>
                </c:pt>
                <c:pt idx="30">
                  <c:v>0.64</c:v>
                </c:pt>
                <c:pt idx="31">
                  <c:v>0.544</c:v>
                </c:pt>
                <c:pt idx="32">
                  <c:v>0.57</c:v>
                </c:pt>
                <c:pt idx="33">
                  <c:v>0.542</c:v>
                </c:pt>
              </c:numCache>
            </c:numRef>
          </c:val>
        </c:ser>
        <c:gapWidth val="100"/>
        <c:overlap val="0"/>
        <c:axId val="43719035"/>
        <c:axId val="66969356"/>
      </c:barChart>
      <c:catAx>
        <c:axId val="4371903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7168566434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969356"/>
        <c:crosses val="autoZero"/>
        <c:auto val="1"/>
        <c:lblAlgn val="ctr"/>
        <c:lblOffset val="100"/>
        <c:noMultiLvlLbl val="0"/>
      </c:catAx>
      <c:valAx>
        <c:axId val="6696935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128925489578"/>
              <c:y val="0.9697678426352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3719035"/>
        <c:crosses val="max"/>
        <c:crossBetween val="midCat"/>
        <c:majorUnit val="0.01"/>
      </c:valAx>
      <c:spPr>
        <a:noFill/>
        <a:ln w="0">
          <a:solidFill>
            <a:srgbClr val="b3b3b3"/>
          </a:solidFill>
        </a:ln>
      </c:spPr>
    </c:plotArea>
    <c:legend>
      <c:legendPos val="r"/>
      <c:layout>
        <c:manualLayout>
          <c:xMode val="edge"/>
          <c:yMode val="edge"/>
          <c:x val="0.802561071710008"/>
          <c:y val="0.0768340718857706"/>
          <c:w val="0.171913786989243"/>
          <c:h val="0.1117457347546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Unemployment Rate</a:t>
            </a:r>
          </a:p>
        </c:rich>
      </c:tx>
      <c:layout>
        <c:manualLayout>
          <c:xMode val="edge"/>
          <c:yMode val="edge"/>
          <c:x val="0.296504984435951"/>
          <c:y val="0.0106600359437702"/>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U3R!$C$2</c:f>
              <c:strCache>
                <c:ptCount val="1"/>
                <c:pt idx="0">
                  <c:v>Unemployment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U3R!$C$4:$C$37</c:f>
              <c:numCache>
                <c:formatCode>0.00%</c:formatCode>
                <c:ptCount val="34"/>
                <c:pt idx="0">
                  <c:v>0.048</c:v>
                </c:pt>
                <c:pt idx="1">
                  <c:v>0.048</c:v>
                </c:pt>
                <c:pt idx="2">
                  <c:v>0.033</c:v>
                </c:pt>
                <c:pt idx="3">
                  <c:v>0.033</c:v>
                </c:pt>
                <c:pt idx="4">
                  <c:v>0.04</c:v>
                </c:pt>
                <c:pt idx="5">
                  <c:v>0.04</c:v>
                </c:pt>
                <c:pt idx="6">
                  <c:v>0.043</c:v>
                </c:pt>
                <c:pt idx="7">
                  <c:v>0.043</c:v>
                </c:pt>
                <c:pt idx="8">
                  <c:v>0.02</c:v>
                </c:pt>
                <c:pt idx="9">
                  <c:v>0.02</c:v>
                </c:pt>
                <c:pt idx="10">
                  <c:v>0.024</c:v>
                </c:pt>
                <c:pt idx="11">
                  <c:v>0.024</c:v>
                </c:pt>
                <c:pt idx="12">
                  <c:v>0.04</c:v>
                </c:pt>
                <c:pt idx="13">
                  <c:v>0.04</c:v>
                </c:pt>
                <c:pt idx="14">
                  <c:v>0.048</c:v>
                </c:pt>
                <c:pt idx="15">
                  <c:v>0.048</c:v>
                </c:pt>
                <c:pt idx="16">
                  <c:v>0.024</c:v>
                </c:pt>
                <c:pt idx="17">
                  <c:v>0.024</c:v>
                </c:pt>
                <c:pt idx="18">
                  <c:v>0.02</c:v>
                </c:pt>
                <c:pt idx="19">
                  <c:v>0.02</c:v>
                </c:pt>
                <c:pt idx="20">
                  <c:v>0.02</c:v>
                </c:pt>
                <c:pt idx="21">
                  <c:v>0.02</c:v>
                </c:pt>
                <c:pt idx="22">
                  <c:v>0.02</c:v>
                </c:pt>
                <c:pt idx="23">
                  <c:v>0.02</c:v>
                </c:pt>
                <c:pt idx="24">
                  <c:v>0.02</c:v>
                </c:pt>
                <c:pt idx="25">
                  <c:v>0.02</c:v>
                </c:pt>
                <c:pt idx="26">
                  <c:v>0.02</c:v>
                </c:pt>
                <c:pt idx="27">
                  <c:v>0.02</c:v>
                </c:pt>
                <c:pt idx="28">
                  <c:v>0.02</c:v>
                </c:pt>
                <c:pt idx="29">
                  <c:v>0.02</c:v>
                </c:pt>
                <c:pt idx="30">
                  <c:v>0.035</c:v>
                </c:pt>
                <c:pt idx="31">
                  <c:v>0.035</c:v>
                </c:pt>
                <c:pt idx="32">
                  <c:v>0.04</c:v>
                </c:pt>
                <c:pt idx="33">
                  <c:v>0.04</c:v>
                </c:pt>
              </c:numCache>
            </c:numRef>
          </c:val>
        </c:ser>
        <c:ser>
          <c:idx val="1"/>
          <c:order val="1"/>
          <c:tx>
            <c:strRef>
              <c:f>U3R!$D$2</c:f>
              <c:strCache>
                <c:ptCount val="1"/>
                <c:pt idx="0">
                  <c:v>Authorized Immigrant Unemployment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U3R!$D$4:$D$37</c:f>
              <c:numCache>
                <c:formatCode>0.00%</c:formatCode>
                <c:ptCount val="34"/>
                <c:pt idx="0">
                  <c:v>0.07</c:v>
                </c:pt>
                <c:pt idx="1">
                  <c:v>0.07</c:v>
                </c:pt>
                <c:pt idx="2">
                  <c:v>0.06</c:v>
                </c:pt>
                <c:pt idx="3">
                  <c:v>0.06</c:v>
                </c:pt>
                <c:pt idx="4">
                  <c:v>0.07</c:v>
                </c:pt>
                <c:pt idx="5">
                  <c:v>0.07</c:v>
                </c:pt>
                <c:pt idx="6">
                  <c:v>0.08</c:v>
                </c:pt>
                <c:pt idx="7">
                  <c:v>0.08</c:v>
                </c:pt>
                <c:pt idx="8">
                  <c:v>0.04</c:v>
                </c:pt>
                <c:pt idx="9">
                  <c:v>0.04</c:v>
                </c:pt>
                <c:pt idx="10">
                  <c:v>0.05</c:v>
                </c:pt>
                <c:pt idx="11">
                  <c:v>0.05</c:v>
                </c:pt>
                <c:pt idx="12">
                  <c:v>0.07</c:v>
                </c:pt>
                <c:pt idx="13">
                  <c:v>0.07</c:v>
                </c:pt>
                <c:pt idx="14">
                  <c:v>0.07</c:v>
                </c:pt>
                <c:pt idx="15">
                  <c:v>0.07</c:v>
                </c:pt>
                <c:pt idx="16">
                  <c:v>0.05</c:v>
                </c:pt>
                <c:pt idx="17">
                  <c:v>0.05</c:v>
                </c:pt>
                <c:pt idx="18">
                  <c:v>0.04</c:v>
                </c:pt>
                <c:pt idx="19">
                  <c:v>0.04</c:v>
                </c:pt>
                <c:pt idx="20">
                  <c:v>0.04</c:v>
                </c:pt>
                <c:pt idx="21">
                  <c:v>0.04</c:v>
                </c:pt>
                <c:pt idx="22">
                  <c:v>0.04</c:v>
                </c:pt>
                <c:pt idx="23">
                  <c:v>0.04</c:v>
                </c:pt>
                <c:pt idx="24">
                  <c:v>0.04</c:v>
                </c:pt>
                <c:pt idx="25">
                  <c:v>0.04</c:v>
                </c:pt>
                <c:pt idx="26">
                  <c:v>0.04</c:v>
                </c:pt>
                <c:pt idx="27">
                  <c:v>0.04</c:v>
                </c:pt>
                <c:pt idx="28">
                  <c:v>0.04</c:v>
                </c:pt>
                <c:pt idx="29">
                  <c:v>0.04</c:v>
                </c:pt>
                <c:pt idx="30">
                  <c:v>0.045</c:v>
                </c:pt>
                <c:pt idx="31">
                  <c:v>0.045</c:v>
                </c:pt>
                <c:pt idx="32">
                  <c:v>0.07</c:v>
                </c:pt>
                <c:pt idx="33">
                  <c:v>0.07</c:v>
                </c:pt>
              </c:numCache>
            </c:numRef>
          </c:val>
        </c:ser>
        <c:ser>
          <c:idx val="2"/>
          <c:order val="2"/>
          <c:tx>
            <c:strRef>
              <c:f>U3R!$E$2</c:f>
              <c:strCache>
                <c:ptCount val="1"/>
                <c:pt idx="0">
                  <c:v>Unauthorized Immigrant Unemployment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U3R!$E$4:$E$37</c:f>
              <c:numCache>
                <c:formatCode>0.00%</c:formatCode>
                <c:ptCount val="34"/>
                <c:pt idx="0">
                  <c:v>0.11</c:v>
                </c:pt>
                <c:pt idx="1">
                  <c:v>0.11</c:v>
                </c:pt>
                <c:pt idx="2">
                  <c:v>0.1</c:v>
                </c:pt>
                <c:pt idx="3">
                  <c:v>0.1</c:v>
                </c:pt>
                <c:pt idx="4">
                  <c:v>0.12</c:v>
                </c:pt>
                <c:pt idx="5">
                  <c:v>0.12</c:v>
                </c:pt>
                <c:pt idx="6">
                  <c:v>0.13</c:v>
                </c:pt>
                <c:pt idx="7">
                  <c:v>0.13</c:v>
                </c:pt>
                <c:pt idx="8">
                  <c:v>0.07</c:v>
                </c:pt>
                <c:pt idx="9">
                  <c:v>0.07</c:v>
                </c:pt>
                <c:pt idx="10">
                  <c:v>0.08</c:v>
                </c:pt>
                <c:pt idx="11">
                  <c:v>0.08</c:v>
                </c:pt>
                <c:pt idx="12">
                  <c:v>0.12</c:v>
                </c:pt>
                <c:pt idx="13">
                  <c:v>0.12</c:v>
                </c:pt>
                <c:pt idx="14">
                  <c:v>0.11</c:v>
                </c:pt>
                <c:pt idx="15">
                  <c:v>0.11</c:v>
                </c:pt>
                <c:pt idx="16">
                  <c:v>0.08</c:v>
                </c:pt>
                <c:pt idx="17">
                  <c:v>0.08</c:v>
                </c:pt>
                <c:pt idx="18">
                  <c:v>0.07</c:v>
                </c:pt>
                <c:pt idx="19">
                  <c:v>0.07</c:v>
                </c:pt>
                <c:pt idx="20">
                  <c:v>0.07</c:v>
                </c:pt>
                <c:pt idx="21">
                  <c:v>0.07</c:v>
                </c:pt>
                <c:pt idx="22">
                  <c:v>0.07</c:v>
                </c:pt>
                <c:pt idx="23">
                  <c:v>0.07</c:v>
                </c:pt>
                <c:pt idx="24">
                  <c:v>0.07</c:v>
                </c:pt>
                <c:pt idx="25">
                  <c:v>0.07</c:v>
                </c:pt>
                <c:pt idx="26">
                  <c:v>0.07</c:v>
                </c:pt>
                <c:pt idx="27">
                  <c:v>0.07</c:v>
                </c:pt>
                <c:pt idx="28">
                  <c:v>0.07</c:v>
                </c:pt>
                <c:pt idx="29">
                  <c:v>0.07</c:v>
                </c:pt>
                <c:pt idx="30">
                  <c:v>0.06</c:v>
                </c:pt>
                <c:pt idx="31">
                  <c:v>0.06</c:v>
                </c:pt>
                <c:pt idx="32">
                  <c:v>0.12</c:v>
                </c:pt>
                <c:pt idx="33">
                  <c:v>0.12</c:v>
                </c:pt>
              </c:numCache>
            </c:numRef>
          </c:val>
        </c:ser>
        <c:ser>
          <c:idx val="3"/>
          <c:order val="3"/>
          <c:tx>
            <c:strRef>
              <c:f>U3R!$F$2</c:f>
              <c:strCache>
                <c:ptCount val="1"/>
                <c:pt idx="0">
                  <c:v>American Unemployment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U3R!$F$4:$F$37</c:f>
              <c:numCache>
                <c:formatCode>0.00%</c:formatCode>
                <c:ptCount val="34"/>
                <c:pt idx="0">
                  <c:v>0.045</c:v>
                </c:pt>
                <c:pt idx="1">
                  <c:v>0.045</c:v>
                </c:pt>
                <c:pt idx="2">
                  <c:v>0.03</c:v>
                </c:pt>
                <c:pt idx="3">
                  <c:v>0.03</c:v>
                </c:pt>
                <c:pt idx="4">
                  <c:v>0.037</c:v>
                </c:pt>
                <c:pt idx="5">
                  <c:v>0.037</c:v>
                </c:pt>
                <c:pt idx="6">
                  <c:v>0.04</c:v>
                </c:pt>
                <c:pt idx="7">
                  <c:v>0.04</c:v>
                </c:pt>
                <c:pt idx="8">
                  <c:v>0.018</c:v>
                </c:pt>
                <c:pt idx="9">
                  <c:v>0.018</c:v>
                </c:pt>
                <c:pt idx="10">
                  <c:v>0.022</c:v>
                </c:pt>
                <c:pt idx="11">
                  <c:v>0.022</c:v>
                </c:pt>
                <c:pt idx="12">
                  <c:v>0.037</c:v>
                </c:pt>
                <c:pt idx="13">
                  <c:v>0.037</c:v>
                </c:pt>
                <c:pt idx="14">
                  <c:v>0.045</c:v>
                </c:pt>
                <c:pt idx="15">
                  <c:v>0.045</c:v>
                </c:pt>
                <c:pt idx="16">
                  <c:v>0.022</c:v>
                </c:pt>
                <c:pt idx="17">
                  <c:v>0.022</c:v>
                </c:pt>
                <c:pt idx="18">
                  <c:v>0.018</c:v>
                </c:pt>
                <c:pt idx="19">
                  <c:v>0.018</c:v>
                </c:pt>
                <c:pt idx="20">
                  <c:v>0.018</c:v>
                </c:pt>
                <c:pt idx="21">
                  <c:v>0.018</c:v>
                </c:pt>
                <c:pt idx="22">
                  <c:v>0.018</c:v>
                </c:pt>
                <c:pt idx="23">
                  <c:v>0.018</c:v>
                </c:pt>
                <c:pt idx="24">
                  <c:v>0.018</c:v>
                </c:pt>
                <c:pt idx="25">
                  <c:v>0.018</c:v>
                </c:pt>
                <c:pt idx="26">
                  <c:v>0.018</c:v>
                </c:pt>
                <c:pt idx="27">
                  <c:v>0.018</c:v>
                </c:pt>
                <c:pt idx="28">
                  <c:v>0.018</c:v>
                </c:pt>
                <c:pt idx="29">
                  <c:v>0.018</c:v>
                </c:pt>
                <c:pt idx="30">
                  <c:v>0.035</c:v>
                </c:pt>
                <c:pt idx="31">
                  <c:v>0.035</c:v>
                </c:pt>
                <c:pt idx="32">
                  <c:v>0.037</c:v>
                </c:pt>
                <c:pt idx="33">
                  <c:v>0.037</c:v>
                </c:pt>
              </c:numCache>
            </c:numRef>
          </c:val>
        </c:ser>
        <c:gapWidth val="100"/>
        <c:overlap val="0"/>
        <c:axId val="8762568"/>
        <c:axId val="11320754"/>
      </c:barChart>
      <c:catAx>
        <c:axId val="87625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7168566434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1320754"/>
        <c:crosses val="autoZero"/>
        <c:auto val="1"/>
        <c:lblAlgn val="ctr"/>
        <c:lblOffset val="100"/>
        <c:noMultiLvlLbl val="0"/>
      </c:catAx>
      <c:valAx>
        <c:axId val="1132075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128925489578"/>
              <c:y val="0.9697678426352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62568"/>
        <c:crosses val="max"/>
        <c:crossBetween val="midCat"/>
        <c:majorUnit val="0.01"/>
      </c:valAx>
      <c:spPr>
        <a:noFill/>
        <a:ln w="0">
          <a:solidFill>
            <a:srgbClr val="b3b3b3"/>
          </a:solidFill>
        </a:ln>
      </c:spPr>
    </c:plotArea>
    <c:legend>
      <c:legendPos val="r"/>
      <c:layout>
        <c:manualLayout>
          <c:xMode val="edge"/>
          <c:yMode val="edge"/>
          <c:x val="0.802561071710008"/>
          <c:y val="0.0768586903003447"/>
          <c:w val="0.171953189644982"/>
          <c:h val="0.1117703537753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Underemployment Rate</a:t>
            </a:r>
          </a:p>
        </c:rich>
      </c:tx>
      <c:layout>
        <c:manualLayout>
          <c:xMode val="edge"/>
          <c:yMode val="edge"/>
          <c:x val="0.280704519484613"/>
          <c:y val="0.0106600359437702"/>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U6R!$C$2</c:f>
              <c:strCache>
                <c:ptCount val="1"/>
                <c:pt idx="0">
                  <c:v>Underemployment Rate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U6R!$C$4:$C$37</c:f>
              <c:numCache>
                <c:formatCode>0.00%</c:formatCode>
                <c:ptCount val="34"/>
                <c:pt idx="0">
                  <c:v>0.093</c:v>
                </c:pt>
                <c:pt idx="1">
                  <c:v>0.093</c:v>
                </c:pt>
                <c:pt idx="2">
                  <c:v>0.046</c:v>
                </c:pt>
                <c:pt idx="3">
                  <c:v>0.046</c:v>
                </c:pt>
                <c:pt idx="4">
                  <c:v>0.072</c:v>
                </c:pt>
                <c:pt idx="5">
                  <c:v>0.072</c:v>
                </c:pt>
                <c:pt idx="6">
                  <c:v>0.1</c:v>
                </c:pt>
                <c:pt idx="7">
                  <c:v>0.1</c:v>
                </c:pt>
                <c:pt idx="8">
                  <c:v>0.031</c:v>
                </c:pt>
                <c:pt idx="9">
                  <c:v>0.031</c:v>
                </c:pt>
                <c:pt idx="10">
                  <c:v>0.037</c:v>
                </c:pt>
                <c:pt idx="11">
                  <c:v>0.037</c:v>
                </c:pt>
                <c:pt idx="12">
                  <c:v>0.074</c:v>
                </c:pt>
                <c:pt idx="13">
                  <c:v>0.074</c:v>
                </c:pt>
                <c:pt idx="14">
                  <c:v>0.093</c:v>
                </c:pt>
                <c:pt idx="15">
                  <c:v>0.093</c:v>
                </c:pt>
                <c:pt idx="16">
                  <c:v>0.046</c:v>
                </c:pt>
                <c:pt idx="17">
                  <c:v>0.046</c:v>
                </c:pt>
                <c:pt idx="18">
                  <c:v>0.035</c:v>
                </c:pt>
                <c:pt idx="19">
                  <c:v>0.035</c:v>
                </c:pt>
                <c:pt idx="20">
                  <c:v>0.026</c:v>
                </c:pt>
                <c:pt idx="21">
                  <c:v>0.026</c:v>
                </c:pt>
                <c:pt idx="22">
                  <c:v>0.036</c:v>
                </c:pt>
                <c:pt idx="23">
                  <c:v>0.036</c:v>
                </c:pt>
                <c:pt idx="24">
                  <c:v>0.028</c:v>
                </c:pt>
                <c:pt idx="25">
                  <c:v>0.028</c:v>
                </c:pt>
                <c:pt idx="26">
                  <c:v>0.03</c:v>
                </c:pt>
                <c:pt idx="27">
                  <c:v>0.03</c:v>
                </c:pt>
                <c:pt idx="28">
                  <c:v>0.03</c:v>
                </c:pt>
                <c:pt idx="29">
                  <c:v>0.03</c:v>
                </c:pt>
                <c:pt idx="30">
                  <c:v>0.042</c:v>
                </c:pt>
                <c:pt idx="31">
                  <c:v>0.042</c:v>
                </c:pt>
                <c:pt idx="32">
                  <c:v>0.076</c:v>
                </c:pt>
                <c:pt idx="33">
                  <c:v>0.076</c:v>
                </c:pt>
              </c:numCache>
            </c:numRef>
          </c:val>
        </c:ser>
        <c:ser>
          <c:idx val="1"/>
          <c:order val="1"/>
          <c:tx>
            <c:strRef>
              <c:f>U6R!$D$2</c:f>
              <c:strCache>
                <c:ptCount val="1"/>
                <c:pt idx="0">
                  <c:v>Authorized Immigrant Underemployment Rate</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U6R!$D$4:$D$37</c:f>
              <c:numCache>
                <c:formatCode>0.00%</c:formatCode>
                <c:ptCount val="34"/>
                <c:pt idx="0">
                  <c:v>0.108</c:v>
                </c:pt>
                <c:pt idx="1">
                  <c:v>0.108</c:v>
                </c:pt>
                <c:pt idx="2">
                  <c:v>0.066</c:v>
                </c:pt>
                <c:pt idx="3">
                  <c:v>0.066</c:v>
                </c:pt>
                <c:pt idx="4">
                  <c:v>0.095</c:v>
                </c:pt>
                <c:pt idx="5">
                  <c:v>0.095</c:v>
                </c:pt>
                <c:pt idx="6">
                  <c:v>0.132</c:v>
                </c:pt>
                <c:pt idx="7">
                  <c:v>0.132</c:v>
                </c:pt>
                <c:pt idx="8">
                  <c:v>0.037</c:v>
                </c:pt>
                <c:pt idx="9">
                  <c:v>0.037</c:v>
                </c:pt>
                <c:pt idx="10">
                  <c:v>0.046</c:v>
                </c:pt>
                <c:pt idx="11">
                  <c:v>0.046</c:v>
                </c:pt>
                <c:pt idx="12">
                  <c:v>0.097</c:v>
                </c:pt>
                <c:pt idx="13">
                  <c:v>0.097</c:v>
                </c:pt>
                <c:pt idx="14">
                  <c:v>0.108</c:v>
                </c:pt>
                <c:pt idx="15">
                  <c:v>0.108</c:v>
                </c:pt>
                <c:pt idx="16">
                  <c:v>0.057</c:v>
                </c:pt>
                <c:pt idx="17">
                  <c:v>0.057</c:v>
                </c:pt>
                <c:pt idx="18">
                  <c:v>0.042</c:v>
                </c:pt>
                <c:pt idx="19">
                  <c:v>0.042</c:v>
                </c:pt>
                <c:pt idx="20">
                  <c:v>0.031</c:v>
                </c:pt>
                <c:pt idx="21">
                  <c:v>0.031</c:v>
                </c:pt>
                <c:pt idx="22">
                  <c:v>0.043</c:v>
                </c:pt>
                <c:pt idx="23">
                  <c:v>0.043</c:v>
                </c:pt>
                <c:pt idx="24">
                  <c:v>0.034</c:v>
                </c:pt>
                <c:pt idx="25">
                  <c:v>0.034</c:v>
                </c:pt>
                <c:pt idx="26">
                  <c:v>0.036</c:v>
                </c:pt>
                <c:pt idx="27">
                  <c:v>0.036</c:v>
                </c:pt>
                <c:pt idx="28">
                  <c:v>0.036</c:v>
                </c:pt>
                <c:pt idx="29">
                  <c:v>0.036</c:v>
                </c:pt>
                <c:pt idx="30">
                  <c:v>0.05</c:v>
                </c:pt>
                <c:pt idx="31">
                  <c:v>0.05</c:v>
                </c:pt>
                <c:pt idx="32">
                  <c:v>0.1</c:v>
                </c:pt>
                <c:pt idx="33">
                  <c:v>0.1</c:v>
                </c:pt>
              </c:numCache>
            </c:numRef>
          </c:val>
        </c:ser>
        <c:ser>
          <c:idx val="2"/>
          <c:order val="2"/>
          <c:tx>
            <c:strRef>
              <c:f>U6R!$E$2</c:f>
              <c:strCache>
                <c:ptCount val="1"/>
                <c:pt idx="0">
                  <c:v>Unauthorized Immigrant Underemployment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U6R!$E$4:$E$37</c:f>
              <c:numCache>
                <c:formatCode>0.00%</c:formatCode>
                <c:ptCount val="34"/>
                <c:pt idx="0">
                  <c:v>0.155</c:v>
                </c:pt>
                <c:pt idx="1">
                  <c:v>0.155</c:v>
                </c:pt>
                <c:pt idx="2">
                  <c:v>0.11</c:v>
                </c:pt>
                <c:pt idx="3">
                  <c:v>0.11</c:v>
                </c:pt>
                <c:pt idx="4">
                  <c:v>0.162</c:v>
                </c:pt>
                <c:pt idx="5">
                  <c:v>0.162</c:v>
                </c:pt>
                <c:pt idx="6">
                  <c:v>0.221</c:v>
                </c:pt>
                <c:pt idx="7">
                  <c:v>0.221</c:v>
                </c:pt>
                <c:pt idx="8">
                  <c:v>0.078</c:v>
                </c:pt>
                <c:pt idx="9">
                  <c:v>0.078</c:v>
                </c:pt>
                <c:pt idx="10">
                  <c:v>0.084</c:v>
                </c:pt>
                <c:pt idx="11">
                  <c:v>0.084</c:v>
                </c:pt>
                <c:pt idx="12">
                  <c:v>0.165</c:v>
                </c:pt>
                <c:pt idx="13">
                  <c:v>0.165</c:v>
                </c:pt>
                <c:pt idx="14">
                  <c:v>0.155</c:v>
                </c:pt>
                <c:pt idx="15">
                  <c:v>0.155</c:v>
                </c:pt>
                <c:pt idx="16">
                  <c:v>0.104</c:v>
                </c:pt>
                <c:pt idx="17">
                  <c:v>0.104</c:v>
                </c:pt>
                <c:pt idx="18">
                  <c:v>0.088</c:v>
                </c:pt>
                <c:pt idx="19">
                  <c:v>0.088</c:v>
                </c:pt>
                <c:pt idx="20">
                  <c:v>0.065</c:v>
                </c:pt>
                <c:pt idx="21">
                  <c:v>0.065</c:v>
                </c:pt>
                <c:pt idx="22">
                  <c:v>0.09</c:v>
                </c:pt>
                <c:pt idx="23">
                  <c:v>0.09</c:v>
                </c:pt>
                <c:pt idx="24">
                  <c:v>0.071</c:v>
                </c:pt>
                <c:pt idx="25">
                  <c:v>0.071</c:v>
                </c:pt>
                <c:pt idx="26">
                  <c:v>0.076</c:v>
                </c:pt>
                <c:pt idx="27">
                  <c:v>0.076</c:v>
                </c:pt>
                <c:pt idx="28">
                  <c:v>0.076</c:v>
                </c:pt>
                <c:pt idx="29">
                  <c:v>0.076</c:v>
                </c:pt>
                <c:pt idx="30">
                  <c:v>0.084</c:v>
                </c:pt>
                <c:pt idx="31">
                  <c:v>0.084</c:v>
                </c:pt>
                <c:pt idx="32">
                  <c:v>0.17</c:v>
                </c:pt>
                <c:pt idx="33">
                  <c:v>0.17</c:v>
                </c:pt>
              </c:numCache>
            </c:numRef>
          </c:val>
        </c:ser>
        <c:ser>
          <c:idx val="3"/>
          <c:order val="3"/>
          <c:tx>
            <c:strRef>
              <c:f>U6R!$F$2</c:f>
              <c:strCache>
                <c:ptCount val="1"/>
                <c:pt idx="0">
                  <c:v>American Underemployment Rate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U6R!$F$4:$F$37</c:f>
              <c:numCache>
                <c:formatCode>0.00%</c:formatCode>
                <c:ptCount val="34"/>
                <c:pt idx="0">
                  <c:v>0.089</c:v>
                </c:pt>
                <c:pt idx="1">
                  <c:v>0.089</c:v>
                </c:pt>
                <c:pt idx="2">
                  <c:v>0.042</c:v>
                </c:pt>
                <c:pt idx="3">
                  <c:v>0.042</c:v>
                </c:pt>
                <c:pt idx="4">
                  <c:v>0.069</c:v>
                </c:pt>
                <c:pt idx="5">
                  <c:v>0.069</c:v>
                </c:pt>
                <c:pt idx="6">
                  <c:v>0.095</c:v>
                </c:pt>
                <c:pt idx="7">
                  <c:v>0.095</c:v>
                </c:pt>
                <c:pt idx="8">
                  <c:v>0.03</c:v>
                </c:pt>
                <c:pt idx="9">
                  <c:v>0.03</c:v>
                </c:pt>
                <c:pt idx="10">
                  <c:v>0.034</c:v>
                </c:pt>
                <c:pt idx="11">
                  <c:v>0.034</c:v>
                </c:pt>
                <c:pt idx="12">
                  <c:v>0.071</c:v>
                </c:pt>
                <c:pt idx="13">
                  <c:v>0.071</c:v>
                </c:pt>
                <c:pt idx="14">
                  <c:v>0.089</c:v>
                </c:pt>
                <c:pt idx="15">
                  <c:v>0.089</c:v>
                </c:pt>
                <c:pt idx="16">
                  <c:v>0.042</c:v>
                </c:pt>
                <c:pt idx="17">
                  <c:v>0.042</c:v>
                </c:pt>
                <c:pt idx="18">
                  <c:v>0.034</c:v>
                </c:pt>
                <c:pt idx="19">
                  <c:v>0.034</c:v>
                </c:pt>
                <c:pt idx="20">
                  <c:v>0.024</c:v>
                </c:pt>
                <c:pt idx="21">
                  <c:v>0.024</c:v>
                </c:pt>
                <c:pt idx="22">
                  <c:v>0.035</c:v>
                </c:pt>
                <c:pt idx="23">
                  <c:v>0.035</c:v>
                </c:pt>
                <c:pt idx="24">
                  <c:v>0.027</c:v>
                </c:pt>
                <c:pt idx="25">
                  <c:v>0.027</c:v>
                </c:pt>
                <c:pt idx="26">
                  <c:v>0.029</c:v>
                </c:pt>
                <c:pt idx="27">
                  <c:v>0.029</c:v>
                </c:pt>
                <c:pt idx="28">
                  <c:v>0.029</c:v>
                </c:pt>
                <c:pt idx="29">
                  <c:v>0.029</c:v>
                </c:pt>
                <c:pt idx="30">
                  <c:v>0.041</c:v>
                </c:pt>
                <c:pt idx="31">
                  <c:v>0.041</c:v>
                </c:pt>
                <c:pt idx="32">
                  <c:v>0.073</c:v>
                </c:pt>
                <c:pt idx="33">
                  <c:v>0.073</c:v>
                </c:pt>
              </c:numCache>
            </c:numRef>
          </c:val>
        </c:ser>
        <c:gapWidth val="100"/>
        <c:overlap val="0"/>
        <c:axId val="97457955"/>
        <c:axId val="27828662"/>
      </c:barChart>
      <c:catAx>
        <c:axId val="9745795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7168566434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7828662"/>
        <c:crosses val="autoZero"/>
        <c:auto val="1"/>
        <c:lblAlgn val="ctr"/>
        <c:lblOffset val="100"/>
        <c:noMultiLvlLbl val="0"/>
      </c:catAx>
      <c:valAx>
        <c:axId val="2782866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128925489578"/>
              <c:y val="0.9697678426352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457955"/>
        <c:crosses val="max"/>
        <c:crossBetween val="midCat"/>
        <c:majorUnit val="0.01"/>
      </c:valAx>
      <c:spPr>
        <a:noFill/>
        <a:ln w="0">
          <a:solidFill>
            <a:srgbClr val="b3b3b3"/>
          </a:solidFill>
        </a:ln>
      </c:spPr>
    </c:plotArea>
    <c:legend>
      <c:legendPos val="r"/>
      <c:layout>
        <c:manualLayout>
          <c:xMode val="edge"/>
          <c:yMode val="edge"/>
          <c:x val="0.802561071710008"/>
          <c:y val="0.0768586903003447"/>
          <c:w val="0.171953189644982"/>
          <c:h val="0.1117703537753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80783324796091"/>
          <c:y val="0.0106600359437702"/>
        </c:manualLayout>
      </c:layout>
      <c:overlay val="0"/>
      <c:spPr>
        <a:noFill/>
        <a:ln w="0">
          <a:noFill/>
        </a:ln>
      </c:spPr>
    </c:title>
    <c:autoTitleDeleted val="0"/>
    <c:plotArea>
      <c:layout>
        <c:manualLayout>
          <c:layoutTarget val="inner"/>
          <c:xMode val="edge"/>
          <c:yMode val="edge"/>
          <c:x val="0.299578391583593"/>
          <c:y val="0.0468746153278023"/>
          <c:w val="0.470664722802317"/>
          <c:h val="0.874590708781605"/>
        </c:manualLayout>
      </c:layout>
      <c:barChart>
        <c:barDir val="bar"/>
        <c:grouping val="clustered"/>
        <c:varyColors val="0"/>
        <c:ser>
          <c:idx val="0"/>
          <c:order val="0"/>
          <c:tx>
            <c:strRef>
              <c:f>U6R!$C$132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U6R!$C$134:$C$163</c:f>
              <c:numCache>
                <c:formatCode>0.00%</c:formatCode>
                <c:ptCount val="30"/>
              </c:numCache>
            </c:numRef>
          </c:val>
        </c:ser>
        <c:ser>
          <c:idx val="1"/>
          <c:order val="1"/>
          <c:tx>
            <c:strRef>
              <c:f>U6R!$D$132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U6R!$D$134:$D$163</c:f>
              <c:numCache>
                <c:formatCode>0.00%</c:formatCode>
                <c:ptCount val="30"/>
              </c:numCache>
            </c:numRef>
          </c:val>
        </c:ser>
        <c:ser>
          <c:idx val="2"/>
          <c:order val="2"/>
          <c:tx>
            <c:strRef>
              <c:f>U6R!$E$132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in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U6R!$E$134:$E$163</c:f>
              <c:numCache>
                <c:formatCode>0.00%</c:formatCode>
                <c:ptCount val="30"/>
              </c:numCache>
            </c:numRef>
          </c:val>
        </c:ser>
        <c:ser>
          <c:idx val="3"/>
          <c:order val="3"/>
          <c:tx>
            <c:strRef>
              <c:f>U6R!$F$132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U6R!$B$134:$B$163</c:f>
              <c:strCache>
                <c:ptCount val="30"/>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pt idx="26">
                  <c:v>#REF!</c:v>
                </c:pt>
                <c:pt idx="27">
                  <c:v>#REF!</c:v>
                </c:pt>
                <c:pt idx="28">
                  <c:v>#REF!</c:v>
                </c:pt>
                <c:pt idx="29">
                  <c:v>#REF!</c:v>
                </c:pt>
              </c:strCache>
            </c:strRef>
          </c:cat>
          <c:val>
            <c:numRef>
              <c:f>U6R!$F$134:$F$163</c:f>
              <c:numCache>
                <c:formatCode>0.00%</c:formatCode>
                <c:ptCount val="30"/>
              </c:numCache>
            </c:numRef>
          </c:val>
        </c:ser>
        <c:gapWidth val="100"/>
        <c:overlap val="0"/>
        <c:axId val="33680097"/>
        <c:axId val="88324729"/>
      </c:barChart>
      <c:catAx>
        <c:axId val="3368009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6676186021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324729"/>
        <c:crosses val="autoZero"/>
        <c:auto val="1"/>
        <c:lblAlgn val="ctr"/>
        <c:lblOffset val="100"/>
        <c:noMultiLvlLbl val="0"/>
      </c:catAx>
      <c:valAx>
        <c:axId val="8832472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26206706332"/>
              <c:y val="0.9697678426352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680097"/>
        <c:crosses val="max"/>
        <c:crossBetween val="midCat"/>
        <c:majorUnit val="0.01"/>
      </c:valAx>
      <c:spPr>
        <a:noFill/>
        <a:ln w="0">
          <a:solidFill>
            <a:srgbClr val="b3b3b3"/>
          </a:solidFill>
        </a:ln>
      </c:spPr>
    </c:plotArea>
    <c:legend>
      <c:legendPos val="r"/>
      <c:layout>
        <c:manualLayout>
          <c:xMode val="edge"/>
          <c:yMode val="edge"/>
          <c:x val="0.786485421591805"/>
          <c:y val="0.0768094534711965"/>
          <c:w val="0.187950667875015"/>
          <c:h val="0.11172111573401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Wage Average</a:t>
            </a:r>
          </a:p>
        </c:rich>
      </c:tx>
      <c:layout>
        <c:manualLayout>
          <c:xMode val="edge"/>
          <c:yMode val="edge"/>
          <c:x val="0.316994365420229"/>
          <c:y val="0.0106600359437702"/>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WAVG!$C$4:$C$37</c:f>
              <c:numCache>
                <c:formatCode>[$$-409]#,##0.00;[RED]\-[$$-409]#,##0.00</c:formatCode>
                <c:ptCount val="34"/>
                <c:pt idx="0">
                  <c:v>21.93</c:v>
                </c:pt>
                <c:pt idx="1">
                  <c:v>18.64</c:v>
                </c:pt>
                <c:pt idx="2">
                  <c:v>25.34</c:v>
                </c:pt>
                <c:pt idx="3">
                  <c:v>21.54</c:v>
                </c:pt>
                <c:pt idx="4">
                  <c:v>14.15</c:v>
                </c:pt>
                <c:pt idx="5">
                  <c:v>12.03</c:v>
                </c:pt>
                <c:pt idx="6">
                  <c:v>16.59</c:v>
                </c:pt>
                <c:pt idx="7">
                  <c:v>14.1</c:v>
                </c:pt>
                <c:pt idx="8">
                  <c:v>24.19</c:v>
                </c:pt>
                <c:pt idx="9">
                  <c:v>20.56</c:v>
                </c:pt>
                <c:pt idx="10">
                  <c:v>24.4</c:v>
                </c:pt>
                <c:pt idx="11">
                  <c:v>20.74</c:v>
                </c:pt>
                <c:pt idx="12">
                  <c:v>21.94</c:v>
                </c:pt>
                <c:pt idx="13">
                  <c:v>18.65</c:v>
                </c:pt>
                <c:pt idx="14">
                  <c:v>16.59</c:v>
                </c:pt>
                <c:pt idx="15">
                  <c:v>14.1</c:v>
                </c:pt>
                <c:pt idx="16">
                  <c:v>29.21</c:v>
                </c:pt>
                <c:pt idx="17">
                  <c:v>24.83</c:v>
                </c:pt>
                <c:pt idx="18">
                  <c:v>41.16</c:v>
                </c:pt>
                <c:pt idx="19">
                  <c:v>34.99</c:v>
                </c:pt>
                <c:pt idx="20">
                  <c:v>53.09</c:v>
                </c:pt>
                <c:pt idx="21">
                  <c:v>45.13</c:v>
                </c:pt>
                <c:pt idx="22">
                  <c:v>26.24</c:v>
                </c:pt>
                <c:pt idx="23">
                  <c:v>22.3</c:v>
                </c:pt>
                <c:pt idx="24">
                  <c:v>41</c:v>
                </c:pt>
                <c:pt idx="25">
                  <c:v>34.85</c:v>
                </c:pt>
                <c:pt idx="26">
                  <c:v>28.71</c:v>
                </c:pt>
                <c:pt idx="27">
                  <c:v>24.4</c:v>
                </c:pt>
                <c:pt idx="28">
                  <c:v>24.54</c:v>
                </c:pt>
                <c:pt idx="29">
                  <c:v>20.86</c:v>
                </c:pt>
                <c:pt idx="30">
                  <c:v>37.5</c:v>
                </c:pt>
                <c:pt idx="31">
                  <c:v>31.88</c:v>
                </c:pt>
                <c:pt idx="32">
                  <c:v>15.21</c:v>
                </c:pt>
                <c:pt idx="33">
                  <c:v>12.93</c:v>
                </c:pt>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Pt>
            <c:idx val="2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WAVG!$D$4:$D$37</c:f>
              <c:numCache>
                <c:formatCode>[$$-409]#,##0.00;[RED]\-[$$-409]#,##0.00</c:formatCode>
                <c:ptCount val="34"/>
                <c:pt idx="0">
                  <c:v>21</c:v>
                </c:pt>
                <c:pt idx="1">
                  <c:v>17.8</c:v>
                </c:pt>
                <c:pt idx="2">
                  <c:v>24.1</c:v>
                </c:pt>
                <c:pt idx="3">
                  <c:v>20.5</c:v>
                </c:pt>
                <c:pt idx="4">
                  <c:v>13.5</c:v>
                </c:pt>
                <c:pt idx="5">
                  <c:v>11.5</c:v>
                </c:pt>
                <c:pt idx="6">
                  <c:v>15.8</c:v>
                </c:pt>
                <c:pt idx="7">
                  <c:v>13.4</c:v>
                </c:pt>
                <c:pt idx="8">
                  <c:v>23</c:v>
                </c:pt>
                <c:pt idx="9">
                  <c:v>19.6</c:v>
                </c:pt>
                <c:pt idx="10">
                  <c:v>23.2</c:v>
                </c:pt>
                <c:pt idx="11">
                  <c:v>19.7</c:v>
                </c:pt>
                <c:pt idx="12">
                  <c:v>20.9</c:v>
                </c:pt>
                <c:pt idx="13">
                  <c:v>17.8</c:v>
                </c:pt>
                <c:pt idx="14">
                  <c:v>15.8</c:v>
                </c:pt>
                <c:pt idx="15">
                  <c:v>13.4</c:v>
                </c:pt>
                <c:pt idx="16">
                  <c:v>27.7</c:v>
                </c:pt>
                <c:pt idx="17">
                  <c:v>23.6</c:v>
                </c:pt>
                <c:pt idx="18">
                  <c:v>39.1</c:v>
                </c:pt>
                <c:pt idx="19">
                  <c:v>33.2</c:v>
                </c:pt>
                <c:pt idx="20">
                  <c:v>50.4</c:v>
                </c:pt>
                <c:pt idx="21">
                  <c:v>42.9</c:v>
                </c:pt>
                <c:pt idx="22">
                  <c:v>24.9</c:v>
                </c:pt>
                <c:pt idx="23">
                  <c:v>21.2</c:v>
                </c:pt>
                <c:pt idx="24">
                  <c:v>39</c:v>
                </c:pt>
                <c:pt idx="25">
                  <c:v>33.1</c:v>
                </c:pt>
                <c:pt idx="26">
                  <c:v>27.3</c:v>
                </c:pt>
                <c:pt idx="27">
                  <c:v>23.2</c:v>
                </c:pt>
                <c:pt idx="28">
                  <c:v>23.3</c:v>
                </c:pt>
                <c:pt idx="29">
                  <c:v>19.8</c:v>
                </c:pt>
                <c:pt idx="30">
                  <c:v>35.6</c:v>
                </c:pt>
                <c:pt idx="31">
                  <c:v>30.3</c:v>
                </c:pt>
                <c:pt idx="32">
                  <c:v>14.5</c:v>
                </c:pt>
                <c:pt idx="33">
                  <c:v>12.3</c:v>
                </c:pt>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WAVG!$E$4:$E$37</c:f>
              <c:numCache>
                <c:formatCode>[$$-409]#,##0.00;[RED]\-[$$-409]#,##0.00</c:formatCode>
                <c:ptCount val="34"/>
                <c:pt idx="0">
                  <c:v>18.2</c:v>
                </c:pt>
                <c:pt idx="1">
                  <c:v>15.5</c:v>
                </c:pt>
                <c:pt idx="2">
                  <c:v>21.5</c:v>
                </c:pt>
                <c:pt idx="3">
                  <c:v>18.3</c:v>
                </c:pt>
                <c:pt idx="4">
                  <c:v>11.7</c:v>
                </c:pt>
                <c:pt idx="5">
                  <c:v>9.9</c:v>
                </c:pt>
                <c:pt idx="6">
                  <c:v>13.8</c:v>
                </c:pt>
                <c:pt idx="7">
                  <c:v>11.7</c:v>
                </c:pt>
                <c:pt idx="8">
                  <c:v>21</c:v>
                </c:pt>
                <c:pt idx="9">
                  <c:v>17.9</c:v>
                </c:pt>
                <c:pt idx="10">
                  <c:v>21.2</c:v>
                </c:pt>
                <c:pt idx="11">
                  <c:v>18</c:v>
                </c:pt>
                <c:pt idx="12">
                  <c:v>18.1</c:v>
                </c:pt>
                <c:pt idx="13">
                  <c:v>15.4</c:v>
                </c:pt>
                <c:pt idx="14">
                  <c:v>13.8</c:v>
                </c:pt>
                <c:pt idx="15">
                  <c:v>11.7</c:v>
                </c:pt>
                <c:pt idx="16">
                  <c:v>25.3</c:v>
                </c:pt>
                <c:pt idx="17">
                  <c:v>21.5</c:v>
                </c:pt>
                <c:pt idx="18">
                  <c:v>35.8</c:v>
                </c:pt>
                <c:pt idx="19">
                  <c:v>30.4</c:v>
                </c:pt>
                <c:pt idx="20">
                  <c:v>46.2</c:v>
                </c:pt>
                <c:pt idx="21">
                  <c:v>39.3</c:v>
                </c:pt>
                <c:pt idx="22">
                  <c:v>22.8</c:v>
                </c:pt>
                <c:pt idx="23">
                  <c:v>19.4</c:v>
                </c:pt>
                <c:pt idx="24">
                  <c:v>35.7</c:v>
                </c:pt>
                <c:pt idx="25">
                  <c:v>30.3</c:v>
                </c:pt>
                <c:pt idx="26">
                  <c:v>25</c:v>
                </c:pt>
                <c:pt idx="27">
                  <c:v>21.2</c:v>
                </c:pt>
                <c:pt idx="28">
                  <c:v>21.3</c:v>
                </c:pt>
                <c:pt idx="29">
                  <c:v>18.1</c:v>
                </c:pt>
                <c:pt idx="30">
                  <c:v>32.6</c:v>
                </c:pt>
                <c:pt idx="31">
                  <c:v>27.7</c:v>
                </c:pt>
                <c:pt idx="32">
                  <c:v>12.6</c:v>
                </c:pt>
                <c:pt idx="33">
                  <c:v>10.7</c:v>
                </c:pt>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WAVG!$F$4:$F$37</c:f>
              <c:numCache>
                <c:formatCode>[$$-409]#,##0.00;[RED]\-[$$-409]#,##0.00</c:formatCode>
                <c:ptCount val="34"/>
                <c:pt idx="0">
                  <c:v>22.4</c:v>
                </c:pt>
                <c:pt idx="1">
                  <c:v>19</c:v>
                </c:pt>
                <c:pt idx="2">
                  <c:v>25.9</c:v>
                </c:pt>
                <c:pt idx="3">
                  <c:v>22</c:v>
                </c:pt>
                <c:pt idx="4">
                  <c:v>14.4</c:v>
                </c:pt>
                <c:pt idx="5">
                  <c:v>12.3</c:v>
                </c:pt>
                <c:pt idx="6">
                  <c:v>16.9</c:v>
                </c:pt>
                <c:pt idx="7">
                  <c:v>14.4</c:v>
                </c:pt>
                <c:pt idx="8">
                  <c:v>24.7</c:v>
                </c:pt>
                <c:pt idx="9">
                  <c:v>21</c:v>
                </c:pt>
                <c:pt idx="10">
                  <c:v>24.9</c:v>
                </c:pt>
                <c:pt idx="11">
                  <c:v>21.2</c:v>
                </c:pt>
                <c:pt idx="12">
                  <c:v>22.4</c:v>
                </c:pt>
                <c:pt idx="13">
                  <c:v>19</c:v>
                </c:pt>
                <c:pt idx="14">
                  <c:v>16.9</c:v>
                </c:pt>
                <c:pt idx="15">
                  <c:v>14.4</c:v>
                </c:pt>
                <c:pt idx="16">
                  <c:v>29.8</c:v>
                </c:pt>
                <c:pt idx="17">
                  <c:v>25.3</c:v>
                </c:pt>
                <c:pt idx="18">
                  <c:v>42</c:v>
                </c:pt>
                <c:pt idx="19">
                  <c:v>35.7</c:v>
                </c:pt>
                <c:pt idx="20">
                  <c:v>54.2</c:v>
                </c:pt>
                <c:pt idx="21">
                  <c:v>46</c:v>
                </c:pt>
                <c:pt idx="22">
                  <c:v>26.8</c:v>
                </c:pt>
                <c:pt idx="23">
                  <c:v>22.8</c:v>
                </c:pt>
                <c:pt idx="24">
                  <c:v>41.8</c:v>
                </c:pt>
                <c:pt idx="25">
                  <c:v>35.5</c:v>
                </c:pt>
                <c:pt idx="26">
                  <c:v>29.3</c:v>
                </c:pt>
                <c:pt idx="27">
                  <c:v>24.9</c:v>
                </c:pt>
                <c:pt idx="28">
                  <c:v>25</c:v>
                </c:pt>
                <c:pt idx="29">
                  <c:v>21.3</c:v>
                </c:pt>
                <c:pt idx="30">
                  <c:v>38.3</c:v>
                </c:pt>
                <c:pt idx="31">
                  <c:v>32.5</c:v>
                </c:pt>
                <c:pt idx="32">
                  <c:v>15.5</c:v>
                </c:pt>
                <c:pt idx="33">
                  <c:v>13.2</c:v>
                </c:pt>
              </c:numCache>
            </c:numRef>
          </c:val>
        </c:ser>
        <c:gapWidth val="100"/>
        <c:overlap val="0"/>
        <c:axId val="45936647"/>
        <c:axId val="4863042"/>
      </c:barChart>
      <c:catAx>
        <c:axId val="4593664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56914251951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63042"/>
        <c:crosses val="autoZero"/>
        <c:auto val="1"/>
        <c:lblAlgn val="ctr"/>
        <c:lblOffset val="100"/>
        <c:noMultiLvlLbl val="0"/>
      </c:catAx>
      <c:valAx>
        <c:axId val="48630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286536112534"/>
              <c:y val="0.96976784263522"/>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5936647"/>
        <c:crosses val="max"/>
        <c:crossBetween val="midCat"/>
        <c:majorUnit val="1"/>
      </c:valAx>
      <c:spPr>
        <a:noFill/>
        <a:ln w="0">
          <a:solidFill>
            <a:srgbClr val="b3b3b3"/>
          </a:solidFill>
        </a:ln>
      </c:spPr>
    </c:plotArea>
    <c:legend>
      <c:legendPos val="r"/>
      <c:layout>
        <c:manualLayout>
          <c:xMode val="edge"/>
          <c:yMode val="edge"/>
          <c:x val="0.802521670606777"/>
          <c:y val="0.0767602166420483"/>
          <c:w val="0.171874384333504"/>
          <c:h val="0.072182968561510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Annual Income Average</a:t>
            </a:r>
          </a:p>
        </c:rich>
      </c:tx>
      <c:layout>
        <c:manualLayout>
          <c:xMode val="edge"/>
          <c:yMode val="edge"/>
          <c:x val="0.281926001812522"/>
          <c:y val="0.0168886481695758"/>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AIAVG!$C$2</c:f>
              <c:strCache>
                <c:ptCount val="1"/>
                <c:pt idx="0">
                  <c:v>Annual Income (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AIAVG!$C$4:$C$37</c:f>
              <c:numCache>
                <c:formatCode>[$$-409]#,##0;[RED]\-[$$-409]#,##0</c:formatCode>
                <c:ptCount val="34"/>
                <c:pt idx="0">
                  <c:v>45614</c:v>
                </c:pt>
                <c:pt idx="1">
                  <c:v>38771</c:v>
                </c:pt>
                <c:pt idx="2">
                  <c:v>52707</c:v>
                </c:pt>
                <c:pt idx="3">
                  <c:v>44771</c:v>
                </c:pt>
                <c:pt idx="4">
                  <c:v>29432</c:v>
                </c:pt>
                <c:pt idx="5">
                  <c:v>25022</c:v>
                </c:pt>
                <c:pt idx="6">
                  <c:v>34507</c:v>
                </c:pt>
                <c:pt idx="7">
                  <c:v>29328</c:v>
                </c:pt>
                <c:pt idx="8">
                  <c:v>50315</c:v>
                </c:pt>
                <c:pt idx="9">
                  <c:v>42765</c:v>
                </c:pt>
                <c:pt idx="10">
                  <c:v>50752</c:v>
                </c:pt>
                <c:pt idx="11">
                  <c:v>43139</c:v>
                </c:pt>
                <c:pt idx="12">
                  <c:v>45635</c:v>
                </c:pt>
                <c:pt idx="13">
                  <c:v>38792</c:v>
                </c:pt>
                <c:pt idx="14">
                  <c:v>34507</c:v>
                </c:pt>
                <c:pt idx="15">
                  <c:v>29328</c:v>
                </c:pt>
                <c:pt idx="16">
                  <c:v>60757</c:v>
                </c:pt>
                <c:pt idx="17">
                  <c:v>51646</c:v>
                </c:pt>
                <c:pt idx="18">
                  <c:v>85613</c:v>
                </c:pt>
                <c:pt idx="19">
                  <c:v>72779</c:v>
                </c:pt>
                <c:pt idx="20">
                  <c:v>110427</c:v>
                </c:pt>
                <c:pt idx="21">
                  <c:v>93870</c:v>
                </c:pt>
                <c:pt idx="22">
                  <c:v>54579</c:v>
                </c:pt>
                <c:pt idx="23">
                  <c:v>46384</c:v>
                </c:pt>
                <c:pt idx="24">
                  <c:v>85280</c:v>
                </c:pt>
                <c:pt idx="25">
                  <c:v>72488</c:v>
                </c:pt>
                <c:pt idx="26">
                  <c:v>59717</c:v>
                </c:pt>
                <c:pt idx="27">
                  <c:v>50752</c:v>
                </c:pt>
                <c:pt idx="28">
                  <c:v>51043</c:v>
                </c:pt>
                <c:pt idx="29">
                  <c:v>43389</c:v>
                </c:pt>
                <c:pt idx="30">
                  <c:v>78000</c:v>
                </c:pt>
                <c:pt idx="31">
                  <c:v>66310</c:v>
                </c:pt>
                <c:pt idx="32">
                  <c:v>31637</c:v>
                </c:pt>
                <c:pt idx="33">
                  <c:v>26904</c:v>
                </c:pt>
              </c:numCache>
            </c:numRef>
          </c:val>
        </c:ser>
        <c:ser>
          <c:idx val="1"/>
          <c:order val="1"/>
          <c:tx>
            <c:strRef>
              <c:f>AIAVG!$D$2</c:f>
              <c:strCache>
                <c:ptCount val="1"/>
                <c:pt idx="0">
                  <c:v>Authorized Immigrant Annual Income Average (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AIAVG!$D$4:$D$37</c:f>
              <c:numCache>
                <c:formatCode>[$$-409]#,##0;[RED]\-[$$-409]#,##0</c:formatCode>
                <c:ptCount val="34"/>
                <c:pt idx="0">
                  <c:v>43680</c:v>
                </c:pt>
                <c:pt idx="1">
                  <c:v>37024</c:v>
                </c:pt>
                <c:pt idx="2">
                  <c:v>50128</c:v>
                </c:pt>
                <c:pt idx="3">
                  <c:v>42640</c:v>
                </c:pt>
                <c:pt idx="4">
                  <c:v>28080</c:v>
                </c:pt>
                <c:pt idx="5">
                  <c:v>23920</c:v>
                </c:pt>
                <c:pt idx="6">
                  <c:v>32864</c:v>
                </c:pt>
                <c:pt idx="7">
                  <c:v>27872</c:v>
                </c:pt>
                <c:pt idx="8">
                  <c:v>47840</c:v>
                </c:pt>
                <c:pt idx="9">
                  <c:v>40768</c:v>
                </c:pt>
                <c:pt idx="10">
                  <c:v>48256</c:v>
                </c:pt>
                <c:pt idx="11">
                  <c:v>40976</c:v>
                </c:pt>
                <c:pt idx="12">
                  <c:v>43472</c:v>
                </c:pt>
                <c:pt idx="13">
                  <c:v>37024</c:v>
                </c:pt>
                <c:pt idx="14">
                  <c:v>32864</c:v>
                </c:pt>
                <c:pt idx="15">
                  <c:v>27872</c:v>
                </c:pt>
                <c:pt idx="16">
                  <c:v>57616</c:v>
                </c:pt>
                <c:pt idx="17">
                  <c:v>49088</c:v>
                </c:pt>
                <c:pt idx="18">
                  <c:v>81328</c:v>
                </c:pt>
                <c:pt idx="19">
                  <c:v>69056</c:v>
                </c:pt>
                <c:pt idx="20">
                  <c:v>104832</c:v>
                </c:pt>
                <c:pt idx="21">
                  <c:v>89232</c:v>
                </c:pt>
                <c:pt idx="22">
                  <c:v>51792</c:v>
                </c:pt>
                <c:pt idx="23">
                  <c:v>44096</c:v>
                </c:pt>
                <c:pt idx="24">
                  <c:v>81120</c:v>
                </c:pt>
                <c:pt idx="25">
                  <c:v>68848</c:v>
                </c:pt>
                <c:pt idx="26">
                  <c:v>56864</c:v>
                </c:pt>
                <c:pt idx="27">
                  <c:v>48256</c:v>
                </c:pt>
                <c:pt idx="28">
                  <c:v>48464</c:v>
                </c:pt>
                <c:pt idx="29">
                  <c:v>41184</c:v>
                </c:pt>
                <c:pt idx="30">
                  <c:v>74048</c:v>
                </c:pt>
                <c:pt idx="31">
                  <c:v>63024</c:v>
                </c:pt>
                <c:pt idx="32">
                  <c:v>30160</c:v>
                </c:pt>
                <c:pt idx="33">
                  <c:v>25584</c:v>
                </c:pt>
              </c:numCache>
            </c:numRef>
          </c:val>
        </c:ser>
        <c:ser>
          <c:idx val="2"/>
          <c:order val="2"/>
          <c:tx>
            <c:strRef>
              <c:f>AIAVG!$E$2</c:f>
              <c:strCache>
                <c:ptCount val="1"/>
                <c:pt idx="0">
                  <c:v>Unauthorized Immigrant Annual Income Average (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AIAVG!$E$4:$E$37</c:f>
              <c:numCache>
                <c:formatCode>[$$-409]#,##0;[RED]\-[$$-409]#,##0</c:formatCode>
                <c:ptCount val="34"/>
                <c:pt idx="0">
                  <c:v>37856</c:v>
                </c:pt>
                <c:pt idx="1">
                  <c:v>32240</c:v>
                </c:pt>
                <c:pt idx="2">
                  <c:v>44720</c:v>
                </c:pt>
                <c:pt idx="3">
                  <c:v>38064</c:v>
                </c:pt>
                <c:pt idx="4">
                  <c:v>24336</c:v>
                </c:pt>
                <c:pt idx="5">
                  <c:v>20592</c:v>
                </c:pt>
                <c:pt idx="6">
                  <c:v>28704</c:v>
                </c:pt>
                <c:pt idx="7">
                  <c:v>24336</c:v>
                </c:pt>
                <c:pt idx="8">
                  <c:v>43680</c:v>
                </c:pt>
                <c:pt idx="9">
                  <c:v>37232</c:v>
                </c:pt>
                <c:pt idx="10">
                  <c:v>44100</c:v>
                </c:pt>
                <c:pt idx="11">
                  <c:v>37440</c:v>
                </c:pt>
                <c:pt idx="12">
                  <c:v>37648</c:v>
                </c:pt>
                <c:pt idx="13">
                  <c:v>32032</c:v>
                </c:pt>
                <c:pt idx="14">
                  <c:v>28704</c:v>
                </c:pt>
                <c:pt idx="15">
                  <c:v>24336</c:v>
                </c:pt>
                <c:pt idx="16">
                  <c:v>52624</c:v>
                </c:pt>
                <c:pt idx="17">
                  <c:v>44720</c:v>
                </c:pt>
                <c:pt idx="18">
                  <c:v>74464</c:v>
                </c:pt>
                <c:pt idx="19">
                  <c:v>63232</c:v>
                </c:pt>
                <c:pt idx="20">
                  <c:v>96096</c:v>
                </c:pt>
                <c:pt idx="21">
                  <c:v>81744</c:v>
                </c:pt>
                <c:pt idx="22">
                  <c:v>47424</c:v>
                </c:pt>
                <c:pt idx="23">
                  <c:v>40352</c:v>
                </c:pt>
                <c:pt idx="24">
                  <c:v>74256</c:v>
                </c:pt>
                <c:pt idx="25">
                  <c:v>63024</c:v>
                </c:pt>
                <c:pt idx="26">
                  <c:v>52000</c:v>
                </c:pt>
                <c:pt idx="27">
                  <c:v>44100</c:v>
                </c:pt>
                <c:pt idx="28">
                  <c:v>44280</c:v>
                </c:pt>
                <c:pt idx="29">
                  <c:v>37648</c:v>
                </c:pt>
                <c:pt idx="30">
                  <c:v>67808</c:v>
                </c:pt>
                <c:pt idx="31">
                  <c:v>57616</c:v>
                </c:pt>
                <c:pt idx="32">
                  <c:v>26208</c:v>
                </c:pt>
                <c:pt idx="33">
                  <c:v>22256</c:v>
                </c:pt>
              </c:numCache>
            </c:numRef>
          </c:val>
        </c:ser>
        <c:ser>
          <c:idx val="3"/>
          <c:order val="3"/>
          <c:tx>
            <c:strRef>
              <c:f>AIAVG!$F$2</c:f>
              <c:strCache>
                <c:ptCount val="1"/>
                <c:pt idx="0">
                  <c:v>American Annual Income Average (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AIAVG!$F$4:$F$37</c:f>
              <c:numCache>
                <c:formatCode>[$$-409]#,##0;[RED]\-[$$-409]#,##0</c:formatCode>
                <c:ptCount val="34"/>
                <c:pt idx="0">
                  <c:v>46592</c:v>
                </c:pt>
                <c:pt idx="1">
                  <c:v>39520</c:v>
                </c:pt>
                <c:pt idx="2">
                  <c:v>53872</c:v>
                </c:pt>
                <c:pt idx="3">
                  <c:v>45760</c:v>
                </c:pt>
                <c:pt idx="4">
                  <c:v>29952</c:v>
                </c:pt>
                <c:pt idx="5">
                  <c:v>25584</c:v>
                </c:pt>
                <c:pt idx="6">
                  <c:v>35152</c:v>
                </c:pt>
                <c:pt idx="7">
                  <c:v>29952</c:v>
                </c:pt>
                <c:pt idx="8">
                  <c:v>51376</c:v>
                </c:pt>
                <c:pt idx="9">
                  <c:v>43680</c:v>
                </c:pt>
                <c:pt idx="10">
                  <c:v>51792</c:v>
                </c:pt>
                <c:pt idx="11">
                  <c:v>44096</c:v>
                </c:pt>
                <c:pt idx="12">
                  <c:v>46592</c:v>
                </c:pt>
                <c:pt idx="13">
                  <c:v>39520</c:v>
                </c:pt>
                <c:pt idx="14">
                  <c:v>35152</c:v>
                </c:pt>
                <c:pt idx="15">
                  <c:v>29952</c:v>
                </c:pt>
                <c:pt idx="16">
                  <c:v>61984</c:v>
                </c:pt>
                <c:pt idx="17">
                  <c:v>52624</c:v>
                </c:pt>
                <c:pt idx="18">
                  <c:v>87360</c:v>
                </c:pt>
                <c:pt idx="19">
                  <c:v>74256</c:v>
                </c:pt>
                <c:pt idx="20">
                  <c:v>112736</c:v>
                </c:pt>
                <c:pt idx="21">
                  <c:v>95680</c:v>
                </c:pt>
                <c:pt idx="22">
                  <c:v>55744</c:v>
                </c:pt>
                <c:pt idx="23">
                  <c:v>47424</c:v>
                </c:pt>
                <c:pt idx="24">
                  <c:v>86944</c:v>
                </c:pt>
                <c:pt idx="25">
                  <c:v>73840</c:v>
                </c:pt>
                <c:pt idx="26">
                  <c:v>60944</c:v>
                </c:pt>
                <c:pt idx="27">
                  <c:v>51792</c:v>
                </c:pt>
                <c:pt idx="28">
                  <c:v>52000</c:v>
                </c:pt>
                <c:pt idx="29">
                  <c:v>44280</c:v>
                </c:pt>
                <c:pt idx="30">
                  <c:v>79664</c:v>
                </c:pt>
                <c:pt idx="31">
                  <c:v>67600</c:v>
                </c:pt>
                <c:pt idx="32">
                  <c:v>32240</c:v>
                </c:pt>
                <c:pt idx="33">
                  <c:v>27456</c:v>
                </c:pt>
              </c:numCache>
            </c:numRef>
          </c:val>
        </c:ser>
        <c:gapWidth val="100"/>
        <c:overlap val="0"/>
        <c:axId val="46067233"/>
        <c:axId val="32173207"/>
      </c:barChart>
      <c:catAx>
        <c:axId val="4606723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3721903542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173207"/>
        <c:crosses val="autoZero"/>
        <c:auto val="1"/>
        <c:lblAlgn val="ctr"/>
        <c:lblOffset val="100"/>
        <c:noMultiLvlLbl val="0"/>
      </c:catAx>
      <c:valAx>
        <c:axId val="3217320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1340872374798"/>
              <c:y val="0.9697678426352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067233"/>
        <c:crosses val="max"/>
        <c:crossBetween val="midCat"/>
        <c:majorUnit val="1000"/>
      </c:valAx>
      <c:spPr>
        <a:noFill/>
        <a:ln w="0">
          <a:solidFill>
            <a:srgbClr val="b3b3b3"/>
          </a:solidFill>
        </a:ln>
      </c:spPr>
    </c:plotArea>
    <c:legend>
      <c:legendPos val="r"/>
      <c:layout>
        <c:manualLayout>
          <c:xMode val="edge"/>
          <c:yMode val="edge"/>
          <c:x val="0.78585500394011"/>
          <c:y val="0.0767602166420483"/>
          <c:w val="0.188502305055361"/>
          <c:h val="0.111671877692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Federal Personal Income Tax Revenue</a:t>
            </a:r>
          </a:p>
        </c:rich>
      </c:tx>
      <c:layout>
        <c:manualLayout>
          <c:xMode val="edge"/>
          <c:yMode val="edge"/>
          <c:x val="0.226565270499232"/>
          <c:y val="0.0114232255840863"/>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FPITREV!$C$2</c:f>
              <c:strCache>
                <c:ptCount val="1"/>
                <c:pt idx="0">
                  <c:v>Federal Personal Income Tax Revenue ($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FPITREV!$C$4:$C$37</c:f>
              <c:numCache>
                <c:formatCode>[$$-409]#,##0;\-[$$-409]#,##0</c:formatCode>
                <c:ptCount val="34"/>
                <c:pt idx="0">
                  <c:v>1800000</c:v>
                </c:pt>
                <c:pt idx="1">
                  <c:v>900000</c:v>
                </c:pt>
                <c:pt idx="2">
                  <c:v>5000000</c:v>
                </c:pt>
                <c:pt idx="3">
                  <c:v>2500000</c:v>
                </c:pt>
                <c:pt idx="4">
                  <c:v>36000000</c:v>
                </c:pt>
                <c:pt idx="5">
                  <c:v>18000000</c:v>
                </c:pt>
                <c:pt idx="6">
                  <c:v>5200000</c:v>
                </c:pt>
                <c:pt idx="7">
                  <c:v>2600000</c:v>
                </c:pt>
                <c:pt idx="8">
                  <c:v>69000000</c:v>
                </c:pt>
                <c:pt idx="9">
                  <c:v>34500000</c:v>
                </c:pt>
                <c:pt idx="10">
                  <c:v>23000000</c:v>
                </c:pt>
                <c:pt idx="11">
                  <c:v>11500000</c:v>
                </c:pt>
                <c:pt idx="12">
                  <c:v>48000000</c:v>
                </c:pt>
                <c:pt idx="13">
                  <c:v>24000000</c:v>
                </c:pt>
                <c:pt idx="14">
                  <c:v>3300000</c:v>
                </c:pt>
                <c:pt idx="15">
                  <c:v>1650000</c:v>
                </c:pt>
                <c:pt idx="16">
                  <c:v>2700000</c:v>
                </c:pt>
                <c:pt idx="17">
                  <c:v>1350000</c:v>
                </c:pt>
                <c:pt idx="18">
                  <c:v>104000000</c:v>
                </c:pt>
                <c:pt idx="19">
                  <c:v>52000000</c:v>
                </c:pt>
                <c:pt idx="20">
                  <c:v>66000000</c:v>
                </c:pt>
                <c:pt idx="21">
                  <c:v>33000000</c:v>
                </c:pt>
                <c:pt idx="22">
                  <c:v>42000000</c:v>
                </c:pt>
                <c:pt idx="23">
                  <c:v>21000000</c:v>
                </c:pt>
                <c:pt idx="24">
                  <c:v>30000000</c:v>
                </c:pt>
                <c:pt idx="25">
                  <c:v>15000000</c:v>
                </c:pt>
                <c:pt idx="26">
                  <c:v>9000000</c:v>
                </c:pt>
                <c:pt idx="27">
                  <c:v>4500000</c:v>
                </c:pt>
                <c:pt idx="28">
                  <c:v>120000000</c:v>
                </c:pt>
                <c:pt idx="29">
                  <c:v>60000000</c:v>
                </c:pt>
                <c:pt idx="30">
                  <c:v>5400000</c:v>
                </c:pt>
                <c:pt idx="31">
                  <c:v>2700000</c:v>
                </c:pt>
                <c:pt idx="32">
                  <c:v>3300000</c:v>
                </c:pt>
                <c:pt idx="33">
                  <c:v>1650000</c:v>
                </c:pt>
              </c:numCache>
            </c:numRef>
          </c:val>
        </c:ser>
        <c:ser>
          <c:idx val="1"/>
          <c:order val="1"/>
          <c:tx>
            <c:strRef>
              <c:f>FPITREV!$D$2</c:f>
              <c:strCache>
                <c:ptCount val="1"/>
                <c:pt idx="0">
                  <c:v>Authorized Immigrant Federal Personal Income Tax Revenue (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FPITREV!$D$4:$D$37</c:f>
              <c:numCache>
                <c:formatCode>[$$-409]#,##0;\-[$$-409]#,##0</c:formatCode>
                <c:ptCount val="34"/>
                <c:pt idx="0">
                  <c:v>61000</c:v>
                </c:pt>
                <c:pt idx="1">
                  <c:v>30500</c:v>
                </c:pt>
                <c:pt idx="2">
                  <c:v>170000</c:v>
                </c:pt>
                <c:pt idx="3">
                  <c:v>85000</c:v>
                </c:pt>
                <c:pt idx="4">
                  <c:v>1224000</c:v>
                </c:pt>
                <c:pt idx="5">
                  <c:v>612000</c:v>
                </c:pt>
                <c:pt idx="6">
                  <c:v>177000</c:v>
                </c:pt>
                <c:pt idx="7">
                  <c:v>88400</c:v>
                </c:pt>
                <c:pt idx="8">
                  <c:v>2346000</c:v>
                </c:pt>
                <c:pt idx="9">
                  <c:v>1173000</c:v>
                </c:pt>
                <c:pt idx="10">
                  <c:v>782000</c:v>
                </c:pt>
                <c:pt idx="11">
                  <c:v>391000</c:v>
                </c:pt>
                <c:pt idx="12">
                  <c:v>1632000</c:v>
                </c:pt>
                <c:pt idx="13">
                  <c:v>816000</c:v>
                </c:pt>
                <c:pt idx="14">
                  <c:v>112200</c:v>
                </c:pt>
                <c:pt idx="15">
                  <c:v>56100</c:v>
                </c:pt>
                <c:pt idx="16">
                  <c:v>91800</c:v>
                </c:pt>
                <c:pt idx="17">
                  <c:v>45900</c:v>
                </c:pt>
                <c:pt idx="18">
                  <c:v>3536000</c:v>
                </c:pt>
                <c:pt idx="19">
                  <c:v>1768000</c:v>
                </c:pt>
                <c:pt idx="20">
                  <c:v>2244000</c:v>
                </c:pt>
                <c:pt idx="21">
                  <c:v>1122000</c:v>
                </c:pt>
                <c:pt idx="22">
                  <c:v>1428000</c:v>
                </c:pt>
                <c:pt idx="23">
                  <c:v>714000</c:v>
                </c:pt>
                <c:pt idx="24">
                  <c:v>1020000</c:v>
                </c:pt>
                <c:pt idx="25">
                  <c:v>510000</c:v>
                </c:pt>
                <c:pt idx="26">
                  <c:v>306000</c:v>
                </c:pt>
                <c:pt idx="27">
                  <c:v>153000</c:v>
                </c:pt>
                <c:pt idx="28">
                  <c:v>4080000</c:v>
                </c:pt>
                <c:pt idx="29">
                  <c:v>2040000</c:v>
                </c:pt>
                <c:pt idx="30">
                  <c:v>183600</c:v>
                </c:pt>
                <c:pt idx="31">
                  <c:v>91800</c:v>
                </c:pt>
                <c:pt idx="32">
                  <c:v>112200</c:v>
                </c:pt>
                <c:pt idx="33">
                  <c:v>56100</c:v>
                </c:pt>
              </c:numCache>
            </c:numRef>
          </c:val>
        </c:ser>
        <c:ser>
          <c:idx val="2"/>
          <c:order val="2"/>
          <c:tx>
            <c:strRef>
              <c:f>FPITREV!$E$2</c:f>
              <c:strCache>
                <c:ptCount val="1"/>
                <c:pt idx="0">
                  <c:v>Unauthorized Immigrant Federal Personal Income Tax Revenue ($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FPITREV!$E$4:$E$37</c:f>
              <c:numCache>
                <c:formatCode>[$$-409]#,##0;\-[$$-409]#,##0</c:formatCode>
                <c:ptCount val="34"/>
                <c:pt idx="0">
                  <c:v>98000</c:v>
                </c:pt>
                <c:pt idx="1">
                  <c:v>49000</c:v>
                </c:pt>
                <c:pt idx="2">
                  <c:v>90000</c:v>
                </c:pt>
                <c:pt idx="3">
                  <c:v>45000</c:v>
                </c:pt>
                <c:pt idx="4">
                  <c:v>648000</c:v>
                </c:pt>
                <c:pt idx="5">
                  <c:v>324000</c:v>
                </c:pt>
                <c:pt idx="6">
                  <c:v>93600</c:v>
                </c:pt>
                <c:pt idx="7">
                  <c:v>46800</c:v>
                </c:pt>
                <c:pt idx="8">
                  <c:v>1242000</c:v>
                </c:pt>
                <c:pt idx="9">
                  <c:v>621000</c:v>
                </c:pt>
                <c:pt idx="10">
                  <c:v>414000</c:v>
                </c:pt>
                <c:pt idx="11">
                  <c:v>207000</c:v>
                </c:pt>
                <c:pt idx="12">
                  <c:v>864000</c:v>
                </c:pt>
                <c:pt idx="13">
                  <c:v>432000</c:v>
                </c:pt>
                <c:pt idx="14">
                  <c:v>59400</c:v>
                </c:pt>
                <c:pt idx="15">
                  <c:v>29700</c:v>
                </c:pt>
                <c:pt idx="16">
                  <c:v>48600</c:v>
                </c:pt>
                <c:pt idx="17">
                  <c:v>24300</c:v>
                </c:pt>
                <c:pt idx="18">
                  <c:v>1872000</c:v>
                </c:pt>
                <c:pt idx="19">
                  <c:v>936000</c:v>
                </c:pt>
                <c:pt idx="20">
                  <c:v>1188000</c:v>
                </c:pt>
                <c:pt idx="21">
                  <c:v>594000</c:v>
                </c:pt>
                <c:pt idx="22">
                  <c:v>756000</c:v>
                </c:pt>
                <c:pt idx="23">
                  <c:v>378000</c:v>
                </c:pt>
                <c:pt idx="24">
                  <c:v>540000</c:v>
                </c:pt>
                <c:pt idx="25">
                  <c:v>270000</c:v>
                </c:pt>
                <c:pt idx="26">
                  <c:v>162000</c:v>
                </c:pt>
                <c:pt idx="27">
                  <c:v>81000</c:v>
                </c:pt>
                <c:pt idx="28">
                  <c:v>2160000</c:v>
                </c:pt>
                <c:pt idx="29">
                  <c:v>1080000</c:v>
                </c:pt>
                <c:pt idx="30">
                  <c:v>97200</c:v>
                </c:pt>
                <c:pt idx="31">
                  <c:v>48600</c:v>
                </c:pt>
                <c:pt idx="32">
                  <c:v>59400</c:v>
                </c:pt>
                <c:pt idx="33">
                  <c:v>29700</c:v>
                </c:pt>
              </c:numCache>
            </c:numRef>
          </c:val>
        </c:ser>
        <c:ser>
          <c:idx val="3"/>
          <c:order val="3"/>
          <c:tx>
            <c:strRef>
              <c:f>FPITREV!$F$2</c:f>
              <c:strCache>
                <c:ptCount val="1"/>
                <c:pt idx="0">
                  <c:v>American Federal Personal Income Tax Revenue (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FPITREV!$F$4:$F$37</c:f>
              <c:numCache>
                <c:formatCode>[$$-409]#,##0;\-[$$-409]#,##0</c:formatCode>
                <c:ptCount val="34"/>
                <c:pt idx="0">
                  <c:v>1641000</c:v>
                </c:pt>
                <c:pt idx="1">
                  <c:v>820500</c:v>
                </c:pt>
                <c:pt idx="2">
                  <c:v>4740000</c:v>
                </c:pt>
                <c:pt idx="3">
                  <c:v>2370000</c:v>
                </c:pt>
                <c:pt idx="4">
                  <c:v>34137600</c:v>
                </c:pt>
                <c:pt idx="5">
                  <c:v>17068800</c:v>
                </c:pt>
                <c:pt idx="6">
                  <c:v>4928400</c:v>
                </c:pt>
                <c:pt idx="7">
                  <c:v>2464200</c:v>
                </c:pt>
                <c:pt idx="8">
                  <c:v>65418000</c:v>
                </c:pt>
                <c:pt idx="9">
                  <c:v>32709000</c:v>
                </c:pt>
                <c:pt idx="10">
                  <c:v>21796000</c:v>
                </c:pt>
                <c:pt idx="11">
                  <c:v>10898000</c:v>
                </c:pt>
                <c:pt idx="12">
                  <c:v>45528000</c:v>
                </c:pt>
                <c:pt idx="13">
                  <c:v>22764000</c:v>
                </c:pt>
                <c:pt idx="14">
                  <c:v>3132600</c:v>
                </c:pt>
                <c:pt idx="15">
                  <c:v>1566300</c:v>
                </c:pt>
                <c:pt idx="16">
                  <c:v>2554200</c:v>
                </c:pt>
                <c:pt idx="17">
                  <c:v>1277100</c:v>
                </c:pt>
                <c:pt idx="18">
                  <c:v>98566400</c:v>
                </c:pt>
                <c:pt idx="19">
                  <c:v>49283200</c:v>
                </c:pt>
                <c:pt idx="20">
                  <c:v>62598000</c:v>
                </c:pt>
                <c:pt idx="21">
                  <c:v>31299000</c:v>
                </c:pt>
                <c:pt idx="22">
                  <c:v>39823200</c:v>
                </c:pt>
                <c:pt idx="23">
                  <c:v>19911600</c:v>
                </c:pt>
                <c:pt idx="24">
                  <c:v>28458000</c:v>
                </c:pt>
                <c:pt idx="25">
                  <c:v>14229000</c:v>
                </c:pt>
                <c:pt idx="26">
                  <c:v>8532000</c:v>
                </c:pt>
                <c:pt idx="27">
                  <c:v>4266000</c:v>
                </c:pt>
                <c:pt idx="28">
                  <c:v>113520000</c:v>
                </c:pt>
                <c:pt idx="29">
                  <c:v>56760000</c:v>
                </c:pt>
                <c:pt idx="30">
                  <c:v>5122800</c:v>
                </c:pt>
                <c:pt idx="31">
                  <c:v>2561400</c:v>
                </c:pt>
                <c:pt idx="32">
                  <c:v>3127800</c:v>
                </c:pt>
                <c:pt idx="33">
                  <c:v>1563900</c:v>
                </c:pt>
              </c:numCache>
            </c:numRef>
          </c:val>
        </c:ser>
        <c:gapWidth val="100"/>
        <c:overlap val="0"/>
        <c:axId val="65620211"/>
        <c:axId val="55161083"/>
      </c:barChart>
      <c:catAx>
        <c:axId val="6562021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3721903542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161083"/>
        <c:crosses val="autoZero"/>
        <c:auto val="1"/>
        <c:lblAlgn val="ctr"/>
        <c:lblOffset val="100"/>
        <c:noMultiLvlLbl val="0"/>
      </c:catAx>
      <c:valAx>
        <c:axId val="5516108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404744079751"/>
              <c:y val="0.9697678426352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620211"/>
        <c:crosses val="max"/>
        <c:crossBetween val="midCat"/>
        <c:majorUnit val="1000000"/>
      </c:valAx>
      <c:spPr>
        <a:noFill/>
        <a:ln w="0">
          <a:solidFill>
            <a:srgbClr val="b3b3b3"/>
          </a:solidFill>
        </a:ln>
      </c:spPr>
    </c:plotArea>
    <c:legend>
      <c:legendPos val="r"/>
      <c:layout>
        <c:manualLayout>
          <c:xMode val="edge"/>
          <c:yMode val="edge"/>
          <c:x val="0.78581560283688"/>
          <c:y val="0.0767355982274742"/>
          <c:w val="0.1885417077111"/>
          <c:h val="0.11169649671336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Federal Payroll Tax Revenue</a:t>
            </a:r>
          </a:p>
        </c:rich>
      </c:tx>
      <c:layout>
        <c:manualLayout>
          <c:xMode val="edge"/>
          <c:yMode val="edge"/>
          <c:x val="0.261279010205288"/>
          <c:y val="0.0114232255840863"/>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FPPTREV!$C$2</c:f>
              <c:strCache>
                <c:ptCount val="1"/>
                <c:pt idx="0">
                  <c:v>Federal Personal Income Tax Revenue ($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FPPTREV!$C$4:$C$37</c:f>
              <c:numCache>
                <c:formatCode>[$$-409]#,##0;\-[$$-409]#,##0</c:formatCode>
                <c:ptCount val="34"/>
                <c:pt idx="0">
                  <c:v>1800000</c:v>
                </c:pt>
                <c:pt idx="1">
                  <c:v>900000</c:v>
                </c:pt>
                <c:pt idx="2">
                  <c:v>5000000</c:v>
                </c:pt>
                <c:pt idx="3">
                  <c:v>2500000</c:v>
                </c:pt>
                <c:pt idx="4">
                  <c:v>36000000</c:v>
                </c:pt>
                <c:pt idx="5">
                  <c:v>18000000</c:v>
                </c:pt>
                <c:pt idx="6">
                  <c:v>5200000</c:v>
                </c:pt>
                <c:pt idx="7">
                  <c:v>2600000</c:v>
                </c:pt>
                <c:pt idx="8">
                  <c:v>69000000</c:v>
                </c:pt>
                <c:pt idx="9">
                  <c:v>34500000</c:v>
                </c:pt>
                <c:pt idx="10">
                  <c:v>23000000</c:v>
                </c:pt>
                <c:pt idx="11">
                  <c:v>11500000</c:v>
                </c:pt>
                <c:pt idx="12">
                  <c:v>48000000</c:v>
                </c:pt>
                <c:pt idx="13">
                  <c:v>24000000</c:v>
                </c:pt>
                <c:pt idx="14">
                  <c:v>3300000</c:v>
                </c:pt>
                <c:pt idx="15">
                  <c:v>1650000</c:v>
                </c:pt>
                <c:pt idx="16">
                  <c:v>2700000</c:v>
                </c:pt>
                <c:pt idx="17">
                  <c:v>1350000</c:v>
                </c:pt>
                <c:pt idx="18">
                  <c:v>104000000</c:v>
                </c:pt>
                <c:pt idx="19">
                  <c:v>52000000</c:v>
                </c:pt>
                <c:pt idx="20">
                  <c:v>66000000</c:v>
                </c:pt>
                <c:pt idx="21">
                  <c:v>33000000</c:v>
                </c:pt>
                <c:pt idx="22">
                  <c:v>42000000</c:v>
                </c:pt>
                <c:pt idx="23">
                  <c:v>21000000</c:v>
                </c:pt>
                <c:pt idx="24">
                  <c:v>30000000</c:v>
                </c:pt>
                <c:pt idx="25">
                  <c:v>15000000</c:v>
                </c:pt>
                <c:pt idx="26">
                  <c:v>9000000</c:v>
                </c:pt>
                <c:pt idx="27">
                  <c:v>4500000</c:v>
                </c:pt>
                <c:pt idx="28">
                  <c:v>120000000</c:v>
                </c:pt>
                <c:pt idx="29">
                  <c:v>60000000</c:v>
                </c:pt>
                <c:pt idx="30">
                  <c:v>5400000</c:v>
                </c:pt>
                <c:pt idx="31">
                  <c:v>2700000</c:v>
                </c:pt>
                <c:pt idx="32">
                  <c:v>3300000</c:v>
                </c:pt>
                <c:pt idx="33">
                  <c:v>1650000</c:v>
                </c:pt>
              </c:numCache>
            </c:numRef>
          </c:val>
        </c:ser>
        <c:ser>
          <c:idx val="1"/>
          <c:order val="1"/>
          <c:tx>
            <c:strRef>
              <c:f>FPPTREV!$D$2</c:f>
              <c:strCache>
                <c:ptCount val="1"/>
                <c:pt idx="0">
                  <c:v>Authorized Immigrant Federal Personal Income Tax Revenue (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FPPTREV!$D$4:$D$37</c:f>
              <c:numCache>
                <c:formatCode>[$$-409]#,##0;\-[$$-409]#,##0</c:formatCode>
                <c:ptCount val="34"/>
                <c:pt idx="0">
                  <c:v>61000</c:v>
                </c:pt>
                <c:pt idx="1">
                  <c:v>30500</c:v>
                </c:pt>
                <c:pt idx="2">
                  <c:v>170000</c:v>
                </c:pt>
                <c:pt idx="3">
                  <c:v>85000</c:v>
                </c:pt>
                <c:pt idx="4">
                  <c:v>1224000</c:v>
                </c:pt>
                <c:pt idx="5">
                  <c:v>612000</c:v>
                </c:pt>
                <c:pt idx="6">
                  <c:v>177000</c:v>
                </c:pt>
                <c:pt idx="7">
                  <c:v>88400</c:v>
                </c:pt>
                <c:pt idx="8">
                  <c:v>2346000</c:v>
                </c:pt>
                <c:pt idx="9">
                  <c:v>1173000</c:v>
                </c:pt>
                <c:pt idx="10">
                  <c:v>782000</c:v>
                </c:pt>
                <c:pt idx="11">
                  <c:v>391000</c:v>
                </c:pt>
                <c:pt idx="12">
                  <c:v>1632000</c:v>
                </c:pt>
                <c:pt idx="13">
                  <c:v>816000</c:v>
                </c:pt>
                <c:pt idx="14">
                  <c:v>112200</c:v>
                </c:pt>
                <c:pt idx="15">
                  <c:v>56100</c:v>
                </c:pt>
                <c:pt idx="16">
                  <c:v>91800</c:v>
                </c:pt>
                <c:pt idx="17">
                  <c:v>45900</c:v>
                </c:pt>
                <c:pt idx="18">
                  <c:v>3536000</c:v>
                </c:pt>
                <c:pt idx="19">
                  <c:v>1768000</c:v>
                </c:pt>
                <c:pt idx="20">
                  <c:v>2244000</c:v>
                </c:pt>
                <c:pt idx="21">
                  <c:v>1122000</c:v>
                </c:pt>
                <c:pt idx="22">
                  <c:v>1428000</c:v>
                </c:pt>
                <c:pt idx="23">
                  <c:v>714000</c:v>
                </c:pt>
                <c:pt idx="24">
                  <c:v>1020000</c:v>
                </c:pt>
                <c:pt idx="25">
                  <c:v>510000</c:v>
                </c:pt>
                <c:pt idx="26">
                  <c:v>306000</c:v>
                </c:pt>
                <c:pt idx="27">
                  <c:v>153000</c:v>
                </c:pt>
                <c:pt idx="28">
                  <c:v>4080000</c:v>
                </c:pt>
                <c:pt idx="29">
                  <c:v>2040000</c:v>
                </c:pt>
                <c:pt idx="30">
                  <c:v>183600</c:v>
                </c:pt>
                <c:pt idx="31">
                  <c:v>91800</c:v>
                </c:pt>
                <c:pt idx="32">
                  <c:v>112200</c:v>
                </c:pt>
                <c:pt idx="33">
                  <c:v>56100</c:v>
                </c:pt>
              </c:numCache>
            </c:numRef>
          </c:val>
        </c:ser>
        <c:ser>
          <c:idx val="2"/>
          <c:order val="2"/>
          <c:tx>
            <c:strRef>
              <c:f>FPPTREV!$E$2</c:f>
              <c:strCache>
                <c:ptCount val="1"/>
                <c:pt idx="0">
                  <c:v>Unauthorized Immigrant Federal Personal Income Tax Revenue ($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FPPTREV!$E$4:$E$37</c:f>
              <c:numCache>
                <c:formatCode>[$$-409]#,##0;\-[$$-409]#,##0</c:formatCode>
                <c:ptCount val="34"/>
                <c:pt idx="0">
                  <c:v>98000</c:v>
                </c:pt>
                <c:pt idx="1">
                  <c:v>49000</c:v>
                </c:pt>
                <c:pt idx="2">
                  <c:v>90000</c:v>
                </c:pt>
                <c:pt idx="3">
                  <c:v>45000</c:v>
                </c:pt>
                <c:pt idx="4">
                  <c:v>648000</c:v>
                </c:pt>
                <c:pt idx="5">
                  <c:v>324000</c:v>
                </c:pt>
                <c:pt idx="6">
                  <c:v>93600</c:v>
                </c:pt>
                <c:pt idx="7">
                  <c:v>46800</c:v>
                </c:pt>
                <c:pt idx="8">
                  <c:v>1242000</c:v>
                </c:pt>
                <c:pt idx="9">
                  <c:v>621000</c:v>
                </c:pt>
                <c:pt idx="10">
                  <c:v>414000</c:v>
                </c:pt>
                <c:pt idx="11">
                  <c:v>207000</c:v>
                </c:pt>
                <c:pt idx="12">
                  <c:v>864000</c:v>
                </c:pt>
                <c:pt idx="13">
                  <c:v>432000</c:v>
                </c:pt>
                <c:pt idx="14">
                  <c:v>59400</c:v>
                </c:pt>
                <c:pt idx="15">
                  <c:v>29700</c:v>
                </c:pt>
                <c:pt idx="16">
                  <c:v>48600</c:v>
                </c:pt>
                <c:pt idx="17">
                  <c:v>24300</c:v>
                </c:pt>
                <c:pt idx="18">
                  <c:v>1872000</c:v>
                </c:pt>
                <c:pt idx="19">
                  <c:v>936000</c:v>
                </c:pt>
                <c:pt idx="20">
                  <c:v>1188000</c:v>
                </c:pt>
                <c:pt idx="21">
                  <c:v>594000</c:v>
                </c:pt>
                <c:pt idx="22">
                  <c:v>756000</c:v>
                </c:pt>
                <c:pt idx="23">
                  <c:v>378000</c:v>
                </c:pt>
                <c:pt idx="24">
                  <c:v>540000</c:v>
                </c:pt>
                <c:pt idx="25">
                  <c:v>270000</c:v>
                </c:pt>
                <c:pt idx="26">
                  <c:v>162000</c:v>
                </c:pt>
                <c:pt idx="27">
                  <c:v>81000</c:v>
                </c:pt>
                <c:pt idx="28">
                  <c:v>2160000</c:v>
                </c:pt>
                <c:pt idx="29">
                  <c:v>1080000</c:v>
                </c:pt>
                <c:pt idx="30">
                  <c:v>97200</c:v>
                </c:pt>
                <c:pt idx="31">
                  <c:v>48600</c:v>
                </c:pt>
                <c:pt idx="32">
                  <c:v>59400</c:v>
                </c:pt>
                <c:pt idx="33">
                  <c:v>29700</c:v>
                </c:pt>
              </c:numCache>
            </c:numRef>
          </c:val>
        </c:ser>
        <c:ser>
          <c:idx val="3"/>
          <c:order val="3"/>
          <c:tx>
            <c:strRef>
              <c:f>FPPTREV!$F$2</c:f>
              <c:strCache>
                <c:ptCount val="1"/>
                <c:pt idx="0">
                  <c:v>American Federal Personal Income Tax Revenue (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FPPTREV!$F$4:$F$37</c:f>
              <c:numCache>
                <c:formatCode>[$$-409]#,##0;\-[$$-409]#,##0</c:formatCode>
                <c:ptCount val="34"/>
                <c:pt idx="0">
                  <c:v>1641000</c:v>
                </c:pt>
                <c:pt idx="1">
                  <c:v>820500</c:v>
                </c:pt>
                <c:pt idx="2">
                  <c:v>4740000</c:v>
                </c:pt>
                <c:pt idx="3">
                  <c:v>2370000</c:v>
                </c:pt>
                <c:pt idx="4">
                  <c:v>34137600</c:v>
                </c:pt>
                <c:pt idx="5">
                  <c:v>17068800</c:v>
                </c:pt>
                <c:pt idx="6">
                  <c:v>4928400</c:v>
                </c:pt>
                <c:pt idx="7">
                  <c:v>2464200</c:v>
                </c:pt>
                <c:pt idx="8">
                  <c:v>65418000</c:v>
                </c:pt>
                <c:pt idx="9">
                  <c:v>32709000</c:v>
                </c:pt>
                <c:pt idx="10">
                  <c:v>21796000</c:v>
                </c:pt>
                <c:pt idx="11">
                  <c:v>10898000</c:v>
                </c:pt>
                <c:pt idx="12">
                  <c:v>45528000</c:v>
                </c:pt>
                <c:pt idx="13">
                  <c:v>22764000</c:v>
                </c:pt>
                <c:pt idx="14">
                  <c:v>3132600</c:v>
                </c:pt>
                <c:pt idx="15">
                  <c:v>1566300</c:v>
                </c:pt>
                <c:pt idx="16">
                  <c:v>2554200</c:v>
                </c:pt>
                <c:pt idx="17">
                  <c:v>1277100</c:v>
                </c:pt>
                <c:pt idx="18">
                  <c:v>98566400</c:v>
                </c:pt>
                <c:pt idx="19">
                  <c:v>49283200</c:v>
                </c:pt>
                <c:pt idx="20">
                  <c:v>62598000</c:v>
                </c:pt>
                <c:pt idx="21">
                  <c:v>31299000</c:v>
                </c:pt>
                <c:pt idx="22">
                  <c:v>39823200</c:v>
                </c:pt>
                <c:pt idx="23">
                  <c:v>19911600</c:v>
                </c:pt>
                <c:pt idx="24">
                  <c:v>28458000</c:v>
                </c:pt>
                <c:pt idx="25">
                  <c:v>14229000</c:v>
                </c:pt>
                <c:pt idx="26">
                  <c:v>8532000</c:v>
                </c:pt>
                <c:pt idx="27">
                  <c:v>4266000</c:v>
                </c:pt>
                <c:pt idx="28">
                  <c:v>113520000</c:v>
                </c:pt>
                <c:pt idx="29">
                  <c:v>56760000</c:v>
                </c:pt>
                <c:pt idx="30">
                  <c:v>5122800</c:v>
                </c:pt>
                <c:pt idx="31">
                  <c:v>2561400</c:v>
                </c:pt>
                <c:pt idx="32">
                  <c:v>3127800</c:v>
                </c:pt>
                <c:pt idx="33">
                  <c:v>1563900</c:v>
                </c:pt>
              </c:numCache>
            </c:numRef>
          </c:val>
        </c:ser>
        <c:gapWidth val="100"/>
        <c:overlap val="0"/>
        <c:axId val="24795354"/>
        <c:axId val="12455067"/>
      </c:barChart>
      <c:catAx>
        <c:axId val="2479535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24909525099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455067"/>
        <c:crosses val="autoZero"/>
        <c:auto val="1"/>
        <c:lblAlgn val="ctr"/>
        <c:lblOffset val="100"/>
        <c:noMultiLvlLbl val="0"/>
      </c:catAx>
      <c:valAx>
        <c:axId val="1245506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Payroll Tax Revenue</a:t>
                </a:r>
              </a:p>
            </c:rich>
          </c:tx>
          <c:layout>
            <c:manualLayout>
              <c:xMode val="edge"/>
              <c:yMode val="edge"/>
              <c:x val="0.432601757358446"/>
              <c:y val="0.9697678426352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795354"/>
        <c:crosses val="max"/>
        <c:crossBetween val="midCat"/>
        <c:majorUnit val="1000000"/>
      </c:valAx>
      <c:spPr>
        <a:noFill/>
        <a:ln w="0">
          <a:solidFill>
            <a:srgbClr val="b3b3b3"/>
          </a:solidFill>
        </a:ln>
      </c:spPr>
    </c:plotArea>
    <c:legend>
      <c:legendPos val="r"/>
      <c:layout>
        <c:manualLayout>
          <c:xMode val="edge"/>
          <c:yMode val="edge"/>
          <c:x val="0.804294720252167"/>
          <c:y val="0.0767602166420483"/>
          <c:w val="0.170140667480988"/>
          <c:h val="0.111671877692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Earned Income Tax Credit Refund</a:t>
            </a:r>
          </a:p>
        </c:rich>
      </c:tx>
      <c:layout>
        <c:manualLayout>
          <c:xMode val="edge"/>
          <c:yMode val="edge"/>
          <c:x val="0.244335868237519"/>
          <c:y val="0.0114232255840863"/>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EITCREF!$C$4:$C$37</c:f>
              <c:numCache>
                <c:formatCode>[$$-409]#,##0;\-[$$-409]#,##0</c:formatCode>
                <c:ptCount val="34"/>
                <c:pt idx="0">
                  <c:v>90000</c:v>
                </c:pt>
                <c:pt idx="1">
                  <c:v>45000</c:v>
                </c:pt>
                <c:pt idx="2">
                  <c:v>500000</c:v>
                </c:pt>
                <c:pt idx="3">
                  <c:v>250000</c:v>
                </c:pt>
                <c:pt idx="4">
                  <c:v>1800000</c:v>
                </c:pt>
                <c:pt idx="5">
                  <c:v>900000</c:v>
                </c:pt>
                <c:pt idx="6">
                  <c:v>650000</c:v>
                </c:pt>
                <c:pt idx="7">
                  <c:v>325000</c:v>
                </c:pt>
                <c:pt idx="8">
                  <c:v>2700000</c:v>
                </c:pt>
                <c:pt idx="9">
                  <c:v>1350000</c:v>
                </c:pt>
                <c:pt idx="10">
                  <c:v>900000</c:v>
                </c:pt>
                <c:pt idx="11">
                  <c:v>450000</c:v>
                </c:pt>
                <c:pt idx="12">
                  <c:v>2400000</c:v>
                </c:pt>
                <c:pt idx="13">
                  <c:v>1200000</c:v>
                </c:pt>
                <c:pt idx="14">
                  <c:v>330000</c:v>
                </c:pt>
                <c:pt idx="15">
                  <c:v>165000</c:v>
                </c:pt>
                <c:pt idx="16">
                  <c:v>270000</c:v>
                </c:pt>
                <c:pt idx="17">
                  <c:v>135000</c:v>
                </c:pt>
                <c:pt idx="18">
                  <c:v>5200000</c:v>
                </c:pt>
                <c:pt idx="19">
                  <c:v>2600000</c:v>
                </c:pt>
                <c:pt idx="20">
                  <c:v>3300000</c:v>
                </c:pt>
                <c:pt idx="21">
                  <c:v>1650000</c:v>
                </c:pt>
                <c:pt idx="22">
                  <c:v>2100000</c:v>
                </c:pt>
                <c:pt idx="23">
                  <c:v>1050000</c:v>
                </c:pt>
                <c:pt idx="24">
                  <c:v>1500000</c:v>
                </c:pt>
                <c:pt idx="25">
                  <c:v>750000</c:v>
                </c:pt>
                <c:pt idx="26">
                  <c:v>450000</c:v>
                </c:pt>
                <c:pt idx="27">
                  <c:v>225000</c:v>
                </c:pt>
                <c:pt idx="28">
                  <c:v>6000000</c:v>
                </c:pt>
                <c:pt idx="29">
                  <c:v>3000000</c:v>
                </c:pt>
                <c:pt idx="30">
                  <c:v>2700000</c:v>
                </c:pt>
                <c:pt idx="31">
                  <c:v>1350000</c:v>
                </c:pt>
                <c:pt idx="32">
                  <c:v>1650000</c:v>
                </c:pt>
                <c:pt idx="33">
                  <c:v>825000</c:v>
                </c:pt>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EITCREF!$D$4:$D$37</c:f>
              <c:numCache>
                <c:formatCode>[$$-409]#,##0;\-[$$-409]#,##0</c:formatCode>
                <c:ptCount val="34"/>
                <c:pt idx="0">
                  <c:v>18000</c:v>
                </c:pt>
                <c:pt idx="1">
                  <c:v>9000</c:v>
                </c:pt>
                <c:pt idx="2">
                  <c:v>100000</c:v>
                </c:pt>
                <c:pt idx="3">
                  <c:v>50000</c:v>
                </c:pt>
                <c:pt idx="4">
                  <c:v>360000</c:v>
                </c:pt>
                <c:pt idx="5">
                  <c:v>180000</c:v>
                </c:pt>
                <c:pt idx="6">
                  <c:v>130000</c:v>
                </c:pt>
                <c:pt idx="7">
                  <c:v>65000</c:v>
                </c:pt>
                <c:pt idx="8">
                  <c:v>540000</c:v>
                </c:pt>
                <c:pt idx="9">
                  <c:v>270000</c:v>
                </c:pt>
                <c:pt idx="10">
                  <c:v>180000</c:v>
                </c:pt>
                <c:pt idx="11">
                  <c:v>90000</c:v>
                </c:pt>
                <c:pt idx="12">
                  <c:v>480000</c:v>
                </c:pt>
                <c:pt idx="13">
                  <c:v>240000</c:v>
                </c:pt>
                <c:pt idx="14">
                  <c:v>66000</c:v>
                </c:pt>
                <c:pt idx="15">
                  <c:v>33000</c:v>
                </c:pt>
                <c:pt idx="16">
                  <c:v>54000</c:v>
                </c:pt>
                <c:pt idx="17">
                  <c:v>27000</c:v>
                </c:pt>
                <c:pt idx="18">
                  <c:v>1040000</c:v>
                </c:pt>
                <c:pt idx="19">
                  <c:v>520000</c:v>
                </c:pt>
                <c:pt idx="20">
                  <c:v>660000</c:v>
                </c:pt>
                <c:pt idx="21">
                  <c:v>330000</c:v>
                </c:pt>
                <c:pt idx="22">
                  <c:v>420000</c:v>
                </c:pt>
                <c:pt idx="23">
                  <c:v>210000</c:v>
                </c:pt>
                <c:pt idx="24">
                  <c:v>300000</c:v>
                </c:pt>
                <c:pt idx="25">
                  <c:v>150000</c:v>
                </c:pt>
                <c:pt idx="26">
                  <c:v>90000</c:v>
                </c:pt>
                <c:pt idx="27">
                  <c:v>45000</c:v>
                </c:pt>
                <c:pt idx="28">
                  <c:v>1200000</c:v>
                </c:pt>
                <c:pt idx="29">
                  <c:v>600000</c:v>
                </c:pt>
                <c:pt idx="30">
                  <c:v>540000</c:v>
                </c:pt>
                <c:pt idx="31">
                  <c:v>270000</c:v>
                </c:pt>
                <c:pt idx="32">
                  <c:v>330000</c:v>
                </c:pt>
                <c:pt idx="33">
                  <c:v>165000</c:v>
                </c:pt>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EITCREF!$E$4:$E$37</c:f>
              <c:numCache>
                <c:formatCode>[$$-409]#,##0;\-[$$-409]#,##0</c:formatCode>
                <c:ptCount val="3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numCache>
            </c:numRef>
          </c:val>
        </c:ser>
        <c:ser>
          <c:idx val="3"/>
          <c:order val="3"/>
          <c:tx>
            <c:strRef>
              <c:f>EITCREF!$F$2</c:f>
              <c:strCache>
                <c:ptCount val="1"/>
                <c:pt idx="0">
                  <c:v>American Effective Tax EITC Credit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EITCREF!$F$4:$F$37</c:f>
              <c:numCache>
                <c:formatCode>[$$-409]#,##0;\-[$$-409]#,##0</c:formatCode>
                <c:ptCount val="34"/>
                <c:pt idx="0">
                  <c:v>72000</c:v>
                </c:pt>
                <c:pt idx="1">
                  <c:v>36000</c:v>
                </c:pt>
                <c:pt idx="2">
                  <c:v>400000</c:v>
                </c:pt>
                <c:pt idx="3">
                  <c:v>200000</c:v>
                </c:pt>
                <c:pt idx="4">
                  <c:v>1440000</c:v>
                </c:pt>
                <c:pt idx="5">
                  <c:v>720000</c:v>
                </c:pt>
                <c:pt idx="6">
                  <c:v>520000</c:v>
                </c:pt>
                <c:pt idx="7">
                  <c:v>260000</c:v>
                </c:pt>
                <c:pt idx="8">
                  <c:v>2160000</c:v>
                </c:pt>
                <c:pt idx="9">
                  <c:v>1080000</c:v>
                </c:pt>
                <c:pt idx="10">
                  <c:v>720000</c:v>
                </c:pt>
                <c:pt idx="11">
                  <c:v>360000</c:v>
                </c:pt>
                <c:pt idx="12">
                  <c:v>1920000</c:v>
                </c:pt>
                <c:pt idx="13">
                  <c:v>960000</c:v>
                </c:pt>
                <c:pt idx="14">
                  <c:v>264000</c:v>
                </c:pt>
                <c:pt idx="15">
                  <c:v>132000</c:v>
                </c:pt>
                <c:pt idx="16">
                  <c:v>216000</c:v>
                </c:pt>
                <c:pt idx="17">
                  <c:v>108000</c:v>
                </c:pt>
                <c:pt idx="18">
                  <c:v>4160000</c:v>
                </c:pt>
                <c:pt idx="19">
                  <c:v>2080000</c:v>
                </c:pt>
                <c:pt idx="20">
                  <c:v>2640000</c:v>
                </c:pt>
                <c:pt idx="21">
                  <c:v>1320000</c:v>
                </c:pt>
                <c:pt idx="22">
                  <c:v>1680000</c:v>
                </c:pt>
                <c:pt idx="23">
                  <c:v>840000</c:v>
                </c:pt>
                <c:pt idx="24">
                  <c:v>1200000</c:v>
                </c:pt>
                <c:pt idx="25">
                  <c:v>600000</c:v>
                </c:pt>
                <c:pt idx="26">
                  <c:v>360000</c:v>
                </c:pt>
                <c:pt idx="27">
                  <c:v>180000</c:v>
                </c:pt>
                <c:pt idx="28">
                  <c:v>4800000</c:v>
                </c:pt>
                <c:pt idx="29">
                  <c:v>2400000</c:v>
                </c:pt>
                <c:pt idx="30">
                  <c:v>2160000</c:v>
                </c:pt>
                <c:pt idx="31">
                  <c:v>1080000</c:v>
                </c:pt>
                <c:pt idx="32">
                  <c:v>1320000</c:v>
                </c:pt>
                <c:pt idx="33">
                  <c:v>660000</c:v>
                </c:pt>
              </c:numCache>
            </c:numRef>
          </c:val>
        </c:ser>
        <c:gapWidth val="100"/>
        <c:overlap val="0"/>
        <c:axId val="32243249"/>
        <c:axId val="6521413"/>
      </c:barChart>
      <c:catAx>
        <c:axId val="3224324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22447623033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521413"/>
        <c:crosses val="autoZero"/>
        <c:auto val="1"/>
        <c:lblAlgn val="ctr"/>
        <c:lblOffset val="100"/>
        <c:noMultiLvlLbl val="0"/>
      </c:catAx>
      <c:valAx>
        <c:axId val="65214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2641160014185"/>
              <c:y val="0.9697678426352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2243249"/>
        <c:crosses val="max"/>
        <c:crossBetween val="midCat"/>
        <c:majorUnit val="100000"/>
      </c:valAx>
      <c:spPr>
        <a:noFill/>
        <a:ln w="0">
          <a:solidFill>
            <a:srgbClr val="b3b3b3"/>
          </a:solidFill>
        </a:ln>
      </c:spPr>
    </c:plotArea>
    <c:legend>
      <c:legendPos val="r"/>
      <c:layout>
        <c:manualLayout>
          <c:xMode val="edge"/>
          <c:yMode val="edge"/>
          <c:x val="0.804255319148936"/>
          <c:y val="0.0767355982274742"/>
          <c:w val="0.170140667480988"/>
          <c:h val="0.11169649671336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Additional Child Tax Credit Refund</a:t>
            </a:r>
          </a:p>
        </c:rich>
      </c:tx>
      <c:layout>
        <c:manualLayout>
          <c:xMode val="edge"/>
          <c:yMode val="edge"/>
          <c:x val="0.243350801844044"/>
          <c:y val="0.0114232255840863"/>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ACTCREF!$C$2</c:f>
              <c:strCache>
                <c:ptCount val="1"/>
                <c:pt idx="0">
                  <c:v>ACTC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ACTCREF!$C$4:$C$37</c:f>
              <c:numCache>
                <c:formatCode>[$$-409]#,##0;\-[$$-409]#,##0</c:formatCode>
                <c:ptCount val="34"/>
                <c:pt idx="0">
                  <c:v>45000</c:v>
                </c:pt>
                <c:pt idx="1">
                  <c:v>22500</c:v>
                </c:pt>
                <c:pt idx="2">
                  <c:v>250000</c:v>
                </c:pt>
                <c:pt idx="3">
                  <c:v>125000</c:v>
                </c:pt>
                <c:pt idx="4">
                  <c:v>900000</c:v>
                </c:pt>
                <c:pt idx="5">
                  <c:v>450000</c:v>
                </c:pt>
                <c:pt idx="6">
                  <c:v>325000</c:v>
                </c:pt>
                <c:pt idx="7">
                  <c:v>162500</c:v>
                </c:pt>
                <c:pt idx="8">
                  <c:v>1350000</c:v>
                </c:pt>
                <c:pt idx="9">
                  <c:v>675000</c:v>
                </c:pt>
                <c:pt idx="10">
                  <c:v>450000</c:v>
                </c:pt>
                <c:pt idx="11">
                  <c:v>225000</c:v>
                </c:pt>
                <c:pt idx="12">
                  <c:v>1200000</c:v>
                </c:pt>
                <c:pt idx="13">
                  <c:v>600000</c:v>
                </c:pt>
                <c:pt idx="14">
                  <c:v>165000</c:v>
                </c:pt>
                <c:pt idx="15">
                  <c:v>82500</c:v>
                </c:pt>
                <c:pt idx="16">
                  <c:v>135000</c:v>
                </c:pt>
                <c:pt idx="17">
                  <c:v>67500</c:v>
                </c:pt>
                <c:pt idx="18">
                  <c:v>2600000</c:v>
                </c:pt>
                <c:pt idx="19">
                  <c:v>1300000</c:v>
                </c:pt>
                <c:pt idx="20">
                  <c:v>1650000</c:v>
                </c:pt>
                <c:pt idx="21">
                  <c:v>825000</c:v>
                </c:pt>
                <c:pt idx="22">
                  <c:v>1050000</c:v>
                </c:pt>
                <c:pt idx="23">
                  <c:v>525000</c:v>
                </c:pt>
                <c:pt idx="24">
                  <c:v>750000</c:v>
                </c:pt>
                <c:pt idx="25">
                  <c:v>375000</c:v>
                </c:pt>
                <c:pt idx="26">
                  <c:v>225000</c:v>
                </c:pt>
                <c:pt idx="27">
                  <c:v>112500</c:v>
                </c:pt>
                <c:pt idx="28">
                  <c:v>3000000</c:v>
                </c:pt>
                <c:pt idx="29">
                  <c:v>1500000</c:v>
                </c:pt>
                <c:pt idx="30">
                  <c:v>1350000</c:v>
                </c:pt>
                <c:pt idx="31">
                  <c:v>675000</c:v>
                </c:pt>
                <c:pt idx="32">
                  <c:v>825000</c:v>
                </c:pt>
                <c:pt idx="33">
                  <c:v>412500</c:v>
                </c:pt>
              </c:numCache>
            </c:numRef>
          </c:val>
        </c:ser>
        <c:ser>
          <c:idx val="1"/>
          <c:order val="1"/>
          <c:tx>
            <c:strRef>
              <c:f>ACTCREF!$D$2</c:f>
              <c:strCache>
                <c:ptCount val="1"/>
                <c:pt idx="0">
                  <c:v>Authorized Immigrant ACTC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ACTCREF!$D$4:$D$37</c:f>
              <c:numCache>
                <c:formatCode>[$$-409]#,##0;\-[$$-409]#,##0</c:formatCode>
                <c:ptCount val="34"/>
                <c:pt idx="0">
                  <c:v>9000</c:v>
                </c:pt>
                <c:pt idx="1">
                  <c:v>4500</c:v>
                </c:pt>
                <c:pt idx="2">
                  <c:v>50000</c:v>
                </c:pt>
                <c:pt idx="3">
                  <c:v>25000</c:v>
                </c:pt>
                <c:pt idx="4">
                  <c:v>180000</c:v>
                </c:pt>
                <c:pt idx="5">
                  <c:v>90000</c:v>
                </c:pt>
                <c:pt idx="6">
                  <c:v>65000</c:v>
                </c:pt>
                <c:pt idx="7">
                  <c:v>32500</c:v>
                </c:pt>
                <c:pt idx="8">
                  <c:v>270000</c:v>
                </c:pt>
                <c:pt idx="9">
                  <c:v>135000</c:v>
                </c:pt>
                <c:pt idx="10">
                  <c:v>90000</c:v>
                </c:pt>
                <c:pt idx="11">
                  <c:v>45000</c:v>
                </c:pt>
                <c:pt idx="12">
                  <c:v>240000</c:v>
                </c:pt>
                <c:pt idx="13">
                  <c:v>120000</c:v>
                </c:pt>
                <c:pt idx="14">
                  <c:v>33000</c:v>
                </c:pt>
                <c:pt idx="15">
                  <c:v>16500</c:v>
                </c:pt>
                <c:pt idx="16">
                  <c:v>27000</c:v>
                </c:pt>
                <c:pt idx="17">
                  <c:v>13500</c:v>
                </c:pt>
                <c:pt idx="18">
                  <c:v>520000</c:v>
                </c:pt>
                <c:pt idx="19">
                  <c:v>260000</c:v>
                </c:pt>
                <c:pt idx="20">
                  <c:v>330000</c:v>
                </c:pt>
                <c:pt idx="21">
                  <c:v>165000</c:v>
                </c:pt>
                <c:pt idx="22">
                  <c:v>210000</c:v>
                </c:pt>
                <c:pt idx="23">
                  <c:v>105000</c:v>
                </c:pt>
                <c:pt idx="24">
                  <c:v>150000</c:v>
                </c:pt>
                <c:pt idx="25">
                  <c:v>75000</c:v>
                </c:pt>
                <c:pt idx="26">
                  <c:v>45000</c:v>
                </c:pt>
                <c:pt idx="27">
                  <c:v>22500</c:v>
                </c:pt>
                <c:pt idx="28">
                  <c:v>600000</c:v>
                </c:pt>
                <c:pt idx="29">
                  <c:v>300000</c:v>
                </c:pt>
                <c:pt idx="30">
                  <c:v>270000</c:v>
                </c:pt>
                <c:pt idx="31">
                  <c:v>135000</c:v>
                </c:pt>
                <c:pt idx="32">
                  <c:v>165000</c:v>
                </c:pt>
                <c:pt idx="33">
                  <c:v>82500</c:v>
                </c:pt>
              </c:numCache>
            </c:numRef>
          </c:val>
        </c:ser>
        <c:ser>
          <c:idx val="2"/>
          <c:order val="2"/>
          <c:tx>
            <c:strRef>
              <c:f>ACTCREF!$E$2</c:f>
              <c:strCache>
                <c:ptCount val="1"/>
                <c:pt idx="0">
                  <c:v>Unauthorized Immigrant ACTC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ACTCREF!$E$4:$E$37</c:f>
              <c:numCache>
                <c:formatCode>[$$-409]#,##0;\-[$$-409]#,##0</c:formatCode>
                <c:ptCount val="34"/>
                <c:pt idx="0">
                  <c:v>18000</c:v>
                </c:pt>
                <c:pt idx="1">
                  <c:v>9000</c:v>
                </c:pt>
                <c:pt idx="2">
                  <c:v>50000</c:v>
                </c:pt>
                <c:pt idx="3">
                  <c:v>25000</c:v>
                </c:pt>
                <c:pt idx="4">
                  <c:v>180000</c:v>
                </c:pt>
                <c:pt idx="5">
                  <c:v>90000</c:v>
                </c:pt>
                <c:pt idx="6">
                  <c:v>65000</c:v>
                </c:pt>
                <c:pt idx="7">
                  <c:v>32500</c:v>
                </c:pt>
                <c:pt idx="8">
                  <c:v>135000</c:v>
                </c:pt>
                <c:pt idx="9">
                  <c:v>67500</c:v>
                </c:pt>
                <c:pt idx="10">
                  <c:v>90000</c:v>
                </c:pt>
                <c:pt idx="11">
                  <c:v>45000</c:v>
                </c:pt>
                <c:pt idx="12">
                  <c:v>240000</c:v>
                </c:pt>
                <c:pt idx="13">
                  <c:v>120000</c:v>
                </c:pt>
                <c:pt idx="14">
                  <c:v>33000</c:v>
                </c:pt>
                <c:pt idx="15">
                  <c:v>16500</c:v>
                </c:pt>
                <c:pt idx="16">
                  <c:v>27000</c:v>
                </c:pt>
                <c:pt idx="17">
                  <c:v>13500</c:v>
                </c:pt>
                <c:pt idx="18">
                  <c:v>520000</c:v>
                </c:pt>
                <c:pt idx="19">
                  <c:v>260000</c:v>
                </c:pt>
                <c:pt idx="20">
                  <c:v>330000</c:v>
                </c:pt>
                <c:pt idx="21">
                  <c:v>165000</c:v>
                </c:pt>
                <c:pt idx="22">
                  <c:v>210000</c:v>
                </c:pt>
                <c:pt idx="23">
                  <c:v>105000</c:v>
                </c:pt>
                <c:pt idx="24">
                  <c:v>150000</c:v>
                </c:pt>
                <c:pt idx="25">
                  <c:v>75000</c:v>
                </c:pt>
                <c:pt idx="26">
                  <c:v>45000</c:v>
                </c:pt>
                <c:pt idx="27">
                  <c:v>22500</c:v>
                </c:pt>
                <c:pt idx="28">
                  <c:v>600000</c:v>
                </c:pt>
                <c:pt idx="29">
                  <c:v>300000</c:v>
                </c:pt>
                <c:pt idx="30">
                  <c:v>270000</c:v>
                </c:pt>
                <c:pt idx="31">
                  <c:v>135000</c:v>
                </c:pt>
                <c:pt idx="32">
                  <c:v>165000</c:v>
                </c:pt>
                <c:pt idx="33">
                  <c:v>82500</c:v>
                </c:pt>
              </c:numCache>
            </c:numRef>
          </c:val>
        </c:ser>
        <c:ser>
          <c:idx val="3"/>
          <c:order val="3"/>
          <c:tx>
            <c:strRef>
              <c:f>ACTCREF!$F$2</c:f>
              <c:strCache>
                <c:ptCount val="1"/>
                <c:pt idx="0">
                  <c:v>American Effective Tax ACTC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ACTCREF!$F$4:$F$37</c:f>
              <c:numCache>
                <c:formatCode>[$$-409]#,##0;\-[$$-409]#,##0</c:formatCode>
                <c:ptCount val="34"/>
                <c:pt idx="0">
                  <c:v>54000</c:v>
                </c:pt>
                <c:pt idx="1">
                  <c:v>27000</c:v>
                </c:pt>
                <c:pt idx="2">
                  <c:v>150000</c:v>
                </c:pt>
                <c:pt idx="3">
                  <c:v>75000</c:v>
                </c:pt>
                <c:pt idx="4">
                  <c:v>540000</c:v>
                </c:pt>
                <c:pt idx="5">
                  <c:v>270000</c:v>
                </c:pt>
                <c:pt idx="6">
                  <c:v>195000</c:v>
                </c:pt>
                <c:pt idx="7">
                  <c:v>97500</c:v>
                </c:pt>
                <c:pt idx="8">
                  <c:v>405000</c:v>
                </c:pt>
                <c:pt idx="9">
                  <c:v>202500</c:v>
                </c:pt>
                <c:pt idx="10">
                  <c:v>270000</c:v>
                </c:pt>
                <c:pt idx="11">
                  <c:v>135000</c:v>
                </c:pt>
                <c:pt idx="12">
                  <c:v>720000</c:v>
                </c:pt>
                <c:pt idx="13">
                  <c:v>360000</c:v>
                </c:pt>
                <c:pt idx="14">
                  <c:v>99000</c:v>
                </c:pt>
                <c:pt idx="15">
                  <c:v>49500</c:v>
                </c:pt>
                <c:pt idx="16">
                  <c:v>81000</c:v>
                </c:pt>
                <c:pt idx="17">
                  <c:v>40500</c:v>
                </c:pt>
                <c:pt idx="18">
                  <c:v>1560000</c:v>
                </c:pt>
                <c:pt idx="19">
                  <c:v>780000</c:v>
                </c:pt>
                <c:pt idx="20">
                  <c:v>990000</c:v>
                </c:pt>
                <c:pt idx="21">
                  <c:v>495000</c:v>
                </c:pt>
                <c:pt idx="22">
                  <c:v>630000</c:v>
                </c:pt>
                <c:pt idx="23">
                  <c:v>315000</c:v>
                </c:pt>
                <c:pt idx="24">
                  <c:v>450000</c:v>
                </c:pt>
                <c:pt idx="25">
                  <c:v>225000</c:v>
                </c:pt>
                <c:pt idx="26">
                  <c:v>135000</c:v>
                </c:pt>
                <c:pt idx="27">
                  <c:v>67500</c:v>
                </c:pt>
                <c:pt idx="28">
                  <c:v>1800000</c:v>
                </c:pt>
                <c:pt idx="29">
                  <c:v>900000</c:v>
                </c:pt>
                <c:pt idx="30">
                  <c:v>810000</c:v>
                </c:pt>
                <c:pt idx="31">
                  <c:v>405000</c:v>
                </c:pt>
                <c:pt idx="32">
                  <c:v>495000</c:v>
                </c:pt>
                <c:pt idx="33">
                  <c:v>247500</c:v>
                </c:pt>
              </c:numCache>
            </c:numRef>
          </c:val>
        </c:ser>
        <c:gapWidth val="100"/>
        <c:overlap val="0"/>
        <c:axId val="41652235"/>
        <c:axId val="47105503"/>
      </c:barChart>
      <c:catAx>
        <c:axId val="4165223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10138112705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7105503"/>
        <c:crosses val="autoZero"/>
        <c:auto val="1"/>
        <c:lblAlgn val="ctr"/>
        <c:lblOffset val="100"/>
        <c:noMultiLvlLbl val="0"/>
      </c:catAx>
      <c:valAx>
        <c:axId val="4710550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577288309232"/>
              <c:y val="0.9697678426352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652235"/>
        <c:crosses val="max"/>
        <c:crossBetween val="midCat"/>
        <c:majorUnit val="100000"/>
      </c:valAx>
      <c:spPr>
        <a:noFill/>
        <a:ln w="0">
          <a:solidFill>
            <a:srgbClr val="b3b3b3"/>
          </a:solidFill>
        </a:ln>
      </c:spPr>
    </c:plotArea>
    <c:legend>
      <c:legendPos val="r"/>
      <c:layout>
        <c:manualLayout>
          <c:xMode val="edge"/>
          <c:yMode val="edge"/>
          <c:x val="0.804255319148936"/>
          <c:y val="0.0767109798129001"/>
          <c:w val="0.170140667480988"/>
          <c:h val="0.111671877692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(Arkansas) – Additional Child Tax Credit Refund</a:t>
            </a:r>
          </a:p>
        </c:rich>
      </c:tx>
      <c:layout>
        <c:manualLayout>
          <c:xMode val="edge"/>
          <c:yMode val="edge"/>
          <c:x val="0.243429607155522"/>
          <c:y val="0.0114232255840863"/>
        </c:manualLayout>
      </c:layout>
      <c:overlay val="0"/>
      <c:spPr>
        <a:noFill/>
        <a:ln w="0">
          <a:noFill/>
        </a:ln>
      </c:spPr>
    </c:title>
    <c:autoTitleDeleted val="0"/>
    <c:plotArea>
      <c:layout>
        <c:manualLayout>
          <c:layoutTarget val="inner"/>
          <c:xMode val="edge"/>
          <c:yMode val="edge"/>
          <c:x val="0.299617794239332"/>
          <c:y val="0.0468746153278023"/>
          <c:w val="0.470704125458056"/>
          <c:h val="0.87461532780226"/>
        </c:manualLayout>
      </c:layout>
      <c:barChart>
        <c:barDir val="bar"/>
        <c:grouping val="clustered"/>
        <c:varyColors val="0"/>
        <c:ser>
          <c:idx val="0"/>
          <c:order val="0"/>
          <c:tx>
            <c:strRef>
              <c:f>AOTCREF!$C$2</c:f>
              <c:strCache>
                <c:ptCount val="1"/>
                <c:pt idx="0">
                  <c:v>AOTC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AOTCREF!$C$4:$C$37</c:f>
              <c:numCache>
                <c:formatCode>[$$-409]#,##0;\-[$$-409]#,##0</c:formatCode>
                <c:ptCount val="34"/>
                <c:pt idx="0">
                  <c:v>27000</c:v>
                </c:pt>
                <c:pt idx="1">
                  <c:v>13500</c:v>
                </c:pt>
                <c:pt idx="2">
                  <c:v>75000</c:v>
                </c:pt>
                <c:pt idx="3">
                  <c:v>37500</c:v>
                </c:pt>
                <c:pt idx="4">
                  <c:v>270000</c:v>
                </c:pt>
                <c:pt idx="5">
                  <c:v>135000</c:v>
                </c:pt>
                <c:pt idx="6">
                  <c:v>97500</c:v>
                </c:pt>
                <c:pt idx="7">
                  <c:v>48750</c:v>
                </c:pt>
                <c:pt idx="8">
                  <c:v>675000</c:v>
                </c:pt>
                <c:pt idx="9">
                  <c:v>337500</c:v>
                </c:pt>
                <c:pt idx="10">
                  <c:v>225000</c:v>
                </c:pt>
                <c:pt idx="11">
                  <c:v>112500</c:v>
                </c:pt>
                <c:pt idx="12">
                  <c:v>600000</c:v>
                </c:pt>
                <c:pt idx="13">
                  <c:v>300000</c:v>
                </c:pt>
                <c:pt idx="14">
                  <c:v>82500</c:v>
                </c:pt>
                <c:pt idx="15">
                  <c:v>41250</c:v>
                </c:pt>
                <c:pt idx="16">
                  <c:v>67500</c:v>
                </c:pt>
                <c:pt idx="17">
                  <c:v>33750</c:v>
                </c:pt>
                <c:pt idx="18">
                  <c:v>1300000</c:v>
                </c:pt>
                <c:pt idx="19">
                  <c:v>650000</c:v>
                </c:pt>
                <c:pt idx="20">
                  <c:v>825000</c:v>
                </c:pt>
                <c:pt idx="21">
                  <c:v>412500</c:v>
                </c:pt>
                <c:pt idx="22">
                  <c:v>525000</c:v>
                </c:pt>
                <c:pt idx="23">
                  <c:v>262500</c:v>
                </c:pt>
                <c:pt idx="24">
                  <c:v>375000</c:v>
                </c:pt>
                <c:pt idx="25">
                  <c:v>187500</c:v>
                </c:pt>
                <c:pt idx="26">
                  <c:v>112500</c:v>
                </c:pt>
                <c:pt idx="27">
                  <c:v>56250</c:v>
                </c:pt>
                <c:pt idx="28">
                  <c:v>1500000</c:v>
                </c:pt>
                <c:pt idx="29">
                  <c:v>750000</c:v>
                </c:pt>
                <c:pt idx="30">
                  <c:v>675000</c:v>
                </c:pt>
                <c:pt idx="31">
                  <c:v>337500</c:v>
                </c:pt>
                <c:pt idx="32">
                  <c:v>412500</c:v>
                </c:pt>
                <c:pt idx="33">
                  <c:v>206250</c:v>
                </c:pt>
              </c:numCache>
            </c:numRef>
          </c:val>
        </c:ser>
        <c:ser>
          <c:idx val="1"/>
          <c:order val="1"/>
          <c:tx>
            <c:strRef>
              <c:f>AOTCREF!$D$2</c:f>
              <c:strCache>
                <c:ptCount val="1"/>
                <c:pt idx="0">
                  <c:v>Authorized Immigrant AOTC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8"/>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AOTCREF!$D$4:$D$37</c:f>
              <c:numCache>
                <c:formatCode>[$$-409]#,##0;\-[$$-409]#,##0</c:formatCode>
                <c:ptCount val="34"/>
                <c:pt idx="0">
                  <c:v>5400</c:v>
                </c:pt>
                <c:pt idx="1">
                  <c:v>2700</c:v>
                </c:pt>
                <c:pt idx="2">
                  <c:v>15000</c:v>
                </c:pt>
                <c:pt idx="3">
                  <c:v>7500</c:v>
                </c:pt>
                <c:pt idx="4">
                  <c:v>54000</c:v>
                </c:pt>
                <c:pt idx="5">
                  <c:v>27000</c:v>
                </c:pt>
                <c:pt idx="6">
                  <c:v>19500</c:v>
                </c:pt>
                <c:pt idx="7">
                  <c:v>9750</c:v>
                </c:pt>
                <c:pt idx="8">
                  <c:v>135000</c:v>
                </c:pt>
                <c:pt idx="9">
                  <c:v>67500</c:v>
                </c:pt>
                <c:pt idx="10">
                  <c:v>45000</c:v>
                </c:pt>
                <c:pt idx="11">
                  <c:v>22500</c:v>
                </c:pt>
                <c:pt idx="12">
                  <c:v>120000</c:v>
                </c:pt>
                <c:pt idx="13">
                  <c:v>60000</c:v>
                </c:pt>
                <c:pt idx="14">
                  <c:v>16500</c:v>
                </c:pt>
                <c:pt idx="15">
                  <c:v>8250</c:v>
                </c:pt>
                <c:pt idx="16">
                  <c:v>13500</c:v>
                </c:pt>
                <c:pt idx="17">
                  <c:v>6750</c:v>
                </c:pt>
                <c:pt idx="18">
                  <c:v>260000</c:v>
                </c:pt>
                <c:pt idx="19">
                  <c:v>130000</c:v>
                </c:pt>
                <c:pt idx="20">
                  <c:v>165000</c:v>
                </c:pt>
                <c:pt idx="21">
                  <c:v>82500</c:v>
                </c:pt>
                <c:pt idx="22">
                  <c:v>105000</c:v>
                </c:pt>
                <c:pt idx="23">
                  <c:v>52500</c:v>
                </c:pt>
                <c:pt idx="24">
                  <c:v>75000</c:v>
                </c:pt>
                <c:pt idx="25">
                  <c:v>37500</c:v>
                </c:pt>
                <c:pt idx="26">
                  <c:v>22500</c:v>
                </c:pt>
                <c:pt idx="27">
                  <c:v>11250</c:v>
                </c:pt>
                <c:pt idx="28">
                  <c:v>300000</c:v>
                </c:pt>
                <c:pt idx="29">
                  <c:v>150000</c:v>
                </c:pt>
                <c:pt idx="30">
                  <c:v>135000</c:v>
                </c:pt>
                <c:pt idx="31">
                  <c:v>67500</c:v>
                </c:pt>
                <c:pt idx="32">
                  <c:v>82500</c:v>
                </c:pt>
                <c:pt idx="33">
                  <c:v>41250</c:v>
                </c:pt>
              </c:numCache>
            </c:numRef>
          </c:val>
        </c:ser>
        <c:ser>
          <c:idx val="2"/>
          <c:order val="2"/>
          <c:tx>
            <c:strRef>
              <c:f>AOTCREF!$E$2</c:f>
              <c:strCache>
                <c:ptCount val="1"/>
                <c:pt idx="0">
                  <c:v>Unauthorized Immigrant AOTC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Pt>
            <c:idx val="26"/>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AOTCREF!$E$4:$E$37</c:f>
              <c:numCache>
                <c:formatCode>[$$-409]#,##0;\-[$$-409]#,##0</c:formatCode>
                <c:ptCount val="34"/>
                <c:pt idx="0">
                  <c:v>13500</c:v>
                </c:pt>
                <c:pt idx="1">
                  <c:v>6750</c:v>
                </c:pt>
                <c:pt idx="2">
                  <c:v>37500</c:v>
                </c:pt>
                <c:pt idx="3">
                  <c:v>18750</c:v>
                </c:pt>
                <c:pt idx="4">
                  <c:v>135000</c:v>
                </c:pt>
                <c:pt idx="5">
                  <c:v>67500</c:v>
                </c:pt>
                <c:pt idx="6">
                  <c:v>48750</c:v>
                </c:pt>
                <c:pt idx="7">
                  <c:v>24375</c:v>
                </c:pt>
                <c:pt idx="8">
                  <c:v>337500</c:v>
                </c:pt>
                <c:pt idx="9">
                  <c:v>168750</c:v>
                </c:pt>
                <c:pt idx="10">
                  <c:v>112500</c:v>
                </c:pt>
                <c:pt idx="11">
                  <c:v>56250</c:v>
                </c:pt>
                <c:pt idx="12">
                  <c:v>300000</c:v>
                </c:pt>
                <c:pt idx="13">
                  <c:v>150000</c:v>
                </c:pt>
                <c:pt idx="14">
                  <c:v>41250</c:v>
                </c:pt>
                <c:pt idx="15">
                  <c:v>20625</c:v>
                </c:pt>
                <c:pt idx="16">
                  <c:v>33750</c:v>
                </c:pt>
                <c:pt idx="17">
                  <c:v>16875</c:v>
                </c:pt>
                <c:pt idx="18">
                  <c:v>650000</c:v>
                </c:pt>
                <c:pt idx="19">
                  <c:v>325000</c:v>
                </c:pt>
                <c:pt idx="20">
                  <c:v>412500</c:v>
                </c:pt>
                <c:pt idx="21">
                  <c:v>206250</c:v>
                </c:pt>
                <c:pt idx="22">
                  <c:v>262500</c:v>
                </c:pt>
                <c:pt idx="23">
                  <c:v>131250</c:v>
                </c:pt>
                <c:pt idx="24">
                  <c:v>187500</c:v>
                </c:pt>
                <c:pt idx="25">
                  <c:v>93750</c:v>
                </c:pt>
                <c:pt idx="26">
                  <c:v>56250</c:v>
                </c:pt>
                <c:pt idx="27">
                  <c:v>28125</c:v>
                </c:pt>
                <c:pt idx="28">
                  <c:v>750000</c:v>
                </c:pt>
                <c:pt idx="29">
                  <c:v>375000</c:v>
                </c:pt>
                <c:pt idx="30">
                  <c:v>337500</c:v>
                </c:pt>
                <c:pt idx="31">
                  <c:v>168750</c:v>
                </c:pt>
                <c:pt idx="32">
                  <c:v>206250</c:v>
                </c:pt>
                <c:pt idx="33">
                  <c:v>103125</c:v>
                </c:pt>
              </c:numCache>
            </c:numRef>
          </c:val>
        </c:ser>
        <c:ser>
          <c:idx val="3"/>
          <c:order val="3"/>
          <c:tx>
            <c:strRef>
              <c:f>AOTCREF!$F$2</c:f>
              <c:strCache>
                <c:ptCount val="1"/>
                <c:pt idx="0">
                  <c:v>American Effective Tax AOTC Credit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Pt>
            <c:idx val="29"/>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9"/>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AOTCREF!$B$4:$B$37</c:f>
              <c:strCache>
                <c:ptCount val="34"/>
                <c:pt idx="0">
                  <c:v>Agriculture:Worker</c:v>
                </c:pt>
                <c:pt idx="1">
                  <c:v>Agriculture:Support</c:v>
                </c:pt>
                <c:pt idx="2">
                  <c:v>Construction:Worker</c:v>
                </c:pt>
                <c:pt idx="3">
                  <c:v>Construction:Support</c:v>
                </c:pt>
                <c:pt idx="4">
                  <c:v>Hospitality:Worker</c:v>
                </c:pt>
                <c:pt idx="5">
                  <c:v>Hospitality:Support</c:v>
                </c:pt>
                <c:pt idx="6">
                  <c:v>Cleaning &amp; Maintenance:Worker</c:v>
                </c:pt>
                <c:pt idx="7">
                  <c:v>Cleaning &amp; Maintenance:Support</c:v>
                </c:pt>
                <c:pt idx="8">
                  <c:v>Manufacturing:Worker</c:v>
                </c:pt>
                <c:pt idx="9">
                  <c:v>Manufacturing:Support</c:v>
                </c:pt>
                <c:pt idx="10">
                  <c:v>Transportation &amp; Warehousing:Worker</c:v>
                </c:pt>
                <c:pt idx="11">
                  <c:v>Transportation &amp; Warehousing:Support</c:v>
                </c:pt>
                <c:pt idx="12">
                  <c:v>Retail Trade:Worker</c:v>
                </c:pt>
                <c:pt idx="13">
                  <c:v>Retail Trade:Support</c:v>
                </c:pt>
                <c:pt idx="14">
                  <c:v>Landscaping / Groundskeeping:Worker</c:v>
                </c:pt>
                <c:pt idx="15">
                  <c:v>Landscaping / Groundskeeping:Support</c:v>
                </c:pt>
                <c:pt idx="16">
                  <c:v>Automotive &amp; Repair:Worker</c:v>
                </c:pt>
                <c:pt idx="17">
                  <c:v>Automotive &amp; Repair:Support</c:v>
                </c:pt>
                <c:pt idx="18">
                  <c:v>Healthcare &amp; Social Assistance:Worker</c:v>
                </c:pt>
                <c:pt idx="19">
                  <c:v>Healthcare &amp; Social Assistance:Support</c:v>
                </c:pt>
                <c:pt idx="20">
                  <c:v>Professional Services:Worker</c:v>
                </c:pt>
                <c:pt idx="21">
                  <c:v>Professional Services:Support</c:v>
                </c:pt>
                <c:pt idx="22">
                  <c:v>Educational Services:Worker</c:v>
                </c:pt>
                <c:pt idx="23">
                  <c:v>Educational Services:Support</c:v>
                </c:pt>
                <c:pt idx="24">
                  <c:v>Finance &amp; Insurance:Worker</c:v>
                </c:pt>
                <c:pt idx="25">
                  <c:v>Finance &amp; Insurance:Support</c:v>
                </c:pt>
                <c:pt idx="26">
                  <c:v>Media and Information Technology:Worker</c:v>
                </c:pt>
                <c:pt idx="27">
                  <c:v>Media and Information Technology:Support</c:v>
                </c:pt>
                <c:pt idx="28">
                  <c:v>Government:Worker</c:v>
                </c:pt>
                <c:pt idx="29">
                  <c:v>Government:Support</c:v>
                </c:pt>
                <c:pt idx="30">
                  <c:v>Self-Employed / Non-Employer:Worker</c:v>
                </c:pt>
                <c:pt idx="31">
                  <c:v>Self-Employed / Non-Employer:Support</c:v>
                </c:pt>
                <c:pt idx="32">
                  <c:v>Other Services:Worker</c:v>
                </c:pt>
                <c:pt idx="33">
                  <c:v>Other Services:Support</c:v>
                </c:pt>
              </c:strCache>
            </c:strRef>
          </c:cat>
          <c:val>
            <c:numRef>
              <c:f>AOTCREF!$F$4:$F$37</c:f>
              <c:numCache>
                <c:formatCode>[$$-409]#,##0;\-[$$-409]#,##0</c:formatCode>
                <c:ptCount val="34"/>
                <c:pt idx="0">
                  <c:v>40500</c:v>
                </c:pt>
                <c:pt idx="1">
                  <c:v>20250</c:v>
                </c:pt>
                <c:pt idx="2">
                  <c:v>112500</c:v>
                </c:pt>
                <c:pt idx="3">
                  <c:v>56250</c:v>
                </c:pt>
                <c:pt idx="4">
                  <c:v>405000</c:v>
                </c:pt>
                <c:pt idx="5">
                  <c:v>202500</c:v>
                </c:pt>
                <c:pt idx="6">
                  <c:v>146250</c:v>
                </c:pt>
                <c:pt idx="7">
                  <c:v>73125</c:v>
                </c:pt>
                <c:pt idx="8">
                  <c:v>1012500</c:v>
                </c:pt>
                <c:pt idx="9">
                  <c:v>506250</c:v>
                </c:pt>
                <c:pt idx="10">
                  <c:v>337500</c:v>
                </c:pt>
                <c:pt idx="11">
                  <c:v>168750</c:v>
                </c:pt>
                <c:pt idx="12">
                  <c:v>900000</c:v>
                </c:pt>
                <c:pt idx="13">
                  <c:v>450000</c:v>
                </c:pt>
                <c:pt idx="14">
                  <c:v>123750</c:v>
                </c:pt>
                <c:pt idx="15">
                  <c:v>61875</c:v>
                </c:pt>
                <c:pt idx="16">
                  <c:v>101250</c:v>
                </c:pt>
                <c:pt idx="17">
                  <c:v>50625</c:v>
                </c:pt>
                <c:pt idx="18">
                  <c:v>1950000</c:v>
                </c:pt>
                <c:pt idx="19">
                  <c:v>975000</c:v>
                </c:pt>
                <c:pt idx="20">
                  <c:v>1237500</c:v>
                </c:pt>
                <c:pt idx="21">
                  <c:v>618750</c:v>
                </c:pt>
                <c:pt idx="22">
                  <c:v>787500</c:v>
                </c:pt>
                <c:pt idx="23">
                  <c:v>393750</c:v>
                </c:pt>
                <c:pt idx="24">
                  <c:v>562500</c:v>
                </c:pt>
                <c:pt idx="25">
                  <c:v>281250</c:v>
                </c:pt>
                <c:pt idx="26">
                  <c:v>168750</c:v>
                </c:pt>
                <c:pt idx="27">
                  <c:v>84375</c:v>
                </c:pt>
                <c:pt idx="28">
                  <c:v>2250000</c:v>
                </c:pt>
                <c:pt idx="29">
                  <c:v>1125000</c:v>
                </c:pt>
                <c:pt idx="30">
                  <c:v>1012500</c:v>
                </c:pt>
                <c:pt idx="31">
                  <c:v>506250</c:v>
                </c:pt>
                <c:pt idx="32">
                  <c:v>618750</c:v>
                </c:pt>
                <c:pt idx="33">
                  <c:v>309375</c:v>
                </c:pt>
              </c:numCache>
            </c:numRef>
          </c:val>
        </c:ser>
        <c:gapWidth val="100"/>
        <c:overlap val="0"/>
        <c:axId val="89755725"/>
        <c:axId val="12256953"/>
      </c:barChart>
      <c:catAx>
        <c:axId val="8975572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20260845580992"/>
              <c:y val="0.47800290504443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256953"/>
        <c:crosses val="autoZero"/>
        <c:auto val="1"/>
        <c:lblAlgn val="ctr"/>
        <c:lblOffset val="100"/>
        <c:noMultiLvlLbl val="0"/>
      </c:catAx>
      <c:valAx>
        <c:axId val="1225695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577288309232"/>
              <c:y val="0.96976784263522"/>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9755725"/>
        <c:crosses val="max"/>
        <c:crossBetween val="midCat"/>
        <c:majorUnit val="100000"/>
      </c:valAx>
      <c:spPr>
        <a:noFill/>
        <a:ln w="0">
          <a:solidFill>
            <a:srgbClr val="b3b3b3"/>
          </a:solidFill>
        </a:ln>
      </c:spPr>
    </c:plotArea>
    <c:legend>
      <c:legendPos val="r"/>
      <c:layout>
        <c:manualLayout>
          <c:xMode val="edge"/>
          <c:yMode val="edge"/>
          <c:x val="0.804255319148936"/>
          <c:y val="0.0767109798129001"/>
          <c:w val="0.170022459513771"/>
          <c:h val="0.111671877692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
</Relationships>
</file>

<file path=xl/drawings/_rels/drawing7.xml.rels><?xml version="1.0" encoding="UTF-8"?>
<Relationships xmlns="http://schemas.openxmlformats.org/package/2006/relationships"><Relationship Id="rId1" Type="http://schemas.openxmlformats.org/officeDocument/2006/relationships/chart" Target="../charts/chart8.xml"/>
</Relationships>
</file>

<file path=xl/drawings/_rels/drawing8.xml.rels><?xml version="1.0" encoding="UTF-8"?>
<Relationships xmlns="http://schemas.openxmlformats.org/package/2006/relationships"><Relationship Id="rId1" Type="http://schemas.openxmlformats.org/officeDocument/2006/relationships/chart" Target="../charts/chart9.xml"/>
</Relationships>
</file>

<file path=xl/drawings/_rels/drawing9.xml.rels><?xml version="1.0" encoding="UTF-8"?>
<Relationships xmlns="http://schemas.openxmlformats.org/package/2006/relationships"><Relationship Id="rId1" Type="http://schemas.openxmlformats.org/officeDocument/2006/relationships/chart" Target="../charts/chart10.xml"/>
</Relationships>
</file>

<file path=xl/drawings/_rels/drawing10.xml.rels><?xml version="1.0" encoding="UTF-8"?>
<Relationships xmlns="http://schemas.openxmlformats.org/package/2006/relationships"><Relationship Id="rId1" Type="http://schemas.openxmlformats.org/officeDocument/2006/relationships/chart" Target="../charts/chart11.xml"/>
</Relationships>
</file>

<file path=xl/drawings/_rels/drawing11.xml.rels><?xml version="1.0" encoding="UTF-8"?>
<Relationships xmlns="http://schemas.openxmlformats.org/package/2006/relationships"><Relationship Id="rId1" Type="http://schemas.openxmlformats.org/officeDocument/2006/relationships/chart" Target="../charts/chart12.xml"/>
</Relationships>
</file>

<file path=xl/drawings/_rels/drawing12.xml.rels><?xml version="1.0" encoding="UTF-8"?>
<Relationships xmlns="http://schemas.openxmlformats.org/package/2006/relationships"><Relationship Id="rId1" Type="http://schemas.openxmlformats.org/officeDocument/2006/relationships/chart" Target="../charts/chart1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805320</xdr:colOff>
      <xdr:row>39</xdr:row>
      <xdr:rowOff>150120</xdr:rowOff>
    </xdr:from>
    <xdr:to>
      <xdr:col>6</xdr:col>
      <xdr:colOff>1128960</xdr:colOff>
      <xdr:row>129</xdr:row>
      <xdr:rowOff>142200</xdr:rowOff>
    </xdr:to>
    <xdr:graphicFrame>
      <xdr:nvGraphicFramePr>
        <xdr:cNvPr id="1" name=""/>
        <xdr:cNvGraphicFramePr/>
      </xdr:nvGraphicFramePr>
      <xdr:xfrm>
        <a:off x="805320" y="677268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720</xdr:rowOff>
    </xdr:from>
    <xdr:to>
      <xdr:col>6</xdr:col>
      <xdr:colOff>1128600</xdr:colOff>
      <xdr:row>129</xdr:row>
      <xdr:rowOff>155160</xdr:rowOff>
    </xdr:to>
    <xdr:graphicFrame>
      <xdr:nvGraphicFramePr>
        <xdr:cNvPr id="2" name=""/>
        <xdr:cNvGraphicFramePr/>
      </xdr:nvGraphicFramePr>
      <xdr:xfrm>
        <a:off x="804960" y="6927840"/>
        <a:ext cx="913680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720</xdr:rowOff>
    </xdr:from>
    <xdr:to>
      <xdr:col>6</xdr:col>
      <xdr:colOff>1128600</xdr:colOff>
      <xdr:row>129</xdr:row>
      <xdr:rowOff>155160</xdr:rowOff>
    </xdr:to>
    <xdr:graphicFrame>
      <xdr:nvGraphicFramePr>
        <xdr:cNvPr id="3" name=""/>
        <xdr:cNvGraphicFramePr/>
      </xdr:nvGraphicFramePr>
      <xdr:xfrm>
        <a:off x="804960" y="692784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1138320</xdr:colOff>
      <xdr:row>129</xdr:row>
      <xdr:rowOff>112680</xdr:rowOff>
    </xdr:to>
    <xdr:graphicFrame>
      <xdr:nvGraphicFramePr>
        <xdr:cNvPr id="4" name=""/>
        <xdr:cNvGraphicFramePr/>
      </xdr:nvGraphicFramePr>
      <xdr:xfrm>
        <a:off x="814680" y="688536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1800</xdr:colOff>
      <xdr:row>39</xdr:row>
      <xdr:rowOff>120600</xdr:rowOff>
    </xdr:from>
    <xdr:to>
      <xdr:col>6</xdr:col>
      <xdr:colOff>1138320</xdr:colOff>
      <xdr:row>129</xdr:row>
      <xdr:rowOff>112680</xdr:rowOff>
    </xdr:to>
    <xdr:graphicFrame>
      <xdr:nvGraphicFramePr>
        <xdr:cNvPr id="5" name=""/>
        <xdr:cNvGraphicFramePr/>
      </xdr:nvGraphicFramePr>
      <xdr:xfrm>
        <a:off x="814680" y="688536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804960</xdr:colOff>
      <xdr:row>169</xdr:row>
      <xdr:rowOff>76680</xdr:rowOff>
    </xdr:from>
    <xdr:to>
      <xdr:col>6</xdr:col>
      <xdr:colOff>1128600</xdr:colOff>
      <xdr:row>259</xdr:row>
      <xdr:rowOff>68760</xdr:rowOff>
    </xdr:to>
    <xdr:graphicFrame>
      <xdr:nvGraphicFramePr>
        <xdr:cNvPr id="6" name=""/>
        <xdr:cNvGraphicFramePr/>
      </xdr:nvGraphicFramePr>
      <xdr:xfrm>
        <a:off x="804960" y="27974160"/>
        <a:ext cx="9136080" cy="14622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1440</xdr:colOff>
      <xdr:row>39</xdr:row>
      <xdr:rowOff>152640</xdr:rowOff>
    </xdr:from>
    <xdr:to>
      <xdr:col>6</xdr:col>
      <xdr:colOff>1137960</xdr:colOff>
      <xdr:row>129</xdr:row>
      <xdr:rowOff>144720</xdr:rowOff>
    </xdr:to>
    <xdr:graphicFrame>
      <xdr:nvGraphicFramePr>
        <xdr:cNvPr id="7" name=""/>
        <xdr:cNvGraphicFramePr/>
      </xdr:nvGraphicFramePr>
      <xdr:xfrm>
        <a:off x="814320" y="677520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39</xdr:row>
      <xdr:rowOff>158400</xdr:rowOff>
    </xdr:from>
    <xdr:to>
      <xdr:col>6</xdr:col>
      <xdr:colOff>1128600</xdr:colOff>
      <xdr:row>129</xdr:row>
      <xdr:rowOff>150480</xdr:rowOff>
    </xdr:to>
    <xdr:graphicFrame>
      <xdr:nvGraphicFramePr>
        <xdr:cNvPr id="8" name=""/>
        <xdr:cNvGraphicFramePr/>
      </xdr:nvGraphicFramePr>
      <xdr:xfrm>
        <a:off x="804960" y="692316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41</xdr:row>
      <xdr:rowOff>20160</xdr:rowOff>
    </xdr:from>
    <xdr:to>
      <xdr:col>6</xdr:col>
      <xdr:colOff>1140840</xdr:colOff>
      <xdr:row>131</xdr:row>
      <xdr:rowOff>12240</xdr:rowOff>
    </xdr:to>
    <xdr:graphicFrame>
      <xdr:nvGraphicFramePr>
        <xdr:cNvPr id="9" name=""/>
        <xdr:cNvGraphicFramePr/>
      </xdr:nvGraphicFramePr>
      <xdr:xfrm>
        <a:off x="817200" y="711000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40</xdr:row>
      <xdr:rowOff>1080</xdr:rowOff>
    </xdr:from>
    <xdr:to>
      <xdr:col>7</xdr:col>
      <xdr:colOff>266760</xdr:colOff>
      <xdr:row>129</xdr:row>
      <xdr:rowOff>155520</xdr:rowOff>
    </xdr:to>
    <xdr:graphicFrame>
      <xdr:nvGraphicFramePr>
        <xdr:cNvPr id="10" name=""/>
        <xdr:cNvGraphicFramePr/>
      </xdr:nvGraphicFramePr>
      <xdr:xfrm>
        <a:off x="804960" y="706860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39</xdr:row>
      <xdr:rowOff>161280</xdr:rowOff>
    </xdr:from>
    <xdr:to>
      <xdr:col>7</xdr:col>
      <xdr:colOff>279000</xdr:colOff>
      <xdr:row>129</xdr:row>
      <xdr:rowOff>153360</xdr:rowOff>
    </xdr:to>
    <xdr:graphicFrame>
      <xdr:nvGraphicFramePr>
        <xdr:cNvPr id="11" name=""/>
        <xdr:cNvGraphicFramePr/>
      </xdr:nvGraphicFramePr>
      <xdr:xfrm>
        <a:off x="979560" y="692388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39</xdr:row>
      <xdr:rowOff>160200</xdr:rowOff>
    </xdr:from>
    <xdr:to>
      <xdr:col>7</xdr:col>
      <xdr:colOff>271080</xdr:colOff>
      <xdr:row>129</xdr:row>
      <xdr:rowOff>152280</xdr:rowOff>
    </xdr:to>
    <xdr:graphicFrame>
      <xdr:nvGraphicFramePr>
        <xdr:cNvPr id="12" name=""/>
        <xdr:cNvGraphicFramePr/>
      </xdr:nvGraphicFramePr>
      <xdr:xfrm>
        <a:off x="971640" y="692280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40</xdr:row>
      <xdr:rowOff>1440</xdr:rowOff>
    </xdr:from>
    <xdr:to>
      <xdr:col>6</xdr:col>
      <xdr:colOff>1132560</xdr:colOff>
      <xdr:row>129</xdr:row>
      <xdr:rowOff>156240</xdr:rowOff>
    </xdr:to>
    <xdr:graphicFrame>
      <xdr:nvGraphicFramePr>
        <xdr:cNvPr id="13" name=""/>
        <xdr:cNvGraphicFramePr/>
      </xdr:nvGraphicFramePr>
      <xdr:xfrm>
        <a:off x="971640" y="6926760"/>
        <a:ext cx="9136080" cy="1462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LSD.RID.0.AL.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INDEX"/>
      <sheetName val="FORM"/>
      <sheetName val="PARAM"/>
      <sheetName val="CALC"/>
      <sheetName val="LFP"/>
      <sheetName val="ETPR"/>
      <sheetName val="LFPR"/>
      <sheetName val="U3R"/>
      <sheetName val="U6R"/>
      <sheetName val="WAVG"/>
      <sheetName val="AIAVG"/>
      <sheetName val="FPITREV"/>
      <sheetName val="FPPTREV"/>
      <sheetName val="EITCREF"/>
      <sheetName val="ACTCREF"/>
      <sheetName val="AOTCREF"/>
    </sheetNames>
    <sheetDataSet>
      <sheetData sheetId="0"/>
      <sheetData sheetId="1"/>
      <sheetData sheetId="2"/>
      <sheetData sheetId="3">
        <row r="3">
          <cell r="D3" t="str">
            <v>Labor Force Population</v>
          </cell>
          <cell r="E3" t="str">
            <v>Authorized Labor Force Population</v>
          </cell>
          <cell r="F3" t="str">
            <v>Unauthorized Labor Force Population</v>
          </cell>
          <cell r="G3" t="str">
            <v>American Labor Force Population</v>
          </cell>
          <cell r="H3" t="str">
            <v>Employment-to-Population Ratio</v>
          </cell>
          <cell r="I3" t="str">
            <v>Authorized Immigrant Employment-to-Population Ratio</v>
          </cell>
          <cell r="J3" t="str">
            <v>Unauthorized Immigrant Employment-to-Population Ratio</v>
          </cell>
          <cell r="K3" t="str">
            <v>American Employment-to-Population Ratio</v>
          </cell>
          <cell r="L3" t="str">
            <v>Labor Force Participation Rate (LFPR)</v>
          </cell>
          <cell r="M3" t="str">
            <v>Authorized Immigrant Labor Force Participation Rate (LFPR)</v>
          </cell>
          <cell r="N3" t="str">
            <v>Unauthorized Immigrant Labor Force Participation Rate (LFPR)</v>
          </cell>
          <cell r="O3" t="str">
            <v>American Labor Force Participation Rate (LFPR)</v>
          </cell>
          <cell r="P3" t="str">
            <v>Unemployment Rate</v>
          </cell>
          <cell r="Q3" t="str">
            <v>Authorized Immigrant Unemployment Rate</v>
          </cell>
          <cell r="R3" t="str">
            <v>Unauthorized Immigrant Unemployment Rate</v>
          </cell>
          <cell r="S3" t="str">
            <v>American Unemployment Rate</v>
          </cell>
          <cell r="T3" t="str">
            <v>Underemployment Rate</v>
          </cell>
          <cell r="U3" t="str">
            <v>Authorized Immigrant Underemployment Rate</v>
          </cell>
          <cell r="V3" t="str">
            <v>Unauthorized Immigrant Underemployment Rate</v>
          </cell>
          <cell r="W3" t="str">
            <v>American Underemployment Rate</v>
          </cell>
          <cell r="X3" t="str">
            <v>Wage Average ($  /hr)</v>
          </cell>
        </row>
        <row r="3">
          <cell r="AA3" t="str">
            <v>Annual Income (  $)</v>
          </cell>
        </row>
        <row r="3">
          <cell r="AD3" t="str">
            <v>Authorized Immigrant Wage Average ($  /hr)</v>
          </cell>
        </row>
        <row r="3">
          <cell r="AG3" t="str">
            <v>Authorized Immigrant Annual Income Average (  $)</v>
          </cell>
        </row>
        <row r="3">
          <cell r="AJ3" t="str">
            <v>Unauthorized Immigrant Wage Average ($  /hr)</v>
          </cell>
        </row>
        <row r="3">
          <cell r="AM3" t="str">
            <v>Unauthorized Immigrant Annual Income Average (  $)</v>
          </cell>
        </row>
        <row r="3">
          <cell r="AP3" t="str">
            <v>American Wage Average ($  /hr)</v>
          </cell>
        </row>
        <row r="3">
          <cell r="AS3" t="str">
            <v>American Annual Income Average (  $)</v>
          </cell>
        </row>
        <row r="3">
          <cell r="AV3" t="str">
            <v>Federal Personal Income Tax Revenue ($  )</v>
          </cell>
          <cell r="AW3" t="str">
            <v>Authorized Immigrant Federal Personal Income Tax Revenue (  $)</v>
          </cell>
          <cell r="AX3" t="str">
            <v>Unauthorized Immigrant Federal Personal Income Tax Revenue ($  )</v>
          </cell>
          <cell r="AY3" t="str">
            <v>American Federal Personal Income Tax Revenue (  $)</v>
          </cell>
        </row>
        <row r="3">
          <cell r="BD3" t="str">
            <v>EITC Credit Refund</v>
          </cell>
          <cell r="BE3" t="str">
            <v>Authorized Immigrant EITC Credit Refund</v>
          </cell>
          <cell r="BF3" t="str">
            <v>Unauthorized Immigrant EITC Credit Refund</v>
          </cell>
          <cell r="BG3" t="str">
            <v>American Effective Tax EITC Credit Refund</v>
          </cell>
          <cell r="BH3" t="str">
            <v>ACTC Credit Refund</v>
          </cell>
          <cell r="BI3" t="str">
            <v>Authorized Immigrant ACTC Credit Refund</v>
          </cell>
          <cell r="BJ3" t="str">
            <v>Unauthorized Immigrant ACTC Credit Refund</v>
          </cell>
          <cell r="BK3" t="str">
            <v>American Effective Tax ACTC Credit Refund</v>
          </cell>
          <cell r="BL3" t="str">
            <v>AOTC Credit Refund</v>
          </cell>
          <cell r="BM3" t="str">
            <v>Authorized Immigrant AOTC Credit Refund</v>
          </cell>
          <cell r="BN3" t="str">
            <v>Unauthorized Immigrant AOTC Credit Refund</v>
          </cell>
          <cell r="BO3" t="str">
            <v>American Effective Tax AOTC Credit Refund</v>
          </cell>
        </row>
        <row r="4">
          <cell r="A4">
            <v>0</v>
          </cell>
          <cell r="B4" t="str">
            <v>All Industries</v>
          </cell>
          <cell r="C4" t="str">
            <v>All Roles</v>
          </cell>
          <cell r="D4">
            <v>2381400</v>
          </cell>
          <cell r="E4">
            <v>81000</v>
          </cell>
          <cell r="F4">
            <v>43000</v>
          </cell>
          <cell r="G4">
            <v>2257400</v>
          </cell>
          <cell r="H4">
            <v>0.973</v>
          </cell>
          <cell r="I4">
            <v>0.96</v>
          </cell>
          <cell r="J4">
            <v>0.935</v>
          </cell>
          <cell r="K4">
            <v>0.976</v>
          </cell>
          <cell r="L4">
            <v>0.577</v>
          </cell>
          <cell r="M4">
            <v>0.65</v>
          </cell>
          <cell r="N4">
            <v>0.72</v>
          </cell>
          <cell r="O4">
            <v>0.575</v>
          </cell>
          <cell r="P4">
            <v>0.027</v>
          </cell>
          <cell r="Q4">
            <v>0.04</v>
          </cell>
          <cell r="R4">
            <v>0.065</v>
          </cell>
          <cell r="S4">
            <v>0.024</v>
          </cell>
          <cell r="T4">
            <v>0.053</v>
          </cell>
          <cell r="U4">
            <v>0.058</v>
          </cell>
          <cell r="V4">
            <v>0.088</v>
          </cell>
          <cell r="W4">
            <v>0.049</v>
          </cell>
          <cell r="X4">
            <v>31.5</v>
          </cell>
        </row>
        <row r="4">
          <cell r="AA4">
            <v>65520</v>
          </cell>
        </row>
        <row r="4">
          <cell r="AD4">
            <v>30.5</v>
          </cell>
        </row>
        <row r="4">
          <cell r="AG4">
            <v>63440</v>
          </cell>
        </row>
        <row r="4">
          <cell r="AJ4">
            <v>26.8</v>
          </cell>
        </row>
        <row r="4">
          <cell r="AM4">
            <v>55776</v>
          </cell>
        </row>
        <row r="4">
          <cell r="AP4">
            <v>32.1</v>
          </cell>
        </row>
        <row r="4">
          <cell r="AS4">
            <v>66768</v>
          </cell>
        </row>
        <row r="4">
          <cell r="AV4">
            <v>1250000000</v>
          </cell>
          <cell r="AW4">
            <v>45000000</v>
          </cell>
          <cell r="AX4">
            <v>115000000</v>
          </cell>
          <cell r="AY4">
            <v>1095000000</v>
          </cell>
        </row>
        <row r="4">
          <cell r="BD4">
            <v>320000000</v>
          </cell>
          <cell r="BE4">
            <v>90000000</v>
          </cell>
          <cell r="BF4">
            <v>0</v>
          </cell>
          <cell r="BG4">
            <v>230000000</v>
          </cell>
          <cell r="BH4">
            <v>160000000</v>
          </cell>
          <cell r="BI4">
            <v>40000000</v>
          </cell>
          <cell r="BJ4">
            <v>40000000</v>
          </cell>
          <cell r="BK4">
            <v>120000000</v>
          </cell>
          <cell r="BL4">
            <v>80000000</v>
          </cell>
          <cell r="BM4">
            <v>20000000</v>
          </cell>
          <cell r="BN4">
            <v>20000000</v>
          </cell>
          <cell r="BO4">
            <v>60000000</v>
          </cell>
        </row>
        <row r="5">
          <cell r="A5">
            <v>1</v>
          </cell>
          <cell r="B5" t="str">
            <v>Agriculture</v>
          </cell>
          <cell r="C5" t="str">
            <v>Worker</v>
          </cell>
          <cell r="D5">
            <v>30000</v>
          </cell>
          <cell r="E5">
            <v>1020</v>
          </cell>
          <cell r="F5">
            <v>540</v>
          </cell>
          <cell r="G5">
            <v>28440</v>
          </cell>
          <cell r="H5">
            <v>0.952</v>
          </cell>
          <cell r="I5">
            <v>0.93</v>
          </cell>
          <cell r="J5">
            <v>0.89</v>
          </cell>
          <cell r="K5">
            <v>0.955</v>
          </cell>
          <cell r="L5">
            <v>0.62</v>
          </cell>
          <cell r="M5">
            <v>0.68</v>
          </cell>
          <cell r="N5">
            <v>0.78</v>
          </cell>
          <cell r="O5">
            <v>0.6</v>
          </cell>
          <cell r="P5">
            <v>0.048</v>
          </cell>
          <cell r="Q5">
            <v>0.07</v>
          </cell>
          <cell r="R5">
            <v>0.11</v>
          </cell>
          <cell r="S5">
            <v>0.045</v>
          </cell>
          <cell r="T5">
            <v>0.093</v>
          </cell>
          <cell r="U5">
            <v>0.108</v>
          </cell>
          <cell r="V5">
            <v>0.155</v>
          </cell>
          <cell r="W5">
            <v>0.089</v>
          </cell>
          <cell r="X5">
            <v>21.93</v>
          </cell>
        </row>
        <row r="5">
          <cell r="AA5">
            <v>45614</v>
          </cell>
        </row>
        <row r="5">
          <cell r="AD5">
            <v>21</v>
          </cell>
        </row>
        <row r="5">
          <cell r="AG5">
            <v>43680</v>
          </cell>
        </row>
        <row r="5">
          <cell r="AJ5">
            <v>18.2</v>
          </cell>
        </row>
        <row r="5">
          <cell r="AM5">
            <v>37856</v>
          </cell>
        </row>
        <row r="5">
          <cell r="AP5">
            <v>22.4</v>
          </cell>
        </row>
        <row r="5">
          <cell r="AS5">
            <v>46592</v>
          </cell>
        </row>
        <row r="5">
          <cell r="AV5">
            <v>1800000</v>
          </cell>
          <cell r="AW5">
            <v>61000</v>
          </cell>
          <cell r="AX5">
            <v>98000</v>
          </cell>
          <cell r="AY5">
            <v>1641000</v>
          </cell>
        </row>
        <row r="5">
          <cell r="BD5">
            <v>90000</v>
          </cell>
          <cell r="BE5">
            <v>18000</v>
          </cell>
          <cell r="BF5">
            <v>0</v>
          </cell>
          <cell r="BG5">
            <v>72000</v>
          </cell>
          <cell r="BH5">
            <v>45000</v>
          </cell>
          <cell r="BI5">
            <v>9000</v>
          </cell>
          <cell r="BJ5">
            <v>18000</v>
          </cell>
          <cell r="BK5">
            <v>54000</v>
          </cell>
          <cell r="BL5">
            <v>27000</v>
          </cell>
          <cell r="BM5">
            <v>5400</v>
          </cell>
          <cell r="BN5">
            <v>13500</v>
          </cell>
          <cell r="BO5">
            <v>40500</v>
          </cell>
        </row>
        <row r="6">
          <cell r="A6">
            <v>2</v>
          </cell>
          <cell r="B6" t="str">
            <v>Agriculture</v>
          </cell>
          <cell r="C6" t="str">
            <v>Support</v>
          </cell>
          <cell r="D6">
            <v>15000</v>
          </cell>
          <cell r="E6">
            <v>510</v>
          </cell>
          <cell r="F6">
            <v>270</v>
          </cell>
          <cell r="G6">
            <v>14220</v>
          </cell>
          <cell r="H6">
            <v>0.952</v>
          </cell>
          <cell r="I6">
            <v>0.93</v>
          </cell>
          <cell r="J6">
            <v>0.89</v>
          </cell>
          <cell r="K6">
            <v>0.955</v>
          </cell>
          <cell r="L6">
            <v>0.589</v>
          </cell>
          <cell r="M6">
            <v>0.646</v>
          </cell>
          <cell r="N6">
            <v>0.741</v>
          </cell>
          <cell r="O6">
            <v>0.57</v>
          </cell>
          <cell r="P6">
            <v>0.048</v>
          </cell>
          <cell r="Q6">
            <v>0.07</v>
          </cell>
          <cell r="R6">
            <v>0.11</v>
          </cell>
          <cell r="S6">
            <v>0.045</v>
          </cell>
          <cell r="T6">
            <v>0.093</v>
          </cell>
          <cell r="U6">
            <v>0.108</v>
          </cell>
          <cell r="V6">
            <v>0.155</v>
          </cell>
          <cell r="W6">
            <v>0.089</v>
          </cell>
          <cell r="X6">
            <v>18.64</v>
          </cell>
        </row>
        <row r="6">
          <cell r="AA6">
            <v>38771</v>
          </cell>
        </row>
        <row r="6">
          <cell r="AD6">
            <v>17.8</v>
          </cell>
        </row>
        <row r="6">
          <cell r="AG6">
            <v>37024</v>
          </cell>
        </row>
        <row r="6">
          <cell r="AJ6">
            <v>15.5</v>
          </cell>
        </row>
        <row r="6">
          <cell r="AM6">
            <v>32240</v>
          </cell>
        </row>
        <row r="6">
          <cell r="AP6">
            <v>19</v>
          </cell>
        </row>
        <row r="6">
          <cell r="AS6">
            <v>39520</v>
          </cell>
        </row>
        <row r="6">
          <cell r="AV6">
            <v>900000</v>
          </cell>
          <cell r="AW6">
            <v>30500</v>
          </cell>
          <cell r="AX6">
            <v>49000</v>
          </cell>
          <cell r="AY6">
            <v>820500</v>
          </cell>
        </row>
        <row r="6">
          <cell r="BD6">
            <v>45000</v>
          </cell>
          <cell r="BE6">
            <v>9000</v>
          </cell>
          <cell r="BF6">
            <v>0</v>
          </cell>
          <cell r="BG6">
            <v>36000</v>
          </cell>
          <cell r="BH6">
            <v>22500</v>
          </cell>
          <cell r="BI6">
            <v>4500</v>
          </cell>
          <cell r="BJ6">
            <v>9000</v>
          </cell>
          <cell r="BK6">
            <v>27000</v>
          </cell>
          <cell r="BL6">
            <v>13500</v>
          </cell>
          <cell r="BM6">
            <v>2700</v>
          </cell>
          <cell r="BN6">
            <v>6750</v>
          </cell>
          <cell r="BO6">
            <v>20250</v>
          </cell>
        </row>
        <row r="7">
          <cell r="A7">
            <v>3</v>
          </cell>
          <cell r="B7" t="str">
            <v>Construction</v>
          </cell>
          <cell r="C7" t="str">
            <v>Worker</v>
          </cell>
          <cell r="D7">
            <v>95000</v>
          </cell>
          <cell r="E7">
            <v>3230</v>
          </cell>
          <cell r="F7">
            <v>1710</v>
          </cell>
          <cell r="G7">
            <v>90060</v>
          </cell>
          <cell r="H7">
            <v>0.967</v>
          </cell>
          <cell r="I7">
            <v>0.94</v>
          </cell>
          <cell r="J7">
            <v>0.9</v>
          </cell>
          <cell r="K7">
            <v>0.97</v>
          </cell>
          <cell r="L7">
            <v>0.61</v>
          </cell>
          <cell r="M7">
            <v>0.67</v>
          </cell>
          <cell r="N7">
            <v>0.76</v>
          </cell>
          <cell r="O7">
            <v>0.59</v>
          </cell>
          <cell r="P7">
            <v>0.033</v>
          </cell>
          <cell r="Q7">
            <v>0.06</v>
          </cell>
          <cell r="R7">
            <v>0.1</v>
          </cell>
          <cell r="S7">
            <v>0.03</v>
          </cell>
          <cell r="T7">
            <v>0.046</v>
          </cell>
          <cell r="U7">
            <v>0.066</v>
          </cell>
          <cell r="V7">
            <v>0.11</v>
          </cell>
          <cell r="W7">
            <v>0.042</v>
          </cell>
          <cell r="X7">
            <v>25.34</v>
          </cell>
        </row>
        <row r="7">
          <cell r="AA7">
            <v>52707</v>
          </cell>
        </row>
        <row r="7">
          <cell r="AD7">
            <v>24.1</v>
          </cell>
        </row>
        <row r="7">
          <cell r="AG7">
            <v>50128</v>
          </cell>
        </row>
        <row r="7">
          <cell r="AJ7">
            <v>21.5</v>
          </cell>
        </row>
        <row r="7">
          <cell r="AM7">
            <v>44720</v>
          </cell>
        </row>
        <row r="7">
          <cell r="AP7">
            <v>25.9</v>
          </cell>
        </row>
        <row r="7">
          <cell r="AS7">
            <v>53872</v>
          </cell>
        </row>
        <row r="7">
          <cell r="AV7">
            <v>5000000</v>
          </cell>
          <cell r="AW7">
            <v>170000</v>
          </cell>
          <cell r="AX7">
            <v>90000</v>
          </cell>
          <cell r="AY7">
            <v>4740000</v>
          </cell>
        </row>
        <row r="7">
          <cell r="BD7">
            <v>500000</v>
          </cell>
          <cell r="BE7">
            <v>100000</v>
          </cell>
          <cell r="BF7">
            <v>0</v>
          </cell>
          <cell r="BG7">
            <v>400000</v>
          </cell>
          <cell r="BH7">
            <v>250000</v>
          </cell>
          <cell r="BI7">
            <v>50000</v>
          </cell>
          <cell r="BJ7">
            <v>50000</v>
          </cell>
          <cell r="BK7">
            <v>150000</v>
          </cell>
          <cell r="BL7">
            <v>75000</v>
          </cell>
          <cell r="BM7">
            <v>15000</v>
          </cell>
          <cell r="BN7">
            <v>37500</v>
          </cell>
          <cell r="BO7">
            <v>112500</v>
          </cell>
        </row>
        <row r="8">
          <cell r="A8">
            <v>4</v>
          </cell>
          <cell r="B8" t="str">
            <v>Construction</v>
          </cell>
          <cell r="C8" t="str">
            <v>Support</v>
          </cell>
          <cell r="D8">
            <v>47500</v>
          </cell>
          <cell r="E8">
            <v>1615</v>
          </cell>
          <cell r="F8">
            <v>855</v>
          </cell>
          <cell r="G8">
            <v>45030</v>
          </cell>
          <cell r="H8">
            <v>0.967</v>
          </cell>
          <cell r="I8">
            <v>0.94</v>
          </cell>
          <cell r="J8">
            <v>0.9</v>
          </cell>
          <cell r="K8">
            <v>0.97</v>
          </cell>
          <cell r="L8">
            <v>0.579</v>
          </cell>
          <cell r="M8">
            <v>0.637</v>
          </cell>
          <cell r="N8">
            <v>0.722</v>
          </cell>
          <cell r="O8">
            <v>0.56</v>
          </cell>
          <cell r="P8">
            <v>0.033</v>
          </cell>
          <cell r="Q8">
            <v>0.06</v>
          </cell>
          <cell r="R8">
            <v>0.1</v>
          </cell>
          <cell r="S8">
            <v>0.03</v>
          </cell>
          <cell r="T8">
            <v>0.046</v>
          </cell>
          <cell r="U8">
            <v>0.066</v>
          </cell>
          <cell r="V8">
            <v>0.11</v>
          </cell>
          <cell r="W8">
            <v>0.042</v>
          </cell>
          <cell r="X8">
            <v>21.54</v>
          </cell>
        </row>
        <row r="8">
          <cell r="AA8">
            <v>44771</v>
          </cell>
        </row>
        <row r="8">
          <cell r="AD8">
            <v>20.5</v>
          </cell>
        </row>
        <row r="8">
          <cell r="AG8">
            <v>42640</v>
          </cell>
        </row>
        <row r="8">
          <cell r="AJ8">
            <v>18.3</v>
          </cell>
        </row>
        <row r="8">
          <cell r="AM8">
            <v>38064</v>
          </cell>
        </row>
        <row r="8">
          <cell r="AP8">
            <v>22</v>
          </cell>
        </row>
        <row r="8">
          <cell r="AS8">
            <v>45760</v>
          </cell>
        </row>
        <row r="8">
          <cell r="AV8">
            <v>2500000</v>
          </cell>
          <cell r="AW8">
            <v>85000</v>
          </cell>
          <cell r="AX8">
            <v>45000</v>
          </cell>
          <cell r="AY8">
            <v>2370000</v>
          </cell>
        </row>
        <row r="8">
          <cell r="BD8">
            <v>250000</v>
          </cell>
          <cell r="BE8">
            <v>50000</v>
          </cell>
          <cell r="BF8">
            <v>0</v>
          </cell>
          <cell r="BG8">
            <v>200000</v>
          </cell>
          <cell r="BH8">
            <v>125000</v>
          </cell>
          <cell r="BI8">
            <v>25000</v>
          </cell>
          <cell r="BJ8">
            <v>25000</v>
          </cell>
          <cell r="BK8">
            <v>75000</v>
          </cell>
          <cell r="BL8">
            <v>37500</v>
          </cell>
          <cell r="BM8">
            <v>7500</v>
          </cell>
          <cell r="BN8">
            <v>18750</v>
          </cell>
          <cell r="BO8">
            <v>56250</v>
          </cell>
        </row>
        <row r="9">
          <cell r="A9">
            <v>5</v>
          </cell>
          <cell r="B9" t="str">
            <v>Hospitality</v>
          </cell>
          <cell r="C9" t="str">
            <v>Worker</v>
          </cell>
          <cell r="D9">
            <v>240000</v>
          </cell>
          <cell r="E9">
            <v>8160</v>
          </cell>
          <cell r="F9">
            <v>4320</v>
          </cell>
          <cell r="G9">
            <v>227520</v>
          </cell>
          <cell r="H9">
            <v>0.96</v>
          </cell>
          <cell r="I9">
            <v>0.93</v>
          </cell>
          <cell r="J9">
            <v>0.88</v>
          </cell>
          <cell r="K9">
            <v>0.963</v>
          </cell>
          <cell r="L9">
            <v>0.58</v>
          </cell>
          <cell r="M9">
            <v>0.64</v>
          </cell>
          <cell r="N9">
            <v>0.71</v>
          </cell>
          <cell r="O9">
            <v>0.57</v>
          </cell>
          <cell r="P9">
            <v>0.04</v>
          </cell>
          <cell r="Q9">
            <v>0.07</v>
          </cell>
          <cell r="R9">
            <v>0.12</v>
          </cell>
          <cell r="S9">
            <v>0.037</v>
          </cell>
          <cell r="T9">
            <v>0.072</v>
          </cell>
          <cell r="U9">
            <v>0.095</v>
          </cell>
          <cell r="V9">
            <v>0.162</v>
          </cell>
          <cell r="W9">
            <v>0.069</v>
          </cell>
          <cell r="X9">
            <v>14.15</v>
          </cell>
        </row>
        <row r="9">
          <cell r="AA9">
            <v>29432</v>
          </cell>
        </row>
        <row r="9">
          <cell r="AD9">
            <v>13.5</v>
          </cell>
        </row>
        <row r="9">
          <cell r="AG9">
            <v>28080</v>
          </cell>
        </row>
        <row r="9">
          <cell r="AJ9">
            <v>11.7</v>
          </cell>
        </row>
        <row r="9">
          <cell r="AM9">
            <v>24336</v>
          </cell>
        </row>
        <row r="9">
          <cell r="AP9">
            <v>14.4</v>
          </cell>
        </row>
        <row r="9">
          <cell r="AS9">
            <v>29952</v>
          </cell>
        </row>
        <row r="9">
          <cell r="AV9">
            <v>36000000</v>
          </cell>
          <cell r="AW9">
            <v>1224000</v>
          </cell>
          <cell r="AX9">
            <v>648000</v>
          </cell>
          <cell r="AY9">
            <v>34137600</v>
          </cell>
        </row>
        <row r="9">
          <cell r="BD9">
            <v>1800000</v>
          </cell>
          <cell r="BE9">
            <v>360000</v>
          </cell>
          <cell r="BF9">
            <v>0</v>
          </cell>
          <cell r="BG9">
            <v>1440000</v>
          </cell>
          <cell r="BH9">
            <v>900000</v>
          </cell>
          <cell r="BI9">
            <v>180000</v>
          </cell>
          <cell r="BJ9">
            <v>180000</v>
          </cell>
          <cell r="BK9">
            <v>540000</v>
          </cell>
          <cell r="BL9">
            <v>270000</v>
          </cell>
          <cell r="BM9">
            <v>54000</v>
          </cell>
          <cell r="BN9">
            <v>135000</v>
          </cell>
          <cell r="BO9">
            <v>405000</v>
          </cell>
        </row>
        <row r="10">
          <cell r="A10">
            <v>6</v>
          </cell>
          <cell r="B10" t="str">
            <v>Hospitality</v>
          </cell>
          <cell r="C10" t="str">
            <v>Support</v>
          </cell>
          <cell r="D10">
            <v>120000</v>
          </cell>
          <cell r="E10">
            <v>4080</v>
          </cell>
          <cell r="F10">
            <v>2160</v>
          </cell>
          <cell r="G10">
            <v>113760</v>
          </cell>
          <cell r="H10">
            <v>0.96</v>
          </cell>
          <cell r="I10">
            <v>0.93</v>
          </cell>
          <cell r="J10">
            <v>0.88</v>
          </cell>
          <cell r="K10">
            <v>0.963</v>
          </cell>
          <cell r="L10">
            <v>0.551</v>
          </cell>
          <cell r="M10">
            <v>0.608</v>
          </cell>
          <cell r="N10">
            <v>0.674</v>
          </cell>
          <cell r="O10">
            <v>0.542</v>
          </cell>
          <cell r="P10">
            <v>0.04</v>
          </cell>
          <cell r="Q10">
            <v>0.07</v>
          </cell>
          <cell r="R10">
            <v>0.12</v>
          </cell>
          <cell r="S10">
            <v>0.037</v>
          </cell>
          <cell r="T10">
            <v>0.072</v>
          </cell>
          <cell r="U10">
            <v>0.095</v>
          </cell>
          <cell r="V10">
            <v>0.162</v>
          </cell>
          <cell r="W10">
            <v>0.069</v>
          </cell>
          <cell r="X10">
            <v>12.03</v>
          </cell>
        </row>
        <row r="10">
          <cell r="AA10">
            <v>25022</v>
          </cell>
        </row>
        <row r="10">
          <cell r="AD10">
            <v>11.5</v>
          </cell>
        </row>
        <row r="10">
          <cell r="AG10">
            <v>23920</v>
          </cell>
        </row>
        <row r="10">
          <cell r="AJ10">
            <v>9.9</v>
          </cell>
        </row>
        <row r="10">
          <cell r="AM10">
            <v>20592</v>
          </cell>
        </row>
        <row r="10">
          <cell r="AP10">
            <v>12.3</v>
          </cell>
        </row>
        <row r="10">
          <cell r="AS10">
            <v>25584</v>
          </cell>
        </row>
        <row r="10">
          <cell r="AV10">
            <v>18000000</v>
          </cell>
          <cell r="AW10">
            <v>612000</v>
          </cell>
          <cell r="AX10">
            <v>324000</v>
          </cell>
          <cell r="AY10">
            <v>17068800</v>
          </cell>
        </row>
        <row r="10">
          <cell r="BD10">
            <v>900000</v>
          </cell>
          <cell r="BE10">
            <v>180000</v>
          </cell>
          <cell r="BF10">
            <v>0</v>
          </cell>
          <cell r="BG10">
            <v>720000</v>
          </cell>
          <cell r="BH10">
            <v>450000</v>
          </cell>
          <cell r="BI10">
            <v>90000</v>
          </cell>
          <cell r="BJ10">
            <v>90000</v>
          </cell>
          <cell r="BK10">
            <v>270000</v>
          </cell>
          <cell r="BL10">
            <v>135000</v>
          </cell>
          <cell r="BM10">
            <v>27000</v>
          </cell>
          <cell r="BN10">
            <v>67500</v>
          </cell>
          <cell r="BO10">
            <v>202500</v>
          </cell>
        </row>
        <row r="11">
          <cell r="A11">
            <v>7</v>
          </cell>
          <cell r="B11" t="str">
            <v>Cleaning &amp; Maintenance</v>
          </cell>
          <cell r="C11" t="str">
            <v>Worker</v>
          </cell>
          <cell r="D11">
            <v>65000</v>
          </cell>
          <cell r="E11">
            <v>2210</v>
          </cell>
          <cell r="F11">
            <v>1170</v>
          </cell>
          <cell r="G11">
            <v>61620</v>
          </cell>
          <cell r="H11">
            <v>0.957</v>
          </cell>
          <cell r="I11">
            <v>0.92</v>
          </cell>
          <cell r="J11">
            <v>0.87</v>
          </cell>
          <cell r="K11">
            <v>0.96</v>
          </cell>
          <cell r="L11">
            <v>0.595</v>
          </cell>
          <cell r="M11">
            <v>0.655</v>
          </cell>
          <cell r="N11">
            <v>0.74</v>
          </cell>
          <cell r="O11">
            <v>0.58</v>
          </cell>
          <cell r="P11">
            <v>0.043</v>
          </cell>
          <cell r="Q11">
            <v>0.08</v>
          </cell>
          <cell r="R11">
            <v>0.13</v>
          </cell>
          <cell r="S11">
            <v>0.04</v>
          </cell>
          <cell r="T11">
            <v>0.1</v>
          </cell>
          <cell r="U11">
            <v>0.132</v>
          </cell>
          <cell r="V11">
            <v>0.221</v>
          </cell>
          <cell r="W11">
            <v>0.095</v>
          </cell>
          <cell r="X11">
            <v>16.59</v>
          </cell>
        </row>
        <row r="11">
          <cell r="AA11">
            <v>34507</v>
          </cell>
        </row>
        <row r="11">
          <cell r="AD11">
            <v>15.8</v>
          </cell>
        </row>
        <row r="11">
          <cell r="AG11">
            <v>32864</v>
          </cell>
        </row>
        <row r="11">
          <cell r="AJ11">
            <v>13.8</v>
          </cell>
        </row>
        <row r="11">
          <cell r="AM11">
            <v>28704</v>
          </cell>
        </row>
        <row r="11">
          <cell r="AP11">
            <v>16.9</v>
          </cell>
        </row>
        <row r="11">
          <cell r="AS11">
            <v>35152</v>
          </cell>
        </row>
        <row r="11">
          <cell r="AV11">
            <v>5200000</v>
          </cell>
          <cell r="AW11">
            <v>177000</v>
          </cell>
          <cell r="AX11">
            <v>93600</v>
          </cell>
          <cell r="AY11">
            <v>4928400</v>
          </cell>
        </row>
        <row r="11">
          <cell r="BD11">
            <v>650000</v>
          </cell>
          <cell r="BE11">
            <v>130000</v>
          </cell>
          <cell r="BF11">
            <v>0</v>
          </cell>
          <cell r="BG11">
            <v>520000</v>
          </cell>
          <cell r="BH11">
            <v>325000</v>
          </cell>
          <cell r="BI11">
            <v>65000</v>
          </cell>
          <cell r="BJ11">
            <v>65000</v>
          </cell>
          <cell r="BK11">
            <v>195000</v>
          </cell>
          <cell r="BL11">
            <v>97500</v>
          </cell>
          <cell r="BM11">
            <v>19500</v>
          </cell>
          <cell r="BN11">
            <v>48750</v>
          </cell>
          <cell r="BO11">
            <v>146250</v>
          </cell>
        </row>
        <row r="12">
          <cell r="A12">
            <v>8</v>
          </cell>
          <cell r="B12" t="str">
            <v>Cleaning &amp; Maintenance</v>
          </cell>
          <cell r="C12" t="str">
            <v>Support</v>
          </cell>
          <cell r="D12">
            <v>32500</v>
          </cell>
          <cell r="E12">
            <v>1105</v>
          </cell>
          <cell r="F12">
            <v>585</v>
          </cell>
          <cell r="G12">
            <v>30810</v>
          </cell>
          <cell r="H12">
            <v>0.957</v>
          </cell>
          <cell r="I12">
            <v>0.92</v>
          </cell>
          <cell r="J12">
            <v>0.87</v>
          </cell>
          <cell r="K12">
            <v>0.96</v>
          </cell>
          <cell r="L12">
            <v>0.565</v>
          </cell>
          <cell r="M12">
            <v>0.622</v>
          </cell>
          <cell r="N12">
            <v>0.703</v>
          </cell>
          <cell r="O12">
            <v>0.551</v>
          </cell>
          <cell r="P12">
            <v>0.043</v>
          </cell>
          <cell r="Q12">
            <v>0.08</v>
          </cell>
          <cell r="R12">
            <v>0.13</v>
          </cell>
          <cell r="S12">
            <v>0.04</v>
          </cell>
          <cell r="T12">
            <v>0.1</v>
          </cell>
          <cell r="U12">
            <v>0.132</v>
          </cell>
          <cell r="V12">
            <v>0.221</v>
          </cell>
          <cell r="W12">
            <v>0.095</v>
          </cell>
          <cell r="X12">
            <v>14.1</v>
          </cell>
        </row>
        <row r="12">
          <cell r="AA12">
            <v>29328</v>
          </cell>
        </row>
        <row r="12">
          <cell r="AD12">
            <v>13.4</v>
          </cell>
        </row>
        <row r="12">
          <cell r="AG12">
            <v>27872</v>
          </cell>
        </row>
        <row r="12">
          <cell r="AJ12">
            <v>11.7</v>
          </cell>
        </row>
        <row r="12">
          <cell r="AM12">
            <v>24336</v>
          </cell>
        </row>
        <row r="12">
          <cell r="AP12">
            <v>14.4</v>
          </cell>
        </row>
        <row r="12">
          <cell r="AS12">
            <v>29952</v>
          </cell>
        </row>
        <row r="12">
          <cell r="AV12">
            <v>2600000</v>
          </cell>
          <cell r="AW12">
            <v>88400</v>
          </cell>
          <cell r="AX12">
            <v>46800</v>
          </cell>
          <cell r="AY12">
            <v>2464200</v>
          </cell>
        </row>
        <row r="12">
          <cell r="BD12">
            <v>325000</v>
          </cell>
          <cell r="BE12">
            <v>65000</v>
          </cell>
          <cell r="BF12">
            <v>0</v>
          </cell>
          <cell r="BG12">
            <v>260000</v>
          </cell>
          <cell r="BH12">
            <v>162500</v>
          </cell>
          <cell r="BI12">
            <v>32500</v>
          </cell>
          <cell r="BJ12">
            <v>32500</v>
          </cell>
          <cell r="BK12">
            <v>97500</v>
          </cell>
          <cell r="BL12">
            <v>48750</v>
          </cell>
          <cell r="BM12">
            <v>9750</v>
          </cell>
          <cell r="BN12">
            <v>24375</v>
          </cell>
          <cell r="BO12">
            <v>73125</v>
          </cell>
        </row>
        <row r="13">
          <cell r="A13">
            <v>9</v>
          </cell>
          <cell r="B13" t="str">
            <v>Manufacturing</v>
          </cell>
          <cell r="C13" t="str">
            <v>Worker</v>
          </cell>
          <cell r="D13">
            <v>270000</v>
          </cell>
          <cell r="E13">
            <v>9180</v>
          </cell>
          <cell r="F13">
            <v>4860</v>
          </cell>
          <cell r="G13">
            <v>255960</v>
          </cell>
          <cell r="H13">
            <v>0.98</v>
          </cell>
          <cell r="I13">
            <v>0.96</v>
          </cell>
          <cell r="J13">
            <v>0.93</v>
          </cell>
          <cell r="K13">
            <v>0.982</v>
          </cell>
          <cell r="L13">
            <v>0.605</v>
          </cell>
          <cell r="M13">
            <v>0.665</v>
          </cell>
          <cell r="N13">
            <v>0.74</v>
          </cell>
          <cell r="O13">
            <v>0.59</v>
          </cell>
          <cell r="P13">
            <v>0.02</v>
          </cell>
          <cell r="Q13">
            <v>0.04</v>
          </cell>
          <cell r="R13">
            <v>0.07</v>
          </cell>
          <cell r="S13">
            <v>0.018</v>
          </cell>
          <cell r="T13">
            <v>0.031</v>
          </cell>
          <cell r="U13">
            <v>0.037</v>
          </cell>
          <cell r="V13">
            <v>0.078</v>
          </cell>
          <cell r="W13">
            <v>0.03</v>
          </cell>
          <cell r="X13">
            <v>24.19</v>
          </cell>
        </row>
        <row r="13">
          <cell r="AA13">
            <v>50315</v>
          </cell>
        </row>
        <row r="13">
          <cell r="AD13">
            <v>23</v>
          </cell>
        </row>
        <row r="13">
          <cell r="AG13">
            <v>47840</v>
          </cell>
        </row>
        <row r="13">
          <cell r="AJ13">
            <v>21</v>
          </cell>
        </row>
        <row r="13">
          <cell r="AM13">
            <v>43680</v>
          </cell>
        </row>
        <row r="13">
          <cell r="AP13">
            <v>24.7</v>
          </cell>
        </row>
        <row r="13">
          <cell r="AS13">
            <v>51376</v>
          </cell>
        </row>
        <row r="13">
          <cell r="AV13">
            <v>69000000</v>
          </cell>
          <cell r="AW13">
            <v>2346000</v>
          </cell>
          <cell r="AX13">
            <v>1242000</v>
          </cell>
          <cell r="AY13">
            <v>65418000</v>
          </cell>
        </row>
        <row r="13">
          <cell r="BD13">
            <v>2700000</v>
          </cell>
          <cell r="BE13">
            <v>540000</v>
          </cell>
          <cell r="BF13">
            <v>0</v>
          </cell>
          <cell r="BG13">
            <v>2160000</v>
          </cell>
          <cell r="BH13">
            <v>1350000</v>
          </cell>
          <cell r="BI13">
            <v>270000</v>
          </cell>
          <cell r="BJ13">
            <v>135000</v>
          </cell>
          <cell r="BK13">
            <v>405000</v>
          </cell>
          <cell r="BL13">
            <v>675000</v>
          </cell>
          <cell r="BM13">
            <v>135000</v>
          </cell>
          <cell r="BN13">
            <v>337500</v>
          </cell>
          <cell r="BO13">
            <v>1012500</v>
          </cell>
        </row>
        <row r="14">
          <cell r="A14">
            <v>10</v>
          </cell>
          <cell r="B14" t="str">
            <v>Manufacturing</v>
          </cell>
          <cell r="C14" t="str">
            <v>Support</v>
          </cell>
          <cell r="D14">
            <v>135000</v>
          </cell>
          <cell r="E14">
            <v>4590</v>
          </cell>
          <cell r="F14">
            <v>2430</v>
          </cell>
          <cell r="G14">
            <v>127980</v>
          </cell>
          <cell r="H14">
            <v>0.98</v>
          </cell>
          <cell r="I14">
            <v>0.96</v>
          </cell>
          <cell r="J14">
            <v>0.93</v>
          </cell>
          <cell r="K14">
            <v>0.982</v>
          </cell>
          <cell r="L14">
            <v>0.575</v>
          </cell>
          <cell r="M14">
            <v>0.632</v>
          </cell>
          <cell r="N14">
            <v>0.703</v>
          </cell>
          <cell r="O14">
            <v>0.56</v>
          </cell>
          <cell r="P14">
            <v>0.02</v>
          </cell>
          <cell r="Q14">
            <v>0.04</v>
          </cell>
          <cell r="R14">
            <v>0.07</v>
          </cell>
          <cell r="S14">
            <v>0.018</v>
          </cell>
          <cell r="T14">
            <v>0.031</v>
          </cell>
          <cell r="U14">
            <v>0.037</v>
          </cell>
          <cell r="V14">
            <v>0.078</v>
          </cell>
          <cell r="W14">
            <v>0.03</v>
          </cell>
          <cell r="X14">
            <v>20.56</v>
          </cell>
        </row>
        <row r="14">
          <cell r="AA14">
            <v>42765</v>
          </cell>
        </row>
        <row r="14">
          <cell r="AD14">
            <v>19.6</v>
          </cell>
        </row>
        <row r="14">
          <cell r="AG14">
            <v>40768</v>
          </cell>
        </row>
        <row r="14">
          <cell r="AJ14">
            <v>17.9</v>
          </cell>
        </row>
        <row r="14">
          <cell r="AM14">
            <v>37232</v>
          </cell>
        </row>
        <row r="14">
          <cell r="AP14">
            <v>21</v>
          </cell>
        </row>
        <row r="14">
          <cell r="AS14">
            <v>43680</v>
          </cell>
        </row>
        <row r="14">
          <cell r="AV14">
            <v>34500000</v>
          </cell>
          <cell r="AW14">
            <v>1173000</v>
          </cell>
          <cell r="AX14">
            <v>621000</v>
          </cell>
          <cell r="AY14">
            <v>32709000</v>
          </cell>
        </row>
        <row r="14">
          <cell r="BD14">
            <v>1350000</v>
          </cell>
          <cell r="BE14">
            <v>270000</v>
          </cell>
          <cell r="BF14">
            <v>0</v>
          </cell>
          <cell r="BG14">
            <v>1080000</v>
          </cell>
          <cell r="BH14">
            <v>675000</v>
          </cell>
          <cell r="BI14">
            <v>135000</v>
          </cell>
          <cell r="BJ14">
            <v>67500</v>
          </cell>
          <cell r="BK14">
            <v>202500</v>
          </cell>
          <cell r="BL14">
            <v>337500</v>
          </cell>
          <cell r="BM14">
            <v>67500</v>
          </cell>
          <cell r="BN14">
            <v>168750</v>
          </cell>
          <cell r="BO14">
            <v>506250</v>
          </cell>
        </row>
        <row r="15">
          <cell r="A15">
            <v>11</v>
          </cell>
          <cell r="B15" t="str">
            <v>Transportation &amp; Warehousing</v>
          </cell>
          <cell r="C15" t="str">
            <v>Worker</v>
          </cell>
          <cell r="D15">
            <v>90000</v>
          </cell>
          <cell r="E15">
            <v>3060</v>
          </cell>
          <cell r="F15">
            <v>1620</v>
          </cell>
          <cell r="G15">
            <v>85320</v>
          </cell>
          <cell r="H15">
            <v>0.976</v>
          </cell>
          <cell r="I15">
            <v>0.95</v>
          </cell>
          <cell r="J15">
            <v>0.92</v>
          </cell>
          <cell r="K15">
            <v>0.978</v>
          </cell>
          <cell r="L15">
            <v>0.6</v>
          </cell>
          <cell r="M15">
            <v>0.66</v>
          </cell>
          <cell r="N15">
            <v>0.75</v>
          </cell>
          <cell r="O15">
            <v>0.58</v>
          </cell>
          <cell r="P15">
            <v>0.024</v>
          </cell>
          <cell r="Q15">
            <v>0.05</v>
          </cell>
          <cell r="R15">
            <v>0.08</v>
          </cell>
          <cell r="S15">
            <v>0.022</v>
          </cell>
          <cell r="T15">
            <v>0.037</v>
          </cell>
          <cell r="U15">
            <v>0.046</v>
          </cell>
          <cell r="V15">
            <v>0.084</v>
          </cell>
          <cell r="W15">
            <v>0.034</v>
          </cell>
          <cell r="X15">
            <v>24.4</v>
          </cell>
        </row>
        <row r="15">
          <cell r="AA15">
            <v>50752</v>
          </cell>
        </row>
        <row r="15">
          <cell r="AD15">
            <v>23.2</v>
          </cell>
        </row>
        <row r="15">
          <cell r="AG15">
            <v>48256</v>
          </cell>
        </row>
        <row r="15">
          <cell r="AJ15">
            <v>21.2</v>
          </cell>
        </row>
        <row r="15">
          <cell r="AM15">
            <v>44100</v>
          </cell>
        </row>
        <row r="15">
          <cell r="AP15">
            <v>24.9</v>
          </cell>
        </row>
        <row r="15">
          <cell r="AS15">
            <v>51792</v>
          </cell>
        </row>
        <row r="15">
          <cell r="AV15">
            <v>23000000</v>
          </cell>
          <cell r="AW15">
            <v>782000</v>
          </cell>
          <cell r="AX15">
            <v>414000</v>
          </cell>
          <cell r="AY15">
            <v>21796000</v>
          </cell>
        </row>
        <row r="15">
          <cell r="BD15">
            <v>900000</v>
          </cell>
          <cell r="BE15">
            <v>180000</v>
          </cell>
          <cell r="BF15">
            <v>0</v>
          </cell>
          <cell r="BG15">
            <v>720000</v>
          </cell>
          <cell r="BH15">
            <v>450000</v>
          </cell>
          <cell r="BI15">
            <v>90000</v>
          </cell>
          <cell r="BJ15">
            <v>90000</v>
          </cell>
          <cell r="BK15">
            <v>270000</v>
          </cell>
          <cell r="BL15">
            <v>225000</v>
          </cell>
          <cell r="BM15">
            <v>45000</v>
          </cell>
          <cell r="BN15">
            <v>112500</v>
          </cell>
          <cell r="BO15">
            <v>337500</v>
          </cell>
        </row>
        <row r="16">
          <cell r="A16">
            <v>12</v>
          </cell>
          <cell r="B16" t="str">
            <v>Transportation &amp; Warehousing</v>
          </cell>
          <cell r="C16" t="str">
            <v>Support</v>
          </cell>
          <cell r="D16">
            <v>45000</v>
          </cell>
          <cell r="E16">
            <v>1530</v>
          </cell>
          <cell r="F16">
            <v>810</v>
          </cell>
          <cell r="G16">
            <v>42660</v>
          </cell>
          <cell r="H16">
            <v>0.976</v>
          </cell>
          <cell r="I16">
            <v>0.95</v>
          </cell>
          <cell r="J16">
            <v>0.92</v>
          </cell>
          <cell r="K16">
            <v>0.978</v>
          </cell>
          <cell r="L16">
            <v>0.57</v>
          </cell>
          <cell r="M16">
            <v>0.627</v>
          </cell>
          <cell r="N16">
            <v>0.712</v>
          </cell>
          <cell r="O16">
            <v>0.55</v>
          </cell>
          <cell r="P16">
            <v>0.024</v>
          </cell>
          <cell r="Q16">
            <v>0.05</v>
          </cell>
          <cell r="R16">
            <v>0.08</v>
          </cell>
          <cell r="S16">
            <v>0.022</v>
          </cell>
          <cell r="T16">
            <v>0.037</v>
          </cell>
          <cell r="U16">
            <v>0.046</v>
          </cell>
          <cell r="V16">
            <v>0.084</v>
          </cell>
          <cell r="W16">
            <v>0.034</v>
          </cell>
          <cell r="X16">
            <v>20.74</v>
          </cell>
        </row>
        <row r="16">
          <cell r="AA16">
            <v>43139</v>
          </cell>
        </row>
        <row r="16">
          <cell r="AD16">
            <v>19.7</v>
          </cell>
        </row>
        <row r="16">
          <cell r="AG16">
            <v>40976</v>
          </cell>
        </row>
        <row r="16">
          <cell r="AJ16">
            <v>18</v>
          </cell>
        </row>
        <row r="16">
          <cell r="AM16">
            <v>37440</v>
          </cell>
        </row>
        <row r="16">
          <cell r="AP16">
            <v>21.2</v>
          </cell>
        </row>
        <row r="16">
          <cell r="AS16">
            <v>44096</v>
          </cell>
        </row>
        <row r="16">
          <cell r="AV16">
            <v>11500000</v>
          </cell>
          <cell r="AW16">
            <v>391000</v>
          </cell>
          <cell r="AX16">
            <v>207000</v>
          </cell>
          <cell r="AY16">
            <v>10898000</v>
          </cell>
        </row>
        <row r="16">
          <cell r="BD16">
            <v>450000</v>
          </cell>
          <cell r="BE16">
            <v>90000</v>
          </cell>
          <cell r="BF16">
            <v>0</v>
          </cell>
          <cell r="BG16">
            <v>360000</v>
          </cell>
          <cell r="BH16">
            <v>225000</v>
          </cell>
          <cell r="BI16">
            <v>45000</v>
          </cell>
          <cell r="BJ16">
            <v>45000</v>
          </cell>
          <cell r="BK16">
            <v>135000</v>
          </cell>
          <cell r="BL16">
            <v>112500</v>
          </cell>
          <cell r="BM16">
            <v>22500</v>
          </cell>
          <cell r="BN16">
            <v>56250</v>
          </cell>
          <cell r="BO16">
            <v>168750</v>
          </cell>
        </row>
        <row r="17">
          <cell r="A17">
            <v>13</v>
          </cell>
          <cell r="B17" t="str">
            <v>Retail Trade</v>
          </cell>
          <cell r="C17" t="str">
            <v>Worker</v>
          </cell>
          <cell r="D17">
            <v>320000</v>
          </cell>
          <cell r="E17">
            <v>10880</v>
          </cell>
          <cell r="F17">
            <v>5760</v>
          </cell>
          <cell r="G17">
            <v>303360</v>
          </cell>
          <cell r="H17">
            <v>0.96</v>
          </cell>
          <cell r="I17">
            <v>0.93</v>
          </cell>
          <cell r="J17">
            <v>0.88</v>
          </cell>
          <cell r="K17">
            <v>0.963</v>
          </cell>
          <cell r="L17">
            <v>0.58</v>
          </cell>
          <cell r="M17">
            <v>0.64</v>
          </cell>
          <cell r="N17">
            <v>0.71</v>
          </cell>
          <cell r="O17">
            <v>0.57</v>
          </cell>
          <cell r="P17">
            <v>0.04</v>
          </cell>
          <cell r="Q17">
            <v>0.07</v>
          </cell>
          <cell r="R17">
            <v>0.12</v>
          </cell>
          <cell r="S17">
            <v>0.037</v>
          </cell>
          <cell r="T17">
            <v>0.074</v>
          </cell>
          <cell r="U17">
            <v>0.097</v>
          </cell>
          <cell r="V17">
            <v>0.165</v>
          </cell>
          <cell r="W17">
            <v>0.071</v>
          </cell>
          <cell r="X17">
            <v>21.94</v>
          </cell>
        </row>
        <row r="17">
          <cell r="AA17">
            <v>45635</v>
          </cell>
        </row>
        <row r="17">
          <cell r="AD17">
            <v>20.9</v>
          </cell>
        </row>
        <row r="17">
          <cell r="AG17">
            <v>43472</v>
          </cell>
        </row>
        <row r="17">
          <cell r="AJ17">
            <v>18.1</v>
          </cell>
        </row>
        <row r="17">
          <cell r="AM17">
            <v>37648</v>
          </cell>
        </row>
        <row r="17">
          <cell r="AP17">
            <v>22.4</v>
          </cell>
        </row>
        <row r="17">
          <cell r="AS17">
            <v>46592</v>
          </cell>
        </row>
        <row r="17">
          <cell r="AV17">
            <v>48000000</v>
          </cell>
          <cell r="AW17">
            <v>1632000</v>
          </cell>
          <cell r="AX17">
            <v>864000</v>
          </cell>
          <cell r="AY17">
            <v>45528000</v>
          </cell>
        </row>
        <row r="17">
          <cell r="BD17">
            <v>2400000</v>
          </cell>
          <cell r="BE17">
            <v>480000</v>
          </cell>
          <cell r="BF17">
            <v>0</v>
          </cell>
          <cell r="BG17">
            <v>1920000</v>
          </cell>
          <cell r="BH17">
            <v>1200000</v>
          </cell>
          <cell r="BI17">
            <v>240000</v>
          </cell>
          <cell r="BJ17">
            <v>240000</v>
          </cell>
          <cell r="BK17">
            <v>720000</v>
          </cell>
          <cell r="BL17">
            <v>600000</v>
          </cell>
          <cell r="BM17">
            <v>120000</v>
          </cell>
          <cell r="BN17">
            <v>300000</v>
          </cell>
          <cell r="BO17">
            <v>900000</v>
          </cell>
        </row>
        <row r="18">
          <cell r="A18">
            <v>14</v>
          </cell>
          <cell r="B18" t="str">
            <v>Retail Trade</v>
          </cell>
          <cell r="C18" t="str">
            <v>Support</v>
          </cell>
          <cell r="D18">
            <v>160000</v>
          </cell>
          <cell r="E18">
            <v>5440</v>
          </cell>
          <cell r="F18">
            <v>2880</v>
          </cell>
          <cell r="G18">
            <v>151680</v>
          </cell>
          <cell r="H18">
            <v>0.96</v>
          </cell>
          <cell r="I18">
            <v>0.93</v>
          </cell>
          <cell r="J18">
            <v>0.88</v>
          </cell>
          <cell r="K18">
            <v>0.963</v>
          </cell>
          <cell r="L18">
            <v>0.551</v>
          </cell>
          <cell r="M18">
            <v>0.608</v>
          </cell>
          <cell r="N18">
            <v>0.674</v>
          </cell>
          <cell r="O18">
            <v>0.542</v>
          </cell>
          <cell r="P18">
            <v>0.04</v>
          </cell>
          <cell r="Q18">
            <v>0.07</v>
          </cell>
          <cell r="R18">
            <v>0.12</v>
          </cell>
          <cell r="S18">
            <v>0.037</v>
          </cell>
          <cell r="T18">
            <v>0.074</v>
          </cell>
          <cell r="U18">
            <v>0.097</v>
          </cell>
          <cell r="V18">
            <v>0.165</v>
          </cell>
          <cell r="W18">
            <v>0.071</v>
          </cell>
          <cell r="X18">
            <v>18.65</v>
          </cell>
        </row>
        <row r="18">
          <cell r="AA18">
            <v>38792</v>
          </cell>
        </row>
        <row r="18">
          <cell r="AD18">
            <v>17.8</v>
          </cell>
        </row>
        <row r="18">
          <cell r="AG18">
            <v>37024</v>
          </cell>
        </row>
        <row r="18">
          <cell r="AJ18">
            <v>15.4</v>
          </cell>
        </row>
        <row r="18">
          <cell r="AM18">
            <v>32032</v>
          </cell>
        </row>
        <row r="18">
          <cell r="AP18">
            <v>19</v>
          </cell>
        </row>
        <row r="18">
          <cell r="AS18">
            <v>39520</v>
          </cell>
        </row>
        <row r="18">
          <cell r="AV18">
            <v>24000000</v>
          </cell>
          <cell r="AW18">
            <v>816000</v>
          </cell>
          <cell r="AX18">
            <v>432000</v>
          </cell>
          <cell r="AY18">
            <v>22764000</v>
          </cell>
        </row>
        <row r="18">
          <cell r="BD18">
            <v>1200000</v>
          </cell>
          <cell r="BE18">
            <v>240000</v>
          </cell>
          <cell r="BF18">
            <v>0</v>
          </cell>
          <cell r="BG18">
            <v>960000</v>
          </cell>
          <cell r="BH18">
            <v>600000</v>
          </cell>
          <cell r="BI18">
            <v>120000</v>
          </cell>
          <cell r="BJ18">
            <v>120000</v>
          </cell>
          <cell r="BK18">
            <v>360000</v>
          </cell>
          <cell r="BL18">
            <v>300000</v>
          </cell>
          <cell r="BM18">
            <v>60000</v>
          </cell>
          <cell r="BN18">
            <v>150000</v>
          </cell>
          <cell r="BO18">
            <v>450000</v>
          </cell>
        </row>
        <row r="19">
          <cell r="A19">
            <v>15</v>
          </cell>
          <cell r="B19" t="str">
            <v>Landscaping / Groundskeeping</v>
          </cell>
          <cell r="C19" t="str">
            <v>Worker</v>
          </cell>
          <cell r="D19">
            <v>55000</v>
          </cell>
          <cell r="E19">
            <v>1870</v>
          </cell>
          <cell r="F19">
            <v>990</v>
          </cell>
          <cell r="G19">
            <v>52140</v>
          </cell>
          <cell r="H19">
            <v>0.952</v>
          </cell>
          <cell r="I19">
            <v>0.93</v>
          </cell>
          <cell r="J19">
            <v>0.89</v>
          </cell>
          <cell r="K19">
            <v>0.955</v>
          </cell>
          <cell r="L19">
            <v>0.62</v>
          </cell>
          <cell r="M19">
            <v>0.68</v>
          </cell>
          <cell r="N19">
            <v>0.78</v>
          </cell>
          <cell r="O19">
            <v>0.6</v>
          </cell>
          <cell r="P19">
            <v>0.048</v>
          </cell>
          <cell r="Q19">
            <v>0.07</v>
          </cell>
          <cell r="R19">
            <v>0.11</v>
          </cell>
          <cell r="S19">
            <v>0.045</v>
          </cell>
          <cell r="T19">
            <v>0.093</v>
          </cell>
          <cell r="U19">
            <v>0.108</v>
          </cell>
          <cell r="V19">
            <v>0.155</v>
          </cell>
          <cell r="W19">
            <v>0.089</v>
          </cell>
          <cell r="X19">
            <v>16.59</v>
          </cell>
        </row>
        <row r="19">
          <cell r="AA19">
            <v>34507</v>
          </cell>
        </row>
        <row r="19">
          <cell r="AD19">
            <v>15.8</v>
          </cell>
        </row>
        <row r="19">
          <cell r="AG19">
            <v>32864</v>
          </cell>
        </row>
        <row r="19">
          <cell r="AJ19">
            <v>13.8</v>
          </cell>
        </row>
        <row r="19">
          <cell r="AM19">
            <v>28704</v>
          </cell>
        </row>
        <row r="19">
          <cell r="AP19">
            <v>16.9</v>
          </cell>
        </row>
        <row r="19">
          <cell r="AS19">
            <v>35152</v>
          </cell>
        </row>
        <row r="19">
          <cell r="AV19">
            <v>3300000</v>
          </cell>
          <cell r="AW19">
            <v>112200</v>
          </cell>
          <cell r="AX19">
            <v>59400</v>
          </cell>
          <cell r="AY19">
            <v>3132600</v>
          </cell>
        </row>
        <row r="19">
          <cell r="BD19">
            <v>330000</v>
          </cell>
          <cell r="BE19">
            <v>66000</v>
          </cell>
          <cell r="BF19">
            <v>0</v>
          </cell>
          <cell r="BG19">
            <v>264000</v>
          </cell>
          <cell r="BH19">
            <v>165000</v>
          </cell>
          <cell r="BI19">
            <v>33000</v>
          </cell>
          <cell r="BJ19">
            <v>33000</v>
          </cell>
          <cell r="BK19">
            <v>99000</v>
          </cell>
          <cell r="BL19">
            <v>82500</v>
          </cell>
          <cell r="BM19">
            <v>16500</v>
          </cell>
          <cell r="BN19">
            <v>41250</v>
          </cell>
          <cell r="BO19">
            <v>123750</v>
          </cell>
        </row>
        <row r="20">
          <cell r="A20">
            <v>16</v>
          </cell>
          <cell r="B20" t="str">
            <v>Landscaping / Groundskeeping</v>
          </cell>
          <cell r="C20" t="str">
            <v>Support</v>
          </cell>
          <cell r="D20">
            <v>27500</v>
          </cell>
          <cell r="E20">
            <v>935</v>
          </cell>
          <cell r="F20">
            <v>495</v>
          </cell>
          <cell r="G20">
            <v>26070</v>
          </cell>
          <cell r="H20">
            <v>0.952</v>
          </cell>
          <cell r="I20">
            <v>0.93</v>
          </cell>
          <cell r="J20">
            <v>0.89</v>
          </cell>
          <cell r="K20">
            <v>0.955</v>
          </cell>
          <cell r="L20">
            <v>0.589</v>
          </cell>
          <cell r="M20">
            <v>0.646</v>
          </cell>
          <cell r="N20">
            <v>0.741</v>
          </cell>
          <cell r="O20">
            <v>0.57</v>
          </cell>
          <cell r="P20">
            <v>0.048</v>
          </cell>
          <cell r="Q20">
            <v>0.07</v>
          </cell>
          <cell r="R20">
            <v>0.11</v>
          </cell>
          <cell r="S20">
            <v>0.045</v>
          </cell>
          <cell r="T20">
            <v>0.093</v>
          </cell>
          <cell r="U20">
            <v>0.108</v>
          </cell>
          <cell r="V20">
            <v>0.155</v>
          </cell>
          <cell r="W20">
            <v>0.089</v>
          </cell>
          <cell r="X20">
            <v>14.1</v>
          </cell>
        </row>
        <row r="20">
          <cell r="AA20">
            <v>29328</v>
          </cell>
        </row>
        <row r="20">
          <cell r="AD20">
            <v>13.4</v>
          </cell>
        </row>
        <row r="20">
          <cell r="AG20">
            <v>27872</v>
          </cell>
        </row>
        <row r="20">
          <cell r="AJ20">
            <v>11.7</v>
          </cell>
        </row>
        <row r="20">
          <cell r="AM20">
            <v>24336</v>
          </cell>
        </row>
        <row r="20">
          <cell r="AP20">
            <v>14.4</v>
          </cell>
        </row>
        <row r="20">
          <cell r="AS20">
            <v>29952</v>
          </cell>
        </row>
        <row r="20">
          <cell r="AV20">
            <v>1650000</v>
          </cell>
          <cell r="AW20">
            <v>56100</v>
          </cell>
          <cell r="AX20">
            <v>29700</v>
          </cell>
          <cell r="AY20">
            <v>1566300</v>
          </cell>
        </row>
        <row r="20">
          <cell r="BD20">
            <v>165000</v>
          </cell>
          <cell r="BE20">
            <v>33000</v>
          </cell>
          <cell r="BF20">
            <v>0</v>
          </cell>
          <cell r="BG20">
            <v>132000</v>
          </cell>
          <cell r="BH20">
            <v>82500</v>
          </cell>
          <cell r="BI20">
            <v>16500</v>
          </cell>
          <cell r="BJ20">
            <v>16500</v>
          </cell>
          <cell r="BK20">
            <v>49500</v>
          </cell>
          <cell r="BL20">
            <v>41250</v>
          </cell>
          <cell r="BM20">
            <v>8250</v>
          </cell>
          <cell r="BN20">
            <v>20625</v>
          </cell>
          <cell r="BO20">
            <v>61875</v>
          </cell>
        </row>
        <row r="21">
          <cell r="A21">
            <v>17</v>
          </cell>
          <cell r="B21" t="str">
            <v>Automotive &amp; Repair</v>
          </cell>
          <cell r="C21" t="str">
            <v>Worker</v>
          </cell>
          <cell r="D21">
            <v>45000</v>
          </cell>
          <cell r="E21">
            <v>1530</v>
          </cell>
          <cell r="F21">
            <v>810</v>
          </cell>
          <cell r="G21">
            <v>42660</v>
          </cell>
          <cell r="H21">
            <v>0.976</v>
          </cell>
          <cell r="I21">
            <v>0.95</v>
          </cell>
          <cell r="J21">
            <v>0.92</v>
          </cell>
          <cell r="K21">
            <v>0.978</v>
          </cell>
          <cell r="L21">
            <v>0.6</v>
          </cell>
          <cell r="M21">
            <v>0.66</v>
          </cell>
          <cell r="N21">
            <v>0.75</v>
          </cell>
          <cell r="O21">
            <v>0.58</v>
          </cell>
          <cell r="P21">
            <v>0.024</v>
          </cell>
          <cell r="Q21">
            <v>0.05</v>
          </cell>
          <cell r="R21">
            <v>0.08</v>
          </cell>
          <cell r="S21">
            <v>0.022</v>
          </cell>
          <cell r="T21">
            <v>0.046</v>
          </cell>
          <cell r="U21">
            <v>0.057</v>
          </cell>
          <cell r="V21">
            <v>0.104</v>
          </cell>
          <cell r="W21">
            <v>0.042</v>
          </cell>
          <cell r="X21">
            <v>29.21</v>
          </cell>
        </row>
        <row r="21">
          <cell r="AA21">
            <v>60757</v>
          </cell>
        </row>
        <row r="21">
          <cell r="AD21">
            <v>27.7</v>
          </cell>
        </row>
        <row r="21">
          <cell r="AG21">
            <v>57616</v>
          </cell>
        </row>
        <row r="21">
          <cell r="AJ21">
            <v>25.3</v>
          </cell>
        </row>
        <row r="21">
          <cell r="AM21">
            <v>52624</v>
          </cell>
        </row>
        <row r="21">
          <cell r="AP21">
            <v>29.8</v>
          </cell>
        </row>
        <row r="21">
          <cell r="AS21">
            <v>61984</v>
          </cell>
        </row>
        <row r="21">
          <cell r="AV21">
            <v>2700000</v>
          </cell>
          <cell r="AW21">
            <v>91800</v>
          </cell>
          <cell r="AX21">
            <v>48600</v>
          </cell>
          <cell r="AY21">
            <v>2554200</v>
          </cell>
        </row>
        <row r="21">
          <cell r="BD21">
            <v>270000</v>
          </cell>
          <cell r="BE21">
            <v>54000</v>
          </cell>
          <cell r="BF21">
            <v>0</v>
          </cell>
          <cell r="BG21">
            <v>216000</v>
          </cell>
          <cell r="BH21">
            <v>135000</v>
          </cell>
          <cell r="BI21">
            <v>27000</v>
          </cell>
          <cell r="BJ21">
            <v>27000</v>
          </cell>
          <cell r="BK21">
            <v>81000</v>
          </cell>
          <cell r="BL21">
            <v>67500</v>
          </cell>
          <cell r="BM21">
            <v>13500</v>
          </cell>
          <cell r="BN21">
            <v>33750</v>
          </cell>
          <cell r="BO21">
            <v>101250</v>
          </cell>
        </row>
        <row r="22">
          <cell r="A22">
            <v>18</v>
          </cell>
          <cell r="B22" t="str">
            <v>Automotive &amp; Repair</v>
          </cell>
          <cell r="C22" t="str">
            <v>Support</v>
          </cell>
          <cell r="D22">
            <v>22500</v>
          </cell>
          <cell r="E22">
            <v>765</v>
          </cell>
          <cell r="F22">
            <v>405</v>
          </cell>
          <cell r="G22">
            <v>21330</v>
          </cell>
          <cell r="H22">
            <v>0.976</v>
          </cell>
          <cell r="I22">
            <v>0.95</v>
          </cell>
          <cell r="J22">
            <v>0.92</v>
          </cell>
          <cell r="K22">
            <v>0.978</v>
          </cell>
          <cell r="L22">
            <v>0.57</v>
          </cell>
          <cell r="M22">
            <v>0.627</v>
          </cell>
          <cell r="N22">
            <v>0.712</v>
          </cell>
          <cell r="O22">
            <v>0.55</v>
          </cell>
          <cell r="P22">
            <v>0.024</v>
          </cell>
          <cell r="Q22">
            <v>0.05</v>
          </cell>
          <cell r="R22">
            <v>0.08</v>
          </cell>
          <cell r="S22">
            <v>0.022</v>
          </cell>
          <cell r="T22">
            <v>0.046</v>
          </cell>
          <cell r="U22">
            <v>0.057</v>
          </cell>
          <cell r="V22">
            <v>0.104</v>
          </cell>
          <cell r="W22">
            <v>0.042</v>
          </cell>
          <cell r="X22">
            <v>24.83</v>
          </cell>
        </row>
        <row r="22">
          <cell r="AA22">
            <v>51646</v>
          </cell>
        </row>
        <row r="22">
          <cell r="AD22">
            <v>23.6</v>
          </cell>
        </row>
        <row r="22">
          <cell r="AG22">
            <v>49088</v>
          </cell>
        </row>
        <row r="22">
          <cell r="AJ22">
            <v>21.5</v>
          </cell>
        </row>
        <row r="22">
          <cell r="AM22">
            <v>44720</v>
          </cell>
        </row>
        <row r="22">
          <cell r="AP22">
            <v>25.3</v>
          </cell>
        </row>
        <row r="22">
          <cell r="AS22">
            <v>52624</v>
          </cell>
        </row>
        <row r="22">
          <cell r="AV22">
            <v>1350000</v>
          </cell>
          <cell r="AW22">
            <v>45900</v>
          </cell>
          <cell r="AX22">
            <v>24300</v>
          </cell>
          <cell r="AY22">
            <v>1277100</v>
          </cell>
        </row>
        <row r="22">
          <cell r="BD22">
            <v>135000</v>
          </cell>
          <cell r="BE22">
            <v>27000</v>
          </cell>
          <cell r="BF22">
            <v>0</v>
          </cell>
          <cell r="BG22">
            <v>108000</v>
          </cell>
          <cell r="BH22">
            <v>67500</v>
          </cell>
          <cell r="BI22">
            <v>13500</v>
          </cell>
          <cell r="BJ22">
            <v>13500</v>
          </cell>
          <cell r="BK22">
            <v>40500</v>
          </cell>
          <cell r="BL22">
            <v>33750</v>
          </cell>
          <cell r="BM22">
            <v>6750</v>
          </cell>
          <cell r="BN22">
            <v>16875</v>
          </cell>
          <cell r="BO22">
            <v>50625</v>
          </cell>
        </row>
        <row r="23">
          <cell r="A23">
            <v>19</v>
          </cell>
          <cell r="B23" t="str">
            <v>Healthcare &amp; Social Assistance</v>
          </cell>
          <cell r="C23" t="str">
            <v>Worker</v>
          </cell>
          <cell r="D23">
            <v>320000</v>
          </cell>
          <cell r="E23">
            <v>10880</v>
          </cell>
          <cell r="F23">
            <v>5760</v>
          </cell>
          <cell r="G23">
            <v>303360</v>
          </cell>
          <cell r="H23">
            <v>0.98</v>
          </cell>
          <cell r="I23">
            <v>0.96</v>
          </cell>
          <cell r="J23">
            <v>0.93</v>
          </cell>
          <cell r="K23">
            <v>0.982</v>
          </cell>
          <cell r="L23">
            <v>0.605</v>
          </cell>
          <cell r="M23">
            <v>0.665</v>
          </cell>
          <cell r="N23">
            <v>0.74</v>
          </cell>
          <cell r="O23">
            <v>0.59</v>
          </cell>
          <cell r="P23">
            <v>0.02</v>
          </cell>
          <cell r="Q23">
            <v>0.04</v>
          </cell>
          <cell r="R23">
            <v>0.07</v>
          </cell>
          <cell r="S23">
            <v>0.018</v>
          </cell>
          <cell r="T23">
            <v>0.035</v>
          </cell>
          <cell r="U23">
            <v>0.042</v>
          </cell>
          <cell r="V23">
            <v>0.088</v>
          </cell>
          <cell r="W23">
            <v>0.034</v>
          </cell>
          <cell r="X23">
            <v>41.16</v>
          </cell>
        </row>
        <row r="23">
          <cell r="AA23">
            <v>85613</v>
          </cell>
        </row>
        <row r="23">
          <cell r="AD23">
            <v>39.1</v>
          </cell>
        </row>
        <row r="23">
          <cell r="AG23">
            <v>81328</v>
          </cell>
        </row>
        <row r="23">
          <cell r="AJ23">
            <v>35.8</v>
          </cell>
        </row>
        <row r="23">
          <cell r="AM23">
            <v>74464</v>
          </cell>
        </row>
        <row r="23">
          <cell r="AP23">
            <v>42</v>
          </cell>
        </row>
        <row r="23">
          <cell r="AS23">
            <v>87360</v>
          </cell>
        </row>
        <row r="23">
          <cell r="AV23">
            <v>104000000</v>
          </cell>
          <cell r="AW23">
            <v>3536000</v>
          </cell>
          <cell r="AX23">
            <v>1872000</v>
          </cell>
          <cell r="AY23">
            <v>98566400</v>
          </cell>
        </row>
        <row r="23">
          <cell r="BD23">
            <v>5200000</v>
          </cell>
          <cell r="BE23">
            <v>1040000</v>
          </cell>
          <cell r="BF23">
            <v>0</v>
          </cell>
          <cell r="BG23">
            <v>4160000</v>
          </cell>
          <cell r="BH23">
            <v>2600000</v>
          </cell>
          <cell r="BI23">
            <v>520000</v>
          </cell>
          <cell r="BJ23">
            <v>520000</v>
          </cell>
          <cell r="BK23">
            <v>1560000</v>
          </cell>
          <cell r="BL23">
            <v>1300000</v>
          </cell>
          <cell r="BM23">
            <v>260000</v>
          </cell>
          <cell r="BN23">
            <v>650000</v>
          </cell>
          <cell r="BO23">
            <v>1950000</v>
          </cell>
        </row>
        <row r="24">
          <cell r="A24">
            <v>20</v>
          </cell>
          <cell r="B24" t="str">
            <v>Healthcare &amp; Social Assistance</v>
          </cell>
          <cell r="C24" t="str">
            <v>Support</v>
          </cell>
          <cell r="D24">
            <v>160000</v>
          </cell>
          <cell r="E24">
            <v>5440</v>
          </cell>
          <cell r="F24">
            <v>2880</v>
          </cell>
          <cell r="G24">
            <v>151680</v>
          </cell>
          <cell r="H24">
            <v>0.98</v>
          </cell>
          <cell r="I24">
            <v>0.96</v>
          </cell>
          <cell r="J24">
            <v>0.93</v>
          </cell>
          <cell r="K24">
            <v>0.982</v>
          </cell>
          <cell r="L24">
            <v>0.575</v>
          </cell>
          <cell r="M24">
            <v>0.632</v>
          </cell>
          <cell r="N24">
            <v>0.703</v>
          </cell>
          <cell r="O24">
            <v>0.56</v>
          </cell>
          <cell r="P24">
            <v>0.02</v>
          </cell>
          <cell r="Q24">
            <v>0.04</v>
          </cell>
          <cell r="R24">
            <v>0.07</v>
          </cell>
          <cell r="S24">
            <v>0.018</v>
          </cell>
          <cell r="T24">
            <v>0.035</v>
          </cell>
          <cell r="U24">
            <v>0.042</v>
          </cell>
          <cell r="V24">
            <v>0.088</v>
          </cell>
          <cell r="W24">
            <v>0.034</v>
          </cell>
          <cell r="X24">
            <v>34.99</v>
          </cell>
        </row>
        <row r="24">
          <cell r="AA24">
            <v>72779</v>
          </cell>
        </row>
        <row r="24">
          <cell r="AD24">
            <v>33.2</v>
          </cell>
        </row>
        <row r="24">
          <cell r="AG24">
            <v>69056</v>
          </cell>
        </row>
        <row r="24">
          <cell r="AJ24">
            <v>30.4</v>
          </cell>
        </row>
        <row r="24">
          <cell r="AM24">
            <v>63232</v>
          </cell>
        </row>
        <row r="24">
          <cell r="AP24">
            <v>35.7</v>
          </cell>
        </row>
        <row r="24">
          <cell r="AS24">
            <v>74256</v>
          </cell>
        </row>
        <row r="24">
          <cell r="AV24">
            <v>52000000</v>
          </cell>
          <cell r="AW24">
            <v>1768000</v>
          </cell>
          <cell r="AX24">
            <v>936000</v>
          </cell>
          <cell r="AY24">
            <v>49283200</v>
          </cell>
        </row>
        <row r="24">
          <cell r="BD24">
            <v>2600000</v>
          </cell>
          <cell r="BE24">
            <v>520000</v>
          </cell>
          <cell r="BF24">
            <v>0</v>
          </cell>
          <cell r="BG24">
            <v>2080000</v>
          </cell>
          <cell r="BH24">
            <v>1300000</v>
          </cell>
          <cell r="BI24">
            <v>260000</v>
          </cell>
          <cell r="BJ24">
            <v>260000</v>
          </cell>
          <cell r="BK24">
            <v>780000</v>
          </cell>
          <cell r="BL24">
            <v>650000</v>
          </cell>
          <cell r="BM24">
            <v>130000</v>
          </cell>
          <cell r="BN24">
            <v>325000</v>
          </cell>
          <cell r="BO24">
            <v>975000</v>
          </cell>
        </row>
        <row r="25">
          <cell r="A25">
            <v>21</v>
          </cell>
          <cell r="B25" t="str">
            <v>Professional Services</v>
          </cell>
          <cell r="C25" t="str">
            <v>Worker</v>
          </cell>
          <cell r="D25">
            <v>220000</v>
          </cell>
          <cell r="E25">
            <v>7480</v>
          </cell>
          <cell r="F25">
            <v>3960</v>
          </cell>
          <cell r="G25">
            <v>208560</v>
          </cell>
          <cell r="H25">
            <v>0.98</v>
          </cell>
          <cell r="I25">
            <v>0.96</v>
          </cell>
          <cell r="J25">
            <v>0.93</v>
          </cell>
          <cell r="K25">
            <v>0.982</v>
          </cell>
          <cell r="L25">
            <v>0.605</v>
          </cell>
          <cell r="M25">
            <v>0.665</v>
          </cell>
          <cell r="N25">
            <v>0.74</v>
          </cell>
          <cell r="O25">
            <v>0.59</v>
          </cell>
          <cell r="P25">
            <v>0.02</v>
          </cell>
          <cell r="Q25">
            <v>0.04</v>
          </cell>
          <cell r="R25">
            <v>0.07</v>
          </cell>
          <cell r="S25">
            <v>0.018</v>
          </cell>
          <cell r="T25">
            <v>0.026</v>
          </cell>
          <cell r="U25">
            <v>0.031</v>
          </cell>
          <cell r="V25">
            <v>0.065</v>
          </cell>
          <cell r="W25">
            <v>0.024</v>
          </cell>
          <cell r="X25">
            <v>53.09</v>
          </cell>
        </row>
        <row r="25">
          <cell r="AA25">
            <v>110427</v>
          </cell>
        </row>
        <row r="25">
          <cell r="AD25">
            <v>50.4</v>
          </cell>
        </row>
        <row r="25">
          <cell r="AG25">
            <v>104832</v>
          </cell>
        </row>
        <row r="25">
          <cell r="AJ25">
            <v>46.2</v>
          </cell>
        </row>
        <row r="25">
          <cell r="AM25">
            <v>96096</v>
          </cell>
        </row>
        <row r="25">
          <cell r="AP25">
            <v>54.2</v>
          </cell>
        </row>
        <row r="25">
          <cell r="AS25">
            <v>112736</v>
          </cell>
        </row>
        <row r="25">
          <cell r="AV25">
            <v>66000000</v>
          </cell>
          <cell r="AW25">
            <v>2244000</v>
          </cell>
          <cell r="AX25">
            <v>1188000</v>
          </cell>
          <cell r="AY25">
            <v>62598000</v>
          </cell>
        </row>
        <row r="25">
          <cell r="BD25">
            <v>3300000</v>
          </cell>
          <cell r="BE25">
            <v>660000</v>
          </cell>
          <cell r="BF25">
            <v>0</v>
          </cell>
          <cell r="BG25">
            <v>2640000</v>
          </cell>
          <cell r="BH25">
            <v>1650000</v>
          </cell>
          <cell r="BI25">
            <v>330000</v>
          </cell>
          <cell r="BJ25">
            <v>330000</v>
          </cell>
          <cell r="BK25">
            <v>990000</v>
          </cell>
          <cell r="BL25">
            <v>825000</v>
          </cell>
          <cell r="BM25">
            <v>165000</v>
          </cell>
          <cell r="BN25">
            <v>412500</v>
          </cell>
          <cell r="BO25">
            <v>1237500</v>
          </cell>
        </row>
        <row r="26">
          <cell r="A26">
            <v>22</v>
          </cell>
          <cell r="B26" t="str">
            <v>Professional Services</v>
          </cell>
          <cell r="C26" t="str">
            <v>Support</v>
          </cell>
          <cell r="D26">
            <v>110000</v>
          </cell>
          <cell r="E26">
            <v>3740</v>
          </cell>
          <cell r="F26">
            <v>1980</v>
          </cell>
          <cell r="G26">
            <v>104280</v>
          </cell>
          <cell r="H26">
            <v>0.98</v>
          </cell>
          <cell r="I26">
            <v>0.96</v>
          </cell>
          <cell r="J26">
            <v>0.93</v>
          </cell>
          <cell r="K26">
            <v>0.982</v>
          </cell>
          <cell r="L26">
            <v>0.575</v>
          </cell>
          <cell r="M26">
            <v>0.632</v>
          </cell>
          <cell r="N26">
            <v>0.703</v>
          </cell>
          <cell r="O26">
            <v>0.56</v>
          </cell>
          <cell r="P26">
            <v>0.02</v>
          </cell>
          <cell r="Q26">
            <v>0.04</v>
          </cell>
          <cell r="R26">
            <v>0.07</v>
          </cell>
          <cell r="S26">
            <v>0.018</v>
          </cell>
          <cell r="T26">
            <v>0.026</v>
          </cell>
          <cell r="U26">
            <v>0.031</v>
          </cell>
          <cell r="V26">
            <v>0.065</v>
          </cell>
          <cell r="W26">
            <v>0.024</v>
          </cell>
          <cell r="X26">
            <v>45.13</v>
          </cell>
        </row>
        <row r="26">
          <cell r="AA26">
            <v>93870</v>
          </cell>
        </row>
        <row r="26">
          <cell r="AD26">
            <v>42.9</v>
          </cell>
        </row>
        <row r="26">
          <cell r="AG26">
            <v>89232</v>
          </cell>
        </row>
        <row r="26">
          <cell r="AJ26">
            <v>39.3</v>
          </cell>
        </row>
        <row r="26">
          <cell r="AM26">
            <v>81744</v>
          </cell>
        </row>
        <row r="26">
          <cell r="AP26">
            <v>46</v>
          </cell>
        </row>
        <row r="26">
          <cell r="AS26">
            <v>95680</v>
          </cell>
        </row>
        <row r="26">
          <cell r="AV26">
            <v>33000000</v>
          </cell>
          <cell r="AW26">
            <v>1122000</v>
          </cell>
          <cell r="AX26">
            <v>594000</v>
          </cell>
          <cell r="AY26">
            <v>31299000</v>
          </cell>
        </row>
        <row r="26">
          <cell r="BD26">
            <v>1650000</v>
          </cell>
          <cell r="BE26">
            <v>330000</v>
          </cell>
          <cell r="BF26">
            <v>0</v>
          </cell>
          <cell r="BG26">
            <v>1320000</v>
          </cell>
          <cell r="BH26">
            <v>825000</v>
          </cell>
          <cell r="BI26">
            <v>165000</v>
          </cell>
          <cell r="BJ26">
            <v>165000</v>
          </cell>
          <cell r="BK26">
            <v>495000</v>
          </cell>
          <cell r="BL26">
            <v>412500</v>
          </cell>
          <cell r="BM26">
            <v>82500</v>
          </cell>
          <cell r="BN26">
            <v>206250</v>
          </cell>
          <cell r="BO26">
            <v>618750</v>
          </cell>
        </row>
        <row r="27">
          <cell r="A27">
            <v>23</v>
          </cell>
          <cell r="B27" t="str">
            <v>Educational Services</v>
          </cell>
          <cell r="C27" t="str">
            <v>Worker</v>
          </cell>
          <cell r="D27">
            <v>140000</v>
          </cell>
          <cell r="E27">
            <v>4760</v>
          </cell>
          <cell r="F27">
            <v>2520</v>
          </cell>
          <cell r="G27">
            <v>127720</v>
          </cell>
          <cell r="H27">
            <v>0.98</v>
          </cell>
          <cell r="I27">
            <v>0.96</v>
          </cell>
          <cell r="J27">
            <v>0.93</v>
          </cell>
          <cell r="K27">
            <v>0.982</v>
          </cell>
          <cell r="L27">
            <v>0.605</v>
          </cell>
          <cell r="M27">
            <v>0.665</v>
          </cell>
          <cell r="N27">
            <v>0.74</v>
          </cell>
          <cell r="O27">
            <v>0.59</v>
          </cell>
          <cell r="P27">
            <v>0.02</v>
          </cell>
          <cell r="Q27">
            <v>0.04</v>
          </cell>
          <cell r="R27">
            <v>0.07</v>
          </cell>
          <cell r="S27">
            <v>0.018</v>
          </cell>
          <cell r="T27">
            <v>0.036</v>
          </cell>
          <cell r="U27">
            <v>0.043</v>
          </cell>
          <cell r="V27">
            <v>0.09</v>
          </cell>
          <cell r="W27">
            <v>0.035</v>
          </cell>
          <cell r="X27">
            <v>26.24</v>
          </cell>
        </row>
        <row r="27">
          <cell r="AA27">
            <v>54579</v>
          </cell>
        </row>
        <row r="27">
          <cell r="AD27">
            <v>24.9</v>
          </cell>
        </row>
        <row r="27">
          <cell r="AG27">
            <v>51792</v>
          </cell>
        </row>
        <row r="27">
          <cell r="AJ27">
            <v>22.8</v>
          </cell>
        </row>
        <row r="27">
          <cell r="AM27">
            <v>47424</v>
          </cell>
        </row>
        <row r="27">
          <cell r="AP27">
            <v>26.8</v>
          </cell>
        </row>
        <row r="27">
          <cell r="AS27">
            <v>55744</v>
          </cell>
        </row>
        <row r="27">
          <cell r="AV27">
            <v>42000000</v>
          </cell>
          <cell r="AW27">
            <v>1428000</v>
          </cell>
          <cell r="AX27">
            <v>756000</v>
          </cell>
          <cell r="AY27">
            <v>39823200</v>
          </cell>
        </row>
        <row r="27">
          <cell r="BD27">
            <v>2100000</v>
          </cell>
          <cell r="BE27">
            <v>420000</v>
          </cell>
          <cell r="BF27">
            <v>0</v>
          </cell>
          <cell r="BG27">
            <v>1680000</v>
          </cell>
          <cell r="BH27">
            <v>1050000</v>
          </cell>
          <cell r="BI27">
            <v>210000</v>
          </cell>
          <cell r="BJ27">
            <v>210000</v>
          </cell>
          <cell r="BK27">
            <v>630000</v>
          </cell>
          <cell r="BL27">
            <v>525000</v>
          </cell>
          <cell r="BM27">
            <v>105000</v>
          </cell>
          <cell r="BN27">
            <v>262500</v>
          </cell>
          <cell r="BO27">
            <v>787500</v>
          </cell>
        </row>
        <row r="28">
          <cell r="A28">
            <v>24</v>
          </cell>
          <cell r="B28" t="str">
            <v>Educational Services</v>
          </cell>
          <cell r="C28" t="str">
            <v>Support</v>
          </cell>
          <cell r="D28">
            <v>70000</v>
          </cell>
          <cell r="E28">
            <v>2380</v>
          </cell>
          <cell r="F28">
            <v>1260</v>
          </cell>
          <cell r="G28">
            <v>63860</v>
          </cell>
          <cell r="H28">
            <v>0.98</v>
          </cell>
          <cell r="I28">
            <v>0.96</v>
          </cell>
          <cell r="J28">
            <v>0.93</v>
          </cell>
          <cell r="K28">
            <v>0.982</v>
          </cell>
          <cell r="L28">
            <v>0.575</v>
          </cell>
          <cell r="M28">
            <v>0.632</v>
          </cell>
          <cell r="N28">
            <v>0.703</v>
          </cell>
          <cell r="O28">
            <v>0.56</v>
          </cell>
          <cell r="P28">
            <v>0.02</v>
          </cell>
          <cell r="Q28">
            <v>0.04</v>
          </cell>
          <cell r="R28">
            <v>0.07</v>
          </cell>
          <cell r="S28">
            <v>0.018</v>
          </cell>
          <cell r="T28">
            <v>0.036</v>
          </cell>
          <cell r="U28">
            <v>0.043</v>
          </cell>
          <cell r="V28">
            <v>0.09</v>
          </cell>
          <cell r="W28">
            <v>0.035</v>
          </cell>
          <cell r="X28">
            <v>22.3</v>
          </cell>
        </row>
        <row r="28">
          <cell r="AA28">
            <v>46384</v>
          </cell>
        </row>
        <row r="28">
          <cell r="AD28">
            <v>21.2</v>
          </cell>
        </row>
        <row r="28">
          <cell r="AG28">
            <v>44096</v>
          </cell>
        </row>
        <row r="28">
          <cell r="AJ28">
            <v>19.4</v>
          </cell>
        </row>
        <row r="28">
          <cell r="AM28">
            <v>40352</v>
          </cell>
        </row>
        <row r="28">
          <cell r="AP28">
            <v>22.8</v>
          </cell>
        </row>
        <row r="28">
          <cell r="AS28">
            <v>47424</v>
          </cell>
        </row>
        <row r="28">
          <cell r="AV28">
            <v>21000000</v>
          </cell>
          <cell r="AW28">
            <v>714000</v>
          </cell>
          <cell r="AX28">
            <v>378000</v>
          </cell>
          <cell r="AY28">
            <v>19911600</v>
          </cell>
        </row>
        <row r="28">
          <cell r="BD28">
            <v>1050000</v>
          </cell>
          <cell r="BE28">
            <v>210000</v>
          </cell>
          <cell r="BF28">
            <v>0</v>
          </cell>
          <cell r="BG28">
            <v>840000</v>
          </cell>
          <cell r="BH28">
            <v>525000</v>
          </cell>
          <cell r="BI28">
            <v>105000</v>
          </cell>
          <cell r="BJ28">
            <v>105000</v>
          </cell>
          <cell r="BK28">
            <v>315000</v>
          </cell>
          <cell r="BL28">
            <v>262500</v>
          </cell>
          <cell r="BM28">
            <v>52500</v>
          </cell>
          <cell r="BN28">
            <v>131250</v>
          </cell>
          <cell r="BO28">
            <v>393750</v>
          </cell>
        </row>
        <row r="29">
          <cell r="A29">
            <v>25</v>
          </cell>
          <cell r="B29" t="str">
            <v>Finance &amp; Insurance</v>
          </cell>
          <cell r="C29" t="str">
            <v>Worker</v>
          </cell>
          <cell r="D29">
            <v>100000</v>
          </cell>
          <cell r="E29">
            <v>3400</v>
          </cell>
          <cell r="F29">
            <v>1800</v>
          </cell>
          <cell r="G29">
            <v>94800</v>
          </cell>
          <cell r="H29">
            <v>0.98</v>
          </cell>
          <cell r="I29">
            <v>0.96</v>
          </cell>
          <cell r="J29">
            <v>0.93</v>
          </cell>
          <cell r="K29">
            <v>0.982</v>
          </cell>
          <cell r="L29">
            <v>0.605</v>
          </cell>
          <cell r="M29">
            <v>0.665</v>
          </cell>
          <cell r="N29">
            <v>0.74</v>
          </cell>
          <cell r="O29">
            <v>0.59</v>
          </cell>
          <cell r="P29">
            <v>0.02</v>
          </cell>
          <cell r="Q29">
            <v>0.04</v>
          </cell>
          <cell r="R29">
            <v>0.07</v>
          </cell>
          <cell r="S29">
            <v>0.018</v>
          </cell>
          <cell r="T29">
            <v>0.028</v>
          </cell>
          <cell r="U29">
            <v>0.034</v>
          </cell>
          <cell r="V29">
            <v>0.071</v>
          </cell>
          <cell r="W29">
            <v>0.027</v>
          </cell>
          <cell r="X29">
            <v>41</v>
          </cell>
        </row>
        <row r="29">
          <cell r="AA29">
            <v>85280</v>
          </cell>
        </row>
        <row r="29">
          <cell r="AD29">
            <v>39</v>
          </cell>
        </row>
        <row r="29">
          <cell r="AG29">
            <v>81120</v>
          </cell>
        </row>
        <row r="29">
          <cell r="AJ29">
            <v>35.7</v>
          </cell>
        </row>
        <row r="29">
          <cell r="AM29">
            <v>74256</v>
          </cell>
        </row>
        <row r="29">
          <cell r="AP29">
            <v>41.8</v>
          </cell>
        </row>
        <row r="29">
          <cell r="AS29">
            <v>86944</v>
          </cell>
        </row>
        <row r="29">
          <cell r="AV29">
            <v>30000000</v>
          </cell>
          <cell r="AW29">
            <v>1020000</v>
          </cell>
          <cell r="AX29">
            <v>540000</v>
          </cell>
          <cell r="AY29">
            <v>28458000</v>
          </cell>
        </row>
        <row r="29">
          <cell r="BD29">
            <v>1500000</v>
          </cell>
          <cell r="BE29">
            <v>300000</v>
          </cell>
          <cell r="BF29">
            <v>0</v>
          </cell>
          <cell r="BG29">
            <v>1200000</v>
          </cell>
          <cell r="BH29">
            <v>750000</v>
          </cell>
          <cell r="BI29">
            <v>150000</v>
          </cell>
          <cell r="BJ29">
            <v>150000</v>
          </cell>
          <cell r="BK29">
            <v>450000</v>
          </cell>
          <cell r="BL29">
            <v>375000</v>
          </cell>
          <cell r="BM29">
            <v>75000</v>
          </cell>
          <cell r="BN29">
            <v>187500</v>
          </cell>
          <cell r="BO29">
            <v>562500</v>
          </cell>
        </row>
        <row r="30">
          <cell r="A30">
            <v>26</v>
          </cell>
          <cell r="B30" t="str">
            <v>Finance &amp; Insurance</v>
          </cell>
          <cell r="C30" t="str">
            <v>Support</v>
          </cell>
          <cell r="D30">
            <v>50000</v>
          </cell>
          <cell r="E30">
            <v>1700</v>
          </cell>
          <cell r="F30">
            <v>900</v>
          </cell>
          <cell r="G30">
            <v>47400</v>
          </cell>
          <cell r="H30">
            <v>0.98</v>
          </cell>
          <cell r="I30">
            <v>0.96</v>
          </cell>
          <cell r="J30">
            <v>0.93</v>
          </cell>
          <cell r="K30">
            <v>0.982</v>
          </cell>
          <cell r="L30">
            <v>0.575</v>
          </cell>
          <cell r="M30">
            <v>0.632</v>
          </cell>
          <cell r="N30">
            <v>0.703</v>
          </cell>
          <cell r="O30">
            <v>0.56</v>
          </cell>
          <cell r="P30">
            <v>0.02</v>
          </cell>
          <cell r="Q30">
            <v>0.04</v>
          </cell>
          <cell r="R30">
            <v>0.07</v>
          </cell>
          <cell r="S30">
            <v>0.018</v>
          </cell>
          <cell r="T30">
            <v>0.028</v>
          </cell>
          <cell r="U30">
            <v>0.034</v>
          </cell>
          <cell r="V30">
            <v>0.071</v>
          </cell>
          <cell r="W30">
            <v>0.027</v>
          </cell>
          <cell r="X30">
            <v>34.85</v>
          </cell>
        </row>
        <row r="30">
          <cell r="AA30">
            <v>72488</v>
          </cell>
        </row>
        <row r="30">
          <cell r="AD30">
            <v>33.1</v>
          </cell>
        </row>
        <row r="30">
          <cell r="AG30">
            <v>68848</v>
          </cell>
        </row>
        <row r="30">
          <cell r="AJ30">
            <v>30.3</v>
          </cell>
        </row>
        <row r="30">
          <cell r="AM30">
            <v>63024</v>
          </cell>
        </row>
        <row r="30">
          <cell r="AP30">
            <v>35.5</v>
          </cell>
        </row>
        <row r="30">
          <cell r="AS30">
            <v>73840</v>
          </cell>
        </row>
        <row r="30">
          <cell r="AV30">
            <v>15000000</v>
          </cell>
          <cell r="AW30">
            <v>510000</v>
          </cell>
          <cell r="AX30">
            <v>270000</v>
          </cell>
          <cell r="AY30">
            <v>14229000</v>
          </cell>
        </row>
        <row r="30">
          <cell r="BD30">
            <v>750000</v>
          </cell>
          <cell r="BE30">
            <v>150000</v>
          </cell>
          <cell r="BF30">
            <v>0</v>
          </cell>
          <cell r="BG30">
            <v>600000</v>
          </cell>
          <cell r="BH30">
            <v>375000</v>
          </cell>
          <cell r="BI30">
            <v>75000</v>
          </cell>
          <cell r="BJ30">
            <v>75000</v>
          </cell>
          <cell r="BK30">
            <v>225000</v>
          </cell>
          <cell r="BL30">
            <v>187500</v>
          </cell>
          <cell r="BM30">
            <v>37500</v>
          </cell>
          <cell r="BN30">
            <v>93750</v>
          </cell>
          <cell r="BO30">
            <v>281250</v>
          </cell>
        </row>
        <row r="31">
          <cell r="A31">
            <v>27</v>
          </cell>
          <cell r="B31" t="str">
            <v>Media and Information Technology</v>
          </cell>
          <cell r="C31" t="str">
            <v>Worker</v>
          </cell>
          <cell r="D31">
            <v>30000</v>
          </cell>
          <cell r="E31">
            <v>1020</v>
          </cell>
          <cell r="F31">
            <v>540</v>
          </cell>
          <cell r="G31">
            <v>28440</v>
          </cell>
          <cell r="H31">
            <v>0.98</v>
          </cell>
          <cell r="I31">
            <v>0.96</v>
          </cell>
          <cell r="J31">
            <v>0.93</v>
          </cell>
          <cell r="K31">
            <v>0.982</v>
          </cell>
          <cell r="L31">
            <v>0.605</v>
          </cell>
          <cell r="M31">
            <v>0.665</v>
          </cell>
          <cell r="N31">
            <v>0.74</v>
          </cell>
          <cell r="O31">
            <v>0.59</v>
          </cell>
          <cell r="P31">
            <v>0.02</v>
          </cell>
          <cell r="Q31">
            <v>0.04</v>
          </cell>
          <cell r="R31">
            <v>0.07</v>
          </cell>
          <cell r="S31">
            <v>0.018</v>
          </cell>
          <cell r="T31">
            <v>0.03</v>
          </cell>
          <cell r="U31">
            <v>0.036</v>
          </cell>
          <cell r="V31">
            <v>0.076</v>
          </cell>
          <cell r="W31">
            <v>0.029</v>
          </cell>
          <cell r="X31">
            <v>28.71</v>
          </cell>
        </row>
        <row r="31">
          <cell r="AA31">
            <v>59717</v>
          </cell>
        </row>
        <row r="31">
          <cell r="AD31">
            <v>27.3</v>
          </cell>
        </row>
        <row r="31">
          <cell r="AG31">
            <v>56864</v>
          </cell>
        </row>
        <row r="31">
          <cell r="AJ31">
            <v>25</v>
          </cell>
        </row>
        <row r="31">
          <cell r="AM31">
            <v>52000</v>
          </cell>
        </row>
        <row r="31">
          <cell r="AP31">
            <v>29.3</v>
          </cell>
        </row>
        <row r="31">
          <cell r="AS31">
            <v>60944</v>
          </cell>
        </row>
        <row r="31">
          <cell r="AV31">
            <v>9000000</v>
          </cell>
          <cell r="AW31">
            <v>306000</v>
          </cell>
          <cell r="AX31">
            <v>162000</v>
          </cell>
          <cell r="AY31">
            <v>8532000</v>
          </cell>
        </row>
        <row r="31">
          <cell r="BD31">
            <v>450000</v>
          </cell>
          <cell r="BE31">
            <v>90000</v>
          </cell>
          <cell r="BF31">
            <v>0</v>
          </cell>
          <cell r="BG31">
            <v>360000</v>
          </cell>
          <cell r="BH31">
            <v>225000</v>
          </cell>
          <cell r="BI31">
            <v>45000</v>
          </cell>
          <cell r="BJ31">
            <v>45000</v>
          </cell>
          <cell r="BK31">
            <v>135000</v>
          </cell>
          <cell r="BL31">
            <v>112500</v>
          </cell>
          <cell r="BM31">
            <v>22500</v>
          </cell>
          <cell r="BN31">
            <v>56250</v>
          </cell>
          <cell r="BO31">
            <v>168750</v>
          </cell>
        </row>
        <row r="32">
          <cell r="A32">
            <v>28</v>
          </cell>
          <cell r="B32" t="str">
            <v>Media and Information Technology</v>
          </cell>
          <cell r="C32" t="str">
            <v>Support</v>
          </cell>
          <cell r="D32">
            <v>15000</v>
          </cell>
          <cell r="E32">
            <v>510</v>
          </cell>
          <cell r="F32">
            <v>270</v>
          </cell>
          <cell r="G32">
            <v>14220</v>
          </cell>
          <cell r="H32">
            <v>0.98</v>
          </cell>
          <cell r="I32">
            <v>0.96</v>
          </cell>
          <cell r="J32">
            <v>0.93</v>
          </cell>
          <cell r="K32">
            <v>0.982</v>
          </cell>
          <cell r="L32">
            <v>0.575</v>
          </cell>
          <cell r="M32">
            <v>0.632</v>
          </cell>
          <cell r="N32">
            <v>0.703</v>
          </cell>
          <cell r="O32">
            <v>0.56</v>
          </cell>
          <cell r="P32">
            <v>0.02</v>
          </cell>
          <cell r="Q32">
            <v>0.04</v>
          </cell>
          <cell r="R32">
            <v>0.07</v>
          </cell>
          <cell r="S32">
            <v>0.018</v>
          </cell>
          <cell r="T32">
            <v>0.03</v>
          </cell>
          <cell r="U32">
            <v>0.036</v>
          </cell>
          <cell r="V32">
            <v>0.076</v>
          </cell>
          <cell r="W32">
            <v>0.029</v>
          </cell>
          <cell r="X32">
            <v>24.4</v>
          </cell>
        </row>
        <row r="32">
          <cell r="AA32">
            <v>50752</v>
          </cell>
        </row>
        <row r="32">
          <cell r="AD32">
            <v>23.2</v>
          </cell>
        </row>
        <row r="32">
          <cell r="AG32">
            <v>48256</v>
          </cell>
        </row>
        <row r="32">
          <cell r="AJ32">
            <v>21.2</v>
          </cell>
        </row>
        <row r="32">
          <cell r="AM32">
            <v>44100</v>
          </cell>
        </row>
        <row r="32">
          <cell r="AP32">
            <v>24.9</v>
          </cell>
        </row>
        <row r="32">
          <cell r="AS32">
            <v>51792</v>
          </cell>
        </row>
        <row r="32">
          <cell r="AV32">
            <v>4500000</v>
          </cell>
          <cell r="AW32">
            <v>153000</v>
          </cell>
          <cell r="AX32">
            <v>81000</v>
          </cell>
          <cell r="AY32">
            <v>4266000</v>
          </cell>
        </row>
        <row r="32">
          <cell r="BD32">
            <v>225000</v>
          </cell>
          <cell r="BE32">
            <v>45000</v>
          </cell>
          <cell r="BF32">
            <v>0</v>
          </cell>
          <cell r="BG32">
            <v>180000</v>
          </cell>
          <cell r="BH32">
            <v>112500</v>
          </cell>
          <cell r="BI32">
            <v>22500</v>
          </cell>
          <cell r="BJ32">
            <v>22500</v>
          </cell>
          <cell r="BK32">
            <v>67500</v>
          </cell>
          <cell r="BL32">
            <v>56250</v>
          </cell>
          <cell r="BM32">
            <v>11250</v>
          </cell>
          <cell r="BN32">
            <v>28125</v>
          </cell>
          <cell r="BO32">
            <v>84375</v>
          </cell>
        </row>
        <row r="33">
          <cell r="A33">
            <v>29</v>
          </cell>
          <cell r="B33" t="str">
            <v>Government</v>
          </cell>
          <cell r="C33" t="str">
            <v>Worker</v>
          </cell>
          <cell r="D33">
            <v>400000</v>
          </cell>
          <cell r="E33">
            <v>13600</v>
          </cell>
          <cell r="F33">
            <v>7200</v>
          </cell>
          <cell r="G33">
            <v>379200</v>
          </cell>
          <cell r="H33">
            <v>0.98</v>
          </cell>
          <cell r="I33">
            <v>0.96</v>
          </cell>
          <cell r="J33">
            <v>0.93</v>
          </cell>
          <cell r="K33">
            <v>0.982</v>
          </cell>
          <cell r="L33">
            <v>0.605</v>
          </cell>
          <cell r="M33">
            <v>0.665</v>
          </cell>
          <cell r="N33">
            <v>0.74</v>
          </cell>
          <cell r="O33">
            <v>0.59</v>
          </cell>
          <cell r="P33">
            <v>0.02</v>
          </cell>
          <cell r="Q33">
            <v>0.04</v>
          </cell>
          <cell r="R33">
            <v>0.07</v>
          </cell>
          <cell r="S33">
            <v>0.018</v>
          </cell>
          <cell r="T33">
            <v>0.03</v>
          </cell>
          <cell r="U33">
            <v>0.036</v>
          </cell>
          <cell r="V33">
            <v>0.076</v>
          </cell>
          <cell r="W33">
            <v>0.029</v>
          </cell>
          <cell r="X33">
            <v>24.54</v>
          </cell>
        </row>
        <row r="33">
          <cell r="AA33">
            <v>51043</v>
          </cell>
        </row>
        <row r="33">
          <cell r="AD33">
            <v>23.3</v>
          </cell>
        </row>
        <row r="33">
          <cell r="AG33">
            <v>48464</v>
          </cell>
        </row>
        <row r="33">
          <cell r="AJ33">
            <v>21.3</v>
          </cell>
        </row>
        <row r="33">
          <cell r="AM33">
            <v>44280</v>
          </cell>
        </row>
        <row r="33">
          <cell r="AP33">
            <v>25</v>
          </cell>
        </row>
        <row r="33">
          <cell r="AS33">
            <v>52000</v>
          </cell>
        </row>
        <row r="33">
          <cell r="AV33">
            <v>120000000</v>
          </cell>
          <cell r="AW33">
            <v>4080000</v>
          </cell>
          <cell r="AX33">
            <v>2160000</v>
          </cell>
          <cell r="AY33">
            <v>113520000</v>
          </cell>
        </row>
        <row r="33">
          <cell r="BD33">
            <v>6000000</v>
          </cell>
          <cell r="BE33">
            <v>1200000</v>
          </cell>
          <cell r="BF33">
            <v>0</v>
          </cell>
          <cell r="BG33">
            <v>4800000</v>
          </cell>
          <cell r="BH33">
            <v>3000000</v>
          </cell>
          <cell r="BI33">
            <v>600000</v>
          </cell>
          <cell r="BJ33">
            <v>600000</v>
          </cell>
          <cell r="BK33">
            <v>1800000</v>
          </cell>
          <cell r="BL33">
            <v>1500000</v>
          </cell>
          <cell r="BM33">
            <v>300000</v>
          </cell>
          <cell r="BN33">
            <v>750000</v>
          </cell>
          <cell r="BO33">
            <v>2250000</v>
          </cell>
        </row>
        <row r="34">
          <cell r="A34">
            <v>30</v>
          </cell>
          <cell r="B34" t="str">
            <v>Government</v>
          </cell>
          <cell r="C34" t="str">
            <v>Support</v>
          </cell>
          <cell r="D34">
            <v>200000</v>
          </cell>
          <cell r="E34">
            <v>6800</v>
          </cell>
          <cell r="F34">
            <v>3600</v>
          </cell>
          <cell r="G34">
            <v>189600</v>
          </cell>
          <cell r="H34">
            <v>0.98</v>
          </cell>
          <cell r="I34">
            <v>0.96</v>
          </cell>
          <cell r="J34">
            <v>0.93</v>
          </cell>
          <cell r="K34">
            <v>0.982</v>
          </cell>
          <cell r="L34">
            <v>0.575</v>
          </cell>
          <cell r="M34">
            <v>0.632</v>
          </cell>
          <cell r="N34">
            <v>0.703</v>
          </cell>
          <cell r="O34">
            <v>0.56</v>
          </cell>
          <cell r="P34">
            <v>0.02</v>
          </cell>
          <cell r="Q34">
            <v>0.04</v>
          </cell>
          <cell r="R34">
            <v>0.07</v>
          </cell>
          <cell r="S34">
            <v>0.018</v>
          </cell>
          <cell r="T34">
            <v>0.03</v>
          </cell>
          <cell r="U34">
            <v>0.036</v>
          </cell>
          <cell r="V34">
            <v>0.076</v>
          </cell>
          <cell r="W34">
            <v>0.029</v>
          </cell>
          <cell r="X34">
            <v>20.86</v>
          </cell>
        </row>
        <row r="34">
          <cell r="AA34">
            <v>43389</v>
          </cell>
        </row>
        <row r="34">
          <cell r="AD34">
            <v>19.8</v>
          </cell>
        </row>
        <row r="34">
          <cell r="AG34">
            <v>41184</v>
          </cell>
        </row>
        <row r="34">
          <cell r="AJ34">
            <v>18.1</v>
          </cell>
        </row>
        <row r="34">
          <cell r="AM34">
            <v>37648</v>
          </cell>
        </row>
        <row r="34">
          <cell r="AP34">
            <v>21.3</v>
          </cell>
        </row>
        <row r="34">
          <cell r="AS34">
            <v>44280</v>
          </cell>
        </row>
        <row r="34">
          <cell r="AV34">
            <v>60000000</v>
          </cell>
          <cell r="AW34">
            <v>2040000</v>
          </cell>
          <cell r="AX34">
            <v>1080000</v>
          </cell>
          <cell r="AY34">
            <v>56760000</v>
          </cell>
        </row>
        <row r="34">
          <cell r="BD34">
            <v>3000000</v>
          </cell>
          <cell r="BE34">
            <v>600000</v>
          </cell>
          <cell r="BF34">
            <v>0</v>
          </cell>
          <cell r="BG34">
            <v>2400000</v>
          </cell>
          <cell r="BH34">
            <v>1500000</v>
          </cell>
          <cell r="BI34">
            <v>300000</v>
          </cell>
          <cell r="BJ34">
            <v>300000</v>
          </cell>
          <cell r="BK34">
            <v>900000</v>
          </cell>
          <cell r="BL34">
            <v>750000</v>
          </cell>
          <cell r="BM34">
            <v>150000</v>
          </cell>
          <cell r="BN34">
            <v>375000</v>
          </cell>
          <cell r="BO34">
            <v>1125000</v>
          </cell>
        </row>
        <row r="35">
          <cell r="A35">
            <v>31</v>
          </cell>
          <cell r="B35" t="str">
            <v>Self-Employed / Non-Employer</v>
          </cell>
          <cell r="C35" t="str">
            <v>Worker</v>
          </cell>
          <cell r="D35">
            <v>180000</v>
          </cell>
          <cell r="E35">
            <v>6120</v>
          </cell>
          <cell r="F35">
            <v>3240</v>
          </cell>
          <cell r="G35">
            <v>170640</v>
          </cell>
          <cell r="H35">
            <v>0.965</v>
          </cell>
          <cell r="I35">
            <v>0.955</v>
          </cell>
          <cell r="J35">
            <v>0.94</v>
          </cell>
          <cell r="K35">
            <v>0.965</v>
          </cell>
          <cell r="L35">
            <v>0.65</v>
          </cell>
          <cell r="M35">
            <v>0.7</v>
          </cell>
          <cell r="N35">
            <v>0.75</v>
          </cell>
          <cell r="O35">
            <v>0.64</v>
          </cell>
          <cell r="P35">
            <v>0.035</v>
          </cell>
          <cell r="Q35">
            <v>0.045</v>
          </cell>
          <cell r="R35">
            <v>0.06</v>
          </cell>
          <cell r="S35">
            <v>0.035</v>
          </cell>
          <cell r="T35">
            <v>0.042</v>
          </cell>
          <cell r="U35">
            <v>0.05</v>
          </cell>
          <cell r="V35">
            <v>0.084</v>
          </cell>
          <cell r="W35">
            <v>0.041</v>
          </cell>
          <cell r="X35">
            <v>37.5</v>
          </cell>
        </row>
        <row r="35">
          <cell r="AA35">
            <v>78000</v>
          </cell>
        </row>
        <row r="35">
          <cell r="AD35">
            <v>35.6</v>
          </cell>
        </row>
        <row r="35">
          <cell r="AG35">
            <v>74048</v>
          </cell>
        </row>
        <row r="35">
          <cell r="AJ35">
            <v>32.6</v>
          </cell>
        </row>
        <row r="35">
          <cell r="AM35">
            <v>67808</v>
          </cell>
        </row>
        <row r="35">
          <cell r="AP35">
            <v>38.3</v>
          </cell>
        </row>
        <row r="35">
          <cell r="AS35">
            <v>79664</v>
          </cell>
        </row>
        <row r="35">
          <cell r="AV35">
            <v>5400000</v>
          </cell>
          <cell r="AW35">
            <v>183600</v>
          </cell>
          <cell r="AX35">
            <v>97200</v>
          </cell>
          <cell r="AY35">
            <v>5122800</v>
          </cell>
        </row>
        <row r="35">
          <cell r="BD35">
            <v>2700000</v>
          </cell>
          <cell r="BE35">
            <v>540000</v>
          </cell>
          <cell r="BF35">
            <v>0</v>
          </cell>
          <cell r="BG35">
            <v>2160000</v>
          </cell>
          <cell r="BH35">
            <v>1350000</v>
          </cell>
          <cell r="BI35">
            <v>270000</v>
          </cell>
          <cell r="BJ35">
            <v>270000</v>
          </cell>
          <cell r="BK35">
            <v>810000</v>
          </cell>
          <cell r="BL35">
            <v>675000</v>
          </cell>
          <cell r="BM35">
            <v>135000</v>
          </cell>
          <cell r="BN35">
            <v>337500</v>
          </cell>
          <cell r="BO35">
            <v>1012500</v>
          </cell>
        </row>
        <row r="36">
          <cell r="A36">
            <v>32</v>
          </cell>
          <cell r="B36" t="str">
            <v>Self-Employed / Non-Employer</v>
          </cell>
          <cell r="C36" t="str">
            <v>Support</v>
          </cell>
          <cell r="D36">
            <v>90000</v>
          </cell>
          <cell r="E36">
            <v>3060</v>
          </cell>
          <cell r="F36">
            <v>1620</v>
          </cell>
          <cell r="G36">
            <v>85320</v>
          </cell>
          <cell r="H36">
            <v>0.965</v>
          </cell>
          <cell r="I36">
            <v>0.955</v>
          </cell>
          <cell r="J36">
            <v>0.94</v>
          </cell>
          <cell r="K36">
            <v>0.965</v>
          </cell>
          <cell r="L36">
            <v>0.552</v>
          </cell>
          <cell r="M36">
            <v>0.595</v>
          </cell>
          <cell r="N36">
            <v>0.637</v>
          </cell>
          <cell r="O36">
            <v>0.544</v>
          </cell>
          <cell r="P36">
            <v>0.035</v>
          </cell>
          <cell r="Q36">
            <v>0.045</v>
          </cell>
          <cell r="R36">
            <v>0.06</v>
          </cell>
          <cell r="S36">
            <v>0.035</v>
          </cell>
          <cell r="T36">
            <v>0.042</v>
          </cell>
          <cell r="U36">
            <v>0.05</v>
          </cell>
          <cell r="V36">
            <v>0.084</v>
          </cell>
          <cell r="W36">
            <v>0.041</v>
          </cell>
          <cell r="X36">
            <v>31.88</v>
          </cell>
        </row>
        <row r="36">
          <cell r="AA36">
            <v>66310</v>
          </cell>
        </row>
        <row r="36">
          <cell r="AD36">
            <v>30.3</v>
          </cell>
        </row>
        <row r="36">
          <cell r="AG36">
            <v>63024</v>
          </cell>
        </row>
        <row r="36">
          <cell r="AJ36">
            <v>27.7</v>
          </cell>
        </row>
        <row r="36">
          <cell r="AM36">
            <v>57616</v>
          </cell>
        </row>
        <row r="36">
          <cell r="AP36">
            <v>32.5</v>
          </cell>
        </row>
        <row r="36">
          <cell r="AS36">
            <v>67600</v>
          </cell>
        </row>
        <row r="36">
          <cell r="AV36">
            <v>2700000</v>
          </cell>
          <cell r="AW36">
            <v>91800</v>
          </cell>
          <cell r="AX36">
            <v>48600</v>
          </cell>
          <cell r="AY36">
            <v>2561400</v>
          </cell>
        </row>
        <row r="36">
          <cell r="BD36">
            <v>1350000</v>
          </cell>
          <cell r="BE36">
            <v>270000</v>
          </cell>
          <cell r="BF36">
            <v>0</v>
          </cell>
          <cell r="BG36">
            <v>1080000</v>
          </cell>
          <cell r="BH36">
            <v>675000</v>
          </cell>
          <cell r="BI36">
            <v>135000</v>
          </cell>
          <cell r="BJ36">
            <v>135000</v>
          </cell>
          <cell r="BK36">
            <v>405000</v>
          </cell>
          <cell r="BL36">
            <v>337500</v>
          </cell>
          <cell r="BM36">
            <v>67500</v>
          </cell>
          <cell r="BN36">
            <v>168750</v>
          </cell>
          <cell r="BO36">
            <v>506250</v>
          </cell>
        </row>
        <row r="37">
          <cell r="A37">
            <v>33</v>
          </cell>
          <cell r="B37" t="str">
            <v>Other Services</v>
          </cell>
          <cell r="C37" t="str">
            <v>Worker</v>
          </cell>
          <cell r="D37">
            <v>110000</v>
          </cell>
          <cell r="E37">
            <v>3740</v>
          </cell>
          <cell r="F37">
            <v>1980</v>
          </cell>
          <cell r="G37">
            <v>104280</v>
          </cell>
          <cell r="H37">
            <v>0.96</v>
          </cell>
          <cell r="I37">
            <v>0.93</v>
          </cell>
          <cell r="J37">
            <v>0.88</v>
          </cell>
          <cell r="K37">
            <v>0.963</v>
          </cell>
          <cell r="L37">
            <v>0.58</v>
          </cell>
          <cell r="M37">
            <v>0.64</v>
          </cell>
          <cell r="N37">
            <v>0.71</v>
          </cell>
          <cell r="O37">
            <v>0.57</v>
          </cell>
          <cell r="P37">
            <v>0.04</v>
          </cell>
          <cell r="Q37">
            <v>0.07</v>
          </cell>
          <cell r="R37">
            <v>0.12</v>
          </cell>
          <cell r="S37">
            <v>0.037</v>
          </cell>
          <cell r="T37">
            <v>0.076</v>
          </cell>
          <cell r="U37">
            <v>0.1</v>
          </cell>
          <cell r="V37">
            <v>0.17</v>
          </cell>
          <cell r="W37">
            <v>0.073</v>
          </cell>
          <cell r="X37">
            <v>15.21</v>
          </cell>
        </row>
        <row r="37">
          <cell r="AA37">
            <v>31637</v>
          </cell>
        </row>
        <row r="37">
          <cell r="AD37">
            <v>14.5</v>
          </cell>
        </row>
        <row r="37">
          <cell r="AG37">
            <v>30160</v>
          </cell>
        </row>
        <row r="37">
          <cell r="AJ37">
            <v>12.6</v>
          </cell>
        </row>
        <row r="37">
          <cell r="AM37">
            <v>26208</v>
          </cell>
        </row>
        <row r="37">
          <cell r="AP37">
            <v>15.5</v>
          </cell>
        </row>
        <row r="37">
          <cell r="AS37">
            <v>32240</v>
          </cell>
        </row>
        <row r="37">
          <cell r="AV37">
            <v>3300000</v>
          </cell>
          <cell r="AW37">
            <v>112200</v>
          </cell>
          <cell r="AX37">
            <v>59400</v>
          </cell>
          <cell r="AY37">
            <v>3127800</v>
          </cell>
        </row>
        <row r="37">
          <cell r="BD37">
            <v>1650000</v>
          </cell>
          <cell r="BE37">
            <v>330000</v>
          </cell>
          <cell r="BF37">
            <v>0</v>
          </cell>
          <cell r="BG37">
            <v>1320000</v>
          </cell>
          <cell r="BH37">
            <v>825000</v>
          </cell>
          <cell r="BI37">
            <v>165000</v>
          </cell>
          <cell r="BJ37">
            <v>165000</v>
          </cell>
          <cell r="BK37">
            <v>495000</v>
          </cell>
          <cell r="BL37">
            <v>412500</v>
          </cell>
          <cell r="BM37">
            <v>82500</v>
          </cell>
          <cell r="BN37">
            <v>206250</v>
          </cell>
          <cell r="BO37">
            <v>618750</v>
          </cell>
        </row>
        <row r="38">
          <cell r="A38">
            <v>34</v>
          </cell>
          <cell r="B38" t="str">
            <v>Other Services</v>
          </cell>
          <cell r="C38" t="str">
            <v>Support</v>
          </cell>
          <cell r="D38">
            <v>55000</v>
          </cell>
          <cell r="E38">
            <v>1870</v>
          </cell>
          <cell r="F38">
            <v>990</v>
          </cell>
          <cell r="G38">
            <v>52140</v>
          </cell>
          <cell r="H38">
            <v>0.96</v>
          </cell>
          <cell r="I38">
            <v>0.93</v>
          </cell>
          <cell r="J38">
            <v>0.88</v>
          </cell>
          <cell r="K38">
            <v>0.963</v>
          </cell>
          <cell r="L38">
            <v>0.551</v>
          </cell>
          <cell r="M38">
            <v>0.608</v>
          </cell>
          <cell r="N38">
            <v>0.674</v>
          </cell>
          <cell r="O38">
            <v>0.542</v>
          </cell>
          <cell r="P38">
            <v>0.04</v>
          </cell>
          <cell r="Q38">
            <v>0.07</v>
          </cell>
          <cell r="R38">
            <v>0.12</v>
          </cell>
          <cell r="S38">
            <v>0.037</v>
          </cell>
          <cell r="T38">
            <v>0.076</v>
          </cell>
          <cell r="U38">
            <v>0.1</v>
          </cell>
          <cell r="V38">
            <v>0.17</v>
          </cell>
          <cell r="W38">
            <v>0.073</v>
          </cell>
          <cell r="X38">
            <v>12.93</v>
          </cell>
        </row>
        <row r="38">
          <cell r="AA38">
            <v>26904</v>
          </cell>
        </row>
        <row r="38">
          <cell r="AD38">
            <v>12.3</v>
          </cell>
        </row>
        <row r="38">
          <cell r="AG38">
            <v>25584</v>
          </cell>
        </row>
        <row r="38">
          <cell r="AJ38">
            <v>10.7</v>
          </cell>
        </row>
        <row r="38">
          <cell r="AM38">
            <v>22256</v>
          </cell>
        </row>
        <row r="38">
          <cell r="AP38">
            <v>13.2</v>
          </cell>
        </row>
        <row r="38">
          <cell r="AS38">
            <v>27456</v>
          </cell>
        </row>
        <row r="38">
          <cell r="AV38">
            <v>1650000</v>
          </cell>
          <cell r="AW38">
            <v>56100</v>
          </cell>
          <cell r="AX38">
            <v>29700</v>
          </cell>
          <cell r="AY38">
            <v>1563900</v>
          </cell>
        </row>
        <row r="38">
          <cell r="BD38">
            <v>825000</v>
          </cell>
          <cell r="BE38">
            <v>165000</v>
          </cell>
          <cell r="BF38">
            <v>0</v>
          </cell>
          <cell r="BG38">
            <v>660000</v>
          </cell>
          <cell r="BH38">
            <v>412500</v>
          </cell>
          <cell r="BI38">
            <v>82500</v>
          </cell>
          <cell r="BJ38">
            <v>82500</v>
          </cell>
          <cell r="BK38">
            <v>247500</v>
          </cell>
          <cell r="BL38">
            <v>206250</v>
          </cell>
          <cell r="BM38">
            <v>41250</v>
          </cell>
          <cell r="BN38">
            <v>103125</v>
          </cell>
          <cell r="BO38">
            <v>309375</v>
          </cell>
        </row>
      </sheetData>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E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 width="23.07"/>
    <col collapsed="false" customWidth="true" hidden="false" outlineLevel="0" max="2" min="2" style="2" width="53.04"/>
    <col collapsed="false" customWidth="true" hidden="false" outlineLevel="0" max="3" min="3" style="2" width="32.28"/>
    <col collapsed="false" customWidth="true" hidden="false" outlineLevel="0" max="4" min="4" style="2" width="6.93"/>
    <col collapsed="false" customWidth="false" hidden="false" outlineLevel="0" max="5" min="5" style="2" width="11.53"/>
  </cols>
  <sheetData>
    <row r="1" customFormat="false" ht="12.8" hidden="false" customHeight="false" outlineLevel="0" collapsed="false">
      <c r="A1" s="3" t="s">
        <v>0</v>
      </c>
      <c r="B1" s="4" t="s">
        <v>1</v>
      </c>
      <c r="C1" s="4" t="s">
        <v>2</v>
      </c>
      <c r="D1" s="4"/>
    </row>
    <row r="2" customFormat="false" ht="12.8" hidden="false" customHeight="false" outlineLevel="0" collapsed="false">
      <c r="A2" s="5" t="s">
        <v>3</v>
      </c>
      <c r="B2" s="6" t="s">
        <v>4</v>
      </c>
      <c r="C2" s="6"/>
      <c r="D2" s="7"/>
    </row>
    <row r="3" customFormat="false" ht="12.8" hidden="false" customHeight="false" outlineLevel="0" collapsed="false">
      <c r="A3" s="3" t="s">
        <v>5</v>
      </c>
      <c r="B3" s="7" t="s">
        <v>6</v>
      </c>
      <c r="C3" s="7"/>
      <c r="D3" s="8"/>
    </row>
    <row r="4" customFormat="false" ht="12.8" hidden="false" customHeight="false" outlineLevel="0" collapsed="false">
      <c r="A4" s="3" t="s">
        <v>7</v>
      </c>
      <c r="B4" s="7" t="s">
        <v>8</v>
      </c>
      <c r="C4" s="7"/>
      <c r="D4" s="8"/>
    </row>
    <row r="5" customFormat="false" ht="12.8" hidden="false" customHeight="false" outlineLevel="0" collapsed="false">
      <c r="A5" s="3" t="s">
        <v>9</v>
      </c>
      <c r="B5" s="7" t="s">
        <v>10</v>
      </c>
      <c r="C5" s="7"/>
      <c r="D5" s="8"/>
    </row>
    <row r="6" customFormat="false" ht="12.8" hidden="false" customHeight="false" outlineLevel="0" collapsed="false">
      <c r="A6" s="3" t="s">
        <v>11</v>
      </c>
      <c r="B6" s="7" t="s">
        <v>12</v>
      </c>
      <c r="C6" s="7"/>
      <c r="D6" s="8"/>
    </row>
    <row r="7" customFormat="false" ht="12.8" hidden="false" customHeight="false" outlineLevel="0" collapsed="false">
      <c r="A7" s="3" t="s">
        <v>13</v>
      </c>
      <c r="B7" s="7" t="s">
        <v>14</v>
      </c>
      <c r="C7" s="7"/>
      <c r="D7" s="8"/>
    </row>
    <row r="8" customFormat="false" ht="12.8" hidden="false" customHeight="false" outlineLevel="0" collapsed="false">
      <c r="A8" s="3" t="s">
        <v>15</v>
      </c>
      <c r="B8" s="7" t="s">
        <v>16</v>
      </c>
      <c r="C8" s="7"/>
      <c r="D8" s="8"/>
    </row>
    <row r="9" customFormat="false" ht="12.8" hidden="false" customHeight="false" outlineLevel="0" collapsed="false">
      <c r="A9" s="3"/>
      <c r="B9" s="7"/>
      <c r="C9" s="7"/>
    </row>
    <row r="10" customFormat="false" ht="12.8" hidden="false" customHeight="false" outlineLevel="0" collapsed="false">
      <c r="A10" s="3"/>
      <c r="B10" s="7"/>
      <c r="C10" s="7"/>
    </row>
    <row r="11" customFormat="false" ht="12.8" hidden="false" customHeight="false" outlineLevel="0" collapsed="false">
      <c r="A11" s="3"/>
      <c r="B11" s="7"/>
      <c r="C11" s="7"/>
    </row>
    <row r="12" customFormat="false" ht="12.8" hidden="false" customHeight="false" outlineLevel="0" collapsed="false">
      <c r="B12" s="9"/>
      <c r="C12" s="9"/>
    </row>
    <row r="14" customFormat="false" ht="12.8" hidden="false" customHeight="false" outlineLevel="0" collapsed="false">
      <c r="A14" s="3" t="s">
        <v>17</v>
      </c>
      <c r="B14" s="7" t="s">
        <v>18</v>
      </c>
      <c r="C14" s="7" t="s">
        <v>19</v>
      </c>
    </row>
    <row r="15" customFormat="false" ht="12.8" hidden="false" customHeight="false" outlineLevel="0" collapsed="false">
      <c r="A15" s="3" t="s">
        <v>20</v>
      </c>
      <c r="B15" s="8" t="s">
        <v>21</v>
      </c>
      <c r="C15" s="8" t="s">
        <v>22</v>
      </c>
    </row>
    <row r="16" customFormat="false" ht="12.8" hidden="false" customHeight="false" outlineLevel="0" collapsed="false">
      <c r="A16" s="3"/>
      <c r="B16" s="8" t="s">
        <v>23</v>
      </c>
      <c r="C16" s="8" t="s">
        <v>24</v>
      </c>
    </row>
    <row r="17" customFormat="false" ht="12.8" hidden="false" customHeight="false" outlineLevel="0" collapsed="false">
      <c r="A17" s="3"/>
      <c r="B17" s="8" t="s">
        <v>25</v>
      </c>
      <c r="C17" s="8" t="s">
        <v>26</v>
      </c>
    </row>
    <row r="18" customFormat="false" ht="12.8" hidden="false" customHeight="false" outlineLevel="0" collapsed="false">
      <c r="A18" s="10"/>
      <c r="B18" s="8" t="s">
        <v>27</v>
      </c>
      <c r="C18" s="8" t="s">
        <v>28</v>
      </c>
    </row>
    <row r="19" customFormat="false" ht="12.8" hidden="false" customHeight="false" outlineLevel="0" collapsed="false">
      <c r="A19" s="10"/>
      <c r="B19" s="8" t="s">
        <v>29</v>
      </c>
      <c r="C19" s="8" t="s">
        <v>30</v>
      </c>
    </row>
    <row r="20" customFormat="false" ht="12.8" hidden="false" customHeight="false" outlineLevel="0" collapsed="false">
      <c r="B20" s="2" t="s">
        <v>31</v>
      </c>
      <c r="C20" s="2" t="s">
        <v>32</v>
      </c>
    </row>
    <row r="21" customFormat="false" ht="12.8" hidden="false" customHeight="false" outlineLevel="0" collapsed="false">
      <c r="B21" s="2" t="s">
        <v>21</v>
      </c>
      <c r="C21" s="2" t="s">
        <v>22</v>
      </c>
    </row>
    <row r="22" customFormat="false" ht="12.8" hidden="false" customHeight="false" outlineLevel="0" collapsed="false">
      <c r="B22" s="2" t="s">
        <v>33</v>
      </c>
      <c r="C22" s="2" t="s">
        <v>34</v>
      </c>
    </row>
    <row r="23" customFormat="false" ht="12.8" hidden="false" customHeight="false" outlineLevel="0" collapsed="false">
      <c r="B23" s="2" t="s">
        <v>35</v>
      </c>
      <c r="C23" s="2" t="s">
        <v>36</v>
      </c>
    </row>
    <row r="24" customFormat="false" ht="12.8" hidden="false" customHeight="false" outlineLevel="0" collapsed="false">
      <c r="B24" s="2" t="s">
        <v>37</v>
      </c>
      <c r="C24" s="2" t="s">
        <v>38</v>
      </c>
    </row>
    <row r="25" customFormat="false" ht="12.8" hidden="false" customHeight="false" outlineLevel="0" collapsed="false">
      <c r="B25" s="2" t="s">
        <v>39</v>
      </c>
      <c r="C25" s="2" t="s">
        <v>40</v>
      </c>
    </row>
    <row r="26" customFormat="false" ht="12.8" hidden="false" customHeight="false" outlineLevel="0" collapsed="false">
      <c r="B26" s="2" t="s">
        <v>41</v>
      </c>
      <c r="C26" s="2" t="s">
        <v>42</v>
      </c>
    </row>
    <row r="27" customFormat="false" ht="12.8" hidden="false" customHeight="false" outlineLevel="0" collapsed="false">
      <c r="B27" s="2" t="s">
        <v>43</v>
      </c>
      <c r="C27" s="2" t="s">
        <v>44</v>
      </c>
    </row>
    <row r="28" customFormat="false" ht="12.8" hidden="false" customHeight="false" outlineLevel="0" collapsed="false">
      <c r="B28" s="2" t="s">
        <v>45</v>
      </c>
      <c r="C28" s="2" t="s">
        <v>46</v>
      </c>
    </row>
    <row r="29" customFormat="false" ht="12.8" hidden="false" customHeight="false" outlineLevel="0" collapsed="false">
      <c r="B29" s="2" t="s">
        <v>47</v>
      </c>
      <c r="C29" s="2" t="s">
        <v>48</v>
      </c>
    </row>
    <row r="30" customFormat="false" ht="12.8" hidden="false" customHeight="false" outlineLevel="0" collapsed="false">
      <c r="B30" s="2" t="s">
        <v>49</v>
      </c>
      <c r="C30" s="2" t="s">
        <v>50</v>
      </c>
    </row>
    <row r="31" customFormat="false" ht="12.8" hidden="false" customHeight="false" outlineLevel="0" collapsed="false">
      <c r="B31" s="2" t="s">
        <v>51</v>
      </c>
      <c r="C31" s="2" t="s">
        <v>52</v>
      </c>
    </row>
    <row r="32" customFormat="false" ht="12.8" hidden="false" customHeight="false" outlineLevel="0" collapsed="false">
      <c r="B32" s="2" t="s">
        <v>53</v>
      </c>
      <c r="C32" s="2" t="s">
        <v>54</v>
      </c>
    </row>
    <row r="33" customFormat="false" ht="12.8" hidden="false" customHeight="false" outlineLevel="0" collapsed="false">
      <c r="B33" s="2" t="s">
        <v>55</v>
      </c>
      <c r="C33" s="2" t="s">
        <v>56</v>
      </c>
    </row>
    <row r="34" customFormat="false" ht="12.8" hidden="false" customHeight="false" outlineLevel="0" collapsed="false">
      <c r="B34" s="2" t="s">
        <v>57</v>
      </c>
      <c r="C34" s="2" t="s">
        <v>58</v>
      </c>
    </row>
    <row r="35" customFormat="false" ht="12.8" hidden="false" customHeight="false" outlineLevel="0" collapsed="false">
      <c r="B35" s="2" t="s">
        <v>59</v>
      </c>
      <c r="C35" s="2" t="s">
        <v>60</v>
      </c>
    </row>
    <row r="36" customFormat="false" ht="12.8" hidden="false" customHeight="false" outlineLevel="0" collapsed="false">
      <c r="B36" s="2" t="s">
        <v>61</v>
      </c>
      <c r="C36" s="2" t="s">
        <v>62</v>
      </c>
    </row>
    <row r="38" customFormat="false" ht="12.8" hidden="false" customHeight="false" outlineLevel="0" collapsed="false">
      <c r="A38" s="3" t="s">
        <v>63</v>
      </c>
      <c r="B38" s="7" t="s">
        <v>64</v>
      </c>
    </row>
    <row r="39" customFormat="false" ht="12.8" hidden="false" customHeight="false" outlineLevel="0" collapsed="false">
      <c r="A39" s="3" t="s">
        <v>31</v>
      </c>
      <c r="B39" s="7" t="s">
        <v>65</v>
      </c>
      <c r="C39" s="7" t="s">
        <v>66</v>
      </c>
      <c r="D39" s="7" t="s">
        <v>67</v>
      </c>
      <c r="E39" s="7" t="s">
        <v>68</v>
      </c>
    </row>
    <row r="40" customFormat="false" ht="12.8" hidden="false" customHeight="false" outlineLevel="0" collapsed="false">
      <c r="A40" s="1" t="s">
        <v>69</v>
      </c>
      <c r="B40" s="8" t="s">
        <v>70</v>
      </c>
      <c r="C40" s="2" t="s">
        <v>71</v>
      </c>
      <c r="D40" s="2" t="s">
        <v>72</v>
      </c>
      <c r="E40" s="11" t="s">
        <v>73</v>
      </c>
    </row>
    <row r="41" customFormat="false" ht="225.35" hidden="false" customHeight="false" outlineLevel="0" collapsed="false">
      <c r="A41" s="1" t="s">
        <v>74</v>
      </c>
      <c r="B41" s="2" t="s">
        <v>75</v>
      </c>
      <c r="C41" s="12" t="s">
        <v>76</v>
      </c>
      <c r="D41" s="8" t="s">
        <v>77</v>
      </c>
      <c r="E41" s="11" t="s">
        <v>78</v>
      </c>
    </row>
    <row r="42" customFormat="false" ht="281.3" hidden="false" customHeight="false" outlineLevel="0" collapsed="false">
      <c r="A42" s="1" t="s">
        <v>79</v>
      </c>
      <c r="B42" s="2" t="s">
        <v>80</v>
      </c>
      <c r="C42" s="12" t="s">
        <v>81</v>
      </c>
      <c r="D42" s="2" t="s">
        <v>82</v>
      </c>
      <c r="E42" s="2" t="s">
        <v>83</v>
      </c>
    </row>
    <row r="43" customFormat="false" ht="281.3" hidden="false" customHeight="false" outlineLevel="0" collapsed="false">
      <c r="A43" s="1" t="s">
        <v>84</v>
      </c>
      <c r="B43" s="2" t="s">
        <v>80</v>
      </c>
      <c r="C43" s="12" t="s">
        <v>81</v>
      </c>
      <c r="D43" s="8" t="s">
        <v>85</v>
      </c>
      <c r="E43" s="11" t="s">
        <v>78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F61"/>
  <sheetViews>
    <sheetView showFormulas="false" showGridLines="true" showRowColHeaders="true" showZeros="true" rightToLeft="false" tabSelected="false" showOutlineSymbols="true" defaultGridColor="true" view="normal" topLeftCell="A32" colorId="64" zoomScale="100" zoomScaleNormal="100" zoomScalePageLayoutView="100" workbookViewId="0">
      <selection pane="topLeft" activeCell="C62" activeCellId="0" sqref="C62"/>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16.14"/>
  </cols>
  <sheetData>
    <row r="1" customFormat="false" ht="12.8" hidden="false" customHeight="false" outlineLevel="0" collapsed="false">
      <c r="A1" s="3" t="s">
        <v>5</v>
      </c>
      <c r="B1" s="14" t="s">
        <v>6</v>
      </c>
      <c r="C1" s="15" t="s">
        <v>2</v>
      </c>
      <c r="D1" s="13"/>
      <c r="E1" s="13"/>
      <c r="F1" s="13"/>
    </row>
    <row r="2" customFormat="false" ht="12.8" hidden="false" customHeight="false" outlineLevel="0" collapsed="false">
      <c r="A2" s="13" t="s">
        <v>86</v>
      </c>
      <c r="B2" s="13" t="s">
        <v>87</v>
      </c>
      <c r="C2" s="13" t="s">
        <v>88</v>
      </c>
      <c r="D2" s="13" t="s">
        <v>89</v>
      </c>
      <c r="E2" s="13" t="s">
        <v>90</v>
      </c>
      <c r="F2" s="13"/>
    </row>
    <row r="3" customFormat="false" ht="12.8" hidden="false" customHeight="false" outlineLevel="0" collapsed="false">
      <c r="A3" s="13" t="n">
        <v>1</v>
      </c>
      <c r="B3" s="13" t="s">
        <v>91</v>
      </c>
      <c r="C3" s="13" t="s">
        <v>92</v>
      </c>
      <c r="D3" s="13" t="s">
        <v>93</v>
      </c>
      <c r="E3" s="13" t="s">
        <v>94</v>
      </c>
      <c r="F3" s="13"/>
    </row>
    <row r="4" customFormat="false" ht="12.8" hidden="false" customHeight="false" outlineLevel="0" collapsed="false">
      <c r="A4" s="13" t="n">
        <v>1.1</v>
      </c>
      <c r="B4" s="13" t="s">
        <v>95</v>
      </c>
      <c r="C4" s="13" t="s">
        <v>96</v>
      </c>
      <c r="D4" s="13" t="s">
        <v>97</v>
      </c>
      <c r="E4" s="13" t="s">
        <v>98</v>
      </c>
      <c r="F4" s="13"/>
    </row>
    <row r="5" customFormat="false" ht="12.8" hidden="false" customHeight="false" outlineLevel="0" collapsed="false">
      <c r="A5" s="13" t="n">
        <v>1.2</v>
      </c>
      <c r="B5" s="13" t="s">
        <v>99</v>
      </c>
      <c r="C5" s="13" t="s">
        <v>100</v>
      </c>
      <c r="D5" s="13" t="s">
        <v>101</v>
      </c>
      <c r="E5" s="13" t="s">
        <v>98</v>
      </c>
      <c r="F5" s="13"/>
    </row>
    <row r="6" customFormat="false" ht="12.8" hidden="false" customHeight="false" outlineLevel="0" collapsed="false">
      <c r="A6" s="13" t="n">
        <v>2</v>
      </c>
      <c r="B6" s="13" t="s">
        <v>102</v>
      </c>
      <c r="C6" s="13" t="s">
        <v>103</v>
      </c>
      <c r="D6" s="13" t="s">
        <v>104</v>
      </c>
      <c r="E6" s="13"/>
      <c r="F6" s="13"/>
    </row>
    <row r="7" customFormat="false" ht="12.8" hidden="false" customHeight="false" outlineLevel="0" collapsed="false">
      <c r="A7" s="13" t="n">
        <v>2.1</v>
      </c>
      <c r="B7" s="13" t="s">
        <v>105</v>
      </c>
      <c r="C7" s="13" t="s">
        <v>106</v>
      </c>
      <c r="D7" s="13" t="s">
        <v>107</v>
      </c>
      <c r="E7" s="13"/>
      <c r="F7" s="13"/>
    </row>
    <row r="8" customFormat="false" ht="12.8" hidden="false" customHeight="false" outlineLevel="0" collapsed="false">
      <c r="A8" s="13" t="n">
        <v>2.2</v>
      </c>
      <c r="B8" s="13" t="s">
        <v>108</v>
      </c>
      <c r="C8" s="13" t="s">
        <v>109</v>
      </c>
      <c r="D8" s="13" t="s">
        <v>110</v>
      </c>
      <c r="E8" s="13"/>
      <c r="F8" s="13"/>
    </row>
    <row r="9" customFormat="false" ht="12.8" hidden="false" customHeight="false" outlineLevel="0" collapsed="false">
      <c r="A9" s="13" t="n">
        <v>3</v>
      </c>
      <c r="B9" s="13" t="s">
        <v>111</v>
      </c>
      <c r="C9" s="13" t="s">
        <v>112</v>
      </c>
      <c r="D9" s="13" t="s">
        <v>113</v>
      </c>
      <c r="E9" s="13" t="s">
        <v>114</v>
      </c>
      <c r="F9" s="13"/>
    </row>
    <row r="10" customFormat="false" ht="12.8" hidden="false" customHeight="false" outlineLevel="0" collapsed="false">
      <c r="A10" s="13" t="n">
        <v>4</v>
      </c>
      <c r="B10" s="13" t="s">
        <v>115</v>
      </c>
      <c r="C10" s="13" t="s">
        <v>116</v>
      </c>
      <c r="D10" s="13" t="s">
        <v>117</v>
      </c>
      <c r="E10" s="13" t="s">
        <v>118</v>
      </c>
      <c r="F10" s="13"/>
    </row>
    <row r="11" customFormat="false" ht="12.8" hidden="false" customHeight="false" outlineLevel="0" collapsed="false">
      <c r="A11" s="13" t="n">
        <v>4.1</v>
      </c>
      <c r="B11" s="13" t="s">
        <v>119</v>
      </c>
      <c r="C11" s="13" t="s">
        <v>120</v>
      </c>
      <c r="D11" s="13" t="s">
        <v>121</v>
      </c>
      <c r="E11" s="13"/>
      <c r="F11" s="13"/>
    </row>
    <row r="12" customFormat="false" ht="12.8" hidden="false" customHeight="false" outlineLevel="0" collapsed="false">
      <c r="A12" s="13" t="n">
        <v>4.2</v>
      </c>
      <c r="B12" s="13" t="s">
        <v>122</v>
      </c>
      <c r="C12" s="13" t="s">
        <v>123</v>
      </c>
      <c r="D12" s="13" t="s">
        <v>124</v>
      </c>
      <c r="E12" s="13"/>
      <c r="F12" s="13"/>
    </row>
    <row r="13" customFormat="false" ht="12.8" hidden="false" customHeight="false" outlineLevel="0" collapsed="false">
      <c r="A13" s="13" t="n">
        <v>4.3</v>
      </c>
      <c r="B13" s="13" t="s">
        <v>125</v>
      </c>
      <c r="C13" s="13" t="s">
        <v>126</v>
      </c>
      <c r="D13" s="13" t="s">
        <v>127</v>
      </c>
      <c r="E13" s="13"/>
      <c r="F13" s="13"/>
    </row>
    <row r="14" customFormat="false" ht="12.8" hidden="false" customHeight="false" outlineLevel="0" collapsed="false">
      <c r="A14" s="13" t="n">
        <v>5</v>
      </c>
      <c r="B14" s="13" t="s">
        <v>128</v>
      </c>
      <c r="C14" s="13" t="s">
        <v>129</v>
      </c>
      <c r="D14" s="13" t="s">
        <v>130</v>
      </c>
      <c r="E14" s="13"/>
      <c r="F14" s="13"/>
    </row>
    <row r="15" customFormat="false" ht="12.8" hidden="false" customHeight="false" outlineLevel="0" collapsed="false">
      <c r="A15" s="13" t="n">
        <v>5.1</v>
      </c>
      <c r="B15" s="13" t="s">
        <v>131</v>
      </c>
      <c r="C15" s="13" t="s">
        <v>132</v>
      </c>
      <c r="D15" s="13" t="s">
        <v>133</v>
      </c>
      <c r="E15" s="13"/>
      <c r="F15" s="13"/>
    </row>
    <row r="16" customFormat="false" ht="12.8" hidden="false" customHeight="false" outlineLevel="0" collapsed="false">
      <c r="A16" s="13" t="n">
        <v>5.2</v>
      </c>
      <c r="B16" s="13" t="s">
        <v>134</v>
      </c>
      <c r="C16" s="13" t="s">
        <v>135</v>
      </c>
      <c r="D16" s="13" t="s">
        <v>136</v>
      </c>
      <c r="E16" s="13"/>
      <c r="F16" s="13"/>
    </row>
    <row r="17" customFormat="false" ht="12.8" hidden="false" customHeight="false" outlineLevel="0" collapsed="false">
      <c r="A17" s="14" t="n">
        <v>5.3</v>
      </c>
      <c r="B17" s="14" t="s">
        <v>137</v>
      </c>
      <c r="C17" s="13" t="s">
        <v>138</v>
      </c>
      <c r="D17" s="13" t="s">
        <v>139</v>
      </c>
      <c r="E17" s="13"/>
      <c r="F17" s="13"/>
    </row>
    <row r="18" customFormat="false" ht="12.8" hidden="false" customHeight="false" outlineLevel="0" collapsed="false">
      <c r="A18" s="13" t="n">
        <v>6</v>
      </c>
      <c r="B18" s="13" t="s">
        <v>140</v>
      </c>
      <c r="C18" s="13" t="s">
        <v>141</v>
      </c>
      <c r="D18" s="13" t="s">
        <v>142</v>
      </c>
      <c r="E18" s="13"/>
      <c r="F18" s="13"/>
    </row>
    <row r="19" customFormat="false" ht="12.8" hidden="false" customHeight="false" outlineLevel="0" collapsed="false">
      <c r="A19" s="13" t="n">
        <v>6.1</v>
      </c>
      <c r="B19" s="13" t="s">
        <v>143</v>
      </c>
      <c r="C19" s="13" t="s">
        <v>144</v>
      </c>
      <c r="D19" s="13" t="s">
        <v>145</v>
      </c>
      <c r="E19" s="13"/>
      <c r="F19" s="13"/>
    </row>
    <row r="20" customFormat="false" ht="12.8" hidden="false" customHeight="false" outlineLevel="0" collapsed="false">
      <c r="A20" s="13" t="n">
        <v>6.2</v>
      </c>
      <c r="B20" s="13" t="s">
        <v>146</v>
      </c>
      <c r="C20" s="13" t="s">
        <v>147</v>
      </c>
      <c r="D20" s="13" t="s">
        <v>148</v>
      </c>
      <c r="E20" s="13"/>
      <c r="F20" s="13"/>
    </row>
    <row r="21" customFormat="false" ht="12.8" hidden="false" customHeight="false" outlineLevel="0" collapsed="false">
      <c r="A21" s="16" t="n">
        <v>6.3</v>
      </c>
      <c r="B21" s="16" t="s">
        <v>149</v>
      </c>
      <c r="C21" s="16" t="s">
        <v>150</v>
      </c>
      <c r="D21" s="16" t="s">
        <v>151</v>
      </c>
      <c r="E21" s="16"/>
      <c r="F21" s="16"/>
    </row>
    <row r="22" customFormat="false" ht="12.8" hidden="false" customHeight="false" outlineLevel="0" collapsed="false">
      <c r="A22" s="16" t="n">
        <v>6.4</v>
      </c>
      <c r="B22" s="16" t="s">
        <v>152</v>
      </c>
      <c r="C22" s="16" t="s">
        <v>153</v>
      </c>
      <c r="D22" s="16" t="s">
        <v>154</v>
      </c>
      <c r="E22" s="16"/>
      <c r="F22" s="16"/>
    </row>
    <row r="23" customFormat="false" ht="12.8" hidden="false" customHeight="false" outlineLevel="0" collapsed="false">
      <c r="A23" s="16" t="n">
        <v>6.5</v>
      </c>
      <c r="B23" s="16" t="s">
        <v>155</v>
      </c>
      <c r="C23" s="16" t="s">
        <v>156</v>
      </c>
      <c r="D23" s="16" t="s">
        <v>157</v>
      </c>
      <c r="E23" s="16"/>
      <c r="F23" s="16"/>
    </row>
    <row r="24" customFormat="false" ht="12.8" hidden="false" customHeight="false" outlineLevel="0" collapsed="false">
      <c r="A24" s="16" t="n">
        <v>6.6</v>
      </c>
      <c r="B24" s="16" t="s">
        <v>158</v>
      </c>
      <c r="C24" s="16" t="s">
        <v>159</v>
      </c>
      <c r="D24" s="16" t="s">
        <v>160</v>
      </c>
      <c r="E24" s="16"/>
      <c r="F24" s="16"/>
    </row>
    <row r="25" customFormat="false" ht="12.8" hidden="false" customHeight="false" outlineLevel="0" collapsed="false">
      <c r="A25" s="16" t="n">
        <v>7</v>
      </c>
      <c r="B25" s="16" t="s">
        <v>161</v>
      </c>
      <c r="C25" s="16" t="s">
        <v>162</v>
      </c>
      <c r="D25" s="16" t="s">
        <v>163</v>
      </c>
      <c r="E25" s="16"/>
      <c r="F25" s="16"/>
    </row>
    <row r="26" customFormat="false" ht="12.8" hidden="false" customHeight="false" outlineLevel="0" collapsed="false">
      <c r="A26" s="16" t="n">
        <v>7.1</v>
      </c>
      <c r="B26" s="16" t="s">
        <v>164</v>
      </c>
      <c r="C26" s="16" t="s">
        <v>165</v>
      </c>
      <c r="D26" s="16" t="s">
        <v>166</v>
      </c>
      <c r="E26" s="16"/>
      <c r="F26" s="16"/>
    </row>
    <row r="27" customFormat="false" ht="12.8" hidden="false" customHeight="false" outlineLevel="0" collapsed="false">
      <c r="A27" s="16" t="n">
        <v>7.2</v>
      </c>
      <c r="B27" s="16" t="s">
        <v>167</v>
      </c>
      <c r="C27" s="16" t="s">
        <v>168</v>
      </c>
      <c r="D27" s="16" t="s">
        <v>169</v>
      </c>
      <c r="E27" s="16"/>
      <c r="F27" s="16"/>
    </row>
    <row r="28" customFormat="false" ht="12.8" hidden="false" customHeight="false" outlineLevel="0" collapsed="false">
      <c r="A28" s="16" t="n">
        <v>7.3</v>
      </c>
      <c r="B28" s="16" t="s">
        <v>170</v>
      </c>
      <c r="C28" s="16" t="s">
        <v>171</v>
      </c>
      <c r="D28" s="16" t="s">
        <v>172</v>
      </c>
      <c r="E28" s="16"/>
      <c r="F28" s="16"/>
    </row>
    <row r="29" customFormat="false" ht="12.8" hidden="false" customHeight="false" outlineLevel="0" collapsed="false">
      <c r="A29" s="16" t="n">
        <v>7.4</v>
      </c>
      <c r="B29" s="16" t="s">
        <v>173</v>
      </c>
      <c r="C29" s="16" t="s">
        <v>174</v>
      </c>
      <c r="D29" s="16" t="s">
        <v>175</v>
      </c>
      <c r="E29" s="16"/>
      <c r="F29" s="16"/>
    </row>
    <row r="30" customFormat="false" ht="12.8" hidden="false" customHeight="false" outlineLevel="0" collapsed="false">
      <c r="A30" s="16" t="n">
        <v>7.5</v>
      </c>
      <c r="B30" s="16" t="s">
        <v>176</v>
      </c>
      <c r="C30" s="16" t="s">
        <v>177</v>
      </c>
      <c r="D30" s="16" t="s">
        <v>178</v>
      </c>
      <c r="E30" s="16"/>
      <c r="F30" s="16"/>
    </row>
    <row r="31" customFormat="false" ht="12.8" hidden="false" customHeight="false" outlineLevel="0" collapsed="false">
      <c r="A31" s="16" t="n">
        <v>7.6</v>
      </c>
      <c r="B31" s="16" t="s">
        <v>179</v>
      </c>
      <c r="C31" s="16" t="s">
        <v>180</v>
      </c>
      <c r="D31" s="16" t="s">
        <v>181</v>
      </c>
      <c r="E31" s="16"/>
      <c r="F31" s="16"/>
    </row>
    <row r="32" customFormat="false" ht="12.8" hidden="false" customHeight="false" outlineLevel="0" collapsed="false">
      <c r="A32" s="16" t="n">
        <v>8</v>
      </c>
      <c r="B32" s="16" t="s">
        <v>182</v>
      </c>
      <c r="C32" s="16" t="s">
        <v>183</v>
      </c>
      <c r="D32" s="16" t="s">
        <v>184</v>
      </c>
      <c r="E32" s="16"/>
      <c r="F32" s="16"/>
    </row>
    <row r="33" customFormat="false" ht="12.8" hidden="false" customHeight="false" outlineLevel="0" collapsed="false">
      <c r="A33" s="16" t="n">
        <v>8.1</v>
      </c>
      <c r="B33" s="16" t="s">
        <v>185</v>
      </c>
      <c r="C33" s="16" t="s">
        <v>186</v>
      </c>
      <c r="D33" s="16" t="s">
        <v>187</v>
      </c>
      <c r="E33" s="16"/>
      <c r="F33" s="16"/>
    </row>
    <row r="34" customFormat="false" ht="12.8" hidden="false" customHeight="false" outlineLevel="0" collapsed="false">
      <c r="A34" s="16" t="n">
        <v>8.2</v>
      </c>
      <c r="B34" s="16" t="s">
        <v>188</v>
      </c>
      <c r="C34" s="16" t="s">
        <v>189</v>
      </c>
      <c r="D34" s="16" t="s">
        <v>190</v>
      </c>
      <c r="E34" s="16"/>
      <c r="F34" s="16"/>
    </row>
    <row r="35" customFormat="false" ht="12.8" hidden="false" customHeight="false" outlineLevel="0" collapsed="false">
      <c r="A35" s="16" t="n">
        <v>9</v>
      </c>
      <c r="B35" s="16" t="s">
        <v>191</v>
      </c>
      <c r="C35" s="16" t="s">
        <v>192</v>
      </c>
      <c r="D35" s="16" t="s">
        <v>193</v>
      </c>
      <c r="E35" s="16"/>
      <c r="F35" s="16"/>
    </row>
    <row r="36" customFormat="false" ht="12.8" hidden="false" customHeight="false" outlineLevel="0" collapsed="false">
      <c r="A36" s="16" t="n">
        <v>9.1</v>
      </c>
      <c r="B36" s="16" t="s">
        <v>194</v>
      </c>
      <c r="C36" s="16" t="s">
        <v>195</v>
      </c>
      <c r="D36" s="16" t="s">
        <v>145</v>
      </c>
      <c r="E36" s="16"/>
      <c r="F36" s="16"/>
    </row>
    <row r="37" customFormat="false" ht="12.8" hidden="false" customHeight="false" outlineLevel="0" collapsed="false">
      <c r="A37" s="16" t="n">
        <v>9.2</v>
      </c>
      <c r="B37" s="16" t="s">
        <v>196</v>
      </c>
      <c r="C37" s="16" t="s">
        <v>197</v>
      </c>
      <c r="D37" s="16" t="s">
        <v>198</v>
      </c>
      <c r="E37" s="16"/>
      <c r="F37" s="16"/>
    </row>
    <row r="38" customFormat="false" ht="12.8" hidden="false" customHeight="false" outlineLevel="0" collapsed="false">
      <c r="A38" s="16" t="n">
        <v>10</v>
      </c>
      <c r="B38" s="16" t="s">
        <v>199</v>
      </c>
      <c r="C38" s="16" t="s">
        <v>200</v>
      </c>
      <c r="D38" s="16" t="s">
        <v>201</v>
      </c>
      <c r="E38" s="16"/>
      <c r="F38" s="16"/>
    </row>
    <row r="39" customFormat="false" ht="12.8" hidden="false" customHeight="false" outlineLevel="0" collapsed="false">
      <c r="A39" s="16" t="n">
        <v>10.1</v>
      </c>
      <c r="B39" s="16" t="s">
        <v>202</v>
      </c>
      <c r="C39" s="16" t="s">
        <v>203</v>
      </c>
      <c r="D39" s="16" t="s">
        <v>204</v>
      </c>
      <c r="E39" s="16"/>
      <c r="F39" s="16"/>
    </row>
    <row r="40" customFormat="false" ht="12.8" hidden="false" customHeight="false" outlineLevel="0" collapsed="false">
      <c r="A40" s="16" t="n">
        <v>10.2</v>
      </c>
      <c r="B40" s="16" t="s">
        <v>205</v>
      </c>
      <c r="C40" s="16" t="s">
        <v>206</v>
      </c>
      <c r="D40" s="16" t="s">
        <v>207</v>
      </c>
      <c r="E40" s="16"/>
      <c r="F40" s="16"/>
    </row>
    <row r="41" customFormat="false" ht="12.8" hidden="false" customHeight="false" outlineLevel="0" collapsed="false">
      <c r="A41" s="16" t="n">
        <v>11</v>
      </c>
      <c r="B41" s="16" t="s">
        <v>208</v>
      </c>
      <c r="C41" s="16" t="s">
        <v>209</v>
      </c>
      <c r="D41" s="16" t="s">
        <v>210</v>
      </c>
      <c r="E41" s="16"/>
      <c r="F41" s="16"/>
    </row>
    <row r="42" customFormat="false" ht="12.8" hidden="false" customHeight="false" outlineLevel="0" collapsed="false">
      <c r="A42" s="16" t="n">
        <v>11.1</v>
      </c>
      <c r="B42" s="16" t="s">
        <v>211</v>
      </c>
      <c r="C42" s="16" t="s">
        <v>212</v>
      </c>
      <c r="D42" s="16" t="s">
        <v>187</v>
      </c>
      <c r="E42" s="16"/>
      <c r="F42" s="16"/>
    </row>
    <row r="43" customFormat="false" ht="12.8" hidden="false" customHeight="false" outlineLevel="0" collapsed="false">
      <c r="A43" s="16" t="n">
        <v>11.2</v>
      </c>
      <c r="B43" s="16" t="s">
        <v>213</v>
      </c>
      <c r="C43" s="16" t="s">
        <v>214</v>
      </c>
      <c r="D43" s="16" t="s">
        <v>215</v>
      </c>
      <c r="E43" s="16"/>
      <c r="F43" s="16"/>
    </row>
    <row r="44" customFormat="false" ht="12.8" hidden="false" customHeight="false" outlineLevel="0" collapsed="false">
      <c r="A44" s="13" t="n">
        <v>12</v>
      </c>
      <c r="B44" s="13" t="s">
        <v>216</v>
      </c>
      <c r="C44" s="13" t="s">
        <v>217</v>
      </c>
      <c r="D44" s="13" t="s">
        <v>218</v>
      </c>
      <c r="E44" s="13"/>
    </row>
    <row r="45" customFormat="false" ht="12.8" hidden="false" customHeight="false" outlineLevel="0" collapsed="false">
      <c r="A45" s="13" t="n">
        <v>12.1</v>
      </c>
      <c r="B45" s="13" t="s">
        <v>219</v>
      </c>
      <c r="C45" s="13" t="s">
        <v>220</v>
      </c>
      <c r="D45" s="13" t="s">
        <v>187</v>
      </c>
      <c r="E45" s="13"/>
    </row>
    <row r="46" customFormat="false" ht="12.8" hidden="false" customHeight="false" outlineLevel="0" collapsed="false">
      <c r="A46" s="13" t="n">
        <v>12.2</v>
      </c>
      <c r="B46" s="13" t="s">
        <v>221</v>
      </c>
      <c r="C46" s="13" t="s">
        <v>222</v>
      </c>
      <c r="D46" s="13" t="s">
        <v>223</v>
      </c>
      <c r="E46" s="13"/>
    </row>
    <row r="47" customFormat="false" ht="12.8" hidden="false" customHeight="false" outlineLevel="0" collapsed="false">
      <c r="A47" s="13" t="n">
        <v>13</v>
      </c>
      <c r="B47" s="13" t="s">
        <v>224</v>
      </c>
      <c r="C47" s="13" t="s">
        <v>225</v>
      </c>
      <c r="D47" s="13" t="s">
        <v>226</v>
      </c>
      <c r="E47" s="13"/>
    </row>
    <row r="48" customFormat="false" ht="12.8" hidden="false" customHeight="false" outlineLevel="0" collapsed="false">
      <c r="A48" s="13" t="n">
        <v>13.1</v>
      </c>
      <c r="B48" s="13" t="s">
        <v>227</v>
      </c>
      <c r="C48" s="13" t="s">
        <v>228</v>
      </c>
      <c r="D48" s="13" t="s">
        <v>187</v>
      </c>
      <c r="E48" s="13"/>
    </row>
    <row r="49" customFormat="false" ht="12.8" hidden="false" customHeight="false" outlineLevel="0" collapsed="false">
      <c r="A49" s="13" t="n">
        <v>13.2</v>
      </c>
      <c r="B49" s="13" t="s">
        <v>229</v>
      </c>
      <c r="C49" s="13" t="s">
        <v>230</v>
      </c>
      <c r="D49" s="13" t="s">
        <v>231</v>
      </c>
      <c r="E49" s="13"/>
    </row>
    <row r="50" customFormat="false" ht="12.8" hidden="false" customHeight="false" outlineLevel="0" collapsed="false">
      <c r="A50" s="13" t="n">
        <v>14</v>
      </c>
      <c r="B50" s="13" t="s">
        <v>232</v>
      </c>
      <c r="C50" s="13" t="s">
        <v>233</v>
      </c>
      <c r="D50" s="13" t="s">
        <v>234</v>
      </c>
      <c r="E50" s="13"/>
    </row>
    <row r="51" customFormat="false" ht="12.8" hidden="false" customHeight="false" outlineLevel="0" collapsed="false">
      <c r="A51" s="13" t="n">
        <v>14.1</v>
      </c>
      <c r="B51" s="13" t="s">
        <v>235</v>
      </c>
      <c r="C51" s="13" t="s">
        <v>236</v>
      </c>
      <c r="D51" s="13" t="s">
        <v>187</v>
      </c>
      <c r="E51" s="13"/>
    </row>
    <row r="52" customFormat="false" ht="12.8" hidden="false" customHeight="false" outlineLevel="0" collapsed="false">
      <c r="A52" s="13" t="n">
        <v>14.2</v>
      </c>
      <c r="B52" s="13" t="s">
        <v>237</v>
      </c>
      <c r="C52" s="13" t="s">
        <v>238</v>
      </c>
      <c r="D52" s="13" t="s">
        <v>239</v>
      </c>
      <c r="E52" s="13"/>
    </row>
    <row r="53" customFormat="false" ht="12.8" hidden="false" customHeight="false" outlineLevel="0" collapsed="false">
      <c r="A53" s="13" t="n">
        <v>15</v>
      </c>
      <c r="B53" s="13" t="s">
        <v>240</v>
      </c>
      <c r="C53" s="13" t="s">
        <v>241</v>
      </c>
      <c r="D53" s="13" t="s">
        <v>242</v>
      </c>
      <c r="E53" s="13"/>
    </row>
    <row r="54" customFormat="false" ht="12.8" hidden="false" customHeight="false" outlineLevel="0" collapsed="false">
      <c r="A54" s="13" t="n">
        <v>15.1</v>
      </c>
      <c r="B54" s="13" t="s">
        <v>243</v>
      </c>
      <c r="C54" s="13" t="s">
        <v>244</v>
      </c>
      <c r="D54" s="13" t="s">
        <v>187</v>
      </c>
      <c r="E54" s="13"/>
    </row>
    <row r="55" customFormat="false" ht="12.8" hidden="false" customHeight="false" outlineLevel="0" collapsed="false">
      <c r="A55" s="13" t="n">
        <v>15.2</v>
      </c>
      <c r="B55" s="13" t="s">
        <v>245</v>
      </c>
      <c r="C55" s="13" t="s">
        <v>246</v>
      </c>
      <c r="D55" s="13" t="s">
        <v>247</v>
      </c>
      <c r="E55" s="13"/>
    </row>
    <row r="56" customFormat="false" ht="12.8" hidden="false" customHeight="false" outlineLevel="0" collapsed="false">
      <c r="A56" s="10"/>
      <c r="B56" s="16"/>
      <c r="C56" s="16"/>
      <c r="D56" s="16"/>
      <c r="E56" s="16"/>
    </row>
    <row r="57" customFormat="false" ht="12.8" hidden="false" customHeight="false" outlineLevel="0" collapsed="false">
      <c r="A57" s="10"/>
      <c r="B57" s="16"/>
      <c r="C57" s="16"/>
      <c r="D57" s="16"/>
      <c r="E57" s="16"/>
    </row>
    <row r="58" customFormat="false" ht="12.8" hidden="false" customHeight="false" outlineLevel="0" collapsed="false">
      <c r="A58" s="10"/>
      <c r="B58" s="16"/>
      <c r="C58" s="17"/>
      <c r="D58" s="16"/>
      <c r="E58" s="16"/>
    </row>
    <row r="59" customFormat="false" ht="12.8" hidden="false" customHeight="false" outlineLevel="0" collapsed="false">
      <c r="A59" s="10"/>
      <c r="B59" s="16"/>
      <c r="C59" s="17"/>
      <c r="D59" s="16"/>
      <c r="E59" s="16"/>
    </row>
    <row r="60" customFormat="false" ht="12.8" hidden="false" customHeight="false" outlineLevel="0" collapsed="false">
      <c r="A60" s="10"/>
      <c r="B60" s="16"/>
      <c r="C60" s="17"/>
      <c r="D60" s="16"/>
      <c r="E60" s="16"/>
    </row>
    <row r="61" customFormat="false" ht="12.8" hidden="false" customHeight="false" outlineLevel="0" collapsed="false">
      <c r="D61" s="13"/>
      <c r="E61" s="1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F251"/>
  <sheetViews>
    <sheetView showFormulas="false" showGridLines="true" showRowColHeaders="true" showZeros="true" rightToLeft="false" tabSelected="false" showOutlineSymbols="true" defaultGridColor="true" view="normal" topLeftCell="A219" colorId="64" zoomScale="100" zoomScaleNormal="100" zoomScalePageLayoutView="100" workbookViewId="0">
      <selection pane="topLeft" activeCell="A242" activeCellId="0" sqref="A242"/>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13.84"/>
  </cols>
  <sheetData>
    <row r="1" customFormat="false" ht="12.8" hidden="false" customHeight="false" outlineLevel="0" collapsed="false">
      <c r="A1" s="3" t="s">
        <v>7</v>
      </c>
      <c r="B1" s="14" t="s">
        <v>8</v>
      </c>
      <c r="C1" s="15" t="s">
        <v>2</v>
      </c>
      <c r="D1" s="13"/>
      <c r="E1" s="13"/>
      <c r="F1" s="13"/>
    </row>
    <row r="2" customFormat="false" ht="12.8" hidden="false" customHeight="false" outlineLevel="0" collapsed="false">
      <c r="A2" s="13" t="s">
        <v>248</v>
      </c>
      <c r="B2" s="13" t="s">
        <v>249</v>
      </c>
      <c r="C2" s="13" t="s">
        <v>250</v>
      </c>
      <c r="D2" s="13" t="s">
        <v>251</v>
      </c>
      <c r="E2" s="13" t="s">
        <v>252</v>
      </c>
    </row>
    <row r="3" customFormat="false" ht="12.8" hidden="false" customHeight="false" outlineLevel="0" collapsed="false">
      <c r="A3" s="13" t="s">
        <v>253</v>
      </c>
      <c r="B3" s="13" t="s">
        <v>254</v>
      </c>
      <c r="C3" s="13" t="n">
        <v>40000</v>
      </c>
      <c r="D3" s="13" t="s">
        <v>255</v>
      </c>
      <c r="E3" s="13" t="s">
        <v>256</v>
      </c>
    </row>
    <row r="4" customFormat="false" ht="12.8" hidden="false" customHeight="false" outlineLevel="0" collapsed="false">
      <c r="A4" s="13" t="s">
        <v>257</v>
      </c>
      <c r="B4" s="13" t="s">
        <v>258</v>
      </c>
      <c r="C4" s="13" t="n">
        <v>65000</v>
      </c>
      <c r="D4" s="13" t="s">
        <v>259</v>
      </c>
      <c r="E4" s="13" t="s">
        <v>260</v>
      </c>
    </row>
    <row r="5" customFormat="false" ht="12.8" hidden="false" customHeight="false" outlineLevel="0" collapsed="false">
      <c r="A5" s="13" t="s">
        <v>261</v>
      </c>
      <c r="B5" s="13" t="s">
        <v>262</v>
      </c>
      <c r="C5" s="13" t="n">
        <v>136600</v>
      </c>
      <c r="D5" s="13" t="s">
        <v>263</v>
      </c>
      <c r="E5" s="13" t="s">
        <v>264</v>
      </c>
    </row>
    <row r="6" customFormat="false" ht="12.8" hidden="false" customHeight="false" outlineLevel="0" collapsed="false">
      <c r="A6" s="13" t="s">
        <v>265</v>
      </c>
      <c r="B6" s="13" t="s">
        <v>266</v>
      </c>
      <c r="C6" s="13" t="n">
        <v>80000</v>
      </c>
      <c r="D6" s="13" t="s">
        <v>267</v>
      </c>
      <c r="E6" s="13" t="s">
        <v>268</v>
      </c>
    </row>
    <row r="7" customFormat="false" ht="12.8" hidden="false" customHeight="false" outlineLevel="0" collapsed="false">
      <c r="A7" s="13" t="s">
        <v>269</v>
      </c>
      <c r="B7" s="13" t="s">
        <v>270</v>
      </c>
      <c r="C7" s="13" t="n">
        <v>165300</v>
      </c>
      <c r="D7" s="13" t="s">
        <v>271</v>
      </c>
      <c r="E7" s="13" t="s">
        <v>260</v>
      </c>
    </row>
    <row r="8" customFormat="false" ht="12.8" hidden="false" customHeight="false" outlineLevel="0" collapsed="false">
      <c r="A8" s="13" t="s">
        <v>272</v>
      </c>
      <c r="B8" s="13" t="s">
        <v>273</v>
      </c>
      <c r="C8" s="13" t="n">
        <v>70000</v>
      </c>
      <c r="D8" s="13" t="s">
        <v>274</v>
      </c>
      <c r="E8" s="13" t="s">
        <v>275</v>
      </c>
    </row>
    <row r="9" customFormat="false" ht="12.8" hidden="false" customHeight="false" outlineLevel="0" collapsed="false">
      <c r="A9" s="13" t="s">
        <v>276</v>
      </c>
      <c r="B9" s="13" t="s">
        <v>277</v>
      </c>
      <c r="C9" s="13" t="n">
        <v>211000</v>
      </c>
      <c r="D9" s="13" t="s">
        <v>278</v>
      </c>
      <c r="E9" s="13" t="s">
        <v>275</v>
      </c>
    </row>
    <row r="10" customFormat="false" ht="12.8" hidden="false" customHeight="false" outlineLevel="0" collapsed="false">
      <c r="A10" s="13" t="s">
        <v>279</v>
      </c>
      <c r="B10" s="13" t="s">
        <v>280</v>
      </c>
      <c r="C10" s="13" t="n">
        <v>35000</v>
      </c>
      <c r="D10" s="13" t="s">
        <v>281</v>
      </c>
      <c r="E10" s="13" t="s">
        <v>268</v>
      </c>
    </row>
    <row r="11" customFormat="false" ht="12.8" hidden="false" customHeight="false" outlineLevel="0" collapsed="false">
      <c r="A11" s="13" t="s">
        <v>282</v>
      </c>
      <c r="B11" s="13" t="s">
        <v>283</v>
      </c>
      <c r="C11" s="13" t="n">
        <v>30000</v>
      </c>
      <c r="D11" s="13" t="s">
        <v>284</v>
      </c>
      <c r="E11" s="13" t="s">
        <v>268</v>
      </c>
    </row>
    <row r="12" customFormat="false" ht="12.8" hidden="false" customHeight="false" outlineLevel="0" collapsed="false">
      <c r="A12" s="13" t="s">
        <v>285</v>
      </c>
      <c r="B12" s="13" t="s">
        <v>286</v>
      </c>
      <c r="C12" s="13" t="n">
        <v>65100</v>
      </c>
      <c r="D12" s="13" t="s">
        <v>287</v>
      </c>
      <c r="E12" s="13" t="s">
        <v>288</v>
      </c>
      <c r="F12" s="13"/>
    </row>
    <row r="13" customFormat="false" ht="12.8" hidden="false" customHeight="false" outlineLevel="0" collapsed="false">
      <c r="A13" s="13" t="s">
        <v>289</v>
      </c>
      <c r="B13" s="13" t="s">
        <v>290</v>
      </c>
      <c r="C13" s="13" t="n">
        <v>140000</v>
      </c>
      <c r="D13" s="13" t="s">
        <v>291</v>
      </c>
      <c r="E13" s="13" t="s">
        <v>275</v>
      </c>
      <c r="F13" s="13"/>
    </row>
    <row r="14" customFormat="false" ht="12.8" hidden="false" customHeight="false" outlineLevel="0" collapsed="false">
      <c r="A14" s="13" t="s">
        <v>292</v>
      </c>
      <c r="B14" s="13" t="s">
        <v>293</v>
      </c>
      <c r="C14" s="13" t="n">
        <v>164300</v>
      </c>
      <c r="D14" s="13" t="s">
        <v>294</v>
      </c>
      <c r="E14" s="13" t="s">
        <v>295</v>
      </c>
      <c r="F14" s="13"/>
    </row>
    <row r="15" customFormat="false" ht="12.8" hidden="false" customHeight="false" outlineLevel="0" collapsed="false">
      <c r="A15" s="13" t="s">
        <v>296</v>
      </c>
      <c r="B15" s="13" t="s">
        <v>297</v>
      </c>
      <c r="C15" s="13" t="n">
        <v>83500</v>
      </c>
      <c r="D15" s="13" t="s">
        <v>298</v>
      </c>
      <c r="E15" s="13" t="s">
        <v>275</v>
      </c>
    </row>
    <row r="16" customFormat="false" ht="12.8" hidden="false" customHeight="false" outlineLevel="0" collapsed="false">
      <c r="A16" s="13" t="s">
        <v>299</v>
      </c>
      <c r="B16" s="13" t="s">
        <v>300</v>
      </c>
      <c r="C16" s="13" t="n">
        <v>69900</v>
      </c>
      <c r="D16" s="13" t="s">
        <v>301</v>
      </c>
      <c r="E16" s="13" t="s">
        <v>260</v>
      </c>
    </row>
    <row r="17" customFormat="false" ht="12.8" hidden="false" customHeight="false" outlineLevel="0" collapsed="false">
      <c r="A17" s="13" t="s">
        <v>302</v>
      </c>
      <c r="B17" s="13" t="s">
        <v>303</v>
      </c>
      <c r="C17" s="13" t="n">
        <v>11600</v>
      </c>
      <c r="D17" s="13" t="s">
        <v>304</v>
      </c>
      <c r="E17" s="13" t="s">
        <v>305</v>
      </c>
    </row>
    <row r="18" customFormat="false" ht="12.8" hidden="false" customHeight="false" outlineLevel="0" collapsed="false">
      <c r="A18" s="13" t="s">
        <v>306</v>
      </c>
      <c r="B18" s="13" t="s">
        <v>307</v>
      </c>
      <c r="C18" s="13" t="n">
        <v>211700</v>
      </c>
      <c r="D18" s="13" t="s">
        <v>308</v>
      </c>
      <c r="E18" s="13" t="s">
        <v>260</v>
      </c>
    </row>
    <row r="19" customFormat="false" ht="12.8" hidden="false" customHeight="false" outlineLevel="0" collapsed="false">
      <c r="A19" s="13" t="s">
        <v>309</v>
      </c>
      <c r="B19" s="13" t="s">
        <v>310</v>
      </c>
      <c r="C19" s="13" t="n">
        <v>75000</v>
      </c>
      <c r="D19" s="13" t="s">
        <v>311</v>
      </c>
      <c r="E19" s="13" t="s">
        <v>312</v>
      </c>
    </row>
    <row r="20" customFormat="false" ht="12.8" hidden="false" customHeight="false" outlineLevel="0" collapsed="false">
      <c r="A20" s="13" t="s">
        <v>313</v>
      </c>
      <c r="B20" s="13" t="s">
        <v>314</v>
      </c>
      <c r="C20" s="13" t="n">
        <v>0.94</v>
      </c>
      <c r="D20" s="13" t="s">
        <v>315</v>
      </c>
      <c r="E20" s="13" t="s">
        <v>316</v>
      </c>
    </row>
    <row r="21" customFormat="false" ht="12.8" hidden="false" customHeight="false" outlineLevel="0" collapsed="false">
      <c r="A21" s="13" t="s">
        <v>317</v>
      </c>
      <c r="B21" s="13" t="s">
        <v>318</v>
      </c>
      <c r="C21" s="13" t="n">
        <v>0.04</v>
      </c>
      <c r="D21" s="13" t="s">
        <v>319</v>
      </c>
      <c r="E21" s="13"/>
    </row>
    <row r="22" customFormat="false" ht="12.8" hidden="false" customHeight="false" outlineLevel="0" collapsed="false">
      <c r="A22" s="13" t="s">
        <v>320</v>
      </c>
      <c r="B22" s="13" t="s">
        <v>321</v>
      </c>
      <c r="C22" s="13" t="n">
        <v>0.02</v>
      </c>
      <c r="D22" s="13" t="s">
        <v>322</v>
      </c>
      <c r="E22" s="13"/>
    </row>
    <row r="23" customFormat="false" ht="12.8" hidden="false" customHeight="false" outlineLevel="0" collapsed="false">
      <c r="A23" s="13" t="s">
        <v>323</v>
      </c>
      <c r="B23" s="13" t="s">
        <v>324</v>
      </c>
      <c r="C23" s="13" t="n">
        <v>0.042</v>
      </c>
      <c r="D23" s="13" t="s">
        <v>325</v>
      </c>
      <c r="E23" s="13" t="s">
        <v>326</v>
      </c>
    </row>
    <row r="24" customFormat="false" ht="12.8" hidden="false" customHeight="false" outlineLevel="0" collapsed="false">
      <c r="A24" s="13" t="s">
        <v>327</v>
      </c>
      <c r="B24" s="13" t="s">
        <v>328</v>
      </c>
      <c r="C24" s="13" t="n">
        <v>0.04</v>
      </c>
      <c r="D24" s="13" t="s">
        <v>329</v>
      </c>
      <c r="E24" s="13" t="s">
        <v>330</v>
      </c>
    </row>
    <row r="25" customFormat="false" ht="12.8" hidden="false" customHeight="false" outlineLevel="0" collapsed="false">
      <c r="A25" s="13" t="s">
        <v>331</v>
      </c>
      <c r="B25" s="13" t="s">
        <v>332</v>
      </c>
      <c r="C25" s="13" t="n">
        <v>0.05</v>
      </c>
      <c r="D25" s="13" t="s">
        <v>333</v>
      </c>
      <c r="E25" s="13" t="s">
        <v>334</v>
      </c>
    </row>
    <row r="26" customFormat="false" ht="12.8" hidden="false" customHeight="false" outlineLevel="0" collapsed="false">
      <c r="A26" s="13" t="s">
        <v>335</v>
      </c>
      <c r="B26" s="13" t="s">
        <v>336</v>
      </c>
      <c r="C26" s="13" t="n">
        <v>0.055</v>
      </c>
      <c r="D26" s="13" t="s">
        <v>337</v>
      </c>
      <c r="E26" s="13" t="s">
        <v>338</v>
      </c>
    </row>
    <row r="27" customFormat="false" ht="12.8" hidden="false" customHeight="false" outlineLevel="0" collapsed="false">
      <c r="A27" s="13" t="s">
        <v>339</v>
      </c>
      <c r="B27" s="13" t="s">
        <v>340</v>
      </c>
      <c r="C27" s="13" t="n">
        <v>0.05</v>
      </c>
      <c r="D27" s="13" t="s">
        <v>341</v>
      </c>
      <c r="E27" s="13" t="s">
        <v>342</v>
      </c>
    </row>
    <row r="28" customFormat="false" ht="12.8" hidden="false" customHeight="false" outlineLevel="0" collapsed="false">
      <c r="A28" s="13" t="s">
        <v>343</v>
      </c>
      <c r="B28" s="13" t="s">
        <v>344</v>
      </c>
      <c r="C28" s="13" t="n">
        <v>0.07</v>
      </c>
      <c r="D28" s="13" t="s">
        <v>345</v>
      </c>
      <c r="E28" s="13"/>
    </row>
    <row r="29" customFormat="false" ht="12.8" hidden="false" customHeight="false" outlineLevel="0" collapsed="false">
      <c r="A29" s="13" t="s">
        <v>346</v>
      </c>
      <c r="B29" s="13" t="s">
        <v>347</v>
      </c>
      <c r="C29" s="13" t="n">
        <v>0.12</v>
      </c>
      <c r="D29" s="13" t="s">
        <v>348</v>
      </c>
      <c r="E29" s="13"/>
    </row>
    <row r="30" customFormat="false" ht="12.8" hidden="false" customHeight="false" outlineLevel="0" collapsed="false">
      <c r="A30" s="13" t="s">
        <v>349</v>
      </c>
      <c r="B30" s="13" t="s">
        <v>350</v>
      </c>
      <c r="C30" s="13" t="n">
        <v>0.035</v>
      </c>
      <c r="D30" s="13" t="s">
        <v>351</v>
      </c>
      <c r="E30" s="13"/>
    </row>
    <row r="31" customFormat="false" ht="12.8" hidden="false" customHeight="false" outlineLevel="0" collapsed="false">
      <c r="A31" s="13" t="s">
        <v>352</v>
      </c>
      <c r="B31" s="13" t="s">
        <v>353</v>
      </c>
      <c r="C31" s="13" t="n">
        <v>0.06</v>
      </c>
      <c r="D31" s="13" t="s">
        <v>354</v>
      </c>
      <c r="E31" s="13"/>
    </row>
    <row r="32" customFormat="false" ht="12.8" hidden="false" customHeight="false" outlineLevel="0" collapsed="false">
      <c r="A32" s="13" t="s">
        <v>355</v>
      </c>
      <c r="B32" s="13" t="s">
        <v>356</v>
      </c>
      <c r="C32" s="13" t="n">
        <v>0.11</v>
      </c>
      <c r="D32" s="13" t="s">
        <v>357</v>
      </c>
      <c r="E32" s="13"/>
    </row>
    <row r="33" customFormat="false" ht="12.8" hidden="false" customHeight="false" outlineLevel="0" collapsed="false">
      <c r="A33" s="13" t="s">
        <v>358</v>
      </c>
      <c r="B33" s="13" t="s">
        <v>359</v>
      </c>
      <c r="C33" s="13" t="n">
        <v>0.04</v>
      </c>
      <c r="D33" s="13" t="s">
        <v>360</v>
      </c>
      <c r="E33" s="13"/>
    </row>
    <row r="34" customFormat="false" ht="12.8" hidden="false" customHeight="false" outlineLevel="0" collapsed="false">
      <c r="A34" s="13" t="s">
        <v>361</v>
      </c>
      <c r="B34" s="13" t="s">
        <v>362</v>
      </c>
      <c r="C34" s="13" t="n">
        <v>0.07</v>
      </c>
      <c r="D34" s="13" t="s">
        <v>363</v>
      </c>
      <c r="E34" s="13"/>
    </row>
    <row r="35" customFormat="false" ht="12.8" hidden="false" customHeight="false" outlineLevel="0" collapsed="false">
      <c r="A35" s="13" t="s">
        <v>364</v>
      </c>
      <c r="B35" s="13" t="s">
        <v>365</v>
      </c>
      <c r="C35" s="13" t="n">
        <v>0.13</v>
      </c>
      <c r="D35" s="13" t="s">
        <v>366</v>
      </c>
      <c r="E35" s="13"/>
    </row>
    <row r="36" customFormat="false" ht="12.8" hidden="false" customHeight="false" outlineLevel="0" collapsed="false">
      <c r="A36" s="13" t="s">
        <v>367</v>
      </c>
      <c r="B36" s="13" t="s">
        <v>368</v>
      </c>
      <c r="C36" s="13" t="n">
        <v>0.045</v>
      </c>
      <c r="D36" s="13" t="s">
        <v>369</v>
      </c>
      <c r="E36" s="13"/>
    </row>
    <row r="37" customFormat="false" ht="12.8" hidden="false" customHeight="false" outlineLevel="0" collapsed="false">
      <c r="A37" s="13" t="s">
        <v>370</v>
      </c>
      <c r="B37" s="13" t="s">
        <v>371</v>
      </c>
      <c r="C37" s="13" t="n">
        <v>0.08</v>
      </c>
      <c r="D37" s="13" t="s">
        <v>372</v>
      </c>
      <c r="E37" s="13"/>
    </row>
    <row r="38" customFormat="false" ht="12.8" hidden="false" customHeight="false" outlineLevel="0" collapsed="false">
      <c r="A38" s="13" t="s">
        <v>373</v>
      </c>
      <c r="B38" s="13" t="s">
        <v>374</v>
      </c>
      <c r="C38" s="13" t="n">
        <v>0.14</v>
      </c>
      <c r="D38" s="13" t="s">
        <v>375</v>
      </c>
      <c r="E38" s="13"/>
    </row>
    <row r="39" customFormat="false" ht="12.8" hidden="false" customHeight="false" outlineLevel="0" collapsed="false">
      <c r="A39" s="13" t="s">
        <v>376</v>
      </c>
      <c r="B39" s="13" t="s">
        <v>377</v>
      </c>
      <c r="C39" s="13" t="n">
        <v>0.025</v>
      </c>
      <c r="D39" s="13" t="s">
        <v>378</v>
      </c>
      <c r="E39" s="13"/>
    </row>
    <row r="40" customFormat="false" ht="12.8" hidden="false" customHeight="false" outlineLevel="0" collapsed="false">
      <c r="A40" s="13" t="s">
        <v>379</v>
      </c>
      <c r="B40" s="13" t="s">
        <v>380</v>
      </c>
      <c r="C40" s="13" t="n">
        <v>0.045</v>
      </c>
      <c r="D40" s="13" t="s">
        <v>381</v>
      </c>
      <c r="E40" s="13"/>
    </row>
    <row r="41" customFormat="false" ht="12.8" hidden="false" customHeight="false" outlineLevel="0" collapsed="false">
      <c r="A41" s="13" t="s">
        <v>382</v>
      </c>
      <c r="B41" s="13" t="s">
        <v>383</v>
      </c>
      <c r="C41" s="13" t="n">
        <v>0.08</v>
      </c>
      <c r="D41" s="13" t="s">
        <v>384</v>
      </c>
      <c r="E41" s="13"/>
    </row>
    <row r="42" customFormat="false" ht="12.8" hidden="false" customHeight="false" outlineLevel="0" collapsed="false">
      <c r="A42" s="13" t="s">
        <v>385</v>
      </c>
      <c r="B42" s="13" t="s">
        <v>386</v>
      </c>
      <c r="C42" s="13" t="n">
        <v>0.03</v>
      </c>
      <c r="D42" s="13" t="s">
        <v>387</v>
      </c>
      <c r="E42" s="13"/>
    </row>
    <row r="43" customFormat="false" ht="12.8" hidden="false" customHeight="false" outlineLevel="0" collapsed="false">
      <c r="A43" s="13" t="s">
        <v>388</v>
      </c>
      <c r="B43" s="13" t="s">
        <v>389</v>
      </c>
      <c r="C43" s="13" t="n">
        <v>0.055</v>
      </c>
      <c r="D43" s="13" t="s">
        <v>390</v>
      </c>
      <c r="E43" s="13"/>
    </row>
    <row r="44" customFormat="false" ht="12.8" hidden="false" customHeight="false" outlineLevel="0" collapsed="false">
      <c r="A44" s="13" t="s">
        <v>391</v>
      </c>
      <c r="B44" s="13" t="s">
        <v>392</v>
      </c>
      <c r="C44" s="13" t="n">
        <v>0.09</v>
      </c>
      <c r="D44" s="13" t="s">
        <v>393</v>
      </c>
      <c r="E44" s="13"/>
    </row>
    <row r="45" customFormat="false" ht="12.8" hidden="false" customHeight="false" outlineLevel="0" collapsed="false">
      <c r="A45" s="13" t="s">
        <v>394</v>
      </c>
      <c r="B45" s="13" t="s">
        <v>395</v>
      </c>
      <c r="C45" s="13" t="n">
        <v>0.04</v>
      </c>
      <c r="D45" s="13" t="s">
        <v>396</v>
      </c>
      <c r="E45" s="13"/>
    </row>
    <row r="46" customFormat="false" ht="12.8" hidden="false" customHeight="false" outlineLevel="0" collapsed="false">
      <c r="A46" s="13" t="s">
        <v>397</v>
      </c>
      <c r="B46" s="13" t="s">
        <v>398</v>
      </c>
      <c r="C46" s="13" t="n">
        <v>0.07</v>
      </c>
      <c r="D46" s="13" t="s">
        <v>399</v>
      </c>
      <c r="E46" s="13"/>
    </row>
    <row r="47" customFormat="false" ht="12.8" hidden="false" customHeight="false" outlineLevel="0" collapsed="false">
      <c r="A47" s="13" t="s">
        <v>400</v>
      </c>
      <c r="B47" s="13" t="s">
        <v>401</v>
      </c>
      <c r="C47" s="13" t="n">
        <v>0.12</v>
      </c>
      <c r="D47" s="13" t="s">
        <v>402</v>
      </c>
      <c r="E47" s="13"/>
    </row>
    <row r="48" customFormat="false" ht="12.8" hidden="false" customHeight="false" outlineLevel="0" collapsed="false">
      <c r="A48" s="13" t="s">
        <v>403</v>
      </c>
      <c r="B48" s="13" t="s">
        <v>404</v>
      </c>
      <c r="C48" s="13" t="n">
        <v>0.05</v>
      </c>
      <c r="D48" s="13" t="s">
        <v>405</v>
      </c>
      <c r="E48" s="13"/>
    </row>
    <row r="49" customFormat="false" ht="12.8" hidden="false" customHeight="false" outlineLevel="0" collapsed="false">
      <c r="A49" s="13" t="s">
        <v>406</v>
      </c>
      <c r="B49" s="13" t="s">
        <v>407</v>
      </c>
      <c r="C49" s="13" t="n">
        <v>0.07</v>
      </c>
      <c r="D49" s="13" t="s">
        <v>408</v>
      </c>
      <c r="E49" s="13"/>
    </row>
    <row r="50" customFormat="false" ht="12.8" hidden="false" customHeight="false" outlineLevel="0" collapsed="false">
      <c r="A50" s="13" t="s">
        <v>409</v>
      </c>
      <c r="B50" s="13" t="s">
        <v>410</v>
      </c>
      <c r="C50" s="13" t="n">
        <v>0.12</v>
      </c>
      <c r="D50" s="13" t="s">
        <v>411</v>
      </c>
      <c r="E50" s="13"/>
    </row>
    <row r="51" customFormat="false" ht="12.8" hidden="false" customHeight="false" outlineLevel="0" collapsed="false">
      <c r="A51" s="13" t="s">
        <v>412</v>
      </c>
      <c r="B51" s="13" t="s">
        <v>413</v>
      </c>
      <c r="C51" s="13" t="n">
        <v>0.03</v>
      </c>
      <c r="D51" s="13" t="s">
        <v>414</v>
      </c>
      <c r="E51" s="13"/>
    </row>
    <row r="52" customFormat="false" ht="12.8" hidden="false" customHeight="false" outlineLevel="0" collapsed="false">
      <c r="A52" s="13" t="s">
        <v>415</v>
      </c>
      <c r="B52" s="13" t="s">
        <v>416</v>
      </c>
      <c r="C52" s="13" t="n">
        <v>0.055</v>
      </c>
      <c r="D52" s="13" t="s">
        <v>417</v>
      </c>
      <c r="E52" s="13"/>
    </row>
    <row r="53" customFormat="false" ht="12.8" hidden="false" customHeight="false" outlineLevel="0" collapsed="false">
      <c r="A53" s="13" t="s">
        <v>418</v>
      </c>
      <c r="B53" s="13" t="s">
        <v>419</v>
      </c>
      <c r="C53" s="13" t="n">
        <v>0.09</v>
      </c>
      <c r="D53" s="13" t="s">
        <v>420</v>
      </c>
      <c r="E53" s="13"/>
    </row>
    <row r="54" customFormat="false" ht="12.8" hidden="false" customHeight="false" outlineLevel="0" collapsed="false">
      <c r="A54" s="13" t="s">
        <v>421</v>
      </c>
      <c r="B54" s="13" t="s">
        <v>422</v>
      </c>
      <c r="C54" s="13" t="n">
        <v>0.04</v>
      </c>
      <c r="D54" s="13" t="s">
        <v>423</v>
      </c>
      <c r="E54" s="13"/>
    </row>
    <row r="55" customFormat="false" ht="12.8" hidden="false" customHeight="false" outlineLevel="0" collapsed="false">
      <c r="A55" s="13" t="s">
        <v>424</v>
      </c>
      <c r="B55" s="13" t="s">
        <v>425</v>
      </c>
      <c r="C55" s="13" t="n">
        <v>0.07</v>
      </c>
      <c r="D55" s="13" t="s">
        <v>426</v>
      </c>
      <c r="E55" s="13"/>
    </row>
    <row r="56" customFormat="false" ht="12.8" hidden="false" customHeight="false" outlineLevel="0" collapsed="false">
      <c r="A56" s="13" t="s">
        <v>427</v>
      </c>
      <c r="B56" s="13" t="s">
        <v>428</v>
      </c>
      <c r="C56" s="13" t="n">
        <v>0.12</v>
      </c>
      <c r="D56" s="13" t="s">
        <v>429</v>
      </c>
      <c r="E56" s="13"/>
    </row>
    <row r="57" customFormat="false" ht="12.8" hidden="false" customHeight="false" outlineLevel="0" collapsed="false">
      <c r="A57" s="13" t="s">
        <v>430</v>
      </c>
      <c r="B57" s="13" t="s">
        <v>431</v>
      </c>
      <c r="C57" s="13" t="n">
        <v>0.025</v>
      </c>
      <c r="D57" s="13" t="s">
        <v>432</v>
      </c>
      <c r="E57" s="13"/>
    </row>
    <row r="58" customFormat="false" ht="12.8" hidden="false" customHeight="false" outlineLevel="0" collapsed="false">
      <c r="A58" s="13" t="s">
        <v>433</v>
      </c>
      <c r="B58" s="13" t="s">
        <v>434</v>
      </c>
      <c r="C58" s="13" t="n">
        <v>0.045</v>
      </c>
      <c r="D58" s="13" t="s">
        <v>435</v>
      </c>
      <c r="E58" s="13"/>
    </row>
    <row r="59" customFormat="false" ht="12.8" hidden="false" customHeight="false" outlineLevel="0" collapsed="false">
      <c r="A59" s="13" t="s">
        <v>436</v>
      </c>
      <c r="B59" s="13" t="s">
        <v>437</v>
      </c>
      <c r="C59" s="13" t="n">
        <v>0.08</v>
      </c>
      <c r="D59" s="13" t="s">
        <v>438</v>
      </c>
      <c r="E59" s="13"/>
    </row>
    <row r="60" customFormat="false" ht="12.8" hidden="false" customHeight="false" outlineLevel="0" collapsed="false">
      <c r="A60" s="13" t="s">
        <v>439</v>
      </c>
      <c r="B60" s="13" t="s">
        <v>440</v>
      </c>
      <c r="C60" s="13" t="n">
        <v>0.03</v>
      </c>
      <c r="D60" s="13" t="s">
        <v>441</v>
      </c>
      <c r="E60" s="13"/>
    </row>
    <row r="61" customFormat="false" ht="12.8" hidden="false" customHeight="false" outlineLevel="0" collapsed="false">
      <c r="A61" s="13" t="s">
        <v>442</v>
      </c>
      <c r="B61" s="13" t="s">
        <v>443</v>
      </c>
      <c r="C61" s="13" t="n">
        <v>0.05</v>
      </c>
      <c r="D61" s="13" t="s">
        <v>444</v>
      </c>
      <c r="E61" s="13"/>
    </row>
    <row r="62" customFormat="false" ht="12.8" hidden="false" customHeight="false" outlineLevel="0" collapsed="false">
      <c r="A62" s="13" t="s">
        <v>445</v>
      </c>
      <c r="B62" s="13" t="s">
        <v>446</v>
      </c>
      <c r="C62" s="13" t="n">
        <v>0.09</v>
      </c>
      <c r="D62" s="13" t="s">
        <v>447</v>
      </c>
      <c r="E62" s="13"/>
    </row>
    <row r="63" customFormat="false" ht="12.8" hidden="false" customHeight="false" outlineLevel="0" collapsed="false">
      <c r="A63" s="13" t="s">
        <v>448</v>
      </c>
      <c r="B63" s="13" t="s">
        <v>449</v>
      </c>
      <c r="C63" s="13" t="n">
        <v>0.025</v>
      </c>
      <c r="D63" s="13" t="s">
        <v>450</v>
      </c>
      <c r="E63" s="13"/>
    </row>
    <row r="64" customFormat="false" ht="12.8" hidden="false" customHeight="false" outlineLevel="0" collapsed="false">
      <c r="A64" s="13" t="s">
        <v>451</v>
      </c>
      <c r="B64" s="13" t="s">
        <v>452</v>
      </c>
      <c r="C64" s="13" t="n">
        <v>0.045</v>
      </c>
      <c r="D64" s="13" t="s">
        <v>453</v>
      </c>
      <c r="E64" s="13"/>
    </row>
    <row r="65" customFormat="false" ht="12.8" hidden="false" customHeight="false" outlineLevel="0" collapsed="false">
      <c r="A65" s="13" t="s">
        <v>454</v>
      </c>
      <c r="B65" s="13" t="s">
        <v>455</v>
      </c>
      <c r="C65" s="13" t="n">
        <v>0.08</v>
      </c>
      <c r="D65" s="13" t="s">
        <v>456</v>
      </c>
      <c r="E65" s="13"/>
    </row>
    <row r="66" customFormat="false" ht="12.8" hidden="false" customHeight="false" outlineLevel="0" collapsed="false">
      <c r="A66" s="13" t="s">
        <v>457</v>
      </c>
      <c r="B66" s="13" t="s">
        <v>458</v>
      </c>
      <c r="C66" s="13" t="n">
        <v>0.03</v>
      </c>
      <c r="D66" s="13" t="s">
        <v>459</v>
      </c>
      <c r="E66" s="13"/>
    </row>
    <row r="67" customFormat="false" ht="12.8" hidden="false" customHeight="false" outlineLevel="0" collapsed="false">
      <c r="A67" s="13" t="s">
        <v>460</v>
      </c>
      <c r="B67" s="13" t="s">
        <v>461</v>
      </c>
      <c r="C67" s="13" t="n">
        <v>0.05</v>
      </c>
      <c r="D67" s="13" t="s">
        <v>462</v>
      </c>
      <c r="E67" s="13"/>
    </row>
    <row r="68" customFormat="false" ht="12.8" hidden="false" customHeight="false" outlineLevel="0" collapsed="false">
      <c r="A68" s="13" t="s">
        <v>463</v>
      </c>
      <c r="B68" s="13" t="s">
        <v>464</v>
      </c>
      <c r="C68" s="13" t="n">
        <v>0.09</v>
      </c>
      <c r="D68" s="13" t="s">
        <v>465</v>
      </c>
      <c r="E68" s="13"/>
    </row>
    <row r="69" customFormat="false" ht="12.8" hidden="false" customHeight="false" outlineLevel="0" collapsed="false">
      <c r="A69" s="13" t="s">
        <v>466</v>
      </c>
      <c r="B69" s="13" t="s">
        <v>467</v>
      </c>
      <c r="C69" s="13" t="n">
        <v>0.035</v>
      </c>
      <c r="D69" s="13" t="s">
        <v>468</v>
      </c>
      <c r="E69" s="13"/>
    </row>
    <row r="70" customFormat="false" ht="12.8" hidden="false" customHeight="false" outlineLevel="0" collapsed="false">
      <c r="A70" s="13" t="s">
        <v>469</v>
      </c>
      <c r="B70" s="13" t="s">
        <v>470</v>
      </c>
      <c r="C70" s="13" t="n">
        <v>0.055</v>
      </c>
      <c r="D70" s="13" t="s">
        <v>471</v>
      </c>
      <c r="E70" s="13"/>
    </row>
    <row r="71" customFormat="false" ht="12.8" hidden="false" customHeight="false" outlineLevel="0" collapsed="false">
      <c r="A71" s="13" t="s">
        <v>472</v>
      </c>
      <c r="B71" s="13" t="s">
        <v>473</v>
      </c>
      <c r="C71" s="13" t="n">
        <v>0.1</v>
      </c>
      <c r="D71" s="13" t="s">
        <v>474</v>
      </c>
      <c r="E71" s="13"/>
    </row>
    <row r="72" customFormat="false" ht="12.8" hidden="false" customHeight="false" outlineLevel="0" collapsed="false">
      <c r="A72" s="13" t="s">
        <v>475</v>
      </c>
      <c r="B72" s="13" t="s">
        <v>476</v>
      </c>
      <c r="C72" s="13" t="n">
        <v>0.025</v>
      </c>
      <c r="D72" s="13" t="s">
        <v>477</v>
      </c>
      <c r="E72" s="13" t="s">
        <v>478</v>
      </c>
    </row>
    <row r="73" customFormat="false" ht="12.8" hidden="false" customHeight="false" outlineLevel="0" collapsed="false">
      <c r="A73" s="13" t="s">
        <v>479</v>
      </c>
      <c r="B73" s="13" t="s">
        <v>480</v>
      </c>
      <c r="C73" s="13" t="n">
        <v>0.04</v>
      </c>
      <c r="D73" s="13" t="s">
        <v>481</v>
      </c>
      <c r="E73" s="13"/>
    </row>
    <row r="74" customFormat="false" ht="12.8" hidden="false" customHeight="false" outlineLevel="0" collapsed="false">
      <c r="A74" s="13" t="s">
        <v>482</v>
      </c>
      <c r="B74" s="13" t="s">
        <v>483</v>
      </c>
      <c r="C74" s="13" t="n">
        <v>0.06</v>
      </c>
      <c r="D74" s="13" t="s">
        <v>484</v>
      </c>
      <c r="E74" s="13"/>
    </row>
    <row r="75" customFormat="false" ht="12.8" hidden="false" customHeight="false" outlineLevel="0" collapsed="false">
      <c r="A75" s="13" t="s">
        <v>485</v>
      </c>
      <c r="B75" s="13" t="s">
        <v>486</v>
      </c>
      <c r="C75" s="13" t="n">
        <v>0.035</v>
      </c>
      <c r="D75" s="13" t="s">
        <v>487</v>
      </c>
      <c r="E75" s="13" t="s">
        <v>488</v>
      </c>
    </row>
    <row r="76" customFormat="false" ht="12.8" hidden="false" customHeight="false" outlineLevel="0" collapsed="false">
      <c r="A76" s="13" t="s">
        <v>489</v>
      </c>
      <c r="B76" s="13" t="s">
        <v>490</v>
      </c>
      <c r="C76" s="13" t="n">
        <v>0.045</v>
      </c>
      <c r="D76" s="13" t="s">
        <v>491</v>
      </c>
      <c r="E76" s="13"/>
    </row>
    <row r="77" customFormat="false" ht="12.8" hidden="false" customHeight="false" outlineLevel="0" collapsed="false">
      <c r="A77" s="13" t="s">
        <v>492</v>
      </c>
      <c r="B77" s="13" t="s">
        <v>493</v>
      </c>
      <c r="C77" s="13" t="n">
        <v>0.06</v>
      </c>
      <c r="D77" s="13" t="s">
        <v>494</v>
      </c>
      <c r="E77" s="13"/>
    </row>
    <row r="78" customFormat="false" ht="12.8" hidden="false" customHeight="false" outlineLevel="0" collapsed="false">
      <c r="A78" s="13" t="s">
        <v>495</v>
      </c>
      <c r="B78" s="13" t="s">
        <v>496</v>
      </c>
      <c r="C78" s="13" t="n">
        <v>0.079</v>
      </c>
      <c r="D78" s="13" t="s">
        <v>497</v>
      </c>
      <c r="E78" s="13" t="s">
        <v>498</v>
      </c>
    </row>
    <row r="79" customFormat="false" ht="12.8" hidden="false" customHeight="false" outlineLevel="0" collapsed="false">
      <c r="A79" s="13" t="s">
        <v>499</v>
      </c>
      <c r="B79" s="13" t="s">
        <v>500</v>
      </c>
      <c r="C79" s="13" t="n">
        <v>0.85</v>
      </c>
      <c r="D79" s="13" t="s">
        <v>501</v>
      </c>
      <c r="E79" s="13" t="s">
        <v>502</v>
      </c>
    </row>
    <row r="80" customFormat="false" ht="12.8" hidden="false" customHeight="false" outlineLevel="0" collapsed="false">
      <c r="A80" s="13" t="s">
        <v>503</v>
      </c>
      <c r="B80" s="13" t="s">
        <v>504</v>
      </c>
      <c r="C80" s="13" t="n">
        <v>1</v>
      </c>
      <c r="D80" s="13" t="s">
        <v>505</v>
      </c>
      <c r="E80" s="13"/>
    </row>
    <row r="81" customFormat="false" ht="12.8" hidden="false" customHeight="false" outlineLevel="0" collapsed="false">
      <c r="A81" s="13" t="s">
        <v>506</v>
      </c>
      <c r="B81" s="13" t="s">
        <v>507</v>
      </c>
      <c r="C81" s="13" t="n">
        <v>1.15</v>
      </c>
      <c r="D81" s="13" t="s">
        <v>508</v>
      </c>
      <c r="E81" s="13"/>
    </row>
    <row r="82" customFormat="false" ht="12.8" hidden="false" customHeight="false" outlineLevel="0" collapsed="false">
      <c r="A82" s="13" t="s">
        <v>509</v>
      </c>
      <c r="B82" s="13" t="s">
        <v>510</v>
      </c>
      <c r="C82" s="13" t="n">
        <v>1.25</v>
      </c>
      <c r="D82" s="13" t="s">
        <v>511</v>
      </c>
      <c r="E82" s="13" t="s">
        <v>512</v>
      </c>
    </row>
    <row r="83" customFormat="false" ht="12.8" hidden="false" customHeight="false" outlineLevel="0" collapsed="false">
      <c r="A83" s="13" t="s">
        <v>513</v>
      </c>
      <c r="B83" s="13" t="s">
        <v>514</v>
      </c>
      <c r="C83" s="13" t="n">
        <v>1.15</v>
      </c>
      <c r="D83" s="13" t="s">
        <v>515</v>
      </c>
      <c r="E83" s="13"/>
    </row>
    <row r="84" customFormat="false" ht="12.8" hidden="false" customHeight="false" outlineLevel="0" collapsed="false">
      <c r="A84" s="13" t="s">
        <v>516</v>
      </c>
      <c r="B84" s="13" t="s">
        <v>517</v>
      </c>
      <c r="C84" s="13" t="n">
        <v>1.3</v>
      </c>
      <c r="D84" s="13" t="s">
        <v>518</v>
      </c>
      <c r="E84" s="13"/>
    </row>
    <row r="85" customFormat="false" ht="12.8" hidden="false" customHeight="false" outlineLevel="0" collapsed="false">
      <c r="A85" s="13" t="s">
        <v>519</v>
      </c>
      <c r="B85" s="13" t="s">
        <v>520</v>
      </c>
      <c r="C85" s="13" t="n">
        <v>1.35</v>
      </c>
      <c r="D85" s="13" t="s">
        <v>521</v>
      </c>
      <c r="E85" s="13"/>
    </row>
    <row r="86" customFormat="false" ht="12.8" hidden="false" customHeight="false" outlineLevel="0" collapsed="false">
      <c r="A86" s="13" t="s">
        <v>522</v>
      </c>
      <c r="B86" s="13" t="s">
        <v>523</v>
      </c>
      <c r="C86" s="13" t="n">
        <v>0.9</v>
      </c>
      <c r="D86" s="13" t="s">
        <v>524</v>
      </c>
      <c r="E86" s="13"/>
    </row>
    <row r="87" customFormat="false" ht="12.8" hidden="false" customHeight="false" outlineLevel="0" collapsed="false">
      <c r="A87" s="13" t="s">
        <v>525</v>
      </c>
      <c r="B87" s="13" t="s">
        <v>526</v>
      </c>
      <c r="C87" s="13" t="n">
        <v>1</v>
      </c>
      <c r="D87" s="13" t="s">
        <v>527</v>
      </c>
      <c r="E87" s="13"/>
    </row>
    <row r="88" customFormat="false" ht="12.8" hidden="false" customHeight="false" outlineLevel="0" collapsed="false">
      <c r="A88" s="13" t="s">
        <v>528</v>
      </c>
      <c r="B88" s="13" t="s">
        <v>529</v>
      </c>
      <c r="C88" s="13" t="n">
        <v>1.2</v>
      </c>
      <c r="D88" s="13" t="s">
        <v>530</v>
      </c>
      <c r="E88" s="13"/>
    </row>
    <row r="89" customFormat="false" ht="12.8" hidden="false" customHeight="false" outlineLevel="0" collapsed="false">
      <c r="A89" s="13" t="s">
        <v>531</v>
      </c>
      <c r="B89" s="13" t="s">
        <v>532</v>
      </c>
      <c r="C89" s="13" t="n">
        <v>1.25</v>
      </c>
      <c r="D89" s="13" t="s">
        <v>533</v>
      </c>
      <c r="E89" s="13"/>
    </row>
    <row r="90" customFormat="false" ht="12.8" hidden="false" customHeight="false" outlineLevel="0" collapsed="false">
      <c r="A90" s="13" t="s">
        <v>534</v>
      </c>
      <c r="B90" s="13" t="s">
        <v>535</v>
      </c>
      <c r="C90" s="13" t="n">
        <v>1</v>
      </c>
      <c r="D90" s="13" t="s">
        <v>536</v>
      </c>
      <c r="E90" s="13"/>
    </row>
    <row r="91" customFormat="false" ht="12.8" hidden="false" customHeight="false" outlineLevel="0" collapsed="false">
      <c r="A91" s="13" t="s">
        <v>537</v>
      </c>
      <c r="B91" s="13" t="s">
        <v>538</v>
      </c>
      <c r="C91" s="13" t="n">
        <v>1.1</v>
      </c>
      <c r="D91" s="13" t="s">
        <v>539</v>
      </c>
      <c r="E91" s="13"/>
    </row>
    <row r="92" customFormat="false" ht="12.8" hidden="false" customHeight="false" outlineLevel="0" collapsed="false">
      <c r="A92" s="13" t="s">
        <v>540</v>
      </c>
      <c r="B92" s="13" t="s">
        <v>541</v>
      </c>
      <c r="C92" s="13" t="n">
        <v>0.8</v>
      </c>
      <c r="D92" s="13" t="s">
        <v>542</v>
      </c>
      <c r="E92" s="13"/>
    </row>
    <row r="93" customFormat="false" ht="12.8" hidden="false" customHeight="false" outlineLevel="0" collapsed="false">
      <c r="A93" s="13" t="s">
        <v>543</v>
      </c>
      <c r="B93" s="13" t="s">
        <v>544</v>
      </c>
      <c r="C93" s="13" t="n">
        <v>0.7</v>
      </c>
      <c r="D93" s="13" t="s">
        <v>545</v>
      </c>
      <c r="E93" s="13"/>
    </row>
    <row r="94" customFormat="false" ht="12.8" hidden="false" customHeight="false" outlineLevel="0" collapsed="false">
      <c r="A94" s="13" t="s">
        <v>546</v>
      </c>
      <c r="B94" s="13" t="s">
        <v>547</v>
      </c>
      <c r="C94" s="13" t="n">
        <v>0.7</v>
      </c>
      <c r="D94" s="13" t="s">
        <v>548</v>
      </c>
      <c r="E94" s="13"/>
    </row>
    <row r="95" customFormat="false" ht="12.8" hidden="false" customHeight="false" outlineLevel="0" collapsed="false">
      <c r="A95" s="13" t="s">
        <v>549</v>
      </c>
      <c r="B95" s="13" t="s">
        <v>550</v>
      </c>
      <c r="C95" s="13" t="n">
        <v>0.7</v>
      </c>
      <c r="D95" s="13" t="s">
        <v>551</v>
      </c>
      <c r="E95" s="13"/>
    </row>
    <row r="96" customFormat="false" ht="12.8" hidden="false" customHeight="false" outlineLevel="0" collapsed="false">
      <c r="A96" s="13" t="s">
        <v>552</v>
      </c>
      <c r="B96" s="13" t="s">
        <v>553</v>
      </c>
      <c r="C96" s="13" t="n">
        <v>0.8</v>
      </c>
      <c r="D96" s="13" t="s">
        <v>554</v>
      </c>
      <c r="E96" s="13"/>
    </row>
    <row r="97" customFormat="false" ht="12.8" hidden="false" customHeight="false" outlineLevel="0" collapsed="false">
      <c r="A97" s="13" t="s">
        <v>555</v>
      </c>
      <c r="B97" s="13" t="s">
        <v>556</v>
      </c>
      <c r="C97" s="13" t="n">
        <v>0.7</v>
      </c>
      <c r="D97" s="13" t="s">
        <v>557</v>
      </c>
      <c r="E97" s="13" t="s">
        <v>558</v>
      </c>
    </row>
    <row r="98" customFormat="false" ht="12.8" hidden="false" customHeight="false" outlineLevel="0" collapsed="false">
      <c r="A98" s="13" t="s">
        <v>559</v>
      </c>
      <c r="B98" s="13" t="s">
        <v>560</v>
      </c>
      <c r="C98" s="13" t="n">
        <v>1.4</v>
      </c>
      <c r="D98" s="13" t="s">
        <v>561</v>
      </c>
      <c r="E98" s="13" t="s">
        <v>562</v>
      </c>
    </row>
    <row r="99" customFormat="false" ht="12.8" hidden="false" customHeight="false" outlineLevel="0" collapsed="false">
      <c r="A99" s="13" t="s">
        <v>563</v>
      </c>
      <c r="B99" s="13" t="s">
        <v>564</v>
      </c>
      <c r="C99" s="13" t="n">
        <v>1</v>
      </c>
      <c r="D99" s="13" t="s">
        <v>565</v>
      </c>
      <c r="E99" s="13"/>
    </row>
    <row r="100" customFormat="false" ht="12.8" hidden="false" customHeight="false" outlineLevel="0" collapsed="false">
      <c r="A100" s="13" t="s">
        <v>566</v>
      </c>
      <c r="B100" s="13" t="s">
        <v>567</v>
      </c>
      <c r="C100" s="13" t="n">
        <v>1.1</v>
      </c>
      <c r="D100" s="13" t="s">
        <v>568</v>
      </c>
      <c r="E100" s="13"/>
    </row>
    <row r="101" customFormat="false" ht="12.8" hidden="false" customHeight="false" outlineLevel="0" collapsed="false">
      <c r="A101" s="13" t="s">
        <v>569</v>
      </c>
      <c r="B101" s="13" t="s">
        <v>570</v>
      </c>
      <c r="C101" s="13" t="n">
        <v>16.5</v>
      </c>
      <c r="D101" s="13" t="s">
        <v>571</v>
      </c>
      <c r="E101" s="13" t="s">
        <v>572</v>
      </c>
    </row>
    <row r="102" customFormat="false" ht="12.8" hidden="false" customHeight="false" outlineLevel="0" collapsed="false">
      <c r="A102" s="13" t="s">
        <v>573</v>
      </c>
      <c r="B102" s="13" t="s">
        <v>574</v>
      </c>
      <c r="C102" s="13" t="n">
        <v>22.5</v>
      </c>
      <c r="D102" s="13" t="s">
        <v>575</v>
      </c>
      <c r="E102" s="13"/>
    </row>
    <row r="103" customFormat="false" ht="12.8" hidden="false" customHeight="false" outlineLevel="0" collapsed="false">
      <c r="A103" s="13" t="s">
        <v>576</v>
      </c>
      <c r="B103" s="13" t="s">
        <v>577</v>
      </c>
      <c r="C103" s="13" t="n">
        <v>15.8</v>
      </c>
      <c r="D103" s="13" t="s">
        <v>578</v>
      </c>
      <c r="E103" s="13"/>
    </row>
    <row r="104" customFormat="false" ht="12.8" hidden="false" customHeight="false" outlineLevel="0" collapsed="false">
      <c r="A104" s="13" t="s">
        <v>579</v>
      </c>
      <c r="B104" s="13" t="s">
        <v>580</v>
      </c>
      <c r="C104" s="13" t="n">
        <v>15.5</v>
      </c>
      <c r="D104" s="13" t="s">
        <v>581</v>
      </c>
      <c r="E104" s="13"/>
    </row>
    <row r="105" customFormat="false" ht="12.8" hidden="false" customHeight="false" outlineLevel="0" collapsed="false">
      <c r="A105" s="13" t="s">
        <v>582</v>
      </c>
      <c r="B105" s="13" t="s">
        <v>583</v>
      </c>
      <c r="C105" s="13" t="n">
        <v>21.5</v>
      </c>
      <c r="D105" s="13" t="s">
        <v>584</v>
      </c>
      <c r="E105" s="13"/>
    </row>
    <row r="106" customFormat="false" ht="12.8" hidden="false" customHeight="false" outlineLevel="0" collapsed="false">
      <c r="A106" s="13" t="s">
        <v>585</v>
      </c>
      <c r="B106" s="13" t="s">
        <v>586</v>
      </c>
      <c r="C106" s="13" t="n">
        <v>21</v>
      </c>
      <c r="D106" s="13" t="s">
        <v>587</v>
      </c>
      <c r="E106" s="13"/>
    </row>
    <row r="107" customFormat="false" ht="12.8" hidden="false" customHeight="false" outlineLevel="0" collapsed="false">
      <c r="A107" s="13" t="s">
        <v>588</v>
      </c>
      <c r="B107" s="13" t="s">
        <v>589</v>
      </c>
      <c r="C107" s="13" t="n">
        <v>20.5</v>
      </c>
      <c r="D107" s="13" t="s">
        <v>590</v>
      </c>
      <c r="E107" s="13"/>
    </row>
    <row r="108" customFormat="false" ht="12.8" hidden="false" customHeight="false" outlineLevel="0" collapsed="false">
      <c r="A108" s="13" t="s">
        <v>591</v>
      </c>
      <c r="B108" s="13" t="s">
        <v>592</v>
      </c>
      <c r="C108" s="13" t="n">
        <v>16</v>
      </c>
      <c r="D108" s="13" t="s">
        <v>593</v>
      </c>
      <c r="E108" s="13"/>
    </row>
    <row r="109" customFormat="false" ht="12.8" hidden="false" customHeight="false" outlineLevel="0" collapsed="false">
      <c r="A109" s="13" t="s">
        <v>594</v>
      </c>
      <c r="B109" s="13" t="s">
        <v>595</v>
      </c>
      <c r="C109" s="13" t="n">
        <v>24</v>
      </c>
      <c r="D109" s="13" t="s">
        <v>596</v>
      </c>
      <c r="E109" s="13"/>
    </row>
    <row r="110" customFormat="false" ht="12.8" hidden="false" customHeight="false" outlineLevel="0" collapsed="false">
      <c r="A110" s="13" t="s">
        <v>597</v>
      </c>
      <c r="B110" s="13" t="s">
        <v>598</v>
      </c>
      <c r="C110" s="13" t="n">
        <v>19</v>
      </c>
      <c r="D110" s="13" t="s">
        <v>599</v>
      </c>
      <c r="E110" s="13"/>
    </row>
    <row r="111" customFormat="false" ht="12.8" hidden="false" customHeight="false" outlineLevel="0" collapsed="false">
      <c r="A111" s="13" t="s">
        <v>600</v>
      </c>
      <c r="B111" s="13" t="s">
        <v>601</v>
      </c>
      <c r="C111" s="13" t="n">
        <v>30</v>
      </c>
      <c r="D111" s="13" t="s">
        <v>602</v>
      </c>
      <c r="E111" s="13"/>
    </row>
    <row r="112" customFormat="false" ht="12.8" hidden="false" customHeight="false" outlineLevel="0" collapsed="false">
      <c r="A112" s="13" t="s">
        <v>603</v>
      </c>
      <c r="B112" s="13" t="s">
        <v>604</v>
      </c>
      <c r="C112" s="13" t="n">
        <v>35</v>
      </c>
      <c r="D112" s="13" t="s">
        <v>605</v>
      </c>
      <c r="E112" s="13"/>
    </row>
    <row r="113" customFormat="false" ht="12.8" hidden="false" customHeight="false" outlineLevel="0" collapsed="false">
      <c r="A113" s="13" t="s">
        <v>606</v>
      </c>
      <c r="B113" s="13" t="s">
        <v>607</v>
      </c>
      <c r="C113" s="13" t="n">
        <v>28</v>
      </c>
      <c r="D113" s="13" t="s">
        <v>608</v>
      </c>
      <c r="E113" s="13"/>
    </row>
    <row r="114" customFormat="false" ht="12.8" hidden="false" customHeight="false" outlineLevel="0" collapsed="false">
      <c r="A114" s="13" t="s">
        <v>609</v>
      </c>
      <c r="B114" s="13" t="s">
        <v>610</v>
      </c>
      <c r="C114" s="13" t="n">
        <v>35.5</v>
      </c>
      <c r="D114" s="13" t="s">
        <v>611</v>
      </c>
      <c r="E114" s="13"/>
    </row>
    <row r="115" customFormat="false" ht="12.8" hidden="false" customHeight="false" outlineLevel="0" collapsed="false">
      <c r="A115" s="13" t="s">
        <v>612</v>
      </c>
      <c r="B115" s="13" t="s">
        <v>613</v>
      </c>
      <c r="C115" s="13" t="n">
        <v>34</v>
      </c>
      <c r="D115" s="13" t="s">
        <v>614</v>
      </c>
      <c r="E115" s="13"/>
    </row>
    <row r="116" customFormat="false" ht="12.8" hidden="false" customHeight="false" outlineLevel="0" collapsed="false">
      <c r="A116" s="13" t="s">
        <v>615</v>
      </c>
      <c r="B116" s="13" t="s">
        <v>616</v>
      </c>
      <c r="C116" s="13" t="n">
        <v>28</v>
      </c>
      <c r="D116" s="13" t="s">
        <v>617</v>
      </c>
      <c r="E116" s="13" t="s">
        <v>618</v>
      </c>
    </row>
    <row r="117" customFormat="false" ht="12.8" hidden="false" customHeight="false" outlineLevel="0" collapsed="false">
      <c r="A117" s="13" t="s">
        <v>619</v>
      </c>
      <c r="B117" s="13" t="s">
        <v>620</v>
      </c>
      <c r="C117" s="13" t="n">
        <v>14</v>
      </c>
      <c r="D117" s="13" t="s">
        <v>621</v>
      </c>
      <c r="E117" s="13" t="s">
        <v>622</v>
      </c>
    </row>
    <row r="118" customFormat="false" ht="12.8" hidden="false" customHeight="false" outlineLevel="0" collapsed="false">
      <c r="A118" s="13" t="s">
        <v>623</v>
      </c>
      <c r="B118" s="13" t="s">
        <v>624</v>
      </c>
      <c r="C118" s="13" t="n">
        <v>19.1</v>
      </c>
      <c r="D118" s="13" t="s">
        <v>625</v>
      </c>
      <c r="E118" s="13"/>
    </row>
    <row r="119" customFormat="false" ht="12.8" hidden="false" customHeight="false" outlineLevel="0" collapsed="false">
      <c r="A119" s="13" t="s">
        <v>626</v>
      </c>
      <c r="B119" s="13" t="s">
        <v>627</v>
      </c>
      <c r="C119" s="13" t="n">
        <v>13.4</v>
      </c>
      <c r="D119" s="13" t="s">
        <v>628</v>
      </c>
      <c r="E119" s="13"/>
    </row>
    <row r="120" customFormat="false" ht="12.8" hidden="false" customHeight="false" outlineLevel="0" collapsed="false">
      <c r="A120" s="13" t="s">
        <v>629</v>
      </c>
      <c r="B120" s="13" t="s">
        <v>630</v>
      </c>
      <c r="C120" s="13" t="n">
        <v>13.2</v>
      </c>
      <c r="D120" s="13" t="s">
        <v>631</v>
      </c>
      <c r="E120" s="13"/>
    </row>
    <row r="121" customFormat="false" ht="12.8" hidden="false" customHeight="false" outlineLevel="0" collapsed="false">
      <c r="A121" s="13" t="s">
        <v>632</v>
      </c>
      <c r="B121" s="13" t="s">
        <v>633</v>
      </c>
      <c r="C121" s="13" t="n">
        <v>18.3</v>
      </c>
      <c r="D121" s="13" t="s">
        <v>634</v>
      </c>
      <c r="E121" s="13"/>
    </row>
    <row r="122" customFormat="false" ht="12.8" hidden="false" customHeight="false" outlineLevel="0" collapsed="false">
      <c r="A122" s="13" t="s">
        <v>635</v>
      </c>
      <c r="B122" s="13" t="s">
        <v>636</v>
      </c>
      <c r="C122" s="13" t="n">
        <v>17.9</v>
      </c>
      <c r="D122" s="13" t="s">
        <v>637</v>
      </c>
      <c r="E122" s="13"/>
    </row>
    <row r="123" customFormat="false" ht="12.8" hidden="false" customHeight="false" outlineLevel="0" collapsed="false">
      <c r="A123" s="13" t="s">
        <v>638</v>
      </c>
      <c r="B123" s="13" t="s">
        <v>639</v>
      </c>
      <c r="C123" s="13" t="n">
        <v>17.4</v>
      </c>
      <c r="D123" s="13" t="s">
        <v>640</v>
      </c>
      <c r="E123" s="13"/>
    </row>
    <row r="124" customFormat="false" ht="12.8" hidden="false" customHeight="false" outlineLevel="0" collapsed="false">
      <c r="A124" s="13" t="s">
        <v>641</v>
      </c>
      <c r="B124" s="13" t="s">
        <v>642</v>
      </c>
      <c r="C124" s="13" t="n">
        <v>13.6</v>
      </c>
      <c r="D124" s="13" t="s">
        <v>643</v>
      </c>
      <c r="E124" s="13"/>
    </row>
    <row r="125" customFormat="false" ht="12.8" hidden="false" customHeight="false" outlineLevel="0" collapsed="false">
      <c r="A125" s="13" t="s">
        <v>644</v>
      </c>
      <c r="B125" s="13" t="s">
        <v>645</v>
      </c>
      <c r="C125" s="18" t="n">
        <v>20.4</v>
      </c>
      <c r="D125" s="13" t="s">
        <v>646</v>
      </c>
      <c r="E125" s="13"/>
    </row>
    <row r="126" customFormat="false" ht="12.8" hidden="false" customHeight="false" outlineLevel="0" collapsed="false">
      <c r="A126" s="13" t="s">
        <v>647</v>
      </c>
      <c r="B126" s="13" t="s">
        <v>648</v>
      </c>
      <c r="C126" s="13" t="n">
        <v>16.2</v>
      </c>
      <c r="D126" s="13" t="s">
        <v>649</v>
      </c>
      <c r="E126" s="13"/>
    </row>
    <row r="127" customFormat="false" ht="12.8" hidden="false" customHeight="false" outlineLevel="0" collapsed="false">
      <c r="A127" s="13" t="s">
        <v>650</v>
      </c>
      <c r="B127" s="13" t="s">
        <v>651</v>
      </c>
      <c r="C127" s="13" t="n">
        <v>25.5</v>
      </c>
      <c r="D127" s="13" t="s">
        <v>652</v>
      </c>
      <c r="E127" s="13"/>
    </row>
    <row r="128" customFormat="false" ht="12.8" hidden="false" customHeight="false" outlineLevel="0" collapsed="false">
      <c r="A128" s="13" t="s">
        <v>653</v>
      </c>
      <c r="B128" s="13" t="s">
        <v>654</v>
      </c>
      <c r="C128" s="13" t="n">
        <v>29.8</v>
      </c>
      <c r="D128" s="13" t="s">
        <v>655</v>
      </c>
      <c r="E128" s="13"/>
    </row>
    <row r="129" customFormat="false" ht="12.8" hidden="false" customHeight="false" outlineLevel="0" collapsed="false">
      <c r="A129" s="13" t="s">
        <v>656</v>
      </c>
      <c r="B129" s="13" t="s">
        <v>657</v>
      </c>
      <c r="C129" s="13" t="n">
        <v>23.8</v>
      </c>
      <c r="D129" s="13" t="s">
        <v>658</v>
      </c>
      <c r="E129" s="13"/>
    </row>
    <row r="130" customFormat="false" ht="12.8" hidden="false" customHeight="false" outlineLevel="0" collapsed="false">
      <c r="A130" s="13" t="s">
        <v>659</v>
      </c>
      <c r="B130" s="13" t="s">
        <v>660</v>
      </c>
      <c r="C130" s="13" t="n">
        <v>30.2</v>
      </c>
      <c r="D130" s="13" t="s">
        <v>661</v>
      </c>
      <c r="E130" s="13"/>
    </row>
    <row r="131" customFormat="false" ht="12.8" hidden="false" customHeight="false" outlineLevel="0" collapsed="false">
      <c r="A131" s="13" t="s">
        <v>662</v>
      </c>
      <c r="B131" s="13" t="s">
        <v>663</v>
      </c>
      <c r="C131" s="13" t="n">
        <v>28.9</v>
      </c>
      <c r="D131" s="13" t="s">
        <v>664</v>
      </c>
      <c r="E131" s="13"/>
    </row>
    <row r="132" customFormat="false" ht="12.8" hidden="false" customHeight="false" outlineLevel="0" collapsed="false">
      <c r="A132" s="13" t="s">
        <v>665</v>
      </c>
      <c r="B132" s="13" t="s">
        <v>666</v>
      </c>
      <c r="C132" s="13" t="n">
        <v>0</v>
      </c>
      <c r="D132" s="13" t="s">
        <v>667</v>
      </c>
      <c r="E132" s="13" t="s">
        <v>668</v>
      </c>
    </row>
    <row r="133" customFormat="false" ht="12.8" hidden="false" customHeight="false" outlineLevel="0" collapsed="false">
      <c r="A133" s="13" t="s">
        <v>669</v>
      </c>
      <c r="B133" s="13" t="s">
        <v>670</v>
      </c>
      <c r="C133" s="13" t="n">
        <v>1</v>
      </c>
      <c r="D133" s="13" t="s">
        <v>671</v>
      </c>
      <c r="E133" s="13" t="s">
        <v>672</v>
      </c>
    </row>
    <row r="134" customFormat="false" ht="12.8" hidden="false" customHeight="false" outlineLevel="0" collapsed="false">
      <c r="A134" s="13" t="s">
        <v>673</v>
      </c>
      <c r="B134" s="13" t="s">
        <v>674</v>
      </c>
      <c r="C134" s="13" t="n">
        <v>0.95</v>
      </c>
      <c r="D134" s="13" t="s">
        <v>675</v>
      </c>
      <c r="E134" s="13"/>
    </row>
    <row r="135" customFormat="false" ht="12.8" hidden="false" customHeight="false" outlineLevel="0" collapsed="false">
      <c r="A135" s="13" t="s">
        <v>676</v>
      </c>
      <c r="B135" s="13" t="s">
        <v>677</v>
      </c>
      <c r="C135" s="13" t="n">
        <v>0.75</v>
      </c>
      <c r="D135" s="13" t="s">
        <v>678</v>
      </c>
      <c r="E135" s="13" t="s">
        <v>679</v>
      </c>
    </row>
    <row r="136" customFormat="false" ht="12.8" hidden="false" customHeight="false" outlineLevel="0" collapsed="false">
      <c r="A136" s="13" t="s">
        <v>680</v>
      </c>
      <c r="B136" s="13" t="s">
        <v>681</v>
      </c>
      <c r="C136" s="13" t="n">
        <v>0.85</v>
      </c>
      <c r="D136" s="13" t="s">
        <v>682</v>
      </c>
      <c r="E136" s="13" t="s">
        <v>683</v>
      </c>
    </row>
    <row r="137" customFormat="false" ht="12.8" hidden="false" customHeight="false" outlineLevel="0" collapsed="false">
      <c r="A137" s="13" t="s">
        <v>684</v>
      </c>
      <c r="B137" s="13" t="s">
        <v>685</v>
      </c>
      <c r="C137" s="13" t="n">
        <v>0.8</v>
      </c>
      <c r="D137" s="13" t="s">
        <v>686</v>
      </c>
      <c r="E137" s="13"/>
    </row>
    <row r="138" customFormat="false" ht="12.8" hidden="false" customHeight="false" outlineLevel="0" collapsed="false">
      <c r="A138" s="13" t="s">
        <v>687</v>
      </c>
      <c r="B138" s="13" t="s">
        <v>688</v>
      </c>
      <c r="C138" s="13" t="n">
        <v>0.6</v>
      </c>
      <c r="D138" s="13" t="s">
        <v>689</v>
      </c>
      <c r="E138" s="13" t="s">
        <v>690</v>
      </c>
    </row>
    <row r="139" customFormat="false" ht="12.8" hidden="false" customHeight="false" outlineLevel="0" collapsed="false">
      <c r="A139" s="16" t="s">
        <v>691</v>
      </c>
      <c r="B139" s="16" t="s">
        <v>692</v>
      </c>
      <c r="C139" s="16" t="n">
        <v>0.65</v>
      </c>
      <c r="D139" s="16" t="s">
        <v>693</v>
      </c>
      <c r="E139" s="16" t="s">
        <v>572</v>
      </c>
      <c r="F139" s="19"/>
    </row>
    <row r="140" customFormat="false" ht="12.8" hidden="false" customHeight="false" outlineLevel="0" collapsed="false">
      <c r="A140" s="16" t="s">
        <v>694</v>
      </c>
      <c r="B140" s="16" t="s">
        <v>695</v>
      </c>
      <c r="C140" s="16" t="n">
        <v>1.55</v>
      </c>
      <c r="D140" s="16" t="s">
        <v>696</v>
      </c>
      <c r="E140" s="16" t="s">
        <v>572</v>
      </c>
      <c r="F140" s="20"/>
    </row>
    <row r="141" customFormat="false" ht="12.8" hidden="false" customHeight="false" outlineLevel="0" collapsed="false">
      <c r="A141" s="16" t="s">
        <v>697</v>
      </c>
      <c r="B141" s="16" t="s">
        <v>698</v>
      </c>
      <c r="C141" s="16" t="n">
        <v>0.85</v>
      </c>
      <c r="D141" s="16" t="s">
        <v>699</v>
      </c>
      <c r="E141" s="16" t="s">
        <v>700</v>
      </c>
      <c r="F141" s="20"/>
    </row>
    <row r="142" customFormat="false" ht="12.8" hidden="false" customHeight="false" outlineLevel="0" collapsed="false">
      <c r="A142" s="16" t="s">
        <v>701</v>
      </c>
      <c r="B142" s="16" t="s">
        <v>702</v>
      </c>
      <c r="C142" s="16" t="n">
        <v>1.03</v>
      </c>
      <c r="D142" s="16" t="s">
        <v>703</v>
      </c>
      <c r="E142" s="16" t="s">
        <v>704</v>
      </c>
      <c r="F142" s="20"/>
    </row>
    <row r="143" customFormat="false" ht="12.8" hidden="false" customHeight="false" outlineLevel="0" collapsed="false">
      <c r="A143" s="16" t="s">
        <v>705</v>
      </c>
      <c r="B143" s="16" t="s">
        <v>706</v>
      </c>
      <c r="C143" s="16" t="n">
        <v>0.85</v>
      </c>
      <c r="D143" s="16" t="s">
        <v>707</v>
      </c>
      <c r="E143" s="16" t="s">
        <v>708</v>
      </c>
      <c r="F143" s="20"/>
    </row>
    <row r="144" customFormat="false" ht="12.8" hidden="false" customHeight="false" outlineLevel="0" collapsed="false">
      <c r="A144" s="16" t="s">
        <v>709</v>
      </c>
      <c r="B144" s="16" t="s">
        <v>710</v>
      </c>
      <c r="C144" s="16" t="n">
        <v>0.59</v>
      </c>
      <c r="D144" s="16" t="s">
        <v>711</v>
      </c>
      <c r="E144" s="16" t="s">
        <v>712</v>
      </c>
      <c r="F144" s="20"/>
    </row>
    <row r="145" customFormat="false" ht="12.8" hidden="false" customHeight="false" outlineLevel="0" collapsed="false">
      <c r="A145" s="16" t="s">
        <v>713</v>
      </c>
      <c r="B145" s="16" t="s">
        <v>714</v>
      </c>
      <c r="C145" s="16" t="n">
        <v>0.585</v>
      </c>
      <c r="D145" s="16" t="s">
        <v>715</v>
      </c>
      <c r="E145" s="16"/>
      <c r="F145" s="20"/>
    </row>
    <row r="146" customFormat="false" ht="12.8" hidden="false" customHeight="false" outlineLevel="0" collapsed="false">
      <c r="A146" s="16" t="s">
        <v>716</v>
      </c>
      <c r="B146" s="16" t="s">
        <v>717</v>
      </c>
      <c r="C146" s="16" t="n">
        <v>0.65</v>
      </c>
      <c r="D146" s="16" t="s">
        <v>718</v>
      </c>
      <c r="E146" s="16"/>
      <c r="F146" s="20"/>
    </row>
    <row r="147" customFormat="false" ht="12.8" hidden="false" customHeight="false" outlineLevel="0" collapsed="false">
      <c r="A147" s="16" t="s">
        <v>719</v>
      </c>
      <c r="B147" s="16" t="s">
        <v>720</v>
      </c>
      <c r="C147" s="16" t="n">
        <v>0.7</v>
      </c>
      <c r="D147" s="16" t="s">
        <v>721</v>
      </c>
      <c r="E147" s="16"/>
      <c r="F147" s="20"/>
    </row>
    <row r="148" customFormat="false" ht="12.8" hidden="false" customHeight="false" outlineLevel="0" collapsed="false">
      <c r="A148" s="16" t="s">
        <v>722</v>
      </c>
      <c r="B148" s="16" t="s">
        <v>723</v>
      </c>
      <c r="C148" s="16" t="n">
        <v>0.68</v>
      </c>
      <c r="D148" s="16" t="s">
        <v>724</v>
      </c>
      <c r="E148" s="16" t="s">
        <v>725</v>
      </c>
      <c r="F148" s="20"/>
    </row>
    <row r="149" customFormat="false" ht="12.8" hidden="false" customHeight="false" outlineLevel="0" collapsed="false">
      <c r="A149" s="16" t="s">
        <v>726</v>
      </c>
      <c r="B149" s="16" t="s">
        <v>727</v>
      </c>
      <c r="C149" s="16" t="n">
        <v>0.72</v>
      </c>
      <c r="D149" s="16" t="s">
        <v>728</v>
      </c>
      <c r="E149" s="16"/>
      <c r="F149" s="20"/>
    </row>
    <row r="150" customFormat="false" ht="12.8" hidden="false" customHeight="false" outlineLevel="0" collapsed="false">
      <c r="A150" s="16" t="s">
        <v>729</v>
      </c>
      <c r="B150" s="16" t="s">
        <v>730</v>
      </c>
      <c r="C150" s="16" t="n">
        <v>0.75</v>
      </c>
      <c r="D150" s="16" t="s">
        <v>731</v>
      </c>
      <c r="E150" s="16"/>
      <c r="F150" s="20"/>
    </row>
    <row r="151" customFormat="false" ht="12.8" hidden="false" customHeight="false" outlineLevel="0" collapsed="false">
      <c r="A151" s="16" t="s">
        <v>732</v>
      </c>
      <c r="B151" s="16" t="s">
        <v>733</v>
      </c>
      <c r="C151" s="16" t="n">
        <v>1.05</v>
      </c>
      <c r="D151" s="16" t="s">
        <v>734</v>
      </c>
      <c r="E151" s="16" t="s">
        <v>512</v>
      </c>
      <c r="F151" s="20"/>
    </row>
    <row r="152" customFormat="false" ht="12.8" hidden="false" customHeight="false" outlineLevel="0" collapsed="false">
      <c r="A152" s="16" t="s">
        <v>735</v>
      </c>
      <c r="B152" s="16" t="s">
        <v>736</v>
      </c>
      <c r="C152" s="16" t="n">
        <v>1</v>
      </c>
      <c r="D152" s="16" t="s">
        <v>737</v>
      </c>
      <c r="E152" s="16"/>
      <c r="F152" s="20"/>
    </row>
    <row r="153" customFormat="false" ht="12.8" hidden="false" customHeight="false" outlineLevel="0" collapsed="false">
      <c r="A153" s="16" t="s">
        <v>738</v>
      </c>
      <c r="B153" s="16" t="s">
        <v>739</v>
      </c>
      <c r="C153" s="16" t="n">
        <v>0.95</v>
      </c>
      <c r="D153" s="16" t="s">
        <v>740</v>
      </c>
      <c r="E153" s="16"/>
      <c r="F153" s="20"/>
    </row>
    <row r="154" customFormat="false" ht="12.8" hidden="false" customHeight="false" outlineLevel="0" collapsed="false">
      <c r="A154" s="16" t="s">
        <v>741</v>
      </c>
      <c r="B154" s="16" t="s">
        <v>742</v>
      </c>
      <c r="C154" s="16" t="n">
        <v>1.05</v>
      </c>
      <c r="D154" s="16" t="s">
        <v>743</v>
      </c>
      <c r="E154" s="16"/>
      <c r="F154" s="20"/>
    </row>
    <row r="155" customFormat="false" ht="12.8" hidden="false" customHeight="false" outlineLevel="0" collapsed="false">
      <c r="A155" s="16" t="s">
        <v>744</v>
      </c>
      <c r="B155" s="16" t="s">
        <v>745</v>
      </c>
      <c r="C155" s="16" t="n">
        <v>0.95</v>
      </c>
      <c r="D155" s="16" t="s">
        <v>746</v>
      </c>
      <c r="E155" s="16"/>
      <c r="F155" s="20"/>
    </row>
    <row r="156" customFormat="false" ht="12.8" hidden="false" customHeight="false" outlineLevel="0" collapsed="false">
      <c r="A156" s="16" t="s">
        <v>747</v>
      </c>
      <c r="B156" s="16" t="s">
        <v>748</v>
      </c>
      <c r="C156" s="16" t="n">
        <v>1</v>
      </c>
      <c r="D156" s="16" t="s">
        <v>749</v>
      </c>
      <c r="E156" s="16"/>
      <c r="F156" s="20"/>
    </row>
    <row r="157" customFormat="false" ht="12.8" hidden="false" customHeight="false" outlineLevel="0" collapsed="false">
      <c r="A157" s="16" t="s">
        <v>750</v>
      </c>
      <c r="B157" s="16" t="s">
        <v>751</v>
      </c>
      <c r="C157" s="16" t="n">
        <v>0.95</v>
      </c>
      <c r="D157" s="16" t="s">
        <v>752</v>
      </c>
      <c r="E157" s="16"/>
      <c r="F157" s="20"/>
    </row>
    <row r="158" customFormat="false" ht="12.8" hidden="false" customHeight="false" outlineLevel="0" collapsed="false">
      <c r="A158" s="16" t="s">
        <v>753</v>
      </c>
      <c r="B158" s="16" t="s">
        <v>754</v>
      </c>
      <c r="C158" s="16" t="n">
        <v>1.05</v>
      </c>
      <c r="D158" s="16" t="s">
        <v>755</v>
      </c>
      <c r="E158" s="16"/>
      <c r="F158" s="20"/>
    </row>
    <row r="159" customFormat="false" ht="12.8" hidden="false" customHeight="false" outlineLevel="0" collapsed="false">
      <c r="A159" s="16" t="s">
        <v>756</v>
      </c>
      <c r="B159" s="16" t="s">
        <v>757</v>
      </c>
      <c r="C159" s="16" t="n">
        <v>1</v>
      </c>
      <c r="D159" s="16" t="s">
        <v>758</v>
      </c>
      <c r="E159" s="16"/>
      <c r="F159" s="20"/>
    </row>
    <row r="160" customFormat="false" ht="12.8" hidden="false" customHeight="false" outlineLevel="0" collapsed="false">
      <c r="A160" s="16" t="s">
        <v>759</v>
      </c>
      <c r="B160" s="16" t="s">
        <v>760</v>
      </c>
      <c r="C160" s="16" t="n">
        <v>0.95</v>
      </c>
      <c r="D160" s="16" t="s">
        <v>761</v>
      </c>
      <c r="E160" s="16"/>
      <c r="F160" s="20"/>
    </row>
    <row r="161" customFormat="false" ht="12.8" hidden="false" customHeight="false" outlineLevel="0" collapsed="false">
      <c r="A161" s="16" t="s">
        <v>762</v>
      </c>
      <c r="B161" s="16" t="s">
        <v>763</v>
      </c>
      <c r="C161" s="16" t="n">
        <v>0.9</v>
      </c>
      <c r="D161" s="16" t="s">
        <v>764</v>
      </c>
      <c r="E161" s="16"/>
      <c r="F161" s="20"/>
    </row>
    <row r="162" customFormat="false" ht="12.8" hidden="false" customHeight="false" outlineLevel="0" collapsed="false">
      <c r="A162" s="16" t="s">
        <v>765</v>
      </c>
      <c r="B162" s="16" t="s">
        <v>766</v>
      </c>
      <c r="C162" s="16" t="n">
        <v>0.85</v>
      </c>
      <c r="D162" s="16" t="s">
        <v>767</v>
      </c>
      <c r="E162" s="16"/>
      <c r="F162" s="20"/>
    </row>
    <row r="163" customFormat="false" ht="12.8" hidden="false" customHeight="false" outlineLevel="0" collapsed="false">
      <c r="A163" s="13" t="s">
        <v>768</v>
      </c>
      <c r="B163" s="13" t="s">
        <v>769</v>
      </c>
      <c r="C163" s="13" t="n">
        <v>0.85</v>
      </c>
      <c r="D163" s="13" t="s">
        <v>770</v>
      </c>
      <c r="E163" s="13"/>
    </row>
    <row r="164" customFormat="false" ht="12.8" hidden="false" customHeight="false" outlineLevel="0" collapsed="false">
      <c r="A164" s="13" t="s">
        <v>771</v>
      </c>
      <c r="B164" s="13" t="s">
        <v>772</v>
      </c>
      <c r="C164" s="13" t="n">
        <v>0.85</v>
      </c>
      <c r="D164" s="13" t="s">
        <v>773</v>
      </c>
      <c r="E164" s="13"/>
    </row>
    <row r="165" customFormat="false" ht="12.8" hidden="false" customHeight="false" outlineLevel="0" collapsed="false">
      <c r="A165" s="13" t="s">
        <v>774</v>
      </c>
      <c r="B165" s="13" t="s">
        <v>775</v>
      </c>
      <c r="C165" s="13" t="n">
        <v>0.9</v>
      </c>
      <c r="D165" s="13" t="s">
        <v>776</v>
      </c>
      <c r="E165" s="13"/>
    </row>
    <row r="166" customFormat="false" ht="12.8" hidden="false" customHeight="false" outlineLevel="0" collapsed="false">
      <c r="A166" s="13" t="s">
        <v>777</v>
      </c>
      <c r="B166" s="13" t="s">
        <v>778</v>
      </c>
      <c r="C166" s="13" t="n">
        <v>0.85</v>
      </c>
      <c r="D166" s="13" t="s">
        <v>779</v>
      </c>
      <c r="E166" s="13"/>
    </row>
    <row r="167" customFormat="false" ht="12.8" hidden="false" customHeight="false" outlineLevel="0" collapsed="false">
      <c r="A167" s="13" t="s">
        <v>780</v>
      </c>
      <c r="B167" s="13" t="s">
        <v>781</v>
      </c>
      <c r="C167" s="13" t="n">
        <v>1.15</v>
      </c>
      <c r="D167" s="13" t="s">
        <v>782</v>
      </c>
      <c r="E167" s="13" t="s">
        <v>725</v>
      </c>
    </row>
    <row r="168" customFormat="false" ht="12.8" hidden="false" customHeight="false" outlineLevel="0" collapsed="false">
      <c r="A168" s="13" t="s">
        <v>783</v>
      </c>
      <c r="B168" s="13" t="s">
        <v>784</v>
      </c>
      <c r="C168" s="13" t="n">
        <v>0.0765</v>
      </c>
      <c r="D168" s="13" t="s">
        <v>785</v>
      </c>
      <c r="E168" s="13"/>
    </row>
    <row r="169" customFormat="false" ht="12.8" hidden="false" customHeight="false" outlineLevel="0" collapsed="false">
      <c r="A169" s="13" t="s">
        <v>786</v>
      </c>
      <c r="B169" s="13" t="s">
        <v>787</v>
      </c>
      <c r="C169" s="13" t="n">
        <v>0.0765</v>
      </c>
      <c r="D169" s="13" t="s">
        <v>788</v>
      </c>
      <c r="E169" s="13"/>
    </row>
    <row r="170" customFormat="false" ht="12.8" hidden="false" customHeight="false" outlineLevel="0" collapsed="false">
      <c r="A170" s="13" t="s">
        <v>789</v>
      </c>
      <c r="B170" s="13" t="s">
        <v>790</v>
      </c>
      <c r="C170" s="13" t="n">
        <v>0.035</v>
      </c>
      <c r="D170" s="13" t="s">
        <v>791</v>
      </c>
      <c r="E170" s="13" t="s">
        <v>792</v>
      </c>
    </row>
    <row r="171" customFormat="false" ht="12.8" hidden="false" customHeight="false" outlineLevel="0" collapsed="false">
      <c r="A171" s="13" t="s">
        <v>793</v>
      </c>
      <c r="B171" s="13" t="s">
        <v>794</v>
      </c>
      <c r="C171" s="13" t="n">
        <v>0.153</v>
      </c>
      <c r="D171" s="13" t="s">
        <v>795</v>
      </c>
      <c r="E171" s="13" t="s">
        <v>796</v>
      </c>
    </row>
    <row r="172" customFormat="false" ht="12.8" hidden="false" customHeight="false" outlineLevel="0" collapsed="false">
      <c r="A172" s="13" t="s">
        <v>797</v>
      </c>
      <c r="B172" s="13" t="s">
        <v>798</v>
      </c>
      <c r="C172" s="13" t="n">
        <v>0.153</v>
      </c>
      <c r="D172" s="13" t="s">
        <v>799</v>
      </c>
      <c r="E172" s="13"/>
    </row>
    <row r="173" customFormat="false" ht="12.8" hidden="false" customHeight="false" outlineLevel="0" collapsed="false">
      <c r="A173" s="13" t="s">
        <v>800</v>
      </c>
      <c r="B173" s="13" t="s">
        <v>801</v>
      </c>
      <c r="C173" s="13" t="n">
        <v>0.08</v>
      </c>
      <c r="D173" s="13" t="s">
        <v>802</v>
      </c>
      <c r="E173" s="13" t="s">
        <v>803</v>
      </c>
    </row>
    <row r="174" customFormat="false" ht="12.8" hidden="false" customHeight="false" outlineLevel="0" collapsed="false">
      <c r="A174" s="13" t="s">
        <v>804</v>
      </c>
      <c r="B174" s="13" t="s">
        <v>805</v>
      </c>
      <c r="C174" s="13" t="n">
        <v>1</v>
      </c>
      <c r="D174" s="13" t="s">
        <v>806</v>
      </c>
      <c r="E174" s="13" t="s">
        <v>807</v>
      </c>
    </row>
    <row r="175" customFormat="false" ht="12.8" hidden="false" customHeight="false" outlineLevel="0" collapsed="false">
      <c r="A175" s="13" t="s">
        <v>808</v>
      </c>
      <c r="B175" s="13" t="s">
        <v>809</v>
      </c>
      <c r="C175" s="13" t="n">
        <v>0</v>
      </c>
      <c r="D175" s="13" t="s">
        <v>810</v>
      </c>
      <c r="E175" s="13" t="s">
        <v>811</v>
      </c>
    </row>
    <row r="176" customFormat="false" ht="12.8" hidden="false" customHeight="false" outlineLevel="0" collapsed="false">
      <c r="A176" s="13" t="s">
        <v>812</v>
      </c>
      <c r="B176" s="13" t="s">
        <v>813</v>
      </c>
      <c r="C176" s="13" t="n">
        <v>1</v>
      </c>
      <c r="D176" s="13" t="s">
        <v>814</v>
      </c>
      <c r="E176" s="13" t="s">
        <v>672</v>
      </c>
    </row>
    <row r="177" customFormat="false" ht="12.8" hidden="false" customHeight="false" outlineLevel="0" collapsed="false">
      <c r="A177" s="13" t="s">
        <v>815</v>
      </c>
      <c r="B177" s="13" t="s">
        <v>816</v>
      </c>
      <c r="C177" s="13" t="n">
        <v>1</v>
      </c>
      <c r="D177" s="13" t="s">
        <v>817</v>
      </c>
      <c r="E177" s="13" t="s">
        <v>672</v>
      </c>
    </row>
    <row r="178" customFormat="false" ht="12.8" hidden="false" customHeight="false" outlineLevel="0" collapsed="false">
      <c r="A178" s="13" t="s">
        <v>818</v>
      </c>
      <c r="B178" s="13" t="s">
        <v>819</v>
      </c>
      <c r="C178" s="13" t="n">
        <v>0.55</v>
      </c>
      <c r="D178" s="13" t="s">
        <v>820</v>
      </c>
      <c r="E178" s="13" t="s">
        <v>679</v>
      </c>
    </row>
    <row r="179" customFormat="false" ht="12.8" hidden="false" customHeight="false" outlineLevel="0" collapsed="false">
      <c r="A179" s="13" t="s">
        <v>821</v>
      </c>
      <c r="B179" s="13" t="s">
        <v>822</v>
      </c>
      <c r="C179" s="13" t="n">
        <v>0.75</v>
      </c>
      <c r="D179" s="13" t="s">
        <v>823</v>
      </c>
      <c r="E179" s="13" t="s">
        <v>622</v>
      </c>
    </row>
    <row r="180" customFormat="false" ht="12.8" hidden="false" customHeight="false" outlineLevel="0" collapsed="false">
      <c r="A180" s="13" t="s">
        <v>824</v>
      </c>
      <c r="B180" s="13" t="s">
        <v>825</v>
      </c>
      <c r="C180" s="13" t="n">
        <v>0.75</v>
      </c>
      <c r="D180" s="13" t="s">
        <v>826</v>
      </c>
      <c r="E180" s="13"/>
    </row>
    <row r="181" customFormat="false" ht="12.8" hidden="false" customHeight="false" outlineLevel="0" collapsed="false">
      <c r="A181" s="13" t="s">
        <v>827</v>
      </c>
      <c r="B181" s="13" t="s">
        <v>828</v>
      </c>
      <c r="C181" s="13" t="n">
        <v>0.45</v>
      </c>
      <c r="D181" s="13" t="s">
        <v>829</v>
      </c>
      <c r="E181" s="13" t="s">
        <v>830</v>
      </c>
    </row>
    <row r="182" customFormat="false" ht="12.8" hidden="false" customHeight="false" outlineLevel="0" collapsed="false">
      <c r="A182" s="13" t="s">
        <v>831</v>
      </c>
      <c r="B182" s="13" t="s">
        <v>832</v>
      </c>
      <c r="C182" s="13" t="n">
        <v>0.75</v>
      </c>
      <c r="D182" s="13" t="s">
        <v>833</v>
      </c>
      <c r="E182" s="13" t="s">
        <v>834</v>
      </c>
    </row>
    <row r="183" customFormat="false" ht="12.8" hidden="false" customHeight="false" outlineLevel="0" collapsed="false">
      <c r="A183" s="13" t="s">
        <v>835</v>
      </c>
      <c r="B183" s="13" t="s">
        <v>836</v>
      </c>
      <c r="C183" s="13" t="n">
        <v>1.05</v>
      </c>
      <c r="D183" s="13" t="s">
        <v>837</v>
      </c>
      <c r="E183" s="13" t="s">
        <v>838</v>
      </c>
    </row>
    <row r="184" customFormat="false" ht="12.8" hidden="false" customHeight="false" outlineLevel="0" collapsed="false">
      <c r="A184" s="13" t="s">
        <v>839</v>
      </c>
      <c r="B184" s="13" t="s">
        <v>840</v>
      </c>
      <c r="C184" s="13" t="n">
        <v>0.95</v>
      </c>
      <c r="D184" s="13" t="s">
        <v>841</v>
      </c>
      <c r="E184" s="13"/>
    </row>
    <row r="185" customFormat="false" ht="12.8" hidden="false" customHeight="false" outlineLevel="0" collapsed="false">
      <c r="A185" s="13" t="s">
        <v>842</v>
      </c>
      <c r="B185" s="13" t="s">
        <v>843</v>
      </c>
      <c r="C185" s="13" t="n">
        <v>0.75</v>
      </c>
      <c r="D185" s="13" t="s">
        <v>844</v>
      </c>
      <c r="E185" s="13" t="s">
        <v>845</v>
      </c>
    </row>
    <row r="186" customFormat="false" ht="12.8" hidden="false" customHeight="false" outlineLevel="0" collapsed="false">
      <c r="A186" s="13" t="s">
        <v>846</v>
      </c>
      <c r="B186" s="13" t="s">
        <v>847</v>
      </c>
      <c r="C186" s="13" t="n">
        <v>1.15</v>
      </c>
      <c r="D186" s="13" t="s">
        <v>848</v>
      </c>
      <c r="E186" s="13" t="s">
        <v>512</v>
      </c>
    </row>
    <row r="187" customFormat="false" ht="12.8" hidden="false" customHeight="false" outlineLevel="0" collapsed="false">
      <c r="A187" s="13" t="s">
        <v>849</v>
      </c>
      <c r="B187" s="13" t="s">
        <v>850</v>
      </c>
      <c r="C187" s="13" t="n">
        <v>1.05</v>
      </c>
      <c r="D187" s="13" t="s">
        <v>851</v>
      </c>
      <c r="E187" s="13"/>
    </row>
    <row r="188" customFormat="false" ht="12.8" hidden="false" customHeight="false" outlineLevel="0" collapsed="false">
      <c r="A188" s="13" t="s">
        <v>852</v>
      </c>
      <c r="B188" s="13" t="s">
        <v>853</v>
      </c>
      <c r="C188" s="13" t="n">
        <v>0.95</v>
      </c>
      <c r="D188" s="13" t="s">
        <v>854</v>
      </c>
      <c r="E188" s="13"/>
    </row>
    <row r="189" customFormat="false" ht="12.8" hidden="false" customHeight="false" outlineLevel="0" collapsed="false">
      <c r="A189" s="13" t="s">
        <v>855</v>
      </c>
      <c r="B189" s="13" t="s">
        <v>856</v>
      </c>
      <c r="C189" s="13" t="n">
        <v>0.75</v>
      </c>
      <c r="D189" s="13" t="s">
        <v>857</v>
      </c>
      <c r="E189" s="13" t="s">
        <v>845</v>
      </c>
    </row>
    <row r="190" customFormat="false" ht="12.8" hidden="false" customHeight="false" outlineLevel="0" collapsed="false">
      <c r="A190" s="13" t="s">
        <v>858</v>
      </c>
      <c r="B190" s="13" t="s">
        <v>859</v>
      </c>
      <c r="C190" s="13" t="n">
        <v>1.05</v>
      </c>
      <c r="D190" s="13" t="s">
        <v>860</v>
      </c>
      <c r="E190" s="13"/>
    </row>
    <row r="191" customFormat="false" ht="12.8" hidden="false" customHeight="false" outlineLevel="0" collapsed="false">
      <c r="A191" s="13" t="s">
        <v>861</v>
      </c>
      <c r="B191" s="13" t="s">
        <v>862</v>
      </c>
      <c r="C191" s="13" t="n">
        <v>0.95</v>
      </c>
      <c r="D191" s="13" t="s">
        <v>863</v>
      </c>
      <c r="E191" s="13"/>
    </row>
    <row r="192" customFormat="false" ht="12.8" hidden="false" customHeight="false" outlineLevel="0" collapsed="false">
      <c r="A192" s="13" t="s">
        <v>864</v>
      </c>
      <c r="B192" s="13" t="s">
        <v>865</v>
      </c>
      <c r="C192" s="13" t="n">
        <v>1.05</v>
      </c>
      <c r="D192" s="13" t="s">
        <v>866</v>
      </c>
      <c r="E192" s="13" t="s">
        <v>838</v>
      </c>
    </row>
    <row r="193" customFormat="false" ht="12.8" hidden="false" customHeight="false" outlineLevel="0" collapsed="false">
      <c r="A193" s="13" t="s">
        <v>867</v>
      </c>
      <c r="B193" s="13" t="s">
        <v>868</v>
      </c>
      <c r="C193" s="13" t="n">
        <v>1.25</v>
      </c>
      <c r="D193" s="13" t="s">
        <v>869</v>
      </c>
      <c r="E193" s="13" t="s">
        <v>870</v>
      </c>
    </row>
    <row r="194" customFormat="false" ht="12.8" hidden="false" customHeight="false" outlineLevel="0" collapsed="false">
      <c r="A194" s="13" t="s">
        <v>871</v>
      </c>
      <c r="B194" s="13" t="s">
        <v>872</v>
      </c>
      <c r="C194" s="13" t="n">
        <v>1.05</v>
      </c>
      <c r="D194" s="13" t="s">
        <v>873</v>
      </c>
      <c r="E194" s="13"/>
    </row>
    <row r="195" customFormat="false" ht="12.8" hidden="false" customHeight="false" outlineLevel="0" collapsed="false">
      <c r="A195" s="13" t="s">
        <v>874</v>
      </c>
      <c r="B195" s="13" t="s">
        <v>875</v>
      </c>
      <c r="C195" s="13" t="n">
        <v>1.25</v>
      </c>
      <c r="D195" s="13" t="s">
        <v>876</v>
      </c>
      <c r="E195" s="13" t="s">
        <v>877</v>
      </c>
    </row>
    <row r="196" customFormat="false" ht="12.8" hidden="false" customHeight="false" outlineLevel="0" collapsed="false">
      <c r="A196" s="13" t="s">
        <v>878</v>
      </c>
      <c r="B196" s="13" t="s">
        <v>879</v>
      </c>
      <c r="C196" s="13" t="n">
        <v>1.15</v>
      </c>
      <c r="D196" s="13" t="s">
        <v>880</v>
      </c>
      <c r="E196" s="13" t="s">
        <v>881</v>
      </c>
    </row>
    <row r="197" customFormat="false" ht="12.8" hidden="false" customHeight="false" outlineLevel="0" collapsed="false">
      <c r="A197" s="13" t="s">
        <v>882</v>
      </c>
      <c r="B197" s="13" t="s">
        <v>883</v>
      </c>
      <c r="C197" s="13" t="n">
        <v>1.05</v>
      </c>
      <c r="D197" s="13" t="s">
        <v>884</v>
      </c>
      <c r="E197" s="13" t="s">
        <v>838</v>
      </c>
    </row>
    <row r="198" customFormat="false" ht="12.8" hidden="false" customHeight="false" outlineLevel="0" collapsed="false">
      <c r="A198" s="13" t="s">
        <v>885</v>
      </c>
      <c r="B198" s="13" t="s">
        <v>886</v>
      </c>
      <c r="C198" s="13" t="n">
        <v>0.9</v>
      </c>
      <c r="D198" s="13" t="s">
        <v>887</v>
      </c>
      <c r="E198" s="13" t="s">
        <v>888</v>
      </c>
    </row>
    <row r="199" customFormat="false" ht="12.8" hidden="false" customHeight="false" outlineLevel="0" collapsed="false">
      <c r="A199" s="13" t="s">
        <v>889</v>
      </c>
      <c r="B199" s="13" t="s">
        <v>890</v>
      </c>
      <c r="C199" s="13" t="n">
        <v>0.1</v>
      </c>
      <c r="D199" s="13" t="s">
        <v>891</v>
      </c>
      <c r="E199" s="13" t="s">
        <v>892</v>
      </c>
    </row>
    <row r="200" customFormat="false" ht="12.8" hidden="false" customHeight="false" outlineLevel="0" collapsed="false">
      <c r="A200" s="13" t="s">
        <v>893</v>
      </c>
      <c r="B200" s="13" t="s">
        <v>894</v>
      </c>
      <c r="C200" s="13" t="n">
        <v>0.7</v>
      </c>
      <c r="D200" s="13" t="s">
        <v>895</v>
      </c>
      <c r="E200" s="13" t="s">
        <v>896</v>
      </c>
    </row>
    <row r="201" customFormat="false" ht="12.8" hidden="false" customHeight="false" outlineLevel="0" collapsed="false">
      <c r="A201" s="13" t="s">
        <v>897</v>
      </c>
      <c r="B201" s="13" t="s">
        <v>898</v>
      </c>
      <c r="C201" s="13" t="n">
        <v>1.85</v>
      </c>
      <c r="D201" s="13" t="s">
        <v>899</v>
      </c>
      <c r="E201" s="13" t="s">
        <v>900</v>
      </c>
    </row>
    <row r="202" customFormat="false" ht="12.8" hidden="false" customHeight="false" outlineLevel="0" collapsed="false">
      <c r="A202" s="13" t="s">
        <v>901</v>
      </c>
      <c r="B202" s="13" t="s">
        <v>902</v>
      </c>
      <c r="C202" s="13" t="n">
        <v>2.25</v>
      </c>
      <c r="D202" s="13" t="s">
        <v>903</v>
      </c>
      <c r="E202" s="13" t="s">
        <v>904</v>
      </c>
    </row>
    <row r="203" customFormat="false" ht="12.8" hidden="false" customHeight="false" outlineLevel="0" collapsed="false">
      <c r="A203" s="13" t="s">
        <v>905</v>
      </c>
      <c r="B203" s="13" t="s">
        <v>906</v>
      </c>
      <c r="C203" s="13" t="n">
        <v>2.45</v>
      </c>
      <c r="D203" s="13" t="s">
        <v>907</v>
      </c>
      <c r="E203" s="13" t="s">
        <v>908</v>
      </c>
    </row>
    <row r="204" customFormat="false" ht="12.8" hidden="false" customHeight="false" outlineLevel="0" collapsed="false">
      <c r="A204" s="13" t="s">
        <v>909</v>
      </c>
      <c r="B204" s="13" t="s">
        <v>910</v>
      </c>
      <c r="C204" s="13" t="n">
        <v>0.35</v>
      </c>
      <c r="D204" s="13" t="s">
        <v>911</v>
      </c>
      <c r="E204" s="13" t="s">
        <v>912</v>
      </c>
    </row>
    <row r="205" customFormat="false" ht="12.8" hidden="false" customHeight="false" outlineLevel="0" collapsed="false">
      <c r="A205" s="13" t="s">
        <v>913</v>
      </c>
      <c r="B205" s="13" t="s">
        <v>914</v>
      </c>
      <c r="C205" s="13" t="n">
        <v>0.45</v>
      </c>
      <c r="D205" s="13" t="s">
        <v>515</v>
      </c>
      <c r="E205" s="13"/>
    </row>
    <row r="206" customFormat="false" ht="12.8" hidden="false" customHeight="false" outlineLevel="0" collapsed="false">
      <c r="A206" s="13" t="s">
        <v>915</v>
      </c>
      <c r="B206" s="13" t="s">
        <v>916</v>
      </c>
      <c r="C206" s="13" t="n">
        <v>0.65</v>
      </c>
      <c r="D206" s="13" t="s">
        <v>518</v>
      </c>
      <c r="E206" s="13"/>
    </row>
    <row r="207" customFormat="false" ht="12.8" hidden="false" customHeight="false" outlineLevel="0" collapsed="false">
      <c r="A207" s="13" t="s">
        <v>917</v>
      </c>
      <c r="B207" s="13" t="s">
        <v>918</v>
      </c>
      <c r="C207" s="13" t="n">
        <v>0.45</v>
      </c>
      <c r="D207" s="13" t="s">
        <v>521</v>
      </c>
      <c r="E207" s="13"/>
    </row>
    <row r="208" customFormat="false" ht="12.8" hidden="false" customHeight="false" outlineLevel="0" collapsed="false">
      <c r="A208" s="13" t="s">
        <v>919</v>
      </c>
      <c r="B208" s="13" t="s">
        <v>920</v>
      </c>
      <c r="C208" s="13" t="n">
        <v>0.55</v>
      </c>
      <c r="D208" s="13" t="s">
        <v>524</v>
      </c>
      <c r="E208" s="13"/>
    </row>
    <row r="209" customFormat="false" ht="12.8" hidden="false" customHeight="false" outlineLevel="0" collapsed="false">
      <c r="A209" s="13" t="s">
        <v>921</v>
      </c>
      <c r="B209" s="13" t="s">
        <v>922</v>
      </c>
      <c r="C209" s="13" t="n">
        <v>0.55</v>
      </c>
      <c r="D209" s="13" t="s">
        <v>527</v>
      </c>
      <c r="E209" s="13"/>
    </row>
    <row r="210" customFormat="false" ht="12.8" hidden="false" customHeight="false" outlineLevel="0" collapsed="false">
      <c r="A210" s="13" t="s">
        <v>923</v>
      </c>
      <c r="B210" s="13" t="s">
        <v>924</v>
      </c>
      <c r="C210" s="13" t="n">
        <v>0.65</v>
      </c>
      <c r="D210" s="13" t="s">
        <v>530</v>
      </c>
      <c r="E210" s="13"/>
    </row>
    <row r="211" customFormat="false" ht="12.8" hidden="false" customHeight="false" outlineLevel="0" collapsed="false">
      <c r="A211" s="16" t="s">
        <v>925</v>
      </c>
      <c r="B211" s="16" t="s">
        <v>926</v>
      </c>
      <c r="C211" s="16" t="n">
        <v>0.45</v>
      </c>
      <c r="D211" s="16" t="s">
        <v>533</v>
      </c>
      <c r="E211" s="16"/>
    </row>
    <row r="212" customFormat="false" ht="12.8" hidden="false" customHeight="false" outlineLevel="0" collapsed="false">
      <c r="A212" s="16" t="s">
        <v>927</v>
      </c>
      <c r="B212" s="16" t="s">
        <v>928</v>
      </c>
      <c r="C212" s="16" t="n">
        <v>0.55</v>
      </c>
      <c r="D212" s="16" t="s">
        <v>536</v>
      </c>
      <c r="E212" s="16"/>
    </row>
    <row r="213" customFormat="false" ht="12.8" hidden="false" customHeight="false" outlineLevel="0" collapsed="false">
      <c r="A213" s="16" t="s">
        <v>929</v>
      </c>
      <c r="B213" s="16" t="s">
        <v>930</v>
      </c>
      <c r="C213" s="16" t="n">
        <v>0.65</v>
      </c>
      <c r="D213" s="16" t="s">
        <v>539</v>
      </c>
      <c r="E213" s="16"/>
    </row>
    <row r="214" customFormat="false" ht="12.8" hidden="false" customHeight="false" outlineLevel="0" collapsed="false">
      <c r="A214" s="13" t="s">
        <v>931</v>
      </c>
      <c r="B214" s="13" t="s">
        <v>932</v>
      </c>
      <c r="C214" s="13" t="n">
        <v>0.75</v>
      </c>
      <c r="D214" s="13" t="s">
        <v>542</v>
      </c>
      <c r="E214" s="13" t="s">
        <v>933</v>
      </c>
    </row>
    <row r="215" customFormat="false" ht="12.8" hidden="false" customHeight="false" outlineLevel="0" collapsed="false">
      <c r="A215" s="13" t="s">
        <v>934</v>
      </c>
      <c r="B215" s="13" t="s">
        <v>935</v>
      </c>
      <c r="C215" s="13" t="n">
        <v>1.15</v>
      </c>
      <c r="D215" s="13" t="s">
        <v>545</v>
      </c>
      <c r="E215" s="13" t="s">
        <v>877</v>
      </c>
    </row>
    <row r="216" customFormat="false" ht="12.8" hidden="false" customHeight="false" outlineLevel="0" collapsed="false">
      <c r="A216" s="13" t="s">
        <v>936</v>
      </c>
      <c r="B216" s="13" t="s">
        <v>937</v>
      </c>
      <c r="C216" s="13" t="n">
        <v>1.15</v>
      </c>
      <c r="D216" s="13" t="s">
        <v>548</v>
      </c>
      <c r="E216" s="13" t="s">
        <v>938</v>
      </c>
    </row>
    <row r="217" customFormat="false" ht="12.8" hidden="false" customHeight="false" outlineLevel="0" collapsed="false">
      <c r="A217" s="13" t="s">
        <v>939</v>
      </c>
      <c r="B217" s="13" t="s">
        <v>940</v>
      </c>
      <c r="C217" s="13" t="n">
        <v>0.85</v>
      </c>
      <c r="D217" s="13" t="s">
        <v>551</v>
      </c>
      <c r="E217" s="13"/>
    </row>
    <row r="218" customFormat="false" ht="12.8" hidden="false" customHeight="false" outlineLevel="0" collapsed="false">
      <c r="A218" s="13" t="s">
        <v>941</v>
      </c>
      <c r="B218" s="13" t="s">
        <v>942</v>
      </c>
      <c r="C218" s="13" t="n">
        <v>0.85</v>
      </c>
      <c r="D218" s="13" t="s">
        <v>554</v>
      </c>
      <c r="E218" s="13"/>
    </row>
    <row r="219" customFormat="false" ht="12.8" hidden="false" customHeight="false" outlineLevel="0" collapsed="false">
      <c r="A219" s="13" t="s">
        <v>943</v>
      </c>
      <c r="B219" s="13" t="s">
        <v>944</v>
      </c>
      <c r="C219" s="13" t="n">
        <v>1</v>
      </c>
      <c r="D219" s="13" t="s">
        <v>945</v>
      </c>
      <c r="E219" s="13" t="s">
        <v>946</v>
      </c>
    </row>
    <row r="220" customFormat="false" ht="12.8" hidden="false" customHeight="false" outlineLevel="0" collapsed="false">
      <c r="A220" s="13" t="s">
        <v>947</v>
      </c>
      <c r="B220" s="13" t="s">
        <v>948</v>
      </c>
      <c r="C220" s="13" t="n">
        <v>0.14</v>
      </c>
      <c r="D220" s="13" t="s">
        <v>949</v>
      </c>
      <c r="E220" s="13" t="s">
        <v>950</v>
      </c>
    </row>
    <row r="221" customFormat="false" ht="12.8" hidden="false" customHeight="false" outlineLevel="0" collapsed="false">
      <c r="A221" s="13" t="s">
        <v>951</v>
      </c>
      <c r="B221" s="13" t="s">
        <v>952</v>
      </c>
      <c r="C221" s="13" t="n">
        <v>0.11</v>
      </c>
      <c r="D221" s="13" t="s">
        <v>953</v>
      </c>
      <c r="E221" s="13"/>
    </row>
    <row r="222" customFormat="false" ht="12.8" hidden="false" customHeight="false" outlineLevel="0" collapsed="false">
      <c r="A222" s="13" t="s">
        <v>954</v>
      </c>
      <c r="B222" s="13" t="s">
        <v>955</v>
      </c>
      <c r="C222" s="13" t="n">
        <v>0.04</v>
      </c>
      <c r="D222" s="13" t="s">
        <v>956</v>
      </c>
      <c r="E222" s="13" t="s">
        <v>957</v>
      </c>
    </row>
    <row r="223" customFormat="false" ht="12.8" hidden="false" customHeight="false" outlineLevel="0" collapsed="false">
      <c r="A223" s="13" t="s">
        <v>958</v>
      </c>
      <c r="B223" s="13" t="s">
        <v>959</v>
      </c>
      <c r="C223" s="13" t="n">
        <v>7000</v>
      </c>
      <c r="D223" s="13" t="s">
        <v>960</v>
      </c>
      <c r="E223" s="13" t="s">
        <v>961</v>
      </c>
    </row>
    <row r="224" customFormat="false" ht="12.8" hidden="false" customHeight="false" outlineLevel="0" collapsed="false">
      <c r="A224" s="13" t="s">
        <v>962</v>
      </c>
      <c r="B224" s="13" t="s">
        <v>963</v>
      </c>
      <c r="C224" s="13" t="n">
        <v>0.34</v>
      </c>
      <c r="D224" s="13" t="s">
        <v>964</v>
      </c>
      <c r="E224" s="13" t="s">
        <v>965</v>
      </c>
    </row>
    <row r="225" customFormat="false" ht="12.8" hidden="false" customHeight="false" outlineLevel="0" collapsed="false">
      <c r="A225" s="13" t="s">
        <v>966</v>
      </c>
      <c r="B225" s="13" t="s">
        <v>967</v>
      </c>
      <c r="C225" s="13" t="n">
        <v>22000</v>
      </c>
      <c r="D225" s="13" t="s">
        <v>968</v>
      </c>
      <c r="E225" s="13"/>
    </row>
    <row r="226" customFormat="false" ht="12.8" hidden="false" customHeight="false" outlineLevel="0" collapsed="false">
      <c r="A226" s="13" t="s">
        <v>969</v>
      </c>
      <c r="B226" s="13" t="s">
        <v>970</v>
      </c>
      <c r="C226" s="13" t="n">
        <v>0.16</v>
      </c>
      <c r="D226" s="13" t="s">
        <v>971</v>
      </c>
      <c r="E226" s="13"/>
    </row>
    <row r="227" customFormat="false" ht="12.8" hidden="false" customHeight="false" outlineLevel="0" collapsed="false">
      <c r="A227" s="13" t="s">
        <v>972</v>
      </c>
      <c r="B227" s="13" t="s">
        <v>973</v>
      </c>
      <c r="C227" s="13" t="n">
        <v>6200</v>
      </c>
      <c r="D227" s="13" t="s">
        <v>974</v>
      </c>
      <c r="E227" s="13" t="s">
        <v>975</v>
      </c>
    </row>
    <row r="228" customFormat="false" ht="12.8" hidden="false" customHeight="false" outlineLevel="0" collapsed="false">
      <c r="A228" s="13" t="s">
        <v>976</v>
      </c>
      <c r="B228" s="13" t="s">
        <v>977</v>
      </c>
      <c r="C228" s="13" t="n">
        <v>5800</v>
      </c>
      <c r="D228" s="13" t="s">
        <v>978</v>
      </c>
      <c r="E228" s="13"/>
    </row>
    <row r="229" customFormat="false" ht="12.8" hidden="false" customHeight="false" outlineLevel="0" collapsed="false">
      <c r="A229" s="13" t="s">
        <v>979</v>
      </c>
      <c r="B229" s="13" t="s">
        <v>980</v>
      </c>
      <c r="C229" s="13" t="n">
        <v>0</v>
      </c>
      <c r="D229" s="13" t="s">
        <v>981</v>
      </c>
      <c r="E229" s="13" t="s">
        <v>982</v>
      </c>
    </row>
    <row r="230" customFormat="false" ht="12.8" hidden="false" customHeight="false" outlineLevel="0" collapsed="false">
      <c r="A230" s="13" t="s">
        <v>983</v>
      </c>
      <c r="B230" s="13" t="s">
        <v>984</v>
      </c>
      <c r="C230" s="13" t="n">
        <v>200000</v>
      </c>
      <c r="D230" s="13" t="s">
        <v>985</v>
      </c>
      <c r="E230" s="13" t="s">
        <v>961</v>
      </c>
    </row>
    <row r="231" customFormat="false" ht="12.8" hidden="false" customHeight="false" outlineLevel="0" collapsed="false">
      <c r="A231" s="13" t="s">
        <v>986</v>
      </c>
      <c r="B231" s="13" t="s">
        <v>987</v>
      </c>
      <c r="C231" s="13" t="n">
        <v>2500</v>
      </c>
      <c r="D231" s="13" t="s">
        <v>988</v>
      </c>
      <c r="E231" s="13" t="s">
        <v>989</v>
      </c>
    </row>
    <row r="232" customFormat="false" ht="12.8" hidden="false" customHeight="false" outlineLevel="0" collapsed="false">
      <c r="A232" s="13" t="s">
        <v>990</v>
      </c>
      <c r="B232" s="13" t="s">
        <v>991</v>
      </c>
      <c r="C232" s="13" t="n">
        <v>0.15</v>
      </c>
      <c r="D232" s="13" t="s">
        <v>992</v>
      </c>
      <c r="E232" s="13" t="s">
        <v>993</v>
      </c>
    </row>
    <row r="233" customFormat="false" ht="12.8" hidden="false" customHeight="false" outlineLevel="0" collapsed="false">
      <c r="A233" s="13" t="s">
        <v>994</v>
      </c>
      <c r="B233" s="13" t="s">
        <v>995</v>
      </c>
      <c r="C233" s="13" t="n">
        <v>1700</v>
      </c>
      <c r="D233" s="13" t="s">
        <v>996</v>
      </c>
      <c r="E233" s="13" t="s">
        <v>997</v>
      </c>
    </row>
    <row r="234" customFormat="false" ht="12.8" hidden="false" customHeight="false" outlineLevel="0" collapsed="false">
      <c r="A234" s="13" t="s">
        <v>998</v>
      </c>
      <c r="B234" s="13" t="s">
        <v>999</v>
      </c>
      <c r="C234" s="13" t="n">
        <v>1700</v>
      </c>
      <c r="D234" s="13" t="s">
        <v>978</v>
      </c>
      <c r="E234" s="13" t="s">
        <v>1000</v>
      </c>
    </row>
    <row r="235" customFormat="false" ht="12.8" hidden="false" customHeight="false" outlineLevel="0" collapsed="false">
      <c r="A235" s="13" t="s">
        <v>1001</v>
      </c>
      <c r="B235" s="13" t="s">
        <v>1002</v>
      </c>
      <c r="C235" s="13" t="n">
        <v>0</v>
      </c>
      <c r="D235" s="13" t="s">
        <v>981</v>
      </c>
      <c r="E235" s="13" t="s">
        <v>982</v>
      </c>
    </row>
    <row r="236" customFormat="false" ht="12.8" hidden="false" customHeight="false" outlineLevel="0" collapsed="false">
      <c r="A236" s="13" t="s">
        <v>1003</v>
      </c>
      <c r="B236" s="13" t="s">
        <v>1004</v>
      </c>
      <c r="C236" s="13" t="n">
        <v>1.6</v>
      </c>
      <c r="D236" s="13" t="s">
        <v>1005</v>
      </c>
      <c r="E236" s="13" t="s">
        <v>1006</v>
      </c>
    </row>
    <row r="237" customFormat="false" ht="12.8" hidden="false" customHeight="false" outlineLevel="0" collapsed="false">
      <c r="A237" s="13" t="s">
        <v>1007</v>
      </c>
      <c r="B237" s="13" t="s">
        <v>1008</v>
      </c>
      <c r="C237" s="13" t="n">
        <v>1.8</v>
      </c>
      <c r="D237" s="13" t="s">
        <v>903</v>
      </c>
      <c r="E237" s="13" t="s">
        <v>1009</v>
      </c>
    </row>
    <row r="238" customFormat="false" ht="12.8" hidden="false" customHeight="false" outlineLevel="0" collapsed="false">
      <c r="A238" s="13" t="s">
        <v>1010</v>
      </c>
      <c r="B238" s="13" t="s">
        <v>1011</v>
      </c>
      <c r="C238" s="13" t="n">
        <v>0.6</v>
      </c>
      <c r="D238" s="13" t="s">
        <v>907</v>
      </c>
      <c r="E238" s="13" t="s">
        <v>1012</v>
      </c>
    </row>
    <row r="239" customFormat="false" ht="12.8" hidden="false" customHeight="false" outlineLevel="0" collapsed="false">
      <c r="A239" s="16" t="s">
        <v>1013</v>
      </c>
      <c r="B239" s="16" t="s">
        <v>1014</v>
      </c>
      <c r="C239" s="16" t="n">
        <v>1</v>
      </c>
      <c r="D239" s="16" t="s">
        <v>1015</v>
      </c>
      <c r="E239" s="16" t="s">
        <v>1000</v>
      </c>
    </row>
    <row r="240" customFormat="false" ht="12.8" hidden="false" customHeight="false" outlineLevel="0" collapsed="false">
      <c r="A240" s="16" t="s">
        <v>1016</v>
      </c>
      <c r="B240" s="16" t="s">
        <v>1017</v>
      </c>
      <c r="C240" s="16" t="n">
        <v>1</v>
      </c>
      <c r="D240" s="16" t="s">
        <v>903</v>
      </c>
      <c r="E240" s="16" t="s">
        <v>1000</v>
      </c>
    </row>
    <row r="241" customFormat="false" ht="12.8" hidden="false" customHeight="false" outlineLevel="0" collapsed="false">
      <c r="A241" s="16" t="s">
        <v>1018</v>
      </c>
      <c r="B241" s="16" t="s">
        <v>1019</v>
      </c>
      <c r="C241" s="16" t="n">
        <v>0</v>
      </c>
      <c r="D241" s="16" t="s">
        <v>907</v>
      </c>
      <c r="E241" s="16" t="s">
        <v>1020</v>
      </c>
    </row>
    <row r="242" customFormat="false" ht="12.8" hidden="false" customHeight="false" outlineLevel="0" collapsed="false">
      <c r="A242" s="16" t="s">
        <v>1021</v>
      </c>
      <c r="B242" s="16" t="s">
        <v>1022</v>
      </c>
      <c r="C242" s="16" t="n">
        <v>46245</v>
      </c>
      <c r="D242" s="16" t="s">
        <v>1023</v>
      </c>
      <c r="E242" s="16" t="s">
        <v>1024</v>
      </c>
    </row>
    <row r="243" customFormat="false" ht="12.8" hidden="false" customHeight="false" outlineLevel="0" collapsed="false">
      <c r="A243" s="10"/>
      <c r="B243" s="16"/>
      <c r="C243" s="16"/>
      <c r="D243" s="16"/>
      <c r="E243" s="16"/>
    </row>
    <row r="244" customFormat="false" ht="12.8" hidden="false" customHeight="false" outlineLevel="0" collapsed="false">
      <c r="A244" s="10"/>
      <c r="B244" s="16"/>
      <c r="C244" s="16"/>
      <c r="D244" s="16"/>
      <c r="E244" s="16"/>
    </row>
    <row r="245" customFormat="false" ht="12.8" hidden="false" customHeight="false" outlineLevel="0" collapsed="false">
      <c r="A245" s="10"/>
      <c r="B245" s="16"/>
      <c r="C245" s="16"/>
      <c r="D245" s="16"/>
      <c r="E245" s="16"/>
    </row>
    <row r="246" customFormat="false" ht="12.8" hidden="false" customHeight="false" outlineLevel="0" collapsed="false">
      <c r="A246" s="10"/>
      <c r="B246" s="16"/>
      <c r="C246" s="16"/>
      <c r="D246" s="16"/>
      <c r="E246" s="16"/>
    </row>
    <row r="247" customFormat="false" ht="12.8" hidden="false" customHeight="false" outlineLevel="0" collapsed="false">
      <c r="A247" s="10"/>
      <c r="B247" s="16"/>
      <c r="C247" s="16"/>
      <c r="D247" s="16"/>
      <c r="E247" s="16"/>
    </row>
    <row r="248" customFormat="false" ht="12.8" hidden="false" customHeight="false" outlineLevel="0" collapsed="false">
      <c r="A248" s="10"/>
      <c r="B248" s="16"/>
      <c r="C248" s="17"/>
      <c r="D248" s="16"/>
      <c r="E248" s="16"/>
    </row>
    <row r="249" customFormat="false" ht="12.8" hidden="false" customHeight="false" outlineLevel="0" collapsed="false">
      <c r="A249" s="10"/>
      <c r="B249" s="16"/>
      <c r="C249" s="17"/>
      <c r="D249" s="16"/>
      <c r="E249" s="16"/>
    </row>
    <row r="250" customFormat="false" ht="12.8" hidden="false" customHeight="false" outlineLevel="0" collapsed="false">
      <c r="A250" s="10"/>
      <c r="B250" s="16"/>
      <c r="C250" s="17"/>
      <c r="D250" s="16"/>
      <c r="E250" s="16"/>
    </row>
    <row r="251" customFormat="false" ht="12.8" hidden="false" customHeight="false" outlineLevel="0" collapsed="false">
      <c r="D251" s="13"/>
      <c r="E251" s="1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2" activeCellId="0" sqref="B12"/>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5" t="s">
        <v>9</v>
      </c>
      <c r="B1" s="21" t="s">
        <v>10</v>
      </c>
      <c r="C1" s="15" t="s">
        <v>2</v>
      </c>
      <c r="D1" s="14"/>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row>
    <row r="2" customFormat="false" ht="12.8" hidden="false" customHeight="false" outlineLevel="0" collapsed="false">
      <c r="A2" s="4" t="s">
        <v>1025</v>
      </c>
      <c r="B2" s="4"/>
      <c r="C2" s="4"/>
      <c r="D2" s="4" t="s">
        <v>1026</v>
      </c>
      <c r="E2" s="4"/>
      <c r="F2" s="4"/>
      <c r="G2" s="4"/>
      <c r="H2" s="4" t="s">
        <v>1027</v>
      </c>
      <c r="I2" s="4"/>
      <c r="J2" s="4"/>
      <c r="K2" s="4"/>
      <c r="L2" s="4" t="s">
        <v>1028</v>
      </c>
      <c r="M2" s="4"/>
      <c r="N2" s="4"/>
      <c r="O2" s="4"/>
      <c r="P2" s="4" t="s">
        <v>1029</v>
      </c>
      <c r="Q2" s="4"/>
      <c r="R2" s="4"/>
      <c r="S2" s="4"/>
      <c r="T2" s="4" t="s">
        <v>1030</v>
      </c>
      <c r="U2" s="4"/>
      <c r="V2" s="4"/>
      <c r="W2" s="4"/>
      <c r="X2" s="4" t="s">
        <v>1031</v>
      </c>
      <c r="Y2" s="4"/>
      <c r="Z2" s="4"/>
      <c r="AA2" s="4" t="s">
        <v>1032</v>
      </c>
      <c r="AB2" s="4"/>
      <c r="AC2" s="4"/>
      <c r="AD2" s="4" t="s">
        <v>1033</v>
      </c>
      <c r="AE2" s="4"/>
      <c r="AF2" s="4"/>
      <c r="AG2" s="4" t="s">
        <v>1034</v>
      </c>
      <c r="AH2" s="4"/>
      <c r="AI2" s="4"/>
      <c r="AJ2" s="4" t="s">
        <v>1035</v>
      </c>
      <c r="AK2" s="4"/>
      <c r="AL2" s="4"/>
      <c r="AM2" s="4" t="s">
        <v>1036</v>
      </c>
      <c r="AN2" s="4"/>
      <c r="AO2" s="4"/>
      <c r="AP2" s="4" t="s">
        <v>1037</v>
      </c>
      <c r="AQ2" s="4"/>
      <c r="AR2" s="4"/>
      <c r="AS2" s="4" t="s">
        <v>1038</v>
      </c>
      <c r="AT2" s="4"/>
      <c r="AU2" s="4"/>
      <c r="AV2" s="4" t="s">
        <v>1039</v>
      </c>
      <c r="AW2" s="4"/>
      <c r="AX2" s="4"/>
      <c r="AY2" s="4"/>
      <c r="AZ2" s="4" t="s">
        <v>1040</v>
      </c>
      <c r="BA2" s="4"/>
      <c r="BB2" s="4"/>
      <c r="BC2" s="4"/>
      <c r="BD2" s="4" t="s">
        <v>1041</v>
      </c>
      <c r="BE2" s="4"/>
      <c r="BF2" s="4"/>
      <c r="BG2" s="4"/>
      <c r="BH2" s="4" t="s">
        <v>1042</v>
      </c>
      <c r="BI2" s="4"/>
      <c r="BJ2" s="4"/>
      <c r="BK2" s="4"/>
      <c r="BL2" s="4" t="s">
        <v>55</v>
      </c>
      <c r="BM2" s="4"/>
      <c r="BN2" s="4"/>
      <c r="BO2" s="4"/>
    </row>
    <row r="3" customFormat="false" ht="12.8" hidden="false" customHeight="false" outlineLevel="0" collapsed="false">
      <c r="A3" s="22" t="s">
        <v>1043</v>
      </c>
      <c r="B3" s="23" t="s">
        <v>1044</v>
      </c>
      <c r="C3" s="23" t="s">
        <v>1045</v>
      </c>
      <c r="D3" s="24" t="s">
        <v>34</v>
      </c>
      <c r="E3" s="24" t="s">
        <v>1046</v>
      </c>
      <c r="F3" s="24" t="s">
        <v>1047</v>
      </c>
      <c r="G3" s="24" t="s">
        <v>1048</v>
      </c>
      <c r="H3" s="25" t="s">
        <v>36</v>
      </c>
      <c r="I3" s="26" t="s">
        <v>1049</v>
      </c>
      <c r="J3" s="26" t="s">
        <v>1050</v>
      </c>
      <c r="K3" s="26" t="s">
        <v>1051</v>
      </c>
      <c r="L3" s="16" t="s">
        <v>1052</v>
      </c>
      <c r="M3" s="16" t="s">
        <v>1053</v>
      </c>
      <c r="N3" s="16" t="s">
        <v>1054</v>
      </c>
      <c r="O3" s="16" t="s">
        <v>1055</v>
      </c>
      <c r="P3" s="27" t="s">
        <v>40</v>
      </c>
      <c r="Q3" s="27" t="s">
        <v>1056</v>
      </c>
      <c r="R3" s="27" t="s">
        <v>1057</v>
      </c>
      <c r="S3" s="27" t="s">
        <v>1058</v>
      </c>
      <c r="T3" s="27" t="s">
        <v>42</v>
      </c>
      <c r="U3" s="27" t="s">
        <v>1059</v>
      </c>
      <c r="V3" s="27" t="s">
        <v>1060</v>
      </c>
      <c r="W3" s="27" t="s">
        <v>1061</v>
      </c>
      <c r="X3" s="27" t="s">
        <v>1062</v>
      </c>
      <c r="Y3" s="27" t="s">
        <v>1063</v>
      </c>
      <c r="Z3" s="27" t="s">
        <v>1064</v>
      </c>
      <c r="AA3" s="28" t="s">
        <v>1065</v>
      </c>
      <c r="AB3" s="28" t="s">
        <v>1066</v>
      </c>
      <c r="AC3" s="28" t="s">
        <v>1067</v>
      </c>
      <c r="AD3" s="29" t="s">
        <v>1068</v>
      </c>
      <c r="AE3" s="29" t="s">
        <v>1069</v>
      </c>
      <c r="AF3" s="29" t="s">
        <v>1070</v>
      </c>
      <c r="AG3" s="28" t="s">
        <v>1071</v>
      </c>
      <c r="AH3" s="28" t="s">
        <v>1072</v>
      </c>
      <c r="AI3" s="28" t="s">
        <v>1073</v>
      </c>
      <c r="AJ3" s="29" t="s">
        <v>1074</v>
      </c>
      <c r="AK3" s="29" t="s">
        <v>1075</v>
      </c>
      <c r="AL3" s="29" t="s">
        <v>1076</v>
      </c>
      <c r="AM3" s="28" t="s">
        <v>1077</v>
      </c>
      <c r="AN3" s="28" t="s">
        <v>1078</v>
      </c>
      <c r="AO3" s="28" t="s">
        <v>1079</v>
      </c>
      <c r="AP3" s="29" t="s">
        <v>1080</v>
      </c>
      <c r="AQ3" s="29" t="s">
        <v>1081</v>
      </c>
      <c r="AR3" s="29" t="s">
        <v>1082</v>
      </c>
      <c r="AS3" s="28" t="s">
        <v>1083</v>
      </c>
      <c r="AT3" s="28" t="s">
        <v>1084</v>
      </c>
      <c r="AU3" s="28" t="s">
        <v>1085</v>
      </c>
      <c r="AV3" s="28" t="s">
        <v>1086</v>
      </c>
      <c r="AW3" s="28" t="s">
        <v>1087</v>
      </c>
      <c r="AX3" s="28" t="s">
        <v>1088</v>
      </c>
      <c r="AY3" s="28" t="s">
        <v>1089</v>
      </c>
      <c r="AZ3" s="28" t="s">
        <v>1090</v>
      </c>
      <c r="BA3" s="28" t="s">
        <v>1091</v>
      </c>
      <c r="BB3" s="28" t="s">
        <v>1092</v>
      </c>
      <c r="BC3" s="28" t="s">
        <v>1093</v>
      </c>
      <c r="BD3" s="16" t="s">
        <v>1094</v>
      </c>
      <c r="BE3" s="16" t="s">
        <v>1095</v>
      </c>
      <c r="BF3" s="16" t="s">
        <v>1096</v>
      </c>
      <c r="BG3" s="16" t="s">
        <v>1097</v>
      </c>
      <c r="BH3" s="16" t="s">
        <v>1098</v>
      </c>
      <c r="BI3" s="16" t="s">
        <v>1099</v>
      </c>
      <c r="BJ3" s="16" t="s">
        <v>1100</v>
      </c>
      <c r="BK3" s="16" t="s">
        <v>1101</v>
      </c>
      <c r="BL3" s="16" t="s">
        <v>1102</v>
      </c>
      <c r="BM3" s="16" t="s">
        <v>1103</v>
      </c>
      <c r="BN3" s="16" t="s">
        <v>1104</v>
      </c>
      <c r="BO3" s="16" t="s">
        <v>1105</v>
      </c>
    </row>
    <row r="4" customFormat="false" ht="12.8" hidden="false" customHeight="false" outlineLevel="0" collapsed="false">
      <c r="A4" s="3" t="n">
        <v>0</v>
      </c>
      <c r="B4" s="16" t="s">
        <v>1106</v>
      </c>
      <c r="C4" s="16" t="s">
        <v>1107</v>
      </c>
      <c r="D4" s="30" t="n">
        <v>2381400</v>
      </c>
      <c r="E4" s="30" t="n">
        <v>81000</v>
      </c>
      <c r="F4" s="30" t="n">
        <v>43000</v>
      </c>
      <c r="G4" s="30" t="n">
        <v>2257400</v>
      </c>
      <c r="H4" s="25" t="n">
        <v>0.973</v>
      </c>
      <c r="I4" s="25" t="n">
        <v>0.96</v>
      </c>
      <c r="J4" s="25" t="n">
        <v>0.935</v>
      </c>
      <c r="K4" s="25" t="n">
        <v>0.976</v>
      </c>
      <c r="L4" s="25" t="n">
        <v>0.577</v>
      </c>
      <c r="M4" s="25" t="n">
        <v>0.65</v>
      </c>
      <c r="N4" s="25" t="n">
        <v>0.72</v>
      </c>
      <c r="O4" s="25" t="n">
        <v>0.575</v>
      </c>
      <c r="P4" s="25" t="n">
        <v>0.027</v>
      </c>
      <c r="Q4" s="25" t="n">
        <v>0.04</v>
      </c>
      <c r="R4" s="25" t="n">
        <v>0.065</v>
      </c>
      <c r="S4" s="25" t="n">
        <v>0.024</v>
      </c>
      <c r="T4" s="25" t="n">
        <v>0.053</v>
      </c>
      <c r="U4" s="25" t="n">
        <v>0.058</v>
      </c>
      <c r="V4" s="25" t="n">
        <v>0.088</v>
      </c>
      <c r="W4" s="25" t="n">
        <v>0.049</v>
      </c>
      <c r="X4" s="31" t="n">
        <v>31.5</v>
      </c>
      <c r="Y4" s="31" t="n">
        <v>20.5</v>
      </c>
      <c r="Z4" s="31" t="n">
        <v>48.8</v>
      </c>
      <c r="AA4" s="32" t="n">
        <v>65520</v>
      </c>
      <c r="AB4" s="32" t="n">
        <v>42600</v>
      </c>
      <c r="AC4" s="32" t="n">
        <v>101504</v>
      </c>
      <c r="AD4" s="33" t="n">
        <v>30.5</v>
      </c>
      <c r="AE4" s="33" t="n">
        <v>19.8</v>
      </c>
      <c r="AF4" s="33" t="n">
        <v>47.3</v>
      </c>
      <c r="AG4" s="32" t="n">
        <v>63440</v>
      </c>
      <c r="AH4" s="32" t="n">
        <v>41240</v>
      </c>
      <c r="AI4" s="32" t="n">
        <v>98432</v>
      </c>
      <c r="AJ4" s="33" t="n">
        <v>26.8</v>
      </c>
      <c r="AK4" s="33" t="n">
        <v>17.4</v>
      </c>
      <c r="AL4" s="33" t="n">
        <v>41.5</v>
      </c>
      <c r="AM4" s="32" t="n">
        <v>55776</v>
      </c>
      <c r="AN4" s="32" t="n">
        <v>36240</v>
      </c>
      <c r="AO4" s="32" t="n">
        <v>86464</v>
      </c>
      <c r="AP4" s="33" t="n">
        <v>32.1</v>
      </c>
      <c r="AQ4" s="33" t="n">
        <v>20.9</v>
      </c>
      <c r="AR4" s="33" t="n">
        <v>49.8</v>
      </c>
      <c r="AS4" s="32" t="n">
        <v>66768</v>
      </c>
      <c r="AT4" s="32" t="n">
        <v>43416</v>
      </c>
      <c r="AU4" s="32" t="n">
        <v>103616</v>
      </c>
      <c r="AV4" s="32" t="n">
        <v>1250000000</v>
      </c>
      <c r="AW4" s="32" t="n">
        <v>45000000</v>
      </c>
      <c r="AX4" s="32" t="n">
        <v>115000000</v>
      </c>
      <c r="AY4" s="32" t="n">
        <v>1095000000</v>
      </c>
      <c r="AZ4" s="32" t="n">
        <v>625000000</v>
      </c>
      <c r="BA4" s="32" t="n">
        <v>22500000</v>
      </c>
      <c r="BB4" s="32" t="n">
        <v>57500000</v>
      </c>
      <c r="BC4" s="32" t="n">
        <v>545000000</v>
      </c>
      <c r="BD4" s="34" t="n">
        <v>320000000</v>
      </c>
      <c r="BE4" s="34" t="n">
        <v>90000000</v>
      </c>
      <c r="BF4" s="34" t="n">
        <v>0</v>
      </c>
      <c r="BG4" s="34" t="n">
        <v>230000000</v>
      </c>
      <c r="BH4" s="34" t="n">
        <v>160000000</v>
      </c>
      <c r="BI4" s="34" t="n">
        <v>40000000</v>
      </c>
      <c r="BJ4" s="34" t="n">
        <v>40000000</v>
      </c>
      <c r="BK4" s="34" t="n">
        <v>120000000</v>
      </c>
      <c r="BL4" s="34" t="n">
        <v>80000000</v>
      </c>
      <c r="BM4" s="34" t="n">
        <v>20000000</v>
      </c>
      <c r="BN4" s="34" t="n">
        <v>20000000</v>
      </c>
      <c r="BO4" s="34" t="n">
        <v>60000000</v>
      </c>
    </row>
    <row r="5" customFormat="false" ht="12.8" hidden="false" customHeight="false" outlineLevel="0" collapsed="false">
      <c r="A5" s="1" t="n">
        <v>1</v>
      </c>
      <c r="B5" s="16" t="s">
        <v>1108</v>
      </c>
      <c r="C5" s="16" t="s">
        <v>1109</v>
      </c>
      <c r="D5" s="30" t="n">
        <v>30000</v>
      </c>
      <c r="E5" s="30" t="n">
        <v>1020</v>
      </c>
      <c r="F5" s="30" t="n">
        <v>540</v>
      </c>
      <c r="G5" s="30" t="n">
        <v>28440</v>
      </c>
      <c r="H5" s="25" t="n">
        <v>0.952</v>
      </c>
      <c r="I5" s="25" t="n">
        <v>0.93</v>
      </c>
      <c r="J5" s="25" t="n">
        <v>0.89</v>
      </c>
      <c r="K5" s="25" t="n">
        <v>0.955</v>
      </c>
      <c r="L5" s="25" t="n">
        <v>0.62</v>
      </c>
      <c r="M5" s="25" t="n">
        <v>0.68</v>
      </c>
      <c r="N5" s="25" t="n">
        <v>0.78</v>
      </c>
      <c r="O5" s="25" t="n">
        <v>0.6</v>
      </c>
      <c r="P5" s="25" t="n">
        <v>0.048</v>
      </c>
      <c r="Q5" s="25" t="n">
        <v>0.07</v>
      </c>
      <c r="R5" s="25" t="n">
        <v>0.11</v>
      </c>
      <c r="S5" s="25" t="n">
        <v>0.045</v>
      </c>
      <c r="T5" s="25" t="n">
        <v>0.093</v>
      </c>
      <c r="U5" s="25" t="n">
        <v>0.108</v>
      </c>
      <c r="V5" s="25" t="n">
        <v>0.155</v>
      </c>
      <c r="W5" s="25" t="n">
        <v>0.089</v>
      </c>
      <c r="X5" s="31" t="n">
        <v>21.93</v>
      </c>
      <c r="Y5" s="31" t="n">
        <v>14.3</v>
      </c>
      <c r="Z5" s="31" t="n">
        <v>33.9</v>
      </c>
      <c r="AA5" s="32" t="n">
        <v>45614</v>
      </c>
      <c r="AB5" s="32" t="n">
        <v>29824</v>
      </c>
      <c r="AC5" s="32" t="n">
        <v>70512</v>
      </c>
      <c r="AD5" s="33" t="n">
        <v>21</v>
      </c>
      <c r="AE5" s="33" t="n">
        <v>13.7</v>
      </c>
      <c r="AF5" s="33" t="n">
        <v>32.5</v>
      </c>
      <c r="AG5" s="32" t="n">
        <v>43680</v>
      </c>
      <c r="AH5" s="32" t="n">
        <v>28480</v>
      </c>
      <c r="AI5" s="32" t="n">
        <v>67360</v>
      </c>
      <c r="AJ5" s="33" t="n">
        <v>18.2</v>
      </c>
      <c r="AK5" s="33" t="n">
        <v>11.8</v>
      </c>
      <c r="AL5" s="33" t="n">
        <v>28.1</v>
      </c>
      <c r="AM5" s="32" t="n">
        <v>37856</v>
      </c>
      <c r="AN5" s="32" t="n">
        <v>24688</v>
      </c>
      <c r="AO5" s="32" t="n">
        <v>58592</v>
      </c>
      <c r="AP5" s="33" t="n">
        <v>22.4</v>
      </c>
      <c r="AQ5" s="33" t="n">
        <v>14.6</v>
      </c>
      <c r="AR5" s="33" t="n">
        <v>34.6</v>
      </c>
      <c r="AS5" s="32" t="n">
        <v>46592</v>
      </c>
      <c r="AT5" s="32" t="n">
        <v>30352</v>
      </c>
      <c r="AU5" s="32" t="n">
        <v>71904</v>
      </c>
      <c r="AV5" s="32" t="n">
        <v>1800000</v>
      </c>
      <c r="AW5" s="32" t="n">
        <v>61000</v>
      </c>
      <c r="AX5" s="32" t="n">
        <v>98000</v>
      </c>
      <c r="AY5" s="32" t="n">
        <v>1641000</v>
      </c>
      <c r="AZ5" s="32" t="n">
        <v>900000</v>
      </c>
      <c r="BA5" s="32" t="n">
        <v>30500</v>
      </c>
      <c r="BB5" s="32" t="n">
        <v>49000</v>
      </c>
      <c r="BC5" s="32" t="n">
        <v>820500</v>
      </c>
      <c r="BD5" s="34" t="n">
        <v>90000</v>
      </c>
      <c r="BE5" s="34" t="n">
        <v>18000</v>
      </c>
      <c r="BF5" s="34" t="n">
        <v>0</v>
      </c>
      <c r="BG5" s="34" t="n">
        <v>72000</v>
      </c>
      <c r="BH5" s="34" t="n">
        <v>45000</v>
      </c>
      <c r="BI5" s="34" t="n">
        <v>9000</v>
      </c>
      <c r="BJ5" s="34" t="n">
        <v>18000</v>
      </c>
      <c r="BK5" s="34" t="n">
        <v>54000</v>
      </c>
      <c r="BL5" s="34" t="n">
        <v>27000</v>
      </c>
      <c r="BM5" s="34" t="n">
        <v>5400</v>
      </c>
      <c r="BN5" s="34" t="n">
        <v>13500</v>
      </c>
      <c r="BO5" s="34" t="n">
        <v>40500</v>
      </c>
    </row>
    <row r="6" customFormat="false" ht="12.8" hidden="false" customHeight="false" outlineLevel="0" collapsed="false">
      <c r="A6" s="1" t="n">
        <v>2</v>
      </c>
      <c r="B6" s="16" t="s">
        <v>1108</v>
      </c>
      <c r="C6" s="16" t="s">
        <v>1110</v>
      </c>
      <c r="D6" s="30" t="n">
        <v>15000</v>
      </c>
      <c r="E6" s="30" t="n">
        <v>510</v>
      </c>
      <c r="F6" s="30" t="n">
        <v>270</v>
      </c>
      <c r="G6" s="30" t="n">
        <v>14220</v>
      </c>
      <c r="H6" s="25" t="n">
        <v>0.952</v>
      </c>
      <c r="I6" s="25" t="n">
        <v>0.93</v>
      </c>
      <c r="J6" s="25" t="n">
        <v>0.89</v>
      </c>
      <c r="K6" s="25" t="n">
        <v>0.955</v>
      </c>
      <c r="L6" s="25" t="n">
        <v>0.589</v>
      </c>
      <c r="M6" s="25" t="n">
        <v>0.646</v>
      </c>
      <c r="N6" s="25" t="n">
        <v>0.741</v>
      </c>
      <c r="O6" s="25" t="n">
        <v>0.57</v>
      </c>
      <c r="P6" s="25" t="n">
        <v>0.048</v>
      </c>
      <c r="Q6" s="25" t="n">
        <v>0.07</v>
      </c>
      <c r="R6" s="25" t="n">
        <v>0.11</v>
      </c>
      <c r="S6" s="25" t="n">
        <v>0.045</v>
      </c>
      <c r="T6" s="25" t="n">
        <v>0.093</v>
      </c>
      <c r="U6" s="25" t="n">
        <v>0.108</v>
      </c>
      <c r="V6" s="25" t="n">
        <v>0.155</v>
      </c>
      <c r="W6" s="25" t="n">
        <v>0.089</v>
      </c>
      <c r="X6" s="31" t="n">
        <v>18.64</v>
      </c>
      <c r="Y6" s="31" t="n">
        <v>12.1</v>
      </c>
      <c r="Z6" s="31" t="n">
        <v>28.8</v>
      </c>
      <c r="AA6" s="32" t="n">
        <v>38771</v>
      </c>
      <c r="AB6" s="32" t="n">
        <v>25200</v>
      </c>
      <c r="AC6" s="32" t="n">
        <v>59904</v>
      </c>
      <c r="AD6" s="33" t="n">
        <v>17.8</v>
      </c>
      <c r="AE6" s="33" t="n">
        <v>11.6</v>
      </c>
      <c r="AF6" s="33" t="n">
        <v>27.6</v>
      </c>
      <c r="AG6" s="32" t="n">
        <v>37024</v>
      </c>
      <c r="AH6" s="32" t="n">
        <v>24104</v>
      </c>
      <c r="AI6" s="32" t="n">
        <v>57376</v>
      </c>
      <c r="AJ6" s="33" t="n">
        <v>15.5</v>
      </c>
      <c r="AK6" s="33" t="n">
        <v>10.1</v>
      </c>
      <c r="AL6" s="33" t="n">
        <v>24</v>
      </c>
      <c r="AM6" s="32" t="n">
        <v>32240</v>
      </c>
      <c r="AN6" s="32" t="n">
        <v>20960</v>
      </c>
      <c r="AO6" s="32" t="n">
        <v>49920</v>
      </c>
      <c r="AP6" s="33" t="n">
        <v>19</v>
      </c>
      <c r="AQ6" s="33" t="n">
        <v>12.4</v>
      </c>
      <c r="AR6" s="33" t="n">
        <v>29.5</v>
      </c>
      <c r="AS6" s="32" t="n">
        <v>39520</v>
      </c>
      <c r="AT6" s="32" t="n">
        <v>25720</v>
      </c>
      <c r="AU6" s="32" t="n">
        <v>61280</v>
      </c>
      <c r="AV6" s="32" t="n">
        <v>900000</v>
      </c>
      <c r="AW6" s="32" t="n">
        <v>30500</v>
      </c>
      <c r="AX6" s="32" t="n">
        <v>49000</v>
      </c>
      <c r="AY6" s="32" t="n">
        <v>820500</v>
      </c>
      <c r="AZ6" s="32" t="n">
        <v>450000</v>
      </c>
      <c r="BA6" s="32" t="n">
        <v>15250</v>
      </c>
      <c r="BB6" s="32" t="n">
        <v>24500</v>
      </c>
      <c r="BC6" s="32" t="n">
        <v>410250</v>
      </c>
      <c r="BD6" s="34" t="n">
        <v>45000</v>
      </c>
      <c r="BE6" s="34" t="n">
        <v>9000</v>
      </c>
      <c r="BF6" s="34" t="n">
        <v>0</v>
      </c>
      <c r="BG6" s="34" t="n">
        <v>36000</v>
      </c>
      <c r="BH6" s="34" t="n">
        <v>22500</v>
      </c>
      <c r="BI6" s="34" t="n">
        <v>4500</v>
      </c>
      <c r="BJ6" s="34" t="n">
        <v>9000</v>
      </c>
      <c r="BK6" s="34" t="n">
        <v>27000</v>
      </c>
      <c r="BL6" s="34" t="n">
        <v>13500</v>
      </c>
      <c r="BM6" s="34" t="n">
        <v>2700</v>
      </c>
      <c r="BN6" s="34" t="n">
        <v>6750</v>
      </c>
      <c r="BO6" s="34" t="n">
        <v>20250</v>
      </c>
    </row>
    <row r="7" customFormat="false" ht="12.8" hidden="false" customHeight="false" outlineLevel="0" collapsed="false">
      <c r="A7" s="1" t="n">
        <v>3</v>
      </c>
      <c r="B7" s="16" t="s">
        <v>1111</v>
      </c>
      <c r="C7" s="16" t="s">
        <v>1109</v>
      </c>
      <c r="D7" s="30" t="n">
        <v>95000</v>
      </c>
      <c r="E7" s="30" t="n">
        <v>3230</v>
      </c>
      <c r="F7" s="30" t="n">
        <v>1710</v>
      </c>
      <c r="G7" s="30" t="n">
        <v>90060</v>
      </c>
      <c r="H7" s="25" t="n">
        <v>0.967</v>
      </c>
      <c r="I7" s="25" t="n">
        <v>0.94</v>
      </c>
      <c r="J7" s="25" t="n">
        <v>0.9</v>
      </c>
      <c r="K7" s="25" t="n">
        <v>0.97</v>
      </c>
      <c r="L7" s="25" t="n">
        <v>0.61</v>
      </c>
      <c r="M7" s="25" t="n">
        <v>0.67</v>
      </c>
      <c r="N7" s="25" t="n">
        <v>0.76</v>
      </c>
      <c r="O7" s="25" t="n">
        <v>0.59</v>
      </c>
      <c r="P7" s="25" t="n">
        <v>0.033</v>
      </c>
      <c r="Q7" s="25" t="n">
        <v>0.06</v>
      </c>
      <c r="R7" s="25" t="n">
        <v>0.1</v>
      </c>
      <c r="S7" s="25" t="n">
        <v>0.03</v>
      </c>
      <c r="T7" s="25" t="n">
        <v>0.046</v>
      </c>
      <c r="U7" s="25" t="n">
        <v>0.066</v>
      </c>
      <c r="V7" s="25" t="n">
        <v>0.11</v>
      </c>
      <c r="W7" s="25" t="n">
        <v>0.042</v>
      </c>
      <c r="X7" s="31" t="n">
        <v>25.34</v>
      </c>
      <c r="Y7" s="31" t="n">
        <v>16.5</v>
      </c>
      <c r="Z7" s="31" t="n">
        <v>39.3</v>
      </c>
      <c r="AA7" s="32" t="n">
        <v>52707</v>
      </c>
      <c r="AB7" s="32" t="n">
        <v>34320</v>
      </c>
      <c r="AC7" s="32" t="n">
        <v>81744</v>
      </c>
      <c r="AD7" s="33" t="n">
        <v>24.1</v>
      </c>
      <c r="AE7" s="33" t="n">
        <v>15.7</v>
      </c>
      <c r="AF7" s="33" t="n">
        <v>37.4</v>
      </c>
      <c r="AG7" s="32" t="n">
        <v>50128</v>
      </c>
      <c r="AH7" s="32" t="n">
        <v>32640</v>
      </c>
      <c r="AI7" s="32" t="n">
        <v>77760</v>
      </c>
      <c r="AJ7" s="33" t="n">
        <v>21.5</v>
      </c>
      <c r="AK7" s="33" t="n">
        <v>14</v>
      </c>
      <c r="AL7" s="33" t="n">
        <v>33.4</v>
      </c>
      <c r="AM7" s="32" t="n">
        <v>44720</v>
      </c>
      <c r="AN7" s="32" t="n">
        <v>29120</v>
      </c>
      <c r="AO7" s="32" t="n">
        <v>69440</v>
      </c>
      <c r="AP7" s="33" t="n">
        <v>25.9</v>
      </c>
      <c r="AQ7" s="33" t="n">
        <v>16.8</v>
      </c>
      <c r="AR7" s="33" t="n">
        <v>40.1</v>
      </c>
      <c r="AS7" s="32" t="n">
        <v>53872</v>
      </c>
      <c r="AT7" s="32" t="n">
        <v>35072</v>
      </c>
      <c r="AU7" s="32" t="n">
        <v>83520</v>
      </c>
      <c r="AV7" s="32" t="n">
        <v>5000000</v>
      </c>
      <c r="AW7" s="32" t="n">
        <v>170000</v>
      </c>
      <c r="AX7" s="32" t="n">
        <v>90000</v>
      </c>
      <c r="AY7" s="32" t="n">
        <v>4740000</v>
      </c>
      <c r="AZ7" s="32" t="n">
        <v>2500000</v>
      </c>
      <c r="BA7" s="32" t="n">
        <v>85000</v>
      </c>
      <c r="BB7" s="32" t="n">
        <v>45000</v>
      </c>
      <c r="BC7" s="32" t="n">
        <v>2375000</v>
      </c>
      <c r="BD7" s="34" t="n">
        <v>500000</v>
      </c>
      <c r="BE7" s="34" t="n">
        <v>100000</v>
      </c>
      <c r="BF7" s="34" t="n">
        <v>0</v>
      </c>
      <c r="BG7" s="34" t="n">
        <v>400000</v>
      </c>
      <c r="BH7" s="34" t="n">
        <v>250000</v>
      </c>
      <c r="BI7" s="34" t="n">
        <v>50000</v>
      </c>
      <c r="BJ7" s="34" t="n">
        <v>50000</v>
      </c>
      <c r="BK7" s="34" t="n">
        <v>150000</v>
      </c>
      <c r="BL7" s="34" t="n">
        <v>75000</v>
      </c>
      <c r="BM7" s="34" t="n">
        <v>15000</v>
      </c>
      <c r="BN7" s="34" t="n">
        <v>37500</v>
      </c>
      <c r="BO7" s="34" t="n">
        <v>112500</v>
      </c>
    </row>
    <row r="8" customFormat="false" ht="12.8" hidden="false" customHeight="false" outlineLevel="0" collapsed="false">
      <c r="A8" s="1" t="n">
        <v>4</v>
      </c>
      <c r="B8" s="16" t="s">
        <v>1111</v>
      </c>
      <c r="C8" s="16" t="s">
        <v>1110</v>
      </c>
      <c r="D8" s="30" t="n">
        <v>47500</v>
      </c>
      <c r="E8" s="30" t="n">
        <v>1615</v>
      </c>
      <c r="F8" s="30" t="n">
        <v>855</v>
      </c>
      <c r="G8" s="30" t="n">
        <v>45030</v>
      </c>
      <c r="H8" s="25" t="n">
        <v>0.967</v>
      </c>
      <c r="I8" s="25" t="n">
        <v>0.94</v>
      </c>
      <c r="J8" s="25" t="n">
        <v>0.9</v>
      </c>
      <c r="K8" s="25" t="n">
        <v>0.97</v>
      </c>
      <c r="L8" s="25" t="n">
        <v>0.579</v>
      </c>
      <c r="M8" s="25" t="n">
        <v>0.637</v>
      </c>
      <c r="N8" s="25" t="n">
        <v>0.722</v>
      </c>
      <c r="O8" s="25" t="n">
        <v>0.56</v>
      </c>
      <c r="P8" s="25" t="n">
        <v>0.033</v>
      </c>
      <c r="Q8" s="25" t="n">
        <v>0.06</v>
      </c>
      <c r="R8" s="25" t="n">
        <v>0.1</v>
      </c>
      <c r="S8" s="25" t="n">
        <v>0.03</v>
      </c>
      <c r="T8" s="25" t="n">
        <v>0.046</v>
      </c>
      <c r="U8" s="25" t="n">
        <v>0.066</v>
      </c>
      <c r="V8" s="25" t="n">
        <v>0.11</v>
      </c>
      <c r="W8" s="25" t="n">
        <v>0.042</v>
      </c>
      <c r="X8" s="31" t="n">
        <v>21.54</v>
      </c>
      <c r="Y8" s="31" t="n">
        <v>14</v>
      </c>
      <c r="Z8" s="31" t="n">
        <v>33.4</v>
      </c>
      <c r="AA8" s="32" t="n">
        <v>44771</v>
      </c>
      <c r="AB8" s="32" t="n">
        <v>29120</v>
      </c>
      <c r="AC8" s="32" t="n">
        <v>69440</v>
      </c>
      <c r="AD8" s="33" t="n">
        <v>20.5</v>
      </c>
      <c r="AE8" s="33" t="n">
        <v>13.3</v>
      </c>
      <c r="AF8" s="33" t="n">
        <v>31.7</v>
      </c>
      <c r="AG8" s="32" t="n">
        <v>42640</v>
      </c>
      <c r="AH8" s="32" t="n">
        <v>27760</v>
      </c>
      <c r="AI8" s="32" t="n">
        <v>66240</v>
      </c>
      <c r="AJ8" s="33" t="n">
        <v>18.3</v>
      </c>
      <c r="AK8" s="33" t="n">
        <v>11.9</v>
      </c>
      <c r="AL8" s="33" t="n">
        <v>28.4</v>
      </c>
      <c r="AM8" s="32" t="n">
        <v>38064</v>
      </c>
      <c r="AN8" s="32" t="n">
        <v>24768</v>
      </c>
      <c r="AO8" s="32" t="n">
        <v>59040</v>
      </c>
      <c r="AP8" s="33" t="n">
        <v>22</v>
      </c>
      <c r="AQ8" s="33" t="n">
        <v>14.3</v>
      </c>
      <c r="AR8" s="33" t="n">
        <v>34.1</v>
      </c>
      <c r="AS8" s="32" t="n">
        <v>45760</v>
      </c>
      <c r="AT8" s="32" t="n">
        <v>29744</v>
      </c>
      <c r="AU8" s="32" t="n">
        <v>70912</v>
      </c>
      <c r="AV8" s="32" t="n">
        <v>2500000</v>
      </c>
      <c r="AW8" s="32" t="n">
        <v>85000</v>
      </c>
      <c r="AX8" s="32" t="n">
        <v>45000</v>
      </c>
      <c r="AY8" s="32" t="n">
        <v>2370000</v>
      </c>
      <c r="AZ8" s="32" t="n">
        <v>1250000</v>
      </c>
      <c r="BA8" s="32" t="n">
        <v>42500</v>
      </c>
      <c r="BB8" s="32" t="n">
        <v>22500</v>
      </c>
      <c r="BC8" s="32" t="n">
        <v>1187500</v>
      </c>
      <c r="BD8" s="34" t="n">
        <v>250000</v>
      </c>
      <c r="BE8" s="34" t="n">
        <v>50000</v>
      </c>
      <c r="BF8" s="34" t="n">
        <v>0</v>
      </c>
      <c r="BG8" s="34" t="n">
        <v>200000</v>
      </c>
      <c r="BH8" s="34" t="n">
        <v>125000</v>
      </c>
      <c r="BI8" s="34" t="n">
        <v>25000</v>
      </c>
      <c r="BJ8" s="34" t="n">
        <v>25000</v>
      </c>
      <c r="BK8" s="34" t="n">
        <v>75000</v>
      </c>
      <c r="BL8" s="34" t="n">
        <v>37500</v>
      </c>
      <c r="BM8" s="34" t="n">
        <v>7500</v>
      </c>
      <c r="BN8" s="34" t="n">
        <v>18750</v>
      </c>
      <c r="BO8" s="34" t="n">
        <v>56250</v>
      </c>
    </row>
    <row r="9" customFormat="false" ht="12.8" hidden="false" customHeight="false" outlineLevel="0" collapsed="false">
      <c r="A9" s="1" t="n">
        <v>5</v>
      </c>
      <c r="B9" s="16" t="s">
        <v>1112</v>
      </c>
      <c r="C9" s="16" t="s">
        <v>1109</v>
      </c>
      <c r="D9" s="30" t="n">
        <v>240000</v>
      </c>
      <c r="E9" s="30" t="n">
        <v>8160</v>
      </c>
      <c r="F9" s="30" t="n">
        <v>4320</v>
      </c>
      <c r="G9" s="30" t="n">
        <v>227520</v>
      </c>
      <c r="H9" s="25" t="n">
        <v>0.96</v>
      </c>
      <c r="I9" s="25" t="n">
        <v>0.93</v>
      </c>
      <c r="J9" s="25" t="n">
        <v>0.88</v>
      </c>
      <c r="K9" s="25" t="n">
        <v>0.963</v>
      </c>
      <c r="L9" s="25" t="n">
        <v>0.58</v>
      </c>
      <c r="M9" s="25" t="n">
        <v>0.64</v>
      </c>
      <c r="N9" s="25" t="n">
        <v>0.71</v>
      </c>
      <c r="O9" s="25" t="n">
        <v>0.57</v>
      </c>
      <c r="P9" s="25" t="n">
        <v>0.04</v>
      </c>
      <c r="Q9" s="25" t="n">
        <v>0.07</v>
      </c>
      <c r="R9" s="25" t="n">
        <v>0.12</v>
      </c>
      <c r="S9" s="25" t="n">
        <v>0.037</v>
      </c>
      <c r="T9" s="25" t="n">
        <v>0.072</v>
      </c>
      <c r="U9" s="25" t="n">
        <v>0.095</v>
      </c>
      <c r="V9" s="25" t="n">
        <v>0.162</v>
      </c>
      <c r="W9" s="25" t="n">
        <v>0.069</v>
      </c>
      <c r="X9" s="31" t="n">
        <v>14.15</v>
      </c>
      <c r="Y9" s="31" t="n">
        <v>9.2</v>
      </c>
      <c r="Z9" s="31" t="n">
        <v>21.9</v>
      </c>
      <c r="AA9" s="32" t="n">
        <v>29432</v>
      </c>
      <c r="AB9" s="32" t="n">
        <v>19136</v>
      </c>
      <c r="AC9" s="32" t="n">
        <v>45584</v>
      </c>
      <c r="AD9" s="33" t="n">
        <v>13.5</v>
      </c>
      <c r="AE9" s="33" t="n">
        <v>8.8</v>
      </c>
      <c r="AF9" s="33" t="n">
        <v>20.9</v>
      </c>
      <c r="AG9" s="32" t="n">
        <v>28080</v>
      </c>
      <c r="AH9" s="32" t="n">
        <v>18288</v>
      </c>
      <c r="AI9" s="32" t="n">
        <v>43536</v>
      </c>
      <c r="AJ9" s="33" t="n">
        <v>11.7</v>
      </c>
      <c r="AK9" s="33" t="n">
        <v>7.6</v>
      </c>
      <c r="AL9" s="33" t="n">
        <v>18.1</v>
      </c>
      <c r="AM9" s="32" t="n">
        <v>24336</v>
      </c>
      <c r="AN9" s="32" t="n">
        <v>15840</v>
      </c>
      <c r="AO9" s="32" t="n">
        <v>37728</v>
      </c>
      <c r="AP9" s="33" t="n">
        <v>14.4</v>
      </c>
      <c r="AQ9" s="33" t="n">
        <v>9.4</v>
      </c>
      <c r="AR9" s="33" t="n">
        <v>22.3</v>
      </c>
      <c r="AS9" s="32" t="n">
        <v>29952</v>
      </c>
      <c r="AT9" s="32" t="n">
        <v>19488</v>
      </c>
      <c r="AU9" s="32" t="n">
        <v>46464</v>
      </c>
      <c r="AV9" s="32" t="n">
        <v>36000000</v>
      </c>
      <c r="AW9" s="32" t="n">
        <v>1224000</v>
      </c>
      <c r="AX9" s="32" t="n">
        <v>648000</v>
      </c>
      <c r="AY9" s="32" t="n">
        <v>34137600</v>
      </c>
      <c r="AZ9" s="32" t="n">
        <v>18000000</v>
      </c>
      <c r="BA9" s="32" t="n">
        <v>612000</v>
      </c>
      <c r="BB9" s="32" t="n">
        <v>324000</v>
      </c>
      <c r="BC9" s="32" t="n">
        <v>17056800</v>
      </c>
      <c r="BD9" s="34" t="n">
        <v>1800000</v>
      </c>
      <c r="BE9" s="34" t="n">
        <v>360000</v>
      </c>
      <c r="BF9" s="34" t="n">
        <v>0</v>
      </c>
      <c r="BG9" s="34" t="n">
        <v>1440000</v>
      </c>
      <c r="BH9" s="34" t="n">
        <v>900000</v>
      </c>
      <c r="BI9" s="34" t="n">
        <v>180000</v>
      </c>
      <c r="BJ9" s="34" t="n">
        <v>180000</v>
      </c>
      <c r="BK9" s="34" t="n">
        <v>540000</v>
      </c>
      <c r="BL9" s="34" t="n">
        <v>270000</v>
      </c>
      <c r="BM9" s="34" t="n">
        <v>54000</v>
      </c>
      <c r="BN9" s="34" t="n">
        <v>135000</v>
      </c>
      <c r="BO9" s="34" t="n">
        <v>405000</v>
      </c>
    </row>
    <row r="10" customFormat="false" ht="12.8" hidden="false" customHeight="false" outlineLevel="0" collapsed="false">
      <c r="A10" s="1" t="n">
        <v>6</v>
      </c>
      <c r="B10" s="16" t="s">
        <v>1112</v>
      </c>
      <c r="C10" s="16" t="s">
        <v>1110</v>
      </c>
      <c r="D10" s="30" t="n">
        <v>120000</v>
      </c>
      <c r="E10" s="30" t="n">
        <v>4080</v>
      </c>
      <c r="F10" s="30" t="n">
        <v>2160</v>
      </c>
      <c r="G10" s="30" t="n">
        <v>113760</v>
      </c>
      <c r="H10" s="25" t="n">
        <v>0.96</v>
      </c>
      <c r="I10" s="25" t="n">
        <v>0.93</v>
      </c>
      <c r="J10" s="25" t="n">
        <v>0.88</v>
      </c>
      <c r="K10" s="25" t="n">
        <v>0.963</v>
      </c>
      <c r="L10" s="25" t="n">
        <v>0.551</v>
      </c>
      <c r="M10" s="25" t="n">
        <v>0.608</v>
      </c>
      <c r="N10" s="25" t="n">
        <v>0.674</v>
      </c>
      <c r="O10" s="25" t="n">
        <v>0.542</v>
      </c>
      <c r="P10" s="25" t="n">
        <v>0.04</v>
      </c>
      <c r="Q10" s="25" t="n">
        <v>0.07</v>
      </c>
      <c r="R10" s="25" t="n">
        <v>0.12</v>
      </c>
      <c r="S10" s="25" t="n">
        <v>0.037</v>
      </c>
      <c r="T10" s="25" t="n">
        <v>0.072</v>
      </c>
      <c r="U10" s="25" t="n">
        <v>0.095</v>
      </c>
      <c r="V10" s="25" t="n">
        <v>0.162</v>
      </c>
      <c r="W10" s="25" t="n">
        <v>0.069</v>
      </c>
      <c r="X10" s="31" t="n">
        <v>12.03</v>
      </c>
      <c r="Y10" s="31" t="n">
        <v>7.8</v>
      </c>
      <c r="Z10" s="31" t="n">
        <v>18.6</v>
      </c>
      <c r="AA10" s="32" t="n">
        <v>25022</v>
      </c>
      <c r="AB10" s="32" t="n">
        <v>16224</v>
      </c>
      <c r="AC10" s="32" t="n">
        <v>38688</v>
      </c>
      <c r="AD10" s="33" t="n">
        <v>11.5</v>
      </c>
      <c r="AE10" s="33" t="n">
        <v>7.5</v>
      </c>
      <c r="AF10" s="33" t="n">
        <v>17.8</v>
      </c>
      <c r="AG10" s="32" t="n">
        <v>23920</v>
      </c>
      <c r="AH10" s="32" t="n">
        <v>15568</v>
      </c>
      <c r="AI10" s="32" t="n">
        <v>37152</v>
      </c>
      <c r="AJ10" s="33" t="n">
        <v>9.9</v>
      </c>
      <c r="AK10" s="33" t="n">
        <v>6.4</v>
      </c>
      <c r="AL10" s="33" t="n">
        <v>15.4</v>
      </c>
      <c r="AM10" s="32" t="n">
        <v>20592</v>
      </c>
      <c r="AN10" s="32" t="n">
        <v>13392</v>
      </c>
      <c r="AO10" s="32" t="n">
        <v>31968</v>
      </c>
      <c r="AP10" s="33" t="n">
        <v>12.3</v>
      </c>
      <c r="AQ10" s="33" t="n">
        <v>8</v>
      </c>
      <c r="AR10" s="33" t="n">
        <v>19</v>
      </c>
      <c r="AS10" s="32" t="n">
        <v>25584</v>
      </c>
      <c r="AT10" s="32" t="n">
        <v>16632</v>
      </c>
      <c r="AU10" s="32" t="n">
        <v>39648</v>
      </c>
      <c r="AV10" s="32" t="n">
        <v>18000000</v>
      </c>
      <c r="AW10" s="32" t="n">
        <v>612000</v>
      </c>
      <c r="AX10" s="32" t="n">
        <v>324000</v>
      </c>
      <c r="AY10" s="32" t="n">
        <v>17068800</v>
      </c>
      <c r="AZ10" s="32" t="n">
        <v>9000000</v>
      </c>
      <c r="BA10" s="32" t="n">
        <v>306000</v>
      </c>
      <c r="BB10" s="32" t="n">
        <v>162000</v>
      </c>
      <c r="BC10" s="32" t="n">
        <v>8528400</v>
      </c>
      <c r="BD10" s="34" t="n">
        <v>900000</v>
      </c>
      <c r="BE10" s="34" t="n">
        <v>180000</v>
      </c>
      <c r="BF10" s="34" t="n">
        <v>0</v>
      </c>
      <c r="BG10" s="34" t="n">
        <v>720000</v>
      </c>
      <c r="BH10" s="34" t="n">
        <v>450000</v>
      </c>
      <c r="BI10" s="34" t="n">
        <v>90000</v>
      </c>
      <c r="BJ10" s="34" t="n">
        <v>90000</v>
      </c>
      <c r="BK10" s="34" t="n">
        <v>270000</v>
      </c>
      <c r="BL10" s="34" t="n">
        <v>135000</v>
      </c>
      <c r="BM10" s="34" t="n">
        <v>27000</v>
      </c>
      <c r="BN10" s="34" t="n">
        <v>67500</v>
      </c>
      <c r="BO10" s="34" t="n">
        <v>202500</v>
      </c>
    </row>
    <row r="11" customFormat="false" ht="12.8" hidden="false" customHeight="false" outlineLevel="0" collapsed="false">
      <c r="A11" s="1" t="n">
        <v>7</v>
      </c>
      <c r="B11" s="16" t="s">
        <v>1113</v>
      </c>
      <c r="C11" s="16" t="s">
        <v>1109</v>
      </c>
      <c r="D11" s="30" t="n">
        <v>65000</v>
      </c>
      <c r="E11" s="30" t="n">
        <v>2210</v>
      </c>
      <c r="F11" s="30" t="n">
        <v>1170</v>
      </c>
      <c r="G11" s="30" t="n">
        <v>61620</v>
      </c>
      <c r="H11" s="25" t="n">
        <v>0.957</v>
      </c>
      <c r="I11" s="25" t="n">
        <v>0.92</v>
      </c>
      <c r="J11" s="25" t="n">
        <v>0.87</v>
      </c>
      <c r="K11" s="25" t="n">
        <v>0.96</v>
      </c>
      <c r="L11" s="25" t="n">
        <v>0.595</v>
      </c>
      <c r="M11" s="25" t="n">
        <v>0.655</v>
      </c>
      <c r="N11" s="25" t="n">
        <v>0.74</v>
      </c>
      <c r="O11" s="25" t="n">
        <v>0.58</v>
      </c>
      <c r="P11" s="25" t="n">
        <v>0.043</v>
      </c>
      <c r="Q11" s="25" t="n">
        <v>0.08</v>
      </c>
      <c r="R11" s="25" t="n">
        <v>0.13</v>
      </c>
      <c r="S11" s="25" t="n">
        <v>0.04</v>
      </c>
      <c r="T11" s="25" t="n">
        <v>0.1</v>
      </c>
      <c r="U11" s="25" t="n">
        <v>0.132</v>
      </c>
      <c r="V11" s="25" t="n">
        <v>0.221</v>
      </c>
      <c r="W11" s="25" t="n">
        <v>0.095</v>
      </c>
      <c r="X11" s="31" t="n">
        <v>16.59</v>
      </c>
      <c r="Y11" s="31" t="n">
        <v>10.8</v>
      </c>
      <c r="Z11" s="31" t="n">
        <v>25.7</v>
      </c>
      <c r="AA11" s="32" t="n">
        <v>34507</v>
      </c>
      <c r="AB11" s="32" t="n">
        <v>22464</v>
      </c>
      <c r="AC11" s="32" t="n">
        <v>53456</v>
      </c>
      <c r="AD11" s="33" t="n">
        <v>15.8</v>
      </c>
      <c r="AE11" s="33" t="n">
        <v>10.3</v>
      </c>
      <c r="AF11" s="33" t="n">
        <v>24.5</v>
      </c>
      <c r="AG11" s="32" t="n">
        <v>32864</v>
      </c>
      <c r="AH11" s="32" t="n">
        <v>21408</v>
      </c>
      <c r="AI11" s="32" t="n">
        <v>51008</v>
      </c>
      <c r="AJ11" s="33" t="n">
        <v>13.8</v>
      </c>
      <c r="AK11" s="33" t="n">
        <v>9</v>
      </c>
      <c r="AL11" s="33" t="n">
        <v>21.4</v>
      </c>
      <c r="AM11" s="32" t="n">
        <v>28704</v>
      </c>
      <c r="AN11" s="32" t="n">
        <v>18672</v>
      </c>
      <c r="AO11" s="32" t="n">
        <v>44416</v>
      </c>
      <c r="AP11" s="33" t="n">
        <v>16.9</v>
      </c>
      <c r="AQ11" s="33" t="n">
        <v>11</v>
      </c>
      <c r="AR11" s="33" t="n">
        <v>26.2</v>
      </c>
      <c r="AS11" s="32" t="n">
        <v>35152</v>
      </c>
      <c r="AT11" s="32" t="n">
        <v>22880</v>
      </c>
      <c r="AU11" s="32" t="n">
        <v>54512</v>
      </c>
      <c r="AV11" s="32" t="n">
        <v>5200000</v>
      </c>
      <c r="AW11" s="32" t="n">
        <v>177000</v>
      </c>
      <c r="AX11" s="32" t="n">
        <v>93600</v>
      </c>
      <c r="AY11" s="32" t="n">
        <v>4928400</v>
      </c>
      <c r="AZ11" s="32" t="n">
        <v>2600000</v>
      </c>
      <c r="BA11" s="32" t="n">
        <v>88400</v>
      </c>
      <c r="BB11" s="32" t="n">
        <v>46800</v>
      </c>
      <c r="BC11" s="32" t="n">
        <v>2471200</v>
      </c>
      <c r="BD11" s="34" t="n">
        <v>650000</v>
      </c>
      <c r="BE11" s="34" t="n">
        <v>130000</v>
      </c>
      <c r="BF11" s="34" t="n">
        <v>0</v>
      </c>
      <c r="BG11" s="34" t="n">
        <v>520000</v>
      </c>
      <c r="BH11" s="34" t="n">
        <v>325000</v>
      </c>
      <c r="BI11" s="34" t="n">
        <v>65000</v>
      </c>
      <c r="BJ11" s="34" t="n">
        <v>65000</v>
      </c>
      <c r="BK11" s="34" t="n">
        <v>195000</v>
      </c>
      <c r="BL11" s="34" t="n">
        <v>97500</v>
      </c>
      <c r="BM11" s="34" t="n">
        <v>19500</v>
      </c>
      <c r="BN11" s="34" t="n">
        <v>48750</v>
      </c>
      <c r="BO11" s="34" t="n">
        <v>146250</v>
      </c>
    </row>
    <row r="12" customFormat="false" ht="12.8" hidden="false" customHeight="false" outlineLevel="0" collapsed="false">
      <c r="A12" s="1" t="n">
        <v>8</v>
      </c>
      <c r="B12" s="16" t="s">
        <v>1113</v>
      </c>
      <c r="C12" s="16" t="s">
        <v>1110</v>
      </c>
      <c r="D12" s="30" t="n">
        <v>32500</v>
      </c>
      <c r="E12" s="30" t="n">
        <v>1105</v>
      </c>
      <c r="F12" s="30" t="n">
        <v>585</v>
      </c>
      <c r="G12" s="30" t="n">
        <v>30810</v>
      </c>
      <c r="H12" s="25" t="n">
        <v>0.957</v>
      </c>
      <c r="I12" s="25" t="n">
        <v>0.92</v>
      </c>
      <c r="J12" s="25" t="n">
        <v>0.87</v>
      </c>
      <c r="K12" s="25" t="n">
        <v>0.96</v>
      </c>
      <c r="L12" s="25" t="n">
        <v>0.565</v>
      </c>
      <c r="M12" s="25" t="n">
        <v>0.622</v>
      </c>
      <c r="N12" s="25" t="n">
        <v>0.703</v>
      </c>
      <c r="O12" s="25" t="n">
        <v>0.551</v>
      </c>
      <c r="P12" s="25" t="n">
        <v>0.043</v>
      </c>
      <c r="Q12" s="25" t="n">
        <v>0.08</v>
      </c>
      <c r="R12" s="25" t="n">
        <v>0.13</v>
      </c>
      <c r="S12" s="25" t="n">
        <v>0.04</v>
      </c>
      <c r="T12" s="25" t="n">
        <v>0.1</v>
      </c>
      <c r="U12" s="25" t="n">
        <v>0.132</v>
      </c>
      <c r="V12" s="25" t="n">
        <v>0.221</v>
      </c>
      <c r="W12" s="25" t="n">
        <v>0.095</v>
      </c>
      <c r="X12" s="31" t="n">
        <v>14.1</v>
      </c>
      <c r="Y12" s="31" t="n">
        <v>9.2</v>
      </c>
      <c r="Z12" s="31" t="n">
        <v>21.8</v>
      </c>
      <c r="AA12" s="32" t="n">
        <v>29328</v>
      </c>
      <c r="AB12" s="32" t="n">
        <v>19088</v>
      </c>
      <c r="AC12" s="32" t="n">
        <v>45376</v>
      </c>
      <c r="AD12" s="33" t="n">
        <v>13.4</v>
      </c>
      <c r="AE12" s="33" t="n">
        <v>8.7</v>
      </c>
      <c r="AF12" s="33" t="n">
        <v>20.8</v>
      </c>
      <c r="AG12" s="32" t="n">
        <v>27872</v>
      </c>
      <c r="AH12" s="32" t="n">
        <v>18136</v>
      </c>
      <c r="AI12" s="32" t="n">
        <v>43264</v>
      </c>
      <c r="AJ12" s="33" t="n">
        <v>11.7</v>
      </c>
      <c r="AK12" s="33" t="n">
        <v>7.6</v>
      </c>
      <c r="AL12" s="33" t="n">
        <v>18.2</v>
      </c>
      <c r="AM12" s="32" t="n">
        <v>24336</v>
      </c>
      <c r="AN12" s="32" t="n">
        <v>15840</v>
      </c>
      <c r="AO12" s="32" t="n">
        <v>37728</v>
      </c>
      <c r="AP12" s="33" t="n">
        <v>14.4</v>
      </c>
      <c r="AQ12" s="33" t="n">
        <v>9.4</v>
      </c>
      <c r="AR12" s="33" t="n">
        <v>22.3</v>
      </c>
      <c r="AS12" s="32" t="n">
        <v>29952</v>
      </c>
      <c r="AT12" s="32" t="n">
        <v>19488</v>
      </c>
      <c r="AU12" s="32" t="n">
        <v>46464</v>
      </c>
      <c r="AV12" s="32" t="n">
        <v>2600000</v>
      </c>
      <c r="AW12" s="32" t="n">
        <v>88400</v>
      </c>
      <c r="AX12" s="32" t="n">
        <v>46800</v>
      </c>
      <c r="AY12" s="32" t="n">
        <v>2464200</v>
      </c>
      <c r="AZ12" s="32" t="n">
        <v>1300000</v>
      </c>
      <c r="BA12" s="32" t="n">
        <v>44200</v>
      </c>
      <c r="BB12" s="32" t="n">
        <v>23400</v>
      </c>
      <c r="BC12" s="32" t="n">
        <v>1235600</v>
      </c>
      <c r="BD12" s="34" t="n">
        <v>325000</v>
      </c>
      <c r="BE12" s="34" t="n">
        <v>65000</v>
      </c>
      <c r="BF12" s="34" t="n">
        <v>0</v>
      </c>
      <c r="BG12" s="34" t="n">
        <v>260000</v>
      </c>
      <c r="BH12" s="34" t="n">
        <v>162500</v>
      </c>
      <c r="BI12" s="34" t="n">
        <v>32500</v>
      </c>
      <c r="BJ12" s="34" t="n">
        <v>32500</v>
      </c>
      <c r="BK12" s="34" t="n">
        <v>97500</v>
      </c>
      <c r="BL12" s="34" t="n">
        <v>48750</v>
      </c>
      <c r="BM12" s="34" t="n">
        <v>9750</v>
      </c>
      <c r="BN12" s="34" t="n">
        <v>24375</v>
      </c>
      <c r="BO12" s="34" t="n">
        <v>73125</v>
      </c>
    </row>
    <row r="13" customFormat="false" ht="12.8" hidden="false" customHeight="false" outlineLevel="0" collapsed="false">
      <c r="A13" s="1" t="n">
        <v>9</v>
      </c>
      <c r="B13" s="16" t="s">
        <v>1114</v>
      </c>
      <c r="C13" s="16" t="s">
        <v>1109</v>
      </c>
      <c r="D13" s="30" t="n">
        <v>270000</v>
      </c>
      <c r="E13" s="30" t="n">
        <v>9180</v>
      </c>
      <c r="F13" s="30" t="n">
        <v>4860</v>
      </c>
      <c r="G13" s="30" t="n">
        <v>255960</v>
      </c>
      <c r="H13" s="25" t="n">
        <v>0.98</v>
      </c>
      <c r="I13" s="25" t="n">
        <v>0.96</v>
      </c>
      <c r="J13" s="25" t="n">
        <v>0.93</v>
      </c>
      <c r="K13" s="25" t="n">
        <v>0.982</v>
      </c>
      <c r="L13" s="25" t="n">
        <v>0.605</v>
      </c>
      <c r="M13" s="25" t="n">
        <v>0.665</v>
      </c>
      <c r="N13" s="25" t="n">
        <v>0.74</v>
      </c>
      <c r="O13" s="25" t="n">
        <v>0.59</v>
      </c>
      <c r="P13" s="25" t="n">
        <v>0.02</v>
      </c>
      <c r="Q13" s="25" t="n">
        <v>0.04</v>
      </c>
      <c r="R13" s="25" t="n">
        <v>0.07</v>
      </c>
      <c r="S13" s="25" t="n">
        <v>0.018</v>
      </c>
      <c r="T13" s="25" t="n">
        <v>0.031</v>
      </c>
      <c r="U13" s="25" t="n">
        <v>0.037</v>
      </c>
      <c r="V13" s="25" t="n">
        <v>0.078</v>
      </c>
      <c r="W13" s="25" t="n">
        <v>0.03</v>
      </c>
      <c r="X13" s="31" t="n">
        <v>24.19</v>
      </c>
      <c r="Y13" s="31" t="n">
        <v>15.7</v>
      </c>
      <c r="Z13" s="31" t="n">
        <v>37.5</v>
      </c>
      <c r="AA13" s="32" t="n">
        <v>50315</v>
      </c>
      <c r="AB13" s="32" t="n">
        <v>32672</v>
      </c>
      <c r="AC13" s="32" t="n">
        <v>78000</v>
      </c>
      <c r="AD13" s="33" t="n">
        <v>23</v>
      </c>
      <c r="AE13" s="33" t="n">
        <v>15</v>
      </c>
      <c r="AF13" s="33" t="n">
        <v>35.7</v>
      </c>
      <c r="AG13" s="32" t="n">
        <v>47840</v>
      </c>
      <c r="AH13" s="32" t="n">
        <v>31120</v>
      </c>
      <c r="AI13" s="32" t="n">
        <v>74240</v>
      </c>
      <c r="AJ13" s="33" t="n">
        <v>21</v>
      </c>
      <c r="AK13" s="33" t="n">
        <v>13.7</v>
      </c>
      <c r="AL13" s="33" t="n">
        <v>32.7</v>
      </c>
      <c r="AM13" s="32" t="n">
        <v>43680</v>
      </c>
      <c r="AN13" s="32" t="n">
        <v>28416</v>
      </c>
      <c r="AO13" s="32" t="n">
        <v>67872</v>
      </c>
      <c r="AP13" s="33" t="n">
        <v>24.7</v>
      </c>
      <c r="AQ13" s="33" t="n">
        <v>16.1</v>
      </c>
      <c r="AR13" s="33" t="n">
        <v>38.4</v>
      </c>
      <c r="AS13" s="32" t="n">
        <v>51376</v>
      </c>
      <c r="AT13" s="32" t="n">
        <v>33424</v>
      </c>
      <c r="AU13" s="32" t="n">
        <v>79872</v>
      </c>
      <c r="AV13" s="32" t="n">
        <v>69000000</v>
      </c>
      <c r="AW13" s="32" t="n">
        <v>2346000</v>
      </c>
      <c r="AX13" s="32" t="n">
        <v>1242000</v>
      </c>
      <c r="AY13" s="32" t="n">
        <v>65418000</v>
      </c>
      <c r="AZ13" s="32" t="n">
        <v>34500000</v>
      </c>
      <c r="BA13" s="32" t="n">
        <v>1173000</v>
      </c>
      <c r="BB13" s="32" t="n">
        <v>621000</v>
      </c>
      <c r="BC13" s="32" t="n">
        <v>32727000</v>
      </c>
      <c r="BD13" s="34" t="n">
        <v>2700000</v>
      </c>
      <c r="BE13" s="34" t="n">
        <v>540000</v>
      </c>
      <c r="BF13" s="34" t="n">
        <v>0</v>
      </c>
      <c r="BG13" s="34" t="n">
        <v>2160000</v>
      </c>
      <c r="BH13" s="34" t="n">
        <v>1350000</v>
      </c>
      <c r="BI13" s="34" t="n">
        <v>270000</v>
      </c>
      <c r="BJ13" s="34" t="n">
        <v>135000</v>
      </c>
      <c r="BK13" s="34" t="n">
        <v>405000</v>
      </c>
      <c r="BL13" s="34" t="n">
        <v>675000</v>
      </c>
      <c r="BM13" s="34" t="n">
        <v>135000</v>
      </c>
      <c r="BN13" s="34" t="n">
        <v>337500</v>
      </c>
      <c r="BO13" s="34" t="n">
        <v>1012500</v>
      </c>
    </row>
    <row r="14" customFormat="false" ht="12.8" hidden="false" customHeight="false" outlineLevel="0" collapsed="false">
      <c r="A14" s="1" t="n">
        <v>10</v>
      </c>
      <c r="B14" s="16" t="s">
        <v>1114</v>
      </c>
      <c r="C14" s="16" t="s">
        <v>1110</v>
      </c>
      <c r="D14" s="30" t="n">
        <v>135000</v>
      </c>
      <c r="E14" s="30" t="n">
        <v>4590</v>
      </c>
      <c r="F14" s="30" t="n">
        <v>2430</v>
      </c>
      <c r="G14" s="30" t="n">
        <v>127980</v>
      </c>
      <c r="H14" s="25" t="n">
        <v>0.98</v>
      </c>
      <c r="I14" s="25" t="n">
        <v>0.96</v>
      </c>
      <c r="J14" s="25" t="n">
        <v>0.93</v>
      </c>
      <c r="K14" s="25" t="n">
        <v>0.982</v>
      </c>
      <c r="L14" s="25" t="n">
        <v>0.575</v>
      </c>
      <c r="M14" s="25" t="n">
        <v>0.632</v>
      </c>
      <c r="N14" s="25" t="n">
        <v>0.703</v>
      </c>
      <c r="O14" s="25" t="n">
        <v>0.56</v>
      </c>
      <c r="P14" s="25" t="n">
        <v>0.02</v>
      </c>
      <c r="Q14" s="25" t="n">
        <v>0.04</v>
      </c>
      <c r="R14" s="25" t="n">
        <v>0.07</v>
      </c>
      <c r="S14" s="25" t="n">
        <v>0.018</v>
      </c>
      <c r="T14" s="25" t="n">
        <v>0.031</v>
      </c>
      <c r="U14" s="25" t="n">
        <v>0.037</v>
      </c>
      <c r="V14" s="25" t="n">
        <v>0.078</v>
      </c>
      <c r="W14" s="25" t="n">
        <v>0.03</v>
      </c>
      <c r="X14" s="31" t="n">
        <v>20.56</v>
      </c>
      <c r="Y14" s="31" t="n">
        <v>13.4</v>
      </c>
      <c r="Z14" s="31" t="n">
        <v>31.9</v>
      </c>
      <c r="AA14" s="32" t="n">
        <v>42765</v>
      </c>
      <c r="AB14" s="32" t="n">
        <v>27840</v>
      </c>
      <c r="AC14" s="32" t="n">
        <v>66432</v>
      </c>
      <c r="AD14" s="33" t="n">
        <v>19.6</v>
      </c>
      <c r="AE14" s="33" t="n">
        <v>12.7</v>
      </c>
      <c r="AF14" s="33" t="n">
        <v>30.3</v>
      </c>
      <c r="AG14" s="32" t="n">
        <v>40768</v>
      </c>
      <c r="AH14" s="32" t="n">
        <v>26512</v>
      </c>
      <c r="AI14" s="32" t="n">
        <v>63264</v>
      </c>
      <c r="AJ14" s="33" t="n">
        <v>17.9</v>
      </c>
      <c r="AK14" s="33" t="n">
        <v>11.6</v>
      </c>
      <c r="AL14" s="33" t="n">
        <v>27.7</v>
      </c>
      <c r="AM14" s="32" t="n">
        <v>37232</v>
      </c>
      <c r="AN14" s="32" t="n">
        <v>24208</v>
      </c>
      <c r="AO14" s="32" t="n">
        <v>57728</v>
      </c>
      <c r="AP14" s="33" t="n">
        <v>21</v>
      </c>
      <c r="AQ14" s="33" t="n">
        <v>13.7</v>
      </c>
      <c r="AR14" s="33" t="n">
        <v>32.7</v>
      </c>
      <c r="AS14" s="32" t="n">
        <v>43680</v>
      </c>
      <c r="AT14" s="32" t="n">
        <v>28416</v>
      </c>
      <c r="AU14" s="32" t="n">
        <v>67872</v>
      </c>
      <c r="AV14" s="32" t="n">
        <v>34500000</v>
      </c>
      <c r="AW14" s="32" t="n">
        <v>1173000</v>
      </c>
      <c r="AX14" s="32" t="n">
        <v>621000</v>
      </c>
      <c r="AY14" s="32" t="n">
        <v>32709000</v>
      </c>
      <c r="AZ14" s="32" t="n">
        <v>17250000</v>
      </c>
      <c r="BA14" s="32" t="n">
        <v>586500</v>
      </c>
      <c r="BB14" s="32" t="n">
        <v>310500</v>
      </c>
      <c r="BC14" s="32" t="n">
        <v>16363500</v>
      </c>
      <c r="BD14" s="34" t="n">
        <v>1350000</v>
      </c>
      <c r="BE14" s="34" t="n">
        <v>270000</v>
      </c>
      <c r="BF14" s="34" t="n">
        <v>0</v>
      </c>
      <c r="BG14" s="34" t="n">
        <v>1080000</v>
      </c>
      <c r="BH14" s="34" t="n">
        <v>675000</v>
      </c>
      <c r="BI14" s="34" t="n">
        <v>135000</v>
      </c>
      <c r="BJ14" s="34" t="n">
        <v>67500</v>
      </c>
      <c r="BK14" s="34" t="n">
        <v>202500</v>
      </c>
      <c r="BL14" s="34" t="n">
        <v>337500</v>
      </c>
      <c r="BM14" s="34" t="n">
        <v>67500</v>
      </c>
      <c r="BN14" s="34" t="n">
        <v>168750</v>
      </c>
      <c r="BO14" s="34" t="n">
        <v>506250</v>
      </c>
    </row>
    <row r="15" customFormat="false" ht="12.8" hidden="false" customHeight="false" outlineLevel="0" collapsed="false">
      <c r="A15" s="1" t="n">
        <v>11</v>
      </c>
      <c r="B15" s="16" t="s">
        <v>1115</v>
      </c>
      <c r="C15" s="16" t="s">
        <v>1109</v>
      </c>
      <c r="D15" s="30" t="n">
        <v>90000</v>
      </c>
      <c r="E15" s="30" t="n">
        <v>3060</v>
      </c>
      <c r="F15" s="30" t="n">
        <v>1620</v>
      </c>
      <c r="G15" s="30" t="n">
        <v>85320</v>
      </c>
      <c r="H15" s="25" t="n">
        <v>0.976</v>
      </c>
      <c r="I15" s="25" t="n">
        <v>0.95</v>
      </c>
      <c r="J15" s="25" t="n">
        <v>0.92</v>
      </c>
      <c r="K15" s="25" t="n">
        <v>0.978</v>
      </c>
      <c r="L15" s="25" t="n">
        <v>0.6</v>
      </c>
      <c r="M15" s="25" t="n">
        <v>0.66</v>
      </c>
      <c r="N15" s="25" t="n">
        <v>0.75</v>
      </c>
      <c r="O15" s="25" t="n">
        <v>0.58</v>
      </c>
      <c r="P15" s="25" t="n">
        <v>0.024</v>
      </c>
      <c r="Q15" s="25" t="n">
        <v>0.05</v>
      </c>
      <c r="R15" s="25" t="n">
        <v>0.08</v>
      </c>
      <c r="S15" s="25" t="n">
        <v>0.022</v>
      </c>
      <c r="T15" s="25" t="n">
        <v>0.037</v>
      </c>
      <c r="U15" s="25" t="n">
        <v>0.046</v>
      </c>
      <c r="V15" s="25" t="n">
        <v>0.084</v>
      </c>
      <c r="W15" s="25" t="n">
        <v>0.034</v>
      </c>
      <c r="X15" s="31" t="n">
        <v>24.4</v>
      </c>
      <c r="Y15" s="31" t="n">
        <v>15.9</v>
      </c>
      <c r="Z15" s="31" t="n">
        <v>37.8</v>
      </c>
      <c r="AA15" s="32" t="n">
        <v>50752</v>
      </c>
      <c r="AB15" s="32" t="n">
        <v>33040</v>
      </c>
      <c r="AC15" s="32" t="n">
        <v>78720</v>
      </c>
      <c r="AD15" s="33" t="n">
        <v>23.2</v>
      </c>
      <c r="AE15" s="33" t="n">
        <v>15.1</v>
      </c>
      <c r="AF15" s="33" t="n">
        <v>36</v>
      </c>
      <c r="AG15" s="32" t="n">
        <v>48256</v>
      </c>
      <c r="AH15" s="32" t="n">
        <v>31408</v>
      </c>
      <c r="AI15" s="32" t="n">
        <v>74816</v>
      </c>
      <c r="AJ15" s="33" t="n">
        <v>21.2</v>
      </c>
      <c r="AK15" s="33" t="n">
        <v>13.8</v>
      </c>
      <c r="AL15" s="33" t="n">
        <v>32.9</v>
      </c>
      <c r="AM15" s="32" t="n">
        <v>44100</v>
      </c>
      <c r="AN15" s="32" t="n">
        <v>28704</v>
      </c>
      <c r="AO15" s="32" t="n">
        <v>68352</v>
      </c>
      <c r="AP15" s="33" t="n">
        <v>24.9</v>
      </c>
      <c r="AQ15" s="33" t="n">
        <v>16.2</v>
      </c>
      <c r="AR15" s="33" t="n">
        <v>38.6</v>
      </c>
      <c r="AS15" s="32" t="n">
        <v>51792</v>
      </c>
      <c r="AT15" s="32" t="n">
        <v>33712</v>
      </c>
      <c r="AU15" s="32" t="n">
        <v>80384</v>
      </c>
      <c r="AV15" s="32" t="n">
        <v>23000000</v>
      </c>
      <c r="AW15" s="32" t="n">
        <v>782000</v>
      </c>
      <c r="AX15" s="32" t="n">
        <v>414000</v>
      </c>
      <c r="AY15" s="32" t="n">
        <v>21796000</v>
      </c>
      <c r="AZ15" s="32" t="n">
        <v>11500000</v>
      </c>
      <c r="BA15" s="32" t="n">
        <v>391000</v>
      </c>
      <c r="BB15" s="32" t="n">
        <v>207000</v>
      </c>
      <c r="BC15" s="32" t="n">
        <v>10909000</v>
      </c>
      <c r="BD15" s="34" t="n">
        <v>900000</v>
      </c>
      <c r="BE15" s="34" t="n">
        <v>180000</v>
      </c>
      <c r="BF15" s="34" t="n">
        <v>0</v>
      </c>
      <c r="BG15" s="34" t="n">
        <v>720000</v>
      </c>
      <c r="BH15" s="34" t="n">
        <v>450000</v>
      </c>
      <c r="BI15" s="34" t="n">
        <v>90000</v>
      </c>
      <c r="BJ15" s="34" t="n">
        <v>90000</v>
      </c>
      <c r="BK15" s="34" t="n">
        <v>270000</v>
      </c>
      <c r="BL15" s="34" t="n">
        <v>225000</v>
      </c>
      <c r="BM15" s="34" t="n">
        <v>45000</v>
      </c>
      <c r="BN15" s="34" t="n">
        <v>112500</v>
      </c>
      <c r="BO15" s="34" t="n">
        <v>337500</v>
      </c>
    </row>
    <row r="16" customFormat="false" ht="12.8" hidden="false" customHeight="false" outlineLevel="0" collapsed="false">
      <c r="A16" s="1" t="n">
        <v>12</v>
      </c>
      <c r="B16" s="16" t="s">
        <v>1115</v>
      </c>
      <c r="C16" s="16" t="s">
        <v>1110</v>
      </c>
      <c r="D16" s="30" t="n">
        <v>45000</v>
      </c>
      <c r="E16" s="30" t="n">
        <v>1530</v>
      </c>
      <c r="F16" s="30" t="n">
        <v>810</v>
      </c>
      <c r="G16" s="30" t="n">
        <v>42660</v>
      </c>
      <c r="H16" s="25" t="n">
        <v>0.976</v>
      </c>
      <c r="I16" s="25" t="n">
        <v>0.95</v>
      </c>
      <c r="J16" s="25" t="n">
        <v>0.92</v>
      </c>
      <c r="K16" s="25" t="n">
        <v>0.978</v>
      </c>
      <c r="L16" s="25" t="n">
        <v>0.57</v>
      </c>
      <c r="M16" s="25" t="n">
        <v>0.627</v>
      </c>
      <c r="N16" s="25" t="n">
        <v>0.712</v>
      </c>
      <c r="O16" s="25" t="n">
        <v>0.55</v>
      </c>
      <c r="P16" s="25" t="n">
        <v>0.024</v>
      </c>
      <c r="Q16" s="25" t="n">
        <v>0.05</v>
      </c>
      <c r="R16" s="25" t="n">
        <v>0.08</v>
      </c>
      <c r="S16" s="25" t="n">
        <v>0.022</v>
      </c>
      <c r="T16" s="25" t="n">
        <v>0.037</v>
      </c>
      <c r="U16" s="25" t="n">
        <v>0.046</v>
      </c>
      <c r="V16" s="25" t="n">
        <v>0.084</v>
      </c>
      <c r="W16" s="25" t="n">
        <v>0.034</v>
      </c>
      <c r="X16" s="31" t="n">
        <v>20.74</v>
      </c>
      <c r="Y16" s="31" t="n">
        <v>13.5</v>
      </c>
      <c r="Z16" s="31" t="n">
        <v>32.1</v>
      </c>
      <c r="AA16" s="32" t="n">
        <v>43139</v>
      </c>
      <c r="AB16" s="32" t="n">
        <v>28080</v>
      </c>
      <c r="AC16" s="32" t="n">
        <v>66816</v>
      </c>
      <c r="AD16" s="33" t="n">
        <v>19.7</v>
      </c>
      <c r="AE16" s="33" t="n">
        <v>12.8</v>
      </c>
      <c r="AF16" s="33" t="n">
        <v>30.6</v>
      </c>
      <c r="AG16" s="32" t="n">
        <v>40976</v>
      </c>
      <c r="AH16" s="32" t="n">
        <v>26672</v>
      </c>
      <c r="AI16" s="32" t="n">
        <v>63616</v>
      </c>
      <c r="AJ16" s="33" t="n">
        <v>18</v>
      </c>
      <c r="AK16" s="33" t="n">
        <v>11.7</v>
      </c>
      <c r="AL16" s="33" t="n">
        <v>28</v>
      </c>
      <c r="AM16" s="32" t="n">
        <v>37440</v>
      </c>
      <c r="AN16" s="32" t="n">
        <v>24360</v>
      </c>
      <c r="AO16" s="32" t="n">
        <v>58080</v>
      </c>
      <c r="AP16" s="33" t="n">
        <v>21.2</v>
      </c>
      <c r="AQ16" s="33" t="n">
        <v>13.8</v>
      </c>
      <c r="AR16" s="33" t="n">
        <v>32.9</v>
      </c>
      <c r="AS16" s="32" t="n">
        <v>44096</v>
      </c>
      <c r="AT16" s="32" t="n">
        <v>28688</v>
      </c>
      <c r="AU16" s="32" t="n">
        <v>68352</v>
      </c>
      <c r="AV16" s="32" t="n">
        <v>11500000</v>
      </c>
      <c r="AW16" s="32" t="n">
        <v>391000</v>
      </c>
      <c r="AX16" s="32" t="n">
        <v>207000</v>
      </c>
      <c r="AY16" s="32" t="n">
        <v>10898000</v>
      </c>
      <c r="AZ16" s="32" t="n">
        <v>5750000</v>
      </c>
      <c r="BA16" s="32" t="n">
        <v>195500</v>
      </c>
      <c r="BB16" s="32" t="n">
        <v>103500</v>
      </c>
      <c r="BC16" s="32" t="n">
        <v>5454500</v>
      </c>
      <c r="BD16" s="34" t="n">
        <v>450000</v>
      </c>
      <c r="BE16" s="34" t="n">
        <v>90000</v>
      </c>
      <c r="BF16" s="34" t="n">
        <v>0</v>
      </c>
      <c r="BG16" s="34" t="n">
        <v>360000</v>
      </c>
      <c r="BH16" s="34" t="n">
        <v>225000</v>
      </c>
      <c r="BI16" s="34" t="n">
        <v>45000</v>
      </c>
      <c r="BJ16" s="34" t="n">
        <v>45000</v>
      </c>
      <c r="BK16" s="34" t="n">
        <v>135000</v>
      </c>
      <c r="BL16" s="34" t="n">
        <v>112500</v>
      </c>
      <c r="BM16" s="34" t="n">
        <v>22500</v>
      </c>
      <c r="BN16" s="34" t="n">
        <v>56250</v>
      </c>
      <c r="BO16" s="34" t="n">
        <v>168750</v>
      </c>
    </row>
    <row r="17" customFormat="false" ht="12.8" hidden="false" customHeight="false" outlineLevel="0" collapsed="false">
      <c r="A17" s="1" t="n">
        <v>13</v>
      </c>
      <c r="B17" s="16" t="s">
        <v>1116</v>
      </c>
      <c r="C17" s="16" t="s">
        <v>1109</v>
      </c>
      <c r="D17" s="30" t="n">
        <v>320000</v>
      </c>
      <c r="E17" s="30" t="n">
        <v>10880</v>
      </c>
      <c r="F17" s="30" t="n">
        <v>5760</v>
      </c>
      <c r="G17" s="30" t="n">
        <v>303360</v>
      </c>
      <c r="H17" s="25" t="n">
        <v>0.96</v>
      </c>
      <c r="I17" s="25" t="n">
        <v>0.93</v>
      </c>
      <c r="J17" s="25" t="n">
        <v>0.88</v>
      </c>
      <c r="K17" s="25" t="n">
        <v>0.963</v>
      </c>
      <c r="L17" s="25" t="n">
        <v>0.58</v>
      </c>
      <c r="M17" s="25" t="n">
        <v>0.64</v>
      </c>
      <c r="N17" s="25" t="n">
        <v>0.71</v>
      </c>
      <c r="O17" s="25" t="n">
        <v>0.57</v>
      </c>
      <c r="P17" s="25" t="n">
        <v>0.04</v>
      </c>
      <c r="Q17" s="25" t="n">
        <v>0.07</v>
      </c>
      <c r="R17" s="25" t="n">
        <v>0.12</v>
      </c>
      <c r="S17" s="25" t="n">
        <v>0.037</v>
      </c>
      <c r="T17" s="25" t="n">
        <v>0.074</v>
      </c>
      <c r="U17" s="25" t="n">
        <v>0.097</v>
      </c>
      <c r="V17" s="25" t="n">
        <v>0.165</v>
      </c>
      <c r="W17" s="25" t="n">
        <v>0.071</v>
      </c>
      <c r="X17" s="31" t="n">
        <v>21.94</v>
      </c>
      <c r="Y17" s="31" t="n">
        <v>14.3</v>
      </c>
      <c r="Z17" s="31" t="n">
        <v>33.9</v>
      </c>
      <c r="AA17" s="32" t="n">
        <v>45635</v>
      </c>
      <c r="AB17" s="32" t="n">
        <v>29704</v>
      </c>
      <c r="AC17" s="32" t="n">
        <v>70656</v>
      </c>
      <c r="AD17" s="33" t="n">
        <v>20.9</v>
      </c>
      <c r="AE17" s="33" t="n">
        <v>13.6</v>
      </c>
      <c r="AF17" s="33" t="n">
        <v>32.4</v>
      </c>
      <c r="AG17" s="32" t="n">
        <v>43472</v>
      </c>
      <c r="AH17" s="32" t="n">
        <v>28304</v>
      </c>
      <c r="AI17" s="32" t="n">
        <v>67392</v>
      </c>
      <c r="AJ17" s="33" t="n">
        <v>18.1</v>
      </c>
      <c r="AK17" s="33" t="n">
        <v>11.8</v>
      </c>
      <c r="AL17" s="33" t="n">
        <v>28.1</v>
      </c>
      <c r="AM17" s="32" t="n">
        <v>37648</v>
      </c>
      <c r="AN17" s="32" t="n">
        <v>24496</v>
      </c>
      <c r="AO17" s="32" t="n">
        <v>58272</v>
      </c>
      <c r="AP17" s="33" t="n">
        <v>22.4</v>
      </c>
      <c r="AQ17" s="33" t="n">
        <v>14.6</v>
      </c>
      <c r="AR17" s="33" t="n">
        <v>34.7</v>
      </c>
      <c r="AS17" s="32" t="n">
        <v>46592</v>
      </c>
      <c r="AT17" s="32" t="n">
        <v>30352</v>
      </c>
      <c r="AU17" s="32" t="n">
        <v>72144</v>
      </c>
      <c r="AV17" s="32" t="n">
        <v>48000000</v>
      </c>
      <c r="AW17" s="32" t="n">
        <v>1632000</v>
      </c>
      <c r="AX17" s="32" t="n">
        <v>864000</v>
      </c>
      <c r="AY17" s="32" t="n">
        <v>45528000</v>
      </c>
      <c r="AZ17" s="32" t="n">
        <v>24000000</v>
      </c>
      <c r="BA17" s="32" t="n">
        <v>816000</v>
      </c>
      <c r="BB17" s="32" t="n">
        <v>432000</v>
      </c>
      <c r="BC17" s="32" t="n">
        <v>22764000</v>
      </c>
      <c r="BD17" s="34" t="n">
        <v>2400000</v>
      </c>
      <c r="BE17" s="34" t="n">
        <v>480000</v>
      </c>
      <c r="BF17" s="34" t="n">
        <v>0</v>
      </c>
      <c r="BG17" s="34" t="n">
        <v>1920000</v>
      </c>
      <c r="BH17" s="34" t="n">
        <v>1200000</v>
      </c>
      <c r="BI17" s="34" t="n">
        <v>240000</v>
      </c>
      <c r="BJ17" s="34" t="n">
        <v>240000</v>
      </c>
      <c r="BK17" s="34" t="n">
        <v>720000</v>
      </c>
      <c r="BL17" s="34" t="n">
        <v>600000</v>
      </c>
      <c r="BM17" s="34" t="n">
        <v>120000</v>
      </c>
      <c r="BN17" s="34" t="n">
        <v>300000</v>
      </c>
      <c r="BO17" s="34" t="n">
        <v>900000</v>
      </c>
    </row>
    <row r="18" customFormat="false" ht="12.8" hidden="false" customHeight="false" outlineLevel="0" collapsed="false">
      <c r="A18" s="1" t="n">
        <v>14</v>
      </c>
      <c r="B18" s="16" t="s">
        <v>1116</v>
      </c>
      <c r="C18" s="16" t="s">
        <v>1110</v>
      </c>
      <c r="D18" s="30" t="n">
        <v>160000</v>
      </c>
      <c r="E18" s="30" t="n">
        <v>5440</v>
      </c>
      <c r="F18" s="30" t="n">
        <v>2880</v>
      </c>
      <c r="G18" s="30" t="n">
        <v>151680</v>
      </c>
      <c r="H18" s="25" t="n">
        <v>0.96</v>
      </c>
      <c r="I18" s="25" t="n">
        <v>0.93</v>
      </c>
      <c r="J18" s="25" t="n">
        <v>0.88</v>
      </c>
      <c r="K18" s="25" t="n">
        <v>0.963</v>
      </c>
      <c r="L18" s="25" t="n">
        <v>0.551</v>
      </c>
      <c r="M18" s="25" t="n">
        <v>0.608</v>
      </c>
      <c r="N18" s="25" t="n">
        <v>0.674</v>
      </c>
      <c r="O18" s="25" t="n">
        <v>0.542</v>
      </c>
      <c r="P18" s="25" t="n">
        <v>0.04</v>
      </c>
      <c r="Q18" s="25" t="n">
        <v>0.07</v>
      </c>
      <c r="R18" s="25" t="n">
        <v>0.12</v>
      </c>
      <c r="S18" s="25" t="n">
        <v>0.037</v>
      </c>
      <c r="T18" s="25" t="n">
        <v>0.074</v>
      </c>
      <c r="U18" s="25" t="n">
        <v>0.097</v>
      </c>
      <c r="V18" s="25" t="n">
        <v>0.165</v>
      </c>
      <c r="W18" s="25" t="n">
        <v>0.071</v>
      </c>
      <c r="X18" s="31" t="n">
        <v>18.65</v>
      </c>
      <c r="Y18" s="31" t="n">
        <v>12.1</v>
      </c>
      <c r="Z18" s="31" t="n">
        <v>28.8</v>
      </c>
      <c r="AA18" s="32" t="n">
        <v>38792</v>
      </c>
      <c r="AB18" s="32" t="n">
        <v>25240</v>
      </c>
      <c r="AC18" s="32" t="n">
        <v>60016</v>
      </c>
      <c r="AD18" s="33" t="n">
        <v>17.8</v>
      </c>
      <c r="AE18" s="33" t="n">
        <v>11.6</v>
      </c>
      <c r="AF18" s="33" t="n">
        <v>27.6</v>
      </c>
      <c r="AG18" s="32" t="n">
        <v>37024</v>
      </c>
      <c r="AH18" s="32" t="n">
        <v>24104</v>
      </c>
      <c r="AI18" s="32" t="n">
        <v>57376</v>
      </c>
      <c r="AJ18" s="33" t="n">
        <v>15.4</v>
      </c>
      <c r="AK18" s="33" t="n">
        <v>10</v>
      </c>
      <c r="AL18" s="33" t="n">
        <v>23.9</v>
      </c>
      <c r="AM18" s="32" t="n">
        <v>32032</v>
      </c>
      <c r="AN18" s="32" t="n">
        <v>20848</v>
      </c>
      <c r="AO18" s="32" t="n">
        <v>49632</v>
      </c>
      <c r="AP18" s="33" t="n">
        <v>19</v>
      </c>
      <c r="AQ18" s="33" t="n">
        <v>12.4</v>
      </c>
      <c r="AR18" s="33" t="n">
        <v>29.5</v>
      </c>
      <c r="AS18" s="32" t="n">
        <v>39520</v>
      </c>
      <c r="AT18" s="32" t="n">
        <v>25720</v>
      </c>
      <c r="AU18" s="32" t="n">
        <v>61280</v>
      </c>
      <c r="AV18" s="32" t="n">
        <v>24000000</v>
      </c>
      <c r="AW18" s="32" t="n">
        <v>816000</v>
      </c>
      <c r="AX18" s="32" t="n">
        <v>432000</v>
      </c>
      <c r="AY18" s="32" t="n">
        <v>22764000</v>
      </c>
      <c r="AZ18" s="32" t="n">
        <v>12000000</v>
      </c>
      <c r="BA18" s="32" t="n">
        <v>408000</v>
      </c>
      <c r="BB18" s="32" t="n">
        <v>216000</v>
      </c>
      <c r="BC18" s="32" t="n">
        <v>11382000</v>
      </c>
      <c r="BD18" s="34" t="n">
        <v>1200000</v>
      </c>
      <c r="BE18" s="34" t="n">
        <v>240000</v>
      </c>
      <c r="BF18" s="34" t="n">
        <v>0</v>
      </c>
      <c r="BG18" s="34" t="n">
        <v>960000</v>
      </c>
      <c r="BH18" s="34" t="n">
        <v>600000</v>
      </c>
      <c r="BI18" s="34" t="n">
        <v>120000</v>
      </c>
      <c r="BJ18" s="34" t="n">
        <v>120000</v>
      </c>
      <c r="BK18" s="34" t="n">
        <v>360000</v>
      </c>
      <c r="BL18" s="34" t="n">
        <v>300000</v>
      </c>
      <c r="BM18" s="34" t="n">
        <v>60000</v>
      </c>
      <c r="BN18" s="34" t="n">
        <v>150000</v>
      </c>
      <c r="BO18" s="34" t="n">
        <v>450000</v>
      </c>
    </row>
    <row r="19" customFormat="false" ht="12.8" hidden="false" customHeight="false" outlineLevel="0" collapsed="false">
      <c r="A19" s="1" t="n">
        <v>15</v>
      </c>
      <c r="B19" s="16" t="s">
        <v>1117</v>
      </c>
      <c r="C19" s="16" t="s">
        <v>1109</v>
      </c>
      <c r="D19" s="30" t="n">
        <v>55000</v>
      </c>
      <c r="E19" s="30" t="n">
        <v>1870</v>
      </c>
      <c r="F19" s="30" t="n">
        <v>990</v>
      </c>
      <c r="G19" s="30" t="n">
        <v>52140</v>
      </c>
      <c r="H19" s="25" t="n">
        <v>0.952</v>
      </c>
      <c r="I19" s="25" t="n">
        <v>0.93</v>
      </c>
      <c r="J19" s="25" t="n">
        <v>0.89</v>
      </c>
      <c r="K19" s="25" t="n">
        <v>0.955</v>
      </c>
      <c r="L19" s="25" t="n">
        <v>0.62</v>
      </c>
      <c r="M19" s="25" t="n">
        <v>0.68</v>
      </c>
      <c r="N19" s="25" t="n">
        <v>0.78</v>
      </c>
      <c r="O19" s="25" t="n">
        <v>0.6</v>
      </c>
      <c r="P19" s="25" t="n">
        <v>0.048</v>
      </c>
      <c r="Q19" s="25" t="n">
        <v>0.07</v>
      </c>
      <c r="R19" s="25" t="n">
        <v>0.11</v>
      </c>
      <c r="S19" s="25" t="n">
        <v>0.045</v>
      </c>
      <c r="T19" s="25" t="n">
        <v>0.093</v>
      </c>
      <c r="U19" s="25" t="n">
        <v>0.108</v>
      </c>
      <c r="V19" s="25" t="n">
        <v>0.155</v>
      </c>
      <c r="W19" s="25" t="n">
        <v>0.089</v>
      </c>
      <c r="X19" s="31" t="n">
        <v>16.59</v>
      </c>
      <c r="Y19" s="31" t="n">
        <v>10.8</v>
      </c>
      <c r="Z19" s="31" t="n">
        <v>25.7</v>
      </c>
      <c r="AA19" s="32" t="n">
        <v>34507</v>
      </c>
      <c r="AB19" s="32" t="n">
        <v>22464</v>
      </c>
      <c r="AC19" s="32" t="n">
        <v>53456</v>
      </c>
      <c r="AD19" s="33" t="n">
        <v>15.8</v>
      </c>
      <c r="AE19" s="33" t="n">
        <v>10.3</v>
      </c>
      <c r="AF19" s="33" t="n">
        <v>24.5</v>
      </c>
      <c r="AG19" s="32" t="n">
        <v>32864</v>
      </c>
      <c r="AH19" s="32" t="n">
        <v>21408</v>
      </c>
      <c r="AI19" s="32" t="n">
        <v>51008</v>
      </c>
      <c r="AJ19" s="33" t="n">
        <v>13.8</v>
      </c>
      <c r="AK19" s="33" t="n">
        <v>9</v>
      </c>
      <c r="AL19" s="33" t="n">
        <v>21.4</v>
      </c>
      <c r="AM19" s="32" t="n">
        <v>28704</v>
      </c>
      <c r="AN19" s="32" t="n">
        <v>18672</v>
      </c>
      <c r="AO19" s="32" t="n">
        <v>44416</v>
      </c>
      <c r="AP19" s="33" t="n">
        <v>16.9</v>
      </c>
      <c r="AQ19" s="33" t="n">
        <v>11</v>
      </c>
      <c r="AR19" s="33" t="n">
        <v>26.2</v>
      </c>
      <c r="AS19" s="32" t="n">
        <v>35152</v>
      </c>
      <c r="AT19" s="32" t="n">
        <v>22880</v>
      </c>
      <c r="AU19" s="32" t="n">
        <v>54512</v>
      </c>
      <c r="AV19" s="32" t="n">
        <v>3300000</v>
      </c>
      <c r="AW19" s="32" t="n">
        <v>112200</v>
      </c>
      <c r="AX19" s="32" t="n">
        <v>59400</v>
      </c>
      <c r="AY19" s="32" t="n">
        <v>3132600</v>
      </c>
      <c r="AZ19" s="32" t="n">
        <v>1650000</v>
      </c>
      <c r="BA19" s="32" t="n">
        <v>56100</v>
      </c>
      <c r="BB19" s="32" t="n">
        <v>29700</v>
      </c>
      <c r="BC19" s="32" t="n">
        <v>1566300</v>
      </c>
      <c r="BD19" s="34" t="n">
        <v>330000</v>
      </c>
      <c r="BE19" s="34" t="n">
        <v>66000</v>
      </c>
      <c r="BF19" s="34" t="n">
        <v>0</v>
      </c>
      <c r="BG19" s="34" t="n">
        <v>264000</v>
      </c>
      <c r="BH19" s="34" t="n">
        <v>165000</v>
      </c>
      <c r="BI19" s="34" t="n">
        <v>33000</v>
      </c>
      <c r="BJ19" s="34" t="n">
        <v>33000</v>
      </c>
      <c r="BK19" s="34" t="n">
        <v>99000</v>
      </c>
      <c r="BL19" s="34" t="n">
        <v>82500</v>
      </c>
      <c r="BM19" s="34" t="n">
        <v>16500</v>
      </c>
      <c r="BN19" s="34" t="n">
        <v>41250</v>
      </c>
      <c r="BO19" s="34" t="n">
        <v>123750</v>
      </c>
    </row>
    <row r="20" customFormat="false" ht="12.8" hidden="false" customHeight="false" outlineLevel="0" collapsed="false">
      <c r="A20" s="1" t="n">
        <v>16</v>
      </c>
      <c r="B20" s="16" t="s">
        <v>1117</v>
      </c>
      <c r="C20" s="16" t="s">
        <v>1110</v>
      </c>
      <c r="D20" s="30" t="n">
        <v>27500</v>
      </c>
      <c r="E20" s="30" t="n">
        <v>935</v>
      </c>
      <c r="F20" s="30" t="n">
        <v>495</v>
      </c>
      <c r="G20" s="30" t="n">
        <v>26070</v>
      </c>
      <c r="H20" s="25" t="n">
        <v>0.952</v>
      </c>
      <c r="I20" s="25" t="n">
        <v>0.93</v>
      </c>
      <c r="J20" s="25" t="n">
        <v>0.89</v>
      </c>
      <c r="K20" s="25" t="n">
        <v>0.955</v>
      </c>
      <c r="L20" s="25" t="n">
        <v>0.589</v>
      </c>
      <c r="M20" s="25" t="n">
        <v>0.646</v>
      </c>
      <c r="N20" s="25" t="n">
        <v>0.741</v>
      </c>
      <c r="O20" s="25" t="n">
        <v>0.57</v>
      </c>
      <c r="P20" s="25" t="n">
        <v>0.048</v>
      </c>
      <c r="Q20" s="25" t="n">
        <v>0.07</v>
      </c>
      <c r="R20" s="25" t="n">
        <v>0.11</v>
      </c>
      <c r="S20" s="25" t="n">
        <v>0.045</v>
      </c>
      <c r="T20" s="25" t="n">
        <v>0.093</v>
      </c>
      <c r="U20" s="25" t="n">
        <v>0.108</v>
      </c>
      <c r="V20" s="25" t="n">
        <v>0.155</v>
      </c>
      <c r="W20" s="25" t="n">
        <v>0.089</v>
      </c>
      <c r="X20" s="31" t="n">
        <v>14.1</v>
      </c>
      <c r="Y20" s="31" t="n">
        <v>9.2</v>
      </c>
      <c r="Z20" s="31" t="n">
        <v>21.8</v>
      </c>
      <c r="AA20" s="32" t="n">
        <v>29328</v>
      </c>
      <c r="AB20" s="32" t="n">
        <v>19088</v>
      </c>
      <c r="AC20" s="32" t="n">
        <v>45376</v>
      </c>
      <c r="AD20" s="33" t="n">
        <v>13.4</v>
      </c>
      <c r="AE20" s="33" t="n">
        <v>8.7</v>
      </c>
      <c r="AF20" s="33" t="n">
        <v>20.8</v>
      </c>
      <c r="AG20" s="32" t="n">
        <v>27872</v>
      </c>
      <c r="AH20" s="32" t="n">
        <v>18136</v>
      </c>
      <c r="AI20" s="32" t="n">
        <v>43264</v>
      </c>
      <c r="AJ20" s="33" t="n">
        <v>11.7</v>
      </c>
      <c r="AK20" s="33" t="n">
        <v>7.6</v>
      </c>
      <c r="AL20" s="33" t="n">
        <v>18.2</v>
      </c>
      <c r="AM20" s="32" t="n">
        <v>24336</v>
      </c>
      <c r="AN20" s="32" t="n">
        <v>15840</v>
      </c>
      <c r="AO20" s="32" t="n">
        <v>37728</v>
      </c>
      <c r="AP20" s="33" t="n">
        <v>14.4</v>
      </c>
      <c r="AQ20" s="33" t="n">
        <v>9.4</v>
      </c>
      <c r="AR20" s="33" t="n">
        <v>22.3</v>
      </c>
      <c r="AS20" s="32" t="n">
        <v>29952</v>
      </c>
      <c r="AT20" s="32" t="n">
        <v>19488</v>
      </c>
      <c r="AU20" s="32" t="n">
        <v>46464</v>
      </c>
      <c r="AV20" s="32" t="n">
        <v>1650000</v>
      </c>
      <c r="AW20" s="32" t="n">
        <v>56100</v>
      </c>
      <c r="AX20" s="32" t="n">
        <v>29700</v>
      </c>
      <c r="AY20" s="32" t="n">
        <v>1566300</v>
      </c>
      <c r="AZ20" s="32" t="n">
        <v>825000</v>
      </c>
      <c r="BA20" s="32" t="n">
        <v>28050</v>
      </c>
      <c r="BB20" s="32" t="n">
        <v>14850</v>
      </c>
      <c r="BC20" s="32" t="n">
        <v>783150</v>
      </c>
      <c r="BD20" s="34" t="n">
        <v>165000</v>
      </c>
      <c r="BE20" s="34" t="n">
        <v>33000</v>
      </c>
      <c r="BF20" s="34" t="n">
        <v>0</v>
      </c>
      <c r="BG20" s="34" t="n">
        <v>132000</v>
      </c>
      <c r="BH20" s="34" t="n">
        <v>82500</v>
      </c>
      <c r="BI20" s="34" t="n">
        <v>16500</v>
      </c>
      <c r="BJ20" s="34" t="n">
        <v>16500</v>
      </c>
      <c r="BK20" s="34" t="n">
        <v>49500</v>
      </c>
      <c r="BL20" s="34" t="n">
        <v>41250</v>
      </c>
      <c r="BM20" s="34" t="n">
        <v>8250</v>
      </c>
      <c r="BN20" s="34" t="n">
        <v>20625</v>
      </c>
      <c r="BO20" s="34" t="n">
        <v>61875</v>
      </c>
    </row>
    <row r="21" customFormat="false" ht="12.8" hidden="false" customHeight="false" outlineLevel="0" collapsed="false">
      <c r="A21" s="1" t="n">
        <v>17</v>
      </c>
      <c r="B21" s="16" t="s">
        <v>1118</v>
      </c>
      <c r="C21" s="16" t="s">
        <v>1109</v>
      </c>
      <c r="D21" s="30" t="n">
        <v>45000</v>
      </c>
      <c r="E21" s="30" t="n">
        <v>1530</v>
      </c>
      <c r="F21" s="30" t="n">
        <v>810</v>
      </c>
      <c r="G21" s="30" t="n">
        <v>42660</v>
      </c>
      <c r="H21" s="25" t="n">
        <v>0.976</v>
      </c>
      <c r="I21" s="25" t="n">
        <v>0.95</v>
      </c>
      <c r="J21" s="25" t="n">
        <v>0.92</v>
      </c>
      <c r="K21" s="25" t="n">
        <v>0.978</v>
      </c>
      <c r="L21" s="25" t="n">
        <v>0.6</v>
      </c>
      <c r="M21" s="25" t="n">
        <v>0.66</v>
      </c>
      <c r="N21" s="25" t="n">
        <v>0.75</v>
      </c>
      <c r="O21" s="25" t="n">
        <v>0.58</v>
      </c>
      <c r="P21" s="25" t="n">
        <v>0.024</v>
      </c>
      <c r="Q21" s="25" t="n">
        <v>0.05</v>
      </c>
      <c r="R21" s="25" t="n">
        <v>0.08</v>
      </c>
      <c r="S21" s="25" t="n">
        <v>0.022</v>
      </c>
      <c r="T21" s="25" t="n">
        <v>0.046</v>
      </c>
      <c r="U21" s="25" t="n">
        <v>0.057</v>
      </c>
      <c r="V21" s="25" t="n">
        <v>0.104</v>
      </c>
      <c r="W21" s="25" t="n">
        <v>0.042</v>
      </c>
      <c r="X21" s="31" t="n">
        <v>29.21</v>
      </c>
      <c r="Y21" s="31" t="n">
        <v>19</v>
      </c>
      <c r="Z21" s="31" t="n">
        <v>45.3</v>
      </c>
      <c r="AA21" s="32" t="n">
        <v>60757</v>
      </c>
      <c r="AB21" s="32" t="n">
        <v>39520</v>
      </c>
      <c r="AC21" s="32" t="n">
        <v>94224</v>
      </c>
      <c r="AD21" s="33" t="n">
        <v>27.7</v>
      </c>
      <c r="AE21" s="33" t="n">
        <v>18</v>
      </c>
      <c r="AF21" s="33" t="n">
        <v>43</v>
      </c>
      <c r="AG21" s="32" t="n">
        <v>57616</v>
      </c>
      <c r="AH21" s="32" t="n">
        <v>37488</v>
      </c>
      <c r="AI21" s="32" t="n">
        <v>89424</v>
      </c>
      <c r="AJ21" s="33" t="n">
        <v>25.3</v>
      </c>
      <c r="AK21" s="33" t="n">
        <v>16.4</v>
      </c>
      <c r="AL21" s="33" t="n">
        <v>39.2</v>
      </c>
      <c r="AM21" s="32" t="n">
        <v>52624</v>
      </c>
      <c r="AN21" s="32" t="n">
        <v>34240</v>
      </c>
      <c r="AO21" s="32" t="n">
        <v>81728</v>
      </c>
      <c r="AP21" s="33" t="n">
        <v>29.8</v>
      </c>
      <c r="AQ21" s="33" t="n">
        <v>19.4</v>
      </c>
      <c r="AR21" s="33" t="n">
        <v>46.2</v>
      </c>
      <c r="AS21" s="32" t="n">
        <v>61984</v>
      </c>
      <c r="AT21" s="32" t="n">
        <v>40320</v>
      </c>
      <c r="AU21" s="32" t="n">
        <v>96288</v>
      </c>
      <c r="AV21" s="32" t="n">
        <v>2700000</v>
      </c>
      <c r="AW21" s="32" t="n">
        <v>91800</v>
      </c>
      <c r="AX21" s="32" t="n">
        <v>48600</v>
      </c>
      <c r="AY21" s="32" t="n">
        <v>2554200</v>
      </c>
      <c r="AZ21" s="32" t="n">
        <v>1350000</v>
      </c>
      <c r="BA21" s="32" t="n">
        <v>45900</v>
      </c>
      <c r="BB21" s="32" t="n">
        <v>24300</v>
      </c>
      <c r="BC21" s="32" t="n">
        <v>1280700</v>
      </c>
      <c r="BD21" s="34" t="n">
        <v>270000</v>
      </c>
      <c r="BE21" s="34" t="n">
        <v>54000</v>
      </c>
      <c r="BF21" s="34" t="n">
        <v>0</v>
      </c>
      <c r="BG21" s="34" t="n">
        <v>216000</v>
      </c>
      <c r="BH21" s="34" t="n">
        <v>135000</v>
      </c>
      <c r="BI21" s="34" t="n">
        <v>27000</v>
      </c>
      <c r="BJ21" s="34" t="n">
        <v>27000</v>
      </c>
      <c r="BK21" s="34" t="n">
        <v>81000</v>
      </c>
      <c r="BL21" s="34" t="n">
        <v>67500</v>
      </c>
      <c r="BM21" s="34" t="n">
        <v>13500</v>
      </c>
      <c r="BN21" s="34" t="n">
        <v>33750</v>
      </c>
      <c r="BO21" s="34" t="n">
        <v>101250</v>
      </c>
    </row>
    <row r="22" customFormat="false" ht="12.8" hidden="false" customHeight="false" outlineLevel="0" collapsed="false">
      <c r="A22" s="1" t="n">
        <v>18</v>
      </c>
      <c r="B22" s="16" t="s">
        <v>1118</v>
      </c>
      <c r="C22" s="16" t="s">
        <v>1110</v>
      </c>
      <c r="D22" s="30" t="n">
        <v>22500</v>
      </c>
      <c r="E22" s="30" t="n">
        <v>765</v>
      </c>
      <c r="F22" s="30" t="n">
        <v>405</v>
      </c>
      <c r="G22" s="30" t="n">
        <v>21330</v>
      </c>
      <c r="H22" s="25" t="n">
        <v>0.976</v>
      </c>
      <c r="I22" s="25" t="n">
        <v>0.95</v>
      </c>
      <c r="J22" s="25" t="n">
        <v>0.92</v>
      </c>
      <c r="K22" s="25" t="n">
        <v>0.978</v>
      </c>
      <c r="L22" s="25" t="n">
        <v>0.57</v>
      </c>
      <c r="M22" s="25" t="n">
        <v>0.627</v>
      </c>
      <c r="N22" s="25" t="n">
        <v>0.712</v>
      </c>
      <c r="O22" s="25" t="n">
        <v>0.55</v>
      </c>
      <c r="P22" s="25" t="n">
        <v>0.024</v>
      </c>
      <c r="Q22" s="25" t="n">
        <v>0.05</v>
      </c>
      <c r="R22" s="25" t="n">
        <v>0.08</v>
      </c>
      <c r="S22" s="25" t="n">
        <v>0.022</v>
      </c>
      <c r="T22" s="25" t="n">
        <v>0.046</v>
      </c>
      <c r="U22" s="25" t="n">
        <v>0.057</v>
      </c>
      <c r="V22" s="25" t="n">
        <v>0.104</v>
      </c>
      <c r="W22" s="25" t="n">
        <v>0.042</v>
      </c>
      <c r="X22" s="31" t="n">
        <v>24.83</v>
      </c>
      <c r="Y22" s="31" t="n">
        <v>16.1</v>
      </c>
      <c r="Z22" s="31" t="n">
        <v>38.5</v>
      </c>
      <c r="AA22" s="32" t="n">
        <v>51646</v>
      </c>
      <c r="AB22" s="32" t="n">
        <v>33608</v>
      </c>
      <c r="AC22" s="32" t="n">
        <v>80112</v>
      </c>
      <c r="AD22" s="33" t="n">
        <v>23.6</v>
      </c>
      <c r="AE22" s="33" t="n">
        <v>15.3</v>
      </c>
      <c r="AF22" s="33" t="n">
        <v>36.6</v>
      </c>
      <c r="AG22" s="32" t="n">
        <v>49088</v>
      </c>
      <c r="AH22" s="32" t="n">
        <v>31952</v>
      </c>
      <c r="AI22" s="32" t="n">
        <v>76336</v>
      </c>
      <c r="AJ22" s="33" t="n">
        <v>21.5</v>
      </c>
      <c r="AK22" s="33" t="n">
        <v>14</v>
      </c>
      <c r="AL22" s="33" t="n">
        <v>33.4</v>
      </c>
      <c r="AM22" s="32" t="n">
        <v>44720</v>
      </c>
      <c r="AN22" s="32" t="n">
        <v>29120</v>
      </c>
      <c r="AO22" s="32" t="n">
        <v>69440</v>
      </c>
      <c r="AP22" s="33" t="n">
        <v>25.3</v>
      </c>
      <c r="AQ22" s="33" t="n">
        <v>16.5</v>
      </c>
      <c r="AR22" s="33" t="n">
        <v>39.3</v>
      </c>
      <c r="AS22" s="32" t="n">
        <v>52624</v>
      </c>
      <c r="AT22" s="32" t="n">
        <v>34240</v>
      </c>
      <c r="AU22" s="32" t="n">
        <v>81792</v>
      </c>
      <c r="AV22" s="32" t="n">
        <v>1350000</v>
      </c>
      <c r="AW22" s="32" t="n">
        <v>45900</v>
      </c>
      <c r="AX22" s="32" t="n">
        <v>24300</v>
      </c>
      <c r="AY22" s="32" t="n">
        <v>1277100</v>
      </c>
      <c r="AZ22" s="32" t="n">
        <v>675000</v>
      </c>
      <c r="BA22" s="32" t="n">
        <v>22950</v>
      </c>
      <c r="BB22" s="32" t="n">
        <v>12150</v>
      </c>
      <c r="BC22" s="32" t="n">
        <v>640350</v>
      </c>
      <c r="BD22" s="34" t="n">
        <v>135000</v>
      </c>
      <c r="BE22" s="34" t="n">
        <v>27000</v>
      </c>
      <c r="BF22" s="34" t="n">
        <v>0</v>
      </c>
      <c r="BG22" s="34" t="n">
        <v>108000</v>
      </c>
      <c r="BH22" s="34" t="n">
        <v>67500</v>
      </c>
      <c r="BI22" s="34" t="n">
        <v>13500</v>
      </c>
      <c r="BJ22" s="34" t="n">
        <v>13500</v>
      </c>
      <c r="BK22" s="34" t="n">
        <v>40500</v>
      </c>
      <c r="BL22" s="34" t="n">
        <v>33750</v>
      </c>
      <c r="BM22" s="34" t="n">
        <v>6750</v>
      </c>
      <c r="BN22" s="34" t="n">
        <v>16875</v>
      </c>
      <c r="BO22" s="34" t="n">
        <v>50625</v>
      </c>
    </row>
    <row r="23" customFormat="false" ht="12.8" hidden="false" customHeight="false" outlineLevel="0" collapsed="false">
      <c r="A23" s="1" t="n">
        <v>19</v>
      </c>
      <c r="B23" s="16" t="s">
        <v>1119</v>
      </c>
      <c r="C23" s="16" t="s">
        <v>1109</v>
      </c>
      <c r="D23" s="30" t="n">
        <v>320000</v>
      </c>
      <c r="E23" s="30" t="n">
        <v>10880</v>
      </c>
      <c r="F23" s="30" t="n">
        <v>5760</v>
      </c>
      <c r="G23" s="30" t="n">
        <v>303360</v>
      </c>
      <c r="H23" s="25" t="n">
        <v>0.98</v>
      </c>
      <c r="I23" s="25" t="n">
        <v>0.96</v>
      </c>
      <c r="J23" s="25" t="n">
        <v>0.93</v>
      </c>
      <c r="K23" s="25" t="n">
        <v>0.982</v>
      </c>
      <c r="L23" s="25" t="n">
        <v>0.605</v>
      </c>
      <c r="M23" s="25" t="n">
        <v>0.665</v>
      </c>
      <c r="N23" s="25" t="n">
        <v>0.74</v>
      </c>
      <c r="O23" s="25" t="n">
        <v>0.59</v>
      </c>
      <c r="P23" s="25" t="n">
        <v>0.02</v>
      </c>
      <c r="Q23" s="25" t="n">
        <v>0.04</v>
      </c>
      <c r="R23" s="25" t="n">
        <v>0.07</v>
      </c>
      <c r="S23" s="25" t="n">
        <v>0.018</v>
      </c>
      <c r="T23" s="25" t="n">
        <v>0.035</v>
      </c>
      <c r="U23" s="25" t="n">
        <v>0.042</v>
      </c>
      <c r="V23" s="25" t="n">
        <v>0.088</v>
      </c>
      <c r="W23" s="25" t="n">
        <v>0.034</v>
      </c>
      <c r="X23" s="31" t="n">
        <v>41.16</v>
      </c>
      <c r="Y23" s="31" t="n">
        <v>26.8</v>
      </c>
      <c r="Z23" s="31" t="n">
        <v>63.8</v>
      </c>
      <c r="AA23" s="32" t="n">
        <v>85613</v>
      </c>
      <c r="AB23" s="32" t="n">
        <v>55680</v>
      </c>
      <c r="AC23" s="32" t="n">
        <v>132704</v>
      </c>
      <c r="AD23" s="33" t="n">
        <v>39.1</v>
      </c>
      <c r="AE23" s="33" t="n">
        <v>25.4</v>
      </c>
      <c r="AF23" s="33" t="n">
        <v>60.6</v>
      </c>
      <c r="AG23" s="32" t="n">
        <v>81328</v>
      </c>
      <c r="AH23" s="32" t="n">
        <v>52912</v>
      </c>
      <c r="AI23" s="32" t="n">
        <v>126208</v>
      </c>
      <c r="AJ23" s="33" t="n">
        <v>35.8</v>
      </c>
      <c r="AK23" s="33" t="n">
        <v>23.3</v>
      </c>
      <c r="AL23" s="33" t="n">
        <v>55.6</v>
      </c>
      <c r="AM23" s="32" t="n">
        <v>74464</v>
      </c>
      <c r="AN23" s="32" t="n">
        <v>48448</v>
      </c>
      <c r="AO23" s="32" t="n">
        <v>115552</v>
      </c>
      <c r="AP23" s="33" t="n">
        <v>42</v>
      </c>
      <c r="AQ23" s="33" t="n">
        <v>27.3</v>
      </c>
      <c r="AR23" s="33" t="n">
        <v>65.1</v>
      </c>
      <c r="AS23" s="32" t="n">
        <v>87360</v>
      </c>
      <c r="AT23" s="32" t="n">
        <v>56832</v>
      </c>
      <c r="AU23" s="32" t="n">
        <v>135456</v>
      </c>
      <c r="AV23" s="32" t="n">
        <v>104000000</v>
      </c>
      <c r="AW23" s="32" t="n">
        <v>3536000</v>
      </c>
      <c r="AX23" s="32" t="n">
        <v>1872000</v>
      </c>
      <c r="AY23" s="32" t="n">
        <v>98566400</v>
      </c>
      <c r="AZ23" s="32" t="n">
        <v>52000000</v>
      </c>
      <c r="BA23" s="32" t="n">
        <v>1768000</v>
      </c>
      <c r="BB23" s="32" t="n">
        <v>936000</v>
      </c>
      <c r="BC23" s="32" t="n">
        <v>49283200</v>
      </c>
      <c r="BD23" s="34" t="n">
        <v>5200000</v>
      </c>
      <c r="BE23" s="34" t="n">
        <v>1040000</v>
      </c>
      <c r="BF23" s="34" t="n">
        <v>0</v>
      </c>
      <c r="BG23" s="34" t="n">
        <v>4160000</v>
      </c>
      <c r="BH23" s="34" t="n">
        <v>2600000</v>
      </c>
      <c r="BI23" s="34" t="n">
        <v>520000</v>
      </c>
      <c r="BJ23" s="34" t="n">
        <v>520000</v>
      </c>
      <c r="BK23" s="34" t="n">
        <v>1560000</v>
      </c>
      <c r="BL23" s="34" t="n">
        <v>1300000</v>
      </c>
      <c r="BM23" s="34" t="n">
        <v>260000</v>
      </c>
      <c r="BN23" s="34" t="n">
        <v>650000</v>
      </c>
      <c r="BO23" s="34" t="n">
        <v>1950000</v>
      </c>
    </row>
    <row r="24" customFormat="false" ht="12.8" hidden="false" customHeight="false" outlineLevel="0" collapsed="false">
      <c r="A24" s="1" t="n">
        <v>20</v>
      </c>
      <c r="B24" s="16" t="s">
        <v>1119</v>
      </c>
      <c r="C24" s="16" t="s">
        <v>1110</v>
      </c>
      <c r="D24" s="30" t="n">
        <v>160000</v>
      </c>
      <c r="E24" s="30" t="n">
        <v>5440</v>
      </c>
      <c r="F24" s="30" t="n">
        <v>2880</v>
      </c>
      <c r="G24" s="30" t="n">
        <v>151680</v>
      </c>
      <c r="H24" s="25" t="n">
        <v>0.98</v>
      </c>
      <c r="I24" s="25" t="n">
        <v>0.96</v>
      </c>
      <c r="J24" s="25" t="n">
        <v>0.93</v>
      </c>
      <c r="K24" s="25" t="n">
        <v>0.982</v>
      </c>
      <c r="L24" s="25" t="n">
        <v>0.575</v>
      </c>
      <c r="M24" s="25" t="n">
        <v>0.632</v>
      </c>
      <c r="N24" s="25" t="n">
        <v>0.703</v>
      </c>
      <c r="O24" s="25" t="n">
        <v>0.56</v>
      </c>
      <c r="P24" s="25" t="n">
        <v>0.02</v>
      </c>
      <c r="Q24" s="25" t="n">
        <v>0.04</v>
      </c>
      <c r="R24" s="25" t="n">
        <v>0.07</v>
      </c>
      <c r="S24" s="25" t="n">
        <v>0.018</v>
      </c>
      <c r="T24" s="25" t="n">
        <v>0.035</v>
      </c>
      <c r="U24" s="25" t="n">
        <v>0.042</v>
      </c>
      <c r="V24" s="25" t="n">
        <v>0.088</v>
      </c>
      <c r="W24" s="25" t="n">
        <v>0.034</v>
      </c>
      <c r="X24" s="31" t="n">
        <v>34.99</v>
      </c>
      <c r="Y24" s="31" t="n">
        <v>22.7</v>
      </c>
      <c r="Z24" s="31" t="n">
        <v>54.2</v>
      </c>
      <c r="AA24" s="32" t="n">
        <v>72779</v>
      </c>
      <c r="AB24" s="32" t="n">
        <v>47360</v>
      </c>
      <c r="AC24" s="32" t="n">
        <v>112768</v>
      </c>
      <c r="AD24" s="33" t="n">
        <v>33.2</v>
      </c>
      <c r="AE24" s="33" t="n">
        <v>21.6</v>
      </c>
      <c r="AF24" s="33" t="n">
        <v>51.5</v>
      </c>
      <c r="AG24" s="32" t="n">
        <v>69056</v>
      </c>
      <c r="AH24" s="32" t="n">
        <v>44912</v>
      </c>
      <c r="AI24" s="32" t="n">
        <v>107168</v>
      </c>
      <c r="AJ24" s="33" t="n">
        <v>30.4</v>
      </c>
      <c r="AK24" s="33" t="n">
        <v>19.8</v>
      </c>
      <c r="AL24" s="33" t="n">
        <v>47.2</v>
      </c>
      <c r="AM24" s="32" t="n">
        <v>63232</v>
      </c>
      <c r="AN24" s="32" t="n">
        <v>41120</v>
      </c>
      <c r="AO24" s="32" t="n">
        <v>98176</v>
      </c>
      <c r="AP24" s="33" t="n">
        <v>35.7</v>
      </c>
      <c r="AQ24" s="33" t="n">
        <v>23.2</v>
      </c>
      <c r="AR24" s="33" t="n">
        <v>55.3</v>
      </c>
      <c r="AS24" s="32" t="n">
        <v>74256</v>
      </c>
      <c r="AT24" s="32" t="n">
        <v>48288</v>
      </c>
      <c r="AU24" s="32" t="n">
        <v>115136</v>
      </c>
      <c r="AV24" s="32" t="n">
        <v>52000000</v>
      </c>
      <c r="AW24" s="32" t="n">
        <v>1768000</v>
      </c>
      <c r="AX24" s="32" t="n">
        <v>936000</v>
      </c>
      <c r="AY24" s="32" t="n">
        <v>49283200</v>
      </c>
      <c r="AZ24" s="32" t="n">
        <v>26000000</v>
      </c>
      <c r="BA24" s="32" t="n">
        <v>884000</v>
      </c>
      <c r="BB24" s="32" t="n">
        <v>468000</v>
      </c>
      <c r="BC24" s="32" t="n">
        <v>24641600</v>
      </c>
      <c r="BD24" s="34" t="n">
        <v>2600000</v>
      </c>
      <c r="BE24" s="34" t="n">
        <v>520000</v>
      </c>
      <c r="BF24" s="34" t="n">
        <v>0</v>
      </c>
      <c r="BG24" s="34" t="n">
        <v>2080000</v>
      </c>
      <c r="BH24" s="34" t="n">
        <v>1300000</v>
      </c>
      <c r="BI24" s="34" t="n">
        <v>260000</v>
      </c>
      <c r="BJ24" s="34" t="n">
        <v>260000</v>
      </c>
      <c r="BK24" s="34" t="n">
        <v>780000</v>
      </c>
      <c r="BL24" s="34" t="n">
        <v>650000</v>
      </c>
      <c r="BM24" s="34" t="n">
        <v>130000</v>
      </c>
      <c r="BN24" s="34" t="n">
        <v>325000</v>
      </c>
      <c r="BO24" s="34" t="n">
        <v>975000</v>
      </c>
    </row>
    <row r="25" customFormat="false" ht="12.8" hidden="false" customHeight="false" outlineLevel="0" collapsed="false">
      <c r="A25" s="1" t="n">
        <v>21</v>
      </c>
      <c r="B25" s="16" t="s">
        <v>1120</v>
      </c>
      <c r="C25" s="16" t="s">
        <v>1109</v>
      </c>
      <c r="D25" s="30" t="n">
        <v>220000</v>
      </c>
      <c r="E25" s="30" t="n">
        <v>7480</v>
      </c>
      <c r="F25" s="30" t="n">
        <v>3960</v>
      </c>
      <c r="G25" s="30" t="n">
        <v>208560</v>
      </c>
      <c r="H25" s="25" t="n">
        <v>0.98</v>
      </c>
      <c r="I25" s="25" t="n">
        <v>0.96</v>
      </c>
      <c r="J25" s="25" t="n">
        <v>0.93</v>
      </c>
      <c r="K25" s="25" t="n">
        <v>0.982</v>
      </c>
      <c r="L25" s="25" t="n">
        <v>0.605</v>
      </c>
      <c r="M25" s="25" t="n">
        <v>0.665</v>
      </c>
      <c r="N25" s="25" t="n">
        <v>0.74</v>
      </c>
      <c r="O25" s="25" t="n">
        <v>0.59</v>
      </c>
      <c r="P25" s="25" t="n">
        <v>0.02</v>
      </c>
      <c r="Q25" s="25" t="n">
        <v>0.04</v>
      </c>
      <c r="R25" s="25" t="n">
        <v>0.07</v>
      </c>
      <c r="S25" s="25" t="n">
        <v>0.018</v>
      </c>
      <c r="T25" s="25" t="n">
        <v>0.026</v>
      </c>
      <c r="U25" s="25" t="n">
        <v>0.031</v>
      </c>
      <c r="V25" s="25" t="n">
        <v>0.065</v>
      </c>
      <c r="W25" s="25" t="n">
        <v>0.024</v>
      </c>
      <c r="X25" s="31" t="n">
        <v>53.09</v>
      </c>
      <c r="Y25" s="31" t="n">
        <v>34.5</v>
      </c>
      <c r="Z25" s="31" t="n">
        <v>82.3</v>
      </c>
      <c r="AA25" s="32" t="n">
        <v>110427</v>
      </c>
      <c r="AB25" s="32" t="n">
        <v>71840</v>
      </c>
      <c r="AC25" s="32" t="n">
        <v>171184</v>
      </c>
      <c r="AD25" s="33" t="n">
        <v>50.4</v>
      </c>
      <c r="AE25" s="33" t="n">
        <v>32.8</v>
      </c>
      <c r="AF25" s="33" t="n">
        <v>78.2</v>
      </c>
      <c r="AG25" s="32" t="n">
        <v>104832</v>
      </c>
      <c r="AH25" s="32" t="n">
        <v>68160</v>
      </c>
      <c r="AI25" s="32" t="n">
        <v>162432</v>
      </c>
      <c r="AJ25" s="33" t="n">
        <v>46.2</v>
      </c>
      <c r="AK25" s="33" t="n">
        <v>30</v>
      </c>
      <c r="AL25" s="33" t="n">
        <v>71.6</v>
      </c>
      <c r="AM25" s="32" t="n">
        <v>96096</v>
      </c>
      <c r="AN25" s="32" t="n">
        <v>62496</v>
      </c>
      <c r="AO25" s="32" t="n">
        <v>148992</v>
      </c>
      <c r="AP25" s="33" t="n">
        <v>54.2</v>
      </c>
      <c r="AQ25" s="33" t="n">
        <v>35.2</v>
      </c>
      <c r="AR25" s="33" t="n">
        <v>84</v>
      </c>
      <c r="AS25" s="32" t="n">
        <v>112736</v>
      </c>
      <c r="AT25" s="32" t="n">
        <v>73312</v>
      </c>
      <c r="AU25" s="32" t="n">
        <v>174848</v>
      </c>
      <c r="AV25" s="32" t="n">
        <v>66000000</v>
      </c>
      <c r="AW25" s="32" t="n">
        <v>2244000</v>
      </c>
      <c r="AX25" s="32" t="n">
        <v>1188000</v>
      </c>
      <c r="AY25" s="32" t="n">
        <v>62598000</v>
      </c>
      <c r="AZ25" s="32" t="n">
        <v>33000000</v>
      </c>
      <c r="BA25" s="32" t="n">
        <v>1122000</v>
      </c>
      <c r="BB25" s="32" t="n">
        <v>594000</v>
      </c>
      <c r="BC25" s="32" t="n">
        <v>31299000</v>
      </c>
      <c r="BD25" s="34" t="n">
        <v>3300000</v>
      </c>
      <c r="BE25" s="34" t="n">
        <v>660000</v>
      </c>
      <c r="BF25" s="34" t="n">
        <v>0</v>
      </c>
      <c r="BG25" s="34" t="n">
        <v>2640000</v>
      </c>
      <c r="BH25" s="34" t="n">
        <v>1650000</v>
      </c>
      <c r="BI25" s="34" t="n">
        <v>330000</v>
      </c>
      <c r="BJ25" s="34" t="n">
        <v>330000</v>
      </c>
      <c r="BK25" s="34" t="n">
        <v>990000</v>
      </c>
      <c r="BL25" s="34" t="n">
        <v>825000</v>
      </c>
      <c r="BM25" s="34" t="n">
        <v>165000</v>
      </c>
      <c r="BN25" s="34" t="n">
        <v>412500</v>
      </c>
      <c r="BO25" s="34" t="n">
        <v>1237500</v>
      </c>
    </row>
    <row r="26" customFormat="false" ht="12.8" hidden="false" customHeight="false" outlineLevel="0" collapsed="false">
      <c r="A26" s="1" t="n">
        <v>22</v>
      </c>
      <c r="B26" s="16" t="s">
        <v>1120</v>
      </c>
      <c r="C26" s="16" t="s">
        <v>1110</v>
      </c>
      <c r="D26" s="30" t="n">
        <v>110000</v>
      </c>
      <c r="E26" s="30" t="n">
        <v>3740</v>
      </c>
      <c r="F26" s="30" t="n">
        <v>1980</v>
      </c>
      <c r="G26" s="30" t="n">
        <v>104280</v>
      </c>
      <c r="H26" s="25" t="n">
        <v>0.98</v>
      </c>
      <c r="I26" s="25" t="n">
        <v>0.96</v>
      </c>
      <c r="J26" s="25" t="n">
        <v>0.93</v>
      </c>
      <c r="K26" s="25" t="n">
        <v>0.982</v>
      </c>
      <c r="L26" s="25" t="n">
        <v>0.575</v>
      </c>
      <c r="M26" s="25" t="n">
        <v>0.632</v>
      </c>
      <c r="N26" s="25" t="n">
        <v>0.703</v>
      </c>
      <c r="O26" s="25" t="n">
        <v>0.56</v>
      </c>
      <c r="P26" s="25" t="n">
        <v>0.02</v>
      </c>
      <c r="Q26" s="25" t="n">
        <v>0.04</v>
      </c>
      <c r="R26" s="25" t="n">
        <v>0.07</v>
      </c>
      <c r="S26" s="25" t="n">
        <v>0.018</v>
      </c>
      <c r="T26" s="25" t="n">
        <v>0.026</v>
      </c>
      <c r="U26" s="25" t="n">
        <v>0.031</v>
      </c>
      <c r="V26" s="25" t="n">
        <v>0.065</v>
      </c>
      <c r="W26" s="25" t="n">
        <v>0.024</v>
      </c>
      <c r="X26" s="31" t="n">
        <v>45.13</v>
      </c>
      <c r="Y26" s="31" t="n">
        <v>29.3</v>
      </c>
      <c r="Z26" s="31" t="n">
        <v>69.9</v>
      </c>
      <c r="AA26" s="32" t="n">
        <v>93870</v>
      </c>
      <c r="AB26" s="32" t="n">
        <v>61040</v>
      </c>
      <c r="AC26" s="32" t="n">
        <v>145392</v>
      </c>
      <c r="AD26" s="33" t="n">
        <v>42.9</v>
      </c>
      <c r="AE26" s="33" t="n">
        <v>27.9</v>
      </c>
      <c r="AF26" s="33" t="n">
        <v>66.5</v>
      </c>
      <c r="AG26" s="32" t="n">
        <v>89232</v>
      </c>
      <c r="AH26" s="32" t="n">
        <v>58008</v>
      </c>
      <c r="AI26" s="32" t="n">
        <v>138432</v>
      </c>
      <c r="AJ26" s="33" t="n">
        <v>39.3</v>
      </c>
      <c r="AK26" s="33" t="n">
        <v>25.5</v>
      </c>
      <c r="AL26" s="33" t="n">
        <v>60.9</v>
      </c>
      <c r="AM26" s="32" t="n">
        <v>81744</v>
      </c>
      <c r="AN26" s="32" t="n">
        <v>53184</v>
      </c>
      <c r="AO26" s="32" t="n">
        <v>126912</v>
      </c>
      <c r="AP26" s="33" t="n">
        <v>46</v>
      </c>
      <c r="AQ26" s="33" t="n">
        <v>29.9</v>
      </c>
      <c r="AR26" s="33" t="n">
        <v>71.4</v>
      </c>
      <c r="AS26" s="32" t="n">
        <v>95680</v>
      </c>
      <c r="AT26" s="32" t="n">
        <v>62240</v>
      </c>
      <c r="AU26" s="32" t="n">
        <v>148480</v>
      </c>
      <c r="AV26" s="32" t="n">
        <v>33000000</v>
      </c>
      <c r="AW26" s="32" t="n">
        <v>1122000</v>
      </c>
      <c r="AX26" s="32" t="n">
        <v>594000</v>
      </c>
      <c r="AY26" s="32" t="n">
        <v>31299000</v>
      </c>
      <c r="AZ26" s="32" t="n">
        <v>16500000</v>
      </c>
      <c r="BA26" s="32" t="n">
        <v>561000</v>
      </c>
      <c r="BB26" s="32" t="n">
        <v>297000</v>
      </c>
      <c r="BC26" s="32" t="n">
        <v>15649500</v>
      </c>
      <c r="BD26" s="34" t="n">
        <v>1650000</v>
      </c>
      <c r="BE26" s="34" t="n">
        <v>330000</v>
      </c>
      <c r="BF26" s="34" t="n">
        <v>0</v>
      </c>
      <c r="BG26" s="34" t="n">
        <v>1320000</v>
      </c>
      <c r="BH26" s="34" t="n">
        <v>825000</v>
      </c>
      <c r="BI26" s="34" t="n">
        <v>165000</v>
      </c>
      <c r="BJ26" s="34" t="n">
        <v>165000</v>
      </c>
      <c r="BK26" s="34" t="n">
        <v>495000</v>
      </c>
      <c r="BL26" s="34" t="n">
        <v>412500</v>
      </c>
      <c r="BM26" s="34" t="n">
        <v>82500</v>
      </c>
      <c r="BN26" s="34" t="n">
        <v>206250</v>
      </c>
      <c r="BO26" s="34" t="n">
        <v>618750</v>
      </c>
    </row>
    <row r="27" customFormat="false" ht="12.8" hidden="false" customHeight="false" outlineLevel="0" collapsed="false">
      <c r="A27" s="1" t="n">
        <v>23</v>
      </c>
      <c r="B27" s="16" t="s">
        <v>1121</v>
      </c>
      <c r="C27" s="16" t="s">
        <v>1109</v>
      </c>
      <c r="D27" s="30" t="n">
        <v>140000</v>
      </c>
      <c r="E27" s="30" t="n">
        <v>4760</v>
      </c>
      <c r="F27" s="30" t="n">
        <v>2520</v>
      </c>
      <c r="G27" s="30" t="n">
        <v>127720</v>
      </c>
      <c r="H27" s="25" t="n">
        <v>0.98</v>
      </c>
      <c r="I27" s="25" t="n">
        <v>0.96</v>
      </c>
      <c r="J27" s="25" t="n">
        <v>0.93</v>
      </c>
      <c r="K27" s="25" t="n">
        <v>0.982</v>
      </c>
      <c r="L27" s="25" t="n">
        <v>0.605</v>
      </c>
      <c r="M27" s="25" t="n">
        <v>0.665</v>
      </c>
      <c r="N27" s="25" t="n">
        <v>0.74</v>
      </c>
      <c r="O27" s="25" t="n">
        <v>0.59</v>
      </c>
      <c r="P27" s="25" t="n">
        <v>0.02</v>
      </c>
      <c r="Q27" s="25" t="n">
        <v>0.04</v>
      </c>
      <c r="R27" s="25" t="n">
        <v>0.07</v>
      </c>
      <c r="S27" s="25" t="n">
        <v>0.018</v>
      </c>
      <c r="T27" s="25" t="n">
        <v>0.036</v>
      </c>
      <c r="U27" s="25" t="n">
        <v>0.043</v>
      </c>
      <c r="V27" s="25" t="n">
        <v>0.09</v>
      </c>
      <c r="W27" s="25" t="n">
        <v>0.035</v>
      </c>
      <c r="X27" s="31" t="n">
        <v>26.24</v>
      </c>
      <c r="Y27" s="31" t="n">
        <v>17.1</v>
      </c>
      <c r="Z27" s="31" t="n">
        <v>40.7</v>
      </c>
      <c r="AA27" s="32" t="n">
        <v>54579</v>
      </c>
      <c r="AB27" s="32" t="n">
        <v>35520</v>
      </c>
      <c r="AC27" s="32" t="n">
        <v>84656</v>
      </c>
      <c r="AD27" s="33" t="n">
        <v>24.9</v>
      </c>
      <c r="AE27" s="33" t="n">
        <v>16.2</v>
      </c>
      <c r="AF27" s="33" t="n">
        <v>38.6</v>
      </c>
      <c r="AG27" s="32" t="n">
        <v>51792</v>
      </c>
      <c r="AH27" s="32" t="n">
        <v>33712</v>
      </c>
      <c r="AI27" s="32" t="n">
        <v>80352</v>
      </c>
      <c r="AJ27" s="33" t="n">
        <v>22.8</v>
      </c>
      <c r="AK27" s="33" t="n">
        <v>14.8</v>
      </c>
      <c r="AL27" s="33" t="n">
        <v>35.3</v>
      </c>
      <c r="AM27" s="32" t="n">
        <v>47424</v>
      </c>
      <c r="AN27" s="32" t="n">
        <v>30864</v>
      </c>
      <c r="AO27" s="32" t="n">
        <v>73632</v>
      </c>
      <c r="AP27" s="33" t="n">
        <v>26.8</v>
      </c>
      <c r="AQ27" s="33" t="n">
        <v>17.4</v>
      </c>
      <c r="AR27" s="33" t="n">
        <v>41.5</v>
      </c>
      <c r="AS27" s="32" t="n">
        <v>55744</v>
      </c>
      <c r="AT27" s="32" t="n">
        <v>36272</v>
      </c>
      <c r="AU27" s="32" t="n">
        <v>86496</v>
      </c>
      <c r="AV27" s="32" t="n">
        <v>42000000</v>
      </c>
      <c r="AW27" s="32" t="n">
        <v>1428000</v>
      </c>
      <c r="AX27" s="32" t="n">
        <v>756000</v>
      </c>
      <c r="AY27" s="32" t="n">
        <v>39823200</v>
      </c>
      <c r="AZ27" s="32" t="n">
        <v>21000000</v>
      </c>
      <c r="BA27" s="32" t="n">
        <v>714000</v>
      </c>
      <c r="BB27" s="32" t="n">
        <v>378000</v>
      </c>
      <c r="BC27" s="32" t="n">
        <v>19911600</v>
      </c>
      <c r="BD27" s="34" t="n">
        <v>2100000</v>
      </c>
      <c r="BE27" s="34" t="n">
        <v>420000</v>
      </c>
      <c r="BF27" s="34" t="n">
        <v>0</v>
      </c>
      <c r="BG27" s="34" t="n">
        <v>1680000</v>
      </c>
      <c r="BH27" s="34" t="n">
        <v>1050000</v>
      </c>
      <c r="BI27" s="34" t="n">
        <v>210000</v>
      </c>
      <c r="BJ27" s="34" t="n">
        <v>210000</v>
      </c>
      <c r="BK27" s="34" t="n">
        <v>630000</v>
      </c>
      <c r="BL27" s="34" t="n">
        <v>525000</v>
      </c>
      <c r="BM27" s="34" t="n">
        <v>105000</v>
      </c>
      <c r="BN27" s="34" t="n">
        <v>262500</v>
      </c>
      <c r="BO27" s="34" t="n">
        <v>787500</v>
      </c>
    </row>
    <row r="28" customFormat="false" ht="12.8" hidden="false" customHeight="false" outlineLevel="0" collapsed="false">
      <c r="A28" s="1" t="n">
        <v>24</v>
      </c>
      <c r="B28" s="16" t="s">
        <v>1121</v>
      </c>
      <c r="C28" s="16" t="s">
        <v>1110</v>
      </c>
      <c r="D28" s="30" t="n">
        <v>70000</v>
      </c>
      <c r="E28" s="30" t="n">
        <v>2380</v>
      </c>
      <c r="F28" s="30" t="n">
        <v>1260</v>
      </c>
      <c r="G28" s="30" t="n">
        <v>63860</v>
      </c>
      <c r="H28" s="25" t="n">
        <v>0.98</v>
      </c>
      <c r="I28" s="25" t="n">
        <v>0.96</v>
      </c>
      <c r="J28" s="25" t="n">
        <v>0.93</v>
      </c>
      <c r="K28" s="25" t="n">
        <v>0.982</v>
      </c>
      <c r="L28" s="25" t="n">
        <v>0.575</v>
      </c>
      <c r="M28" s="25" t="n">
        <v>0.632</v>
      </c>
      <c r="N28" s="25" t="n">
        <v>0.703</v>
      </c>
      <c r="O28" s="25" t="n">
        <v>0.56</v>
      </c>
      <c r="P28" s="25" t="n">
        <v>0.02</v>
      </c>
      <c r="Q28" s="25" t="n">
        <v>0.04</v>
      </c>
      <c r="R28" s="25" t="n">
        <v>0.07</v>
      </c>
      <c r="S28" s="25" t="n">
        <v>0.018</v>
      </c>
      <c r="T28" s="25" t="n">
        <v>0.036</v>
      </c>
      <c r="U28" s="25" t="n">
        <v>0.043</v>
      </c>
      <c r="V28" s="25" t="n">
        <v>0.09</v>
      </c>
      <c r="W28" s="25" t="n">
        <v>0.035</v>
      </c>
      <c r="X28" s="31" t="n">
        <v>22.3</v>
      </c>
      <c r="Y28" s="31" t="n">
        <v>14.5</v>
      </c>
      <c r="Z28" s="31" t="n">
        <v>34.6</v>
      </c>
      <c r="AA28" s="32" t="n">
        <v>46384</v>
      </c>
      <c r="AB28" s="32" t="n">
        <v>30184</v>
      </c>
      <c r="AC28" s="32" t="n">
        <v>71968</v>
      </c>
      <c r="AD28" s="33" t="n">
        <v>21.2</v>
      </c>
      <c r="AE28" s="33" t="n">
        <v>13.8</v>
      </c>
      <c r="AF28" s="33" t="n">
        <v>32.9</v>
      </c>
      <c r="AG28" s="32" t="n">
        <v>44096</v>
      </c>
      <c r="AH28" s="32" t="n">
        <v>28688</v>
      </c>
      <c r="AI28" s="32" t="n">
        <v>68352</v>
      </c>
      <c r="AJ28" s="33" t="n">
        <v>19.4</v>
      </c>
      <c r="AK28" s="33" t="n">
        <v>12.6</v>
      </c>
      <c r="AL28" s="33" t="n">
        <v>30.1</v>
      </c>
      <c r="AM28" s="32" t="n">
        <v>40352</v>
      </c>
      <c r="AN28" s="32" t="n">
        <v>26248</v>
      </c>
      <c r="AO28" s="32" t="n">
        <v>62624</v>
      </c>
      <c r="AP28" s="33" t="n">
        <v>22.8</v>
      </c>
      <c r="AQ28" s="33" t="n">
        <v>14.8</v>
      </c>
      <c r="AR28" s="33" t="n">
        <v>35.3</v>
      </c>
      <c r="AS28" s="32" t="n">
        <v>47424</v>
      </c>
      <c r="AT28" s="32" t="n">
        <v>30864</v>
      </c>
      <c r="AU28" s="32" t="n">
        <v>73632</v>
      </c>
      <c r="AV28" s="32" t="n">
        <v>21000000</v>
      </c>
      <c r="AW28" s="32" t="n">
        <v>714000</v>
      </c>
      <c r="AX28" s="32" t="n">
        <v>378000</v>
      </c>
      <c r="AY28" s="32" t="n">
        <v>19911600</v>
      </c>
      <c r="AZ28" s="32" t="n">
        <v>10500000</v>
      </c>
      <c r="BA28" s="32" t="n">
        <v>357000</v>
      </c>
      <c r="BB28" s="32" t="n">
        <v>189000</v>
      </c>
      <c r="BC28" s="32" t="n">
        <v>9955800</v>
      </c>
      <c r="BD28" s="34" t="n">
        <v>1050000</v>
      </c>
      <c r="BE28" s="34" t="n">
        <v>210000</v>
      </c>
      <c r="BF28" s="34" t="n">
        <v>0</v>
      </c>
      <c r="BG28" s="34" t="n">
        <v>840000</v>
      </c>
      <c r="BH28" s="34" t="n">
        <v>525000</v>
      </c>
      <c r="BI28" s="34" t="n">
        <v>105000</v>
      </c>
      <c r="BJ28" s="34" t="n">
        <v>105000</v>
      </c>
      <c r="BK28" s="34" t="n">
        <v>315000</v>
      </c>
      <c r="BL28" s="34" t="n">
        <v>262500</v>
      </c>
      <c r="BM28" s="34" t="n">
        <v>52500</v>
      </c>
      <c r="BN28" s="34" t="n">
        <v>131250</v>
      </c>
      <c r="BO28" s="34" t="n">
        <v>393750</v>
      </c>
    </row>
    <row r="29" customFormat="false" ht="12.8" hidden="false" customHeight="false" outlineLevel="0" collapsed="false">
      <c r="A29" s="1" t="n">
        <v>25</v>
      </c>
      <c r="B29" s="16" t="s">
        <v>1122</v>
      </c>
      <c r="C29" s="16" t="s">
        <v>1109</v>
      </c>
      <c r="D29" s="30" t="n">
        <v>100000</v>
      </c>
      <c r="E29" s="30" t="n">
        <v>3400</v>
      </c>
      <c r="F29" s="30" t="n">
        <v>1800</v>
      </c>
      <c r="G29" s="30" t="n">
        <v>94800</v>
      </c>
      <c r="H29" s="25" t="n">
        <v>0.98</v>
      </c>
      <c r="I29" s="25" t="n">
        <v>0.96</v>
      </c>
      <c r="J29" s="25" t="n">
        <v>0.93</v>
      </c>
      <c r="K29" s="25" t="n">
        <v>0.982</v>
      </c>
      <c r="L29" s="25" t="n">
        <v>0.605</v>
      </c>
      <c r="M29" s="25" t="n">
        <v>0.665</v>
      </c>
      <c r="N29" s="25" t="n">
        <v>0.74</v>
      </c>
      <c r="O29" s="25" t="n">
        <v>0.59</v>
      </c>
      <c r="P29" s="25" t="n">
        <v>0.02</v>
      </c>
      <c r="Q29" s="25" t="n">
        <v>0.04</v>
      </c>
      <c r="R29" s="25" t="n">
        <v>0.07</v>
      </c>
      <c r="S29" s="25" t="n">
        <v>0.018</v>
      </c>
      <c r="T29" s="25" t="n">
        <v>0.028</v>
      </c>
      <c r="U29" s="25" t="n">
        <v>0.034</v>
      </c>
      <c r="V29" s="25" t="n">
        <v>0.071</v>
      </c>
      <c r="W29" s="25" t="n">
        <v>0.027</v>
      </c>
      <c r="X29" s="31" t="n">
        <v>41</v>
      </c>
      <c r="Y29" s="31" t="n">
        <v>26.7</v>
      </c>
      <c r="Z29" s="31" t="n">
        <v>63.6</v>
      </c>
      <c r="AA29" s="32" t="n">
        <v>85280</v>
      </c>
      <c r="AB29" s="32" t="n">
        <v>55480</v>
      </c>
      <c r="AC29" s="32" t="n">
        <v>132224</v>
      </c>
      <c r="AD29" s="33" t="n">
        <v>39</v>
      </c>
      <c r="AE29" s="33" t="n">
        <v>25.3</v>
      </c>
      <c r="AF29" s="33" t="n">
        <v>60.4</v>
      </c>
      <c r="AG29" s="32" t="n">
        <v>81120</v>
      </c>
      <c r="AH29" s="32" t="n">
        <v>52760</v>
      </c>
      <c r="AI29" s="32" t="n">
        <v>125824</v>
      </c>
      <c r="AJ29" s="33" t="n">
        <v>35.7</v>
      </c>
      <c r="AK29" s="33" t="n">
        <v>23.2</v>
      </c>
      <c r="AL29" s="33" t="n">
        <v>55.4</v>
      </c>
      <c r="AM29" s="32" t="n">
        <v>74256</v>
      </c>
      <c r="AN29" s="32" t="n">
        <v>48288</v>
      </c>
      <c r="AO29" s="32" t="n">
        <v>115136</v>
      </c>
      <c r="AP29" s="33" t="n">
        <v>41.8</v>
      </c>
      <c r="AQ29" s="33" t="n">
        <v>27.2</v>
      </c>
      <c r="AR29" s="33" t="n">
        <v>64.8</v>
      </c>
      <c r="AS29" s="32" t="n">
        <v>86944</v>
      </c>
      <c r="AT29" s="32" t="n">
        <v>56568</v>
      </c>
      <c r="AU29" s="32" t="n">
        <v>134912</v>
      </c>
      <c r="AV29" s="32" t="n">
        <v>30000000</v>
      </c>
      <c r="AW29" s="32" t="n">
        <v>1020000</v>
      </c>
      <c r="AX29" s="32" t="n">
        <v>540000</v>
      </c>
      <c r="AY29" s="32" t="n">
        <v>28458000</v>
      </c>
      <c r="AZ29" s="32" t="n">
        <v>15000000</v>
      </c>
      <c r="BA29" s="32" t="n">
        <v>510000</v>
      </c>
      <c r="BB29" s="32" t="n">
        <v>270000</v>
      </c>
      <c r="BC29" s="32" t="n">
        <v>14229000</v>
      </c>
      <c r="BD29" s="34" t="n">
        <v>1500000</v>
      </c>
      <c r="BE29" s="34" t="n">
        <v>300000</v>
      </c>
      <c r="BF29" s="34" t="n">
        <v>0</v>
      </c>
      <c r="BG29" s="34" t="n">
        <v>1200000</v>
      </c>
      <c r="BH29" s="34" t="n">
        <v>750000</v>
      </c>
      <c r="BI29" s="34" t="n">
        <v>150000</v>
      </c>
      <c r="BJ29" s="34" t="n">
        <v>150000</v>
      </c>
      <c r="BK29" s="34" t="n">
        <v>450000</v>
      </c>
      <c r="BL29" s="34" t="n">
        <v>375000</v>
      </c>
      <c r="BM29" s="34" t="n">
        <v>75000</v>
      </c>
      <c r="BN29" s="34" t="n">
        <v>187500</v>
      </c>
      <c r="BO29" s="34" t="n">
        <v>562500</v>
      </c>
    </row>
    <row r="30" customFormat="false" ht="12.8" hidden="false" customHeight="false" outlineLevel="0" collapsed="false">
      <c r="A30" s="1" t="n">
        <v>26</v>
      </c>
      <c r="B30" s="16" t="s">
        <v>1122</v>
      </c>
      <c r="C30" s="16" t="s">
        <v>1110</v>
      </c>
      <c r="D30" s="30" t="n">
        <v>50000</v>
      </c>
      <c r="E30" s="30" t="n">
        <v>1700</v>
      </c>
      <c r="F30" s="30" t="n">
        <v>900</v>
      </c>
      <c r="G30" s="30" t="n">
        <v>47400</v>
      </c>
      <c r="H30" s="25" t="n">
        <v>0.98</v>
      </c>
      <c r="I30" s="25" t="n">
        <v>0.96</v>
      </c>
      <c r="J30" s="25" t="n">
        <v>0.93</v>
      </c>
      <c r="K30" s="25" t="n">
        <v>0.982</v>
      </c>
      <c r="L30" s="25" t="n">
        <v>0.575</v>
      </c>
      <c r="M30" s="25" t="n">
        <v>0.632</v>
      </c>
      <c r="N30" s="25" t="n">
        <v>0.703</v>
      </c>
      <c r="O30" s="25" t="n">
        <v>0.56</v>
      </c>
      <c r="P30" s="25" t="n">
        <v>0.02</v>
      </c>
      <c r="Q30" s="25" t="n">
        <v>0.04</v>
      </c>
      <c r="R30" s="25" t="n">
        <v>0.07</v>
      </c>
      <c r="S30" s="25" t="n">
        <v>0.018</v>
      </c>
      <c r="T30" s="25" t="n">
        <v>0.028</v>
      </c>
      <c r="U30" s="25" t="n">
        <v>0.034</v>
      </c>
      <c r="V30" s="25" t="n">
        <v>0.071</v>
      </c>
      <c r="W30" s="25" t="n">
        <v>0.027</v>
      </c>
      <c r="X30" s="31" t="n">
        <v>34.85</v>
      </c>
      <c r="Y30" s="31" t="n">
        <v>22.7</v>
      </c>
      <c r="Z30" s="31" t="n">
        <v>54</v>
      </c>
      <c r="AA30" s="32" t="n">
        <v>72488</v>
      </c>
      <c r="AB30" s="32" t="n">
        <v>47152</v>
      </c>
      <c r="AC30" s="32" t="n">
        <v>112352</v>
      </c>
      <c r="AD30" s="33" t="n">
        <v>33.1</v>
      </c>
      <c r="AE30" s="33" t="n">
        <v>21.5</v>
      </c>
      <c r="AF30" s="33" t="n">
        <v>51.3</v>
      </c>
      <c r="AG30" s="32" t="n">
        <v>68848</v>
      </c>
      <c r="AH30" s="32" t="n">
        <v>44792</v>
      </c>
      <c r="AI30" s="32" t="n">
        <v>106848</v>
      </c>
      <c r="AJ30" s="33" t="n">
        <v>30.3</v>
      </c>
      <c r="AK30" s="33" t="n">
        <v>19.7</v>
      </c>
      <c r="AL30" s="33" t="n">
        <v>47</v>
      </c>
      <c r="AM30" s="32" t="n">
        <v>63024</v>
      </c>
      <c r="AN30" s="32" t="n">
        <v>40992</v>
      </c>
      <c r="AO30" s="32" t="n">
        <v>97728</v>
      </c>
      <c r="AP30" s="33" t="n">
        <v>35.5</v>
      </c>
      <c r="AQ30" s="33" t="n">
        <v>23.1</v>
      </c>
      <c r="AR30" s="33" t="n">
        <v>55.1</v>
      </c>
      <c r="AS30" s="32" t="n">
        <v>73840</v>
      </c>
      <c r="AT30" s="32" t="n">
        <v>48016</v>
      </c>
      <c r="AU30" s="32" t="n">
        <v>114688</v>
      </c>
      <c r="AV30" s="32" t="n">
        <v>15000000</v>
      </c>
      <c r="AW30" s="32" t="n">
        <v>510000</v>
      </c>
      <c r="AX30" s="32" t="n">
        <v>270000</v>
      </c>
      <c r="AY30" s="32" t="n">
        <v>14229000</v>
      </c>
      <c r="AZ30" s="32" t="n">
        <v>7500000</v>
      </c>
      <c r="BA30" s="32" t="n">
        <v>255000</v>
      </c>
      <c r="BB30" s="32" t="n">
        <v>135000</v>
      </c>
      <c r="BC30" s="32" t="n">
        <v>7114500</v>
      </c>
      <c r="BD30" s="34" t="n">
        <v>750000</v>
      </c>
      <c r="BE30" s="34" t="n">
        <v>150000</v>
      </c>
      <c r="BF30" s="34" t="n">
        <v>0</v>
      </c>
      <c r="BG30" s="34" t="n">
        <v>600000</v>
      </c>
      <c r="BH30" s="34" t="n">
        <v>375000</v>
      </c>
      <c r="BI30" s="34" t="n">
        <v>75000</v>
      </c>
      <c r="BJ30" s="34" t="n">
        <v>75000</v>
      </c>
      <c r="BK30" s="34" t="n">
        <v>225000</v>
      </c>
      <c r="BL30" s="34" t="n">
        <v>187500</v>
      </c>
      <c r="BM30" s="34" t="n">
        <v>37500</v>
      </c>
      <c r="BN30" s="34" t="n">
        <v>93750</v>
      </c>
      <c r="BO30" s="34" t="n">
        <v>281250</v>
      </c>
    </row>
    <row r="31" customFormat="false" ht="12.8" hidden="false" customHeight="false" outlineLevel="0" collapsed="false">
      <c r="A31" s="1" t="n">
        <v>27</v>
      </c>
      <c r="B31" s="16" t="s">
        <v>1123</v>
      </c>
      <c r="C31" s="16" t="s">
        <v>1109</v>
      </c>
      <c r="D31" s="30" t="n">
        <v>30000</v>
      </c>
      <c r="E31" s="30" t="n">
        <v>1020</v>
      </c>
      <c r="F31" s="30" t="n">
        <v>540</v>
      </c>
      <c r="G31" s="30" t="n">
        <v>28440</v>
      </c>
      <c r="H31" s="25" t="n">
        <v>0.98</v>
      </c>
      <c r="I31" s="25" t="n">
        <v>0.96</v>
      </c>
      <c r="J31" s="25" t="n">
        <v>0.93</v>
      </c>
      <c r="K31" s="25" t="n">
        <v>0.982</v>
      </c>
      <c r="L31" s="25" t="n">
        <v>0.605</v>
      </c>
      <c r="M31" s="25" t="n">
        <v>0.665</v>
      </c>
      <c r="N31" s="25" t="n">
        <v>0.74</v>
      </c>
      <c r="O31" s="25" t="n">
        <v>0.59</v>
      </c>
      <c r="P31" s="25" t="n">
        <v>0.02</v>
      </c>
      <c r="Q31" s="25" t="n">
        <v>0.04</v>
      </c>
      <c r="R31" s="25" t="n">
        <v>0.07</v>
      </c>
      <c r="S31" s="25" t="n">
        <v>0.018</v>
      </c>
      <c r="T31" s="25" t="n">
        <v>0.03</v>
      </c>
      <c r="U31" s="25" t="n">
        <v>0.036</v>
      </c>
      <c r="V31" s="25" t="n">
        <v>0.076</v>
      </c>
      <c r="W31" s="25" t="n">
        <v>0.029</v>
      </c>
      <c r="X31" s="31" t="n">
        <v>28.71</v>
      </c>
      <c r="Y31" s="31" t="n">
        <v>18.7</v>
      </c>
      <c r="Z31" s="31" t="n">
        <v>44.5</v>
      </c>
      <c r="AA31" s="32" t="n">
        <v>59717</v>
      </c>
      <c r="AB31" s="32" t="n">
        <v>38896</v>
      </c>
      <c r="AC31" s="32" t="n">
        <v>92656</v>
      </c>
      <c r="AD31" s="33" t="n">
        <v>27.3</v>
      </c>
      <c r="AE31" s="33" t="n">
        <v>17.7</v>
      </c>
      <c r="AF31" s="33" t="n">
        <v>42.3</v>
      </c>
      <c r="AG31" s="32" t="n">
        <v>56864</v>
      </c>
      <c r="AH31" s="32" t="n">
        <v>36992</v>
      </c>
      <c r="AI31" s="32" t="n">
        <v>88192</v>
      </c>
      <c r="AJ31" s="33" t="n">
        <v>25</v>
      </c>
      <c r="AK31" s="33" t="n">
        <v>16.3</v>
      </c>
      <c r="AL31" s="33" t="n">
        <v>38.8</v>
      </c>
      <c r="AM31" s="32" t="n">
        <v>52000</v>
      </c>
      <c r="AN31" s="32" t="n">
        <v>33840</v>
      </c>
      <c r="AO31" s="32" t="n">
        <v>80672</v>
      </c>
      <c r="AP31" s="33" t="n">
        <v>29.3</v>
      </c>
      <c r="AQ31" s="33" t="n">
        <v>19</v>
      </c>
      <c r="AR31" s="33" t="n">
        <v>45.4</v>
      </c>
      <c r="AS31" s="32" t="n">
        <v>60944</v>
      </c>
      <c r="AT31" s="32" t="n">
        <v>39664</v>
      </c>
      <c r="AU31" s="32" t="n">
        <v>94528</v>
      </c>
      <c r="AV31" s="32" t="n">
        <v>9000000</v>
      </c>
      <c r="AW31" s="32" t="n">
        <v>306000</v>
      </c>
      <c r="AX31" s="32" t="n">
        <v>162000</v>
      </c>
      <c r="AY31" s="32" t="n">
        <v>8532000</v>
      </c>
      <c r="AZ31" s="32" t="n">
        <v>4500000</v>
      </c>
      <c r="BA31" s="32" t="n">
        <v>153000</v>
      </c>
      <c r="BB31" s="32" t="n">
        <v>81000</v>
      </c>
      <c r="BC31" s="32" t="n">
        <v>4266000</v>
      </c>
      <c r="BD31" s="34" t="n">
        <v>450000</v>
      </c>
      <c r="BE31" s="34" t="n">
        <v>90000</v>
      </c>
      <c r="BF31" s="34" t="n">
        <v>0</v>
      </c>
      <c r="BG31" s="34" t="n">
        <v>360000</v>
      </c>
      <c r="BH31" s="34" t="n">
        <v>225000</v>
      </c>
      <c r="BI31" s="34" t="n">
        <v>45000</v>
      </c>
      <c r="BJ31" s="34" t="n">
        <v>45000</v>
      </c>
      <c r="BK31" s="34" t="n">
        <v>135000</v>
      </c>
      <c r="BL31" s="34" t="n">
        <v>112500</v>
      </c>
      <c r="BM31" s="34" t="n">
        <v>22500</v>
      </c>
      <c r="BN31" s="34" t="n">
        <v>56250</v>
      </c>
      <c r="BO31" s="34" t="n">
        <v>168750</v>
      </c>
    </row>
    <row r="32" customFormat="false" ht="12.8" hidden="false" customHeight="false" outlineLevel="0" collapsed="false">
      <c r="A32" s="1" t="n">
        <v>28</v>
      </c>
      <c r="B32" s="16" t="s">
        <v>1123</v>
      </c>
      <c r="C32" s="16" t="s">
        <v>1110</v>
      </c>
      <c r="D32" s="30" t="n">
        <v>15000</v>
      </c>
      <c r="E32" s="30" t="n">
        <v>510</v>
      </c>
      <c r="F32" s="30" t="n">
        <v>270</v>
      </c>
      <c r="G32" s="30" t="n">
        <v>14220</v>
      </c>
      <c r="H32" s="25" t="n">
        <v>0.98</v>
      </c>
      <c r="I32" s="25" t="n">
        <v>0.96</v>
      </c>
      <c r="J32" s="25" t="n">
        <v>0.93</v>
      </c>
      <c r="K32" s="25" t="n">
        <v>0.982</v>
      </c>
      <c r="L32" s="25" t="n">
        <v>0.575</v>
      </c>
      <c r="M32" s="25" t="n">
        <v>0.632</v>
      </c>
      <c r="N32" s="25" t="n">
        <v>0.703</v>
      </c>
      <c r="O32" s="25" t="n">
        <v>0.56</v>
      </c>
      <c r="P32" s="25" t="n">
        <v>0.02</v>
      </c>
      <c r="Q32" s="25" t="n">
        <v>0.04</v>
      </c>
      <c r="R32" s="25" t="n">
        <v>0.07</v>
      </c>
      <c r="S32" s="25" t="n">
        <v>0.018</v>
      </c>
      <c r="T32" s="25" t="n">
        <v>0.03</v>
      </c>
      <c r="U32" s="25" t="n">
        <v>0.036</v>
      </c>
      <c r="V32" s="25" t="n">
        <v>0.076</v>
      </c>
      <c r="W32" s="25" t="n">
        <v>0.029</v>
      </c>
      <c r="X32" s="31" t="n">
        <v>24.4</v>
      </c>
      <c r="Y32" s="31" t="n">
        <v>15.9</v>
      </c>
      <c r="Z32" s="31" t="n">
        <v>37.8</v>
      </c>
      <c r="AA32" s="32" t="n">
        <v>50752</v>
      </c>
      <c r="AB32" s="32" t="n">
        <v>33040</v>
      </c>
      <c r="AC32" s="32" t="n">
        <v>78720</v>
      </c>
      <c r="AD32" s="33" t="n">
        <v>23.2</v>
      </c>
      <c r="AE32" s="33" t="n">
        <v>15.1</v>
      </c>
      <c r="AF32" s="33" t="n">
        <v>36</v>
      </c>
      <c r="AG32" s="32" t="n">
        <v>48256</v>
      </c>
      <c r="AH32" s="32" t="n">
        <v>31408</v>
      </c>
      <c r="AI32" s="32" t="n">
        <v>74816</v>
      </c>
      <c r="AJ32" s="33" t="n">
        <v>21.2</v>
      </c>
      <c r="AK32" s="33" t="n">
        <v>13.8</v>
      </c>
      <c r="AL32" s="33" t="n">
        <v>32.9</v>
      </c>
      <c r="AM32" s="32" t="n">
        <v>44100</v>
      </c>
      <c r="AN32" s="32" t="n">
        <v>28704</v>
      </c>
      <c r="AO32" s="32" t="n">
        <v>68352</v>
      </c>
      <c r="AP32" s="33" t="n">
        <v>24.9</v>
      </c>
      <c r="AQ32" s="33" t="n">
        <v>16.2</v>
      </c>
      <c r="AR32" s="33" t="n">
        <v>38.6</v>
      </c>
      <c r="AS32" s="32" t="n">
        <v>51792</v>
      </c>
      <c r="AT32" s="32" t="n">
        <v>33712</v>
      </c>
      <c r="AU32" s="32" t="n">
        <v>80384</v>
      </c>
      <c r="AV32" s="32" t="n">
        <v>4500000</v>
      </c>
      <c r="AW32" s="32" t="n">
        <v>153000</v>
      </c>
      <c r="AX32" s="32" t="n">
        <v>81000</v>
      </c>
      <c r="AY32" s="32" t="n">
        <v>4266000</v>
      </c>
      <c r="AZ32" s="32" t="n">
        <v>2250000</v>
      </c>
      <c r="BA32" s="32" t="n">
        <v>76500</v>
      </c>
      <c r="BB32" s="32" t="n">
        <v>40500</v>
      </c>
      <c r="BC32" s="32" t="n">
        <v>2133000</v>
      </c>
      <c r="BD32" s="34" t="n">
        <v>225000</v>
      </c>
      <c r="BE32" s="34" t="n">
        <v>45000</v>
      </c>
      <c r="BF32" s="34" t="n">
        <v>0</v>
      </c>
      <c r="BG32" s="34" t="n">
        <v>180000</v>
      </c>
      <c r="BH32" s="34" t="n">
        <v>112500</v>
      </c>
      <c r="BI32" s="34" t="n">
        <v>22500</v>
      </c>
      <c r="BJ32" s="34" t="n">
        <v>22500</v>
      </c>
      <c r="BK32" s="34" t="n">
        <v>67500</v>
      </c>
      <c r="BL32" s="34" t="n">
        <v>56250</v>
      </c>
      <c r="BM32" s="34" t="n">
        <v>11250</v>
      </c>
      <c r="BN32" s="34" t="n">
        <v>28125</v>
      </c>
      <c r="BO32" s="34" t="n">
        <v>84375</v>
      </c>
    </row>
    <row r="33" customFormat="false" ht="12.8" hidden="false" customHeight="false" outlineLevel="0" collapsed="false">
      <c r="A33" s="1" t="n">
        <v>29</v>
      </c>
      <c r="B33" s="16" t="s">
        <v>1124</v>
      </c>
      <c r="C33" s="16" t="s">
        <v>1109</v>
      </c>
      <c r="D33" s="30" t="n">
        <v>400000</v>
      </c>
      <c r="E33" s="30" t="n">
        <v>13600</v>
      </c>
      <c r="F33" s="30" t="n">
        <v>7200</v>
      </c>
      <c r="G33" s="30" t="n">
        <v>379200</v>
      </c>
      <c r="H33" s="25" t="n">
        <v>0.98</v>
      </c>
      <c r="I33" s="25" t="n">
        <v>0.96</v>
      </c>
      <c r="J33" s="25" t="n">
        <v>0.93</v>
      </c>
      <c r="K33" s="25" t="n">
        <v>0.982</v>
      </c>
      <c r="L33" s="25" t="n">
        <v>0.605</v>
      </c>
      <c r="M33" s="25" t="n">
        <v>0.665</v>
      </c>
      <c r="N33" s="25" t="n">
        <v>0.74</v>
      </c>
      <c r="O33" s="25" t="n">
        <v>0.59</v>
      </c>
      <c r="P33" s="25" t="n">
        <v>0.02</v>
      </c>
      <c r="Q33" s="25" t="n">
        <v>0.04</v>
      </c>
      <c r="R33" s="25" t="n">
        <v>0.07</v>
      </c>
      <c r="S33" s="25" t="n">
        <v>0.018</v>
      </c>
      <c r="T33" s="25" t="n">
        <v>0.03</v>
      </c>
      <c r="U33" s="25" t="n">
        <v>0.036</v>
      </c>
      <c r="V33" s="25" t="n">
        <v>0.076</v>
      </c>
      <c r="W33" s="25" t="n">
        <v>0.029</v>
      </c>
      <c r="X33" s="31" t="n">
        <v>24.54</v>
      </c>
      <c r="Y33" s="31" t="n">
        <v>16</v>
      </c>
      <c r="Z33" s="31" t="n">
        <v>38</v>
      </c>
      <c r="AA33" s="32" t="n">
        <v>51043</v>
      </c>
      <c r="AB33" s="32" t="n">
        <v>33200</v>
      </c>
      <c r="AC33" s="32" t="n">
        <v>79040</v>
      </c>
      <c r="AD33" s="33" t="n">
        <v>23.3</v>
      </c>
      <c r="AE33" s="33" t="n">
        <v>15.1</v>
      </c>
      <c r="AF33" s="33" t="n">
        <v>36.1</v>
      </c>
      <c r="AG33" s="32" t="n">
        <v>48464</v>
      </c>
      <c r="AH33" s="32" t="n">
        <v>31520</v>
      </c>
      <c r="AI33" s="32" t="n">
        <v>75200</v>
      </c>
      <c r="AJ33" s="33" t="n">
        <v>21.3</v>
      </c>
      <c r="AK33" s="33" t="n">
        <v>13.9</v>
      </c>
      <c r="AL33" s="33" t="n">
        <v>33.1</v>
      </c>
      <c r="AM33" s="32" t="n">
        <v>44280</v>
      </c>
      <c r="AN33" s="32" t="n">
        <v>28800</v>
      </c>
      <c r="AO33" s="32" t="n">
        <v>68640</v>
      </c>
      <c r="AP33" s="33" t="n">
        <v>25</v>
      </c>
      <c r="AQ33" s="33" t="n">
        <v>16.3</v>
      </c>
      <c r="AR33" s="33" t="n">
        <v>38.8</v>
      </c>
      <c r="AS33" s="32" t="n">
        <v>52000</v>
      </c>
      <c r="AT33" s="32" t="n">
        <v>33840</v>
      </c>
      <c r="AU33" s="32" t="n">
        <v>80672</v>
      </c>
      <c r="AV33" s="32" t="n">
        <v>120000000</v>
      </c>
      <c r="AW33" s="32" t="n">
        <v>4080000</v>
      </c>
      <c r="AX33" s="32" t="n">
        <v>2160000</v>
      </c>
      <c r="AY33" s="32" t="n">
        <v>113520000</v>
      </c>
      <c r="AZ33" s="32" t="n">
        <v>60000000</v>
      </c>
      <c r="BA33" s="32" t="n">
        <v>2040000</v>
      </c>
      <c r="BB33" s="32" t="n">
        <v>1080000</v>
      </c>
      <c r="BC33" s="32" t="n">
        <v>56880000</v>
      </c>
      <c r="BD33" s="34" t="n">
        <v>6000000</v>
      </c>
      <c r="BE33" s="34" t="n">
        <v>1200000</v>
      </c>
      <c r="BF33" s="34" t="n">
        <v>0</v>
      </c>
      <c r="BG33" s="34" t="n">
        <v>4800000</v>
      </c>
      <c r="BH33" s="34" t="n">
        <v>3000000</v>
      </c>
      <c r="BI33" s="34" t="n">
        <v>600000</v>
      </c>
      <c r="BJ33" s="34" t="n">
        <v>600000</v>
      </c>
      <c r="BK33" s="34" t="n">
        <v>1800000</v>
      </c>
      <c r="BL33" s="34" t="n">
        <v>1500000</v>
      </c>
      <c r="BM33" s="34" t="n">
        <v>300000</v>
      </c>
      <c r="BN33" s="34" t="n">
        <v>750000</v>
      </c>
      <c r="BO33" s="34" t="n">
        <v>2250000</v>
      </c>
    </row>
    <row r="34" customFormat="false" ht="12.8" hidden="false" customHeight="false" outlineLevel="0" collapsed="false">
      <c r="A34" s="1" t="n">
        <v>30</v>
      </c>
      <c r="B34" s="16" t="s">
        <v>1124</v>
      </c>
      <c r="C34" s="16" t="s">
        <v>1110</v>
      </c>
      <c r="D34" s="30" t="n">
        <v>200000</v>
      </c>
      <c r="E34" s="30" t="n">
        <v>6800</v>
      </c>
      <c r="F34" s="30" t="n">
        <v>3600</v>
      </c>
      <c r="G34" s="30" t="n">
        <v>189600</v>
      </c>
      <c r="H34" s="25" t="n">
        <v>0.98</v>
      </c>
      <c r="I34" s="25" t="n">
        <v>0.96</v>
      </c>
      <c r="J34" s="25" t="n">
        <v>0.93</v>
      </c>
      <c r="K34" s="25" t="n">
        <v>0.982</v>
      </c>
      <c r="L34" s="25" t="n">
        <v>0.575</v>
      </c>
      <c r="M34" s="25" t="n">
        <v>0.632</v>
      </c>
      <c r="N34" s="25" t="n">
        <v>0.703</v>
      </c>
      <c r="O34" s="25" t="n">
        <v>0.56</v>
      </c>
      <c r="P34" s="25" t="n">
        <v>0.02</v>
      </c>
      <c r="Q34" s="25" t="n">
        <v>0.04</v>
      </c>
      <c r="R34" s="25" t="n">
        <v>0.07</v>
      </c>
      <c r="S34" s="25" t="n">
        <v>0.018</v>
      </c>
      <c r="T34" s="25" t="n">
        <v>0.03</v>
      </c>
      <c r="U34" s="25" t="n">
        <v>0.036</v>
      </c>
      <c r="V34" s="25" t="n">
        <v>0.076</v>
      </c>
      <c r="W34" s="25" t="n">
        <v>0.029</v>
      </c>
      <c r="X34" s="31" t="n">
        <v>20.86</v>
      </c>
      <c r="Y34" s="31" t="n">
        <v>13.6</v>
      </c>
      <c r="Z34" s="31" t="n">
        <v>32.3</v>
      </c>
      <c r="AA34" s="32" t="n">
        <v>43389</v>
      </c>
      <c r="AB34" s="32" t="n">
        <v>28240</v>
      </c>
      <c r="AC34" s="32" t="n">
        <v>67232</v>
      </c>
      <c r="AD34" s="33" t="n">
        <v>19.8</v>
      </c>
      <c r="AE34" s="33" t="n">
        <v>12.9</v>
      </c>
      <c r="AF34" s="33" t="n">
        <v>30.7</v>
      </c>
      <c r="AG34" s="32" t="n">
        <v>41184</v>
      </c>
      <c r="AH34" s="32" t="n">
        <v>26800</v>
      </c>
      <c r="AI34" s="32" t="n">
        <v>64000</v>
      </c>
      <c r="AJ34" s="33" t="n">
        <v>18.1</v>
      </c>
      <c r="AK34" s="33" t="n">
        <v>11.8</v>
      </c>
      <c r="AL34" s="33" t="n">
        <v>28.1</v>
      </c>
      <c r="AM34" s="32" t="n">
        <v>37648</v>
      </c>
      <c r="AN34" s="32" t="n">
        <v>24496</v>
      </c>
      <c r="AO34" s="32" t="n">
        <v>58272</v>
      </c>
      <c r="AP34" s="33" t="n">
        <v>21.3</v>
      </c>
      <c r="AQ34" s="33" t="n">
        <v>13.9</v>
      </c>
      <c r="AR34" s="33" t="n">
        <v>33.1</v>
      </c>
      <c r="AS34" s="32" t="n">
        <v>44280</v>
      </c>
      <c r="AT34" s="32" t="n">
        <v>28800</v>
      </c>
      <c r="AU34" s="32" t="n">
        <v>68640</v>
      </c>
      <c r="AV34" s="32" t="n">
        <v>60000000</v>
      </c>
      <c r="AW34" s="32" t="n">
        <v>2040000</v>
      </c>
      <c r="AX34" s="32" t="n">
        <v>1080000</v>
      </c>
      <c r="AY34" s="32" t="n">
        <v>56760000</v>
      </c>
      <c r="AZ34" s="32" t="n">
        <v>30000000</v>
      </c>
      <c r="BA34" s="32" t="n">
        <v>1020000</v>
      </c>
      <c r="BB34" s="32" t="n">
        <v>540000</v>
      </c>
      <c r="BC34" s="32" t="n">
        <v>28440000</v>
      </c>
      <c r="BD34" s="34" t="n">
        <v>3000000</v>
      </c>
      <c r="BE34" s="34" t="n">
        <v>600000</v>
      </c>
      <c r="BF34" s="34" t="n">
        <v>0</v>
      </c>
      <c r="BG34" s="34" t="n">
        <v>2400000</v>
      </c>
      <c r="BH34" s="34" t="n">
        <v>1500000</v>
      </c>
      <c r="BI34" s="34" t="n">
        <v>300000</v>
      </c>
      <c r="BJ34" s="34" t="n">
        <v>300000</v>
      </c>
      <c r="BK34" s="34" t="n">
        <v>900000</v>
      </c>
      <c r="BL34" s="34" t="n">
        <v>750000</v>
      </c>
      <c r="BM34" s="34" t="n">
        <v>150000</v>
      </c>
      <c r="BN34" s="34" t="n">
        <v>375000</v>
      </c>
      <c r="BO34" s="34" t="n">
        <v>1125000</v>
      </c>
    </row>
    <row r="35" customFormat="false" ht="12.8" hidden="false" customHeight="false" outlineLevel="0" collapsed="false">
      <c r="A35" s="1" t="n">
        <v>31</v>
      </c>
      <c r="B35" s="16" t="s">
        <v>1125</v>
      </c>
      <c r="C35" s="16" t="s">
        <v>1109</v>
      </c>
      <c r="D35" s="30" t="n">
        <v>180000</v>
      </c>
      <c r="E35" s="30" t="n">
        <v>6120</v>
      </c>
      <c r="F35" s="30" t="n">
        <v>3240</v>
      </c>
      <c r="G35" s="30" t="n">
        <v>170640</v>
      </c>
      <c r="H35" s="25" t="n">
        <v>0.965</v>
      </c>
      <c r="I35" s="25" t="n">
        <v>0.955</v>
      </c>
      <c r="J35" s="25" t="n">
        <v>0.94</v>
      </c>
      <c r="K35" s="25" t="n">
        <v>0.965</v>
      </c>
      <c r="L35" s="25" t="n">
        <v>0.65</v>
      </c>
      <c r="M35" s="25" t="n">
        <v>0.7</v>
      </c>
      <c r="N35" s="25" t="n">
        <v>0.75</v>
      </c>
      <c r="O35" s="25" t="n">
        <v>0.64</v>
      </c>
      <c r="P35" s="25" t="n">
        <v>0.035</v>
      </c>
      <c r="Q35" s="25" t="n">
        <v>0.045</v>
      </c>
      <c r="R35" s="25" t="n">
        <v>0.06</v>
      </c>
      <c r="S35" s="25" t="n">
        <v>0.035</v>
      </c>
      <c r="T35" s="25" t="n">
        <v>0.042</v>
      </c>
      <c r="U35" s="25" t="n">
        <v>0.05</v>
      </c>
      <c r="V35" s="25" t="n">
        <v>0.084</v>
      </c>
      <c r="W35" s="25" t="n">
        <v>0.041</v>
      </c>
      <c r="X35" s="31" t="n">
        <v>37.5</v>
      </c>
      <c r="Y35" s="31" t="n">
        <v>24.4</v>
      </c>
      <c r="Z35" s="31" t="n">
        <v>58.1</v>
      </c>
      <c r="AA35" s="32" t="n">
        <v>78000</v>
      </c>
      <c r="AB35" s="32" t="n">
        <v>50760</v>
      </c>
      <c r="AC35" s="32" t="n">
        <v>120848</v>
      </c>
      <c r="AD35" s="33" t="n">
        <v>35.6</v>
      </c>
      <c r="AE35" s="33" t="n">
        <v>23.2</v>
      </c>
      <c r="AF35" s="33" t="n">
        <v>55.3</v>
      </c>
      <c r="AG35" s="32" t="n">
        <v>74048</v>
      </c>
      <c r="AH35" s="32" t="n">
        <v>48160</v>
      </c>
      <c r="AI35" s="32" t="n">
        <v>114848</v>
      </c>
      <c r="AJ35" s="33" t="n">
        <v>32.6</v>
      </c>
      <c r="AK35" s="33" t="n">
        <v>21.2</v>
      </c>
      <c r="AL35" s="33" t="n">
        <v>50.6</v>
      </c>
      <c r="AM35" s="32" t="n">
        <v>67808</v>
      </c>
      <c r="AN35" s="32" t="n">
        <v>44120</v>
      </c>
      <c r="AO35" s="32" t="n">
        <v>105248</v>
      </c>
      <c r="AP35" s="33" t="n">
        <v>38.3</v>
      </c>
      <c r="AQ35" s="33" t="n">
        <v>24.9</v>
      </c>
      <c r="AR35" s="33" t="n">
        <v>59.3</v>
      </c>
      <c r="AS35" s="32" t="n">
        <v>79664</v>
      </c>
      <c r="AT35" s="32" t="n">
        <v>51832</v>
      </c>
      <c r="AU35" s="32" t="n">
        <v>123696</v>
      </c>
      <c r="AV35" s="32" t="n">
        <v>5400000</v>
      </c>
      <c r="AW35" s="32" t="n">
        <v>183600</v>
      </c>
      <c r="AX35" s="32" t="n">
        <v>97200</v>
      </c>
      <c r="AY35" s="32" t="n">
        <v>5122800</v>
      </c>
      <c r="AZ35" s="32" t="n">
        <v>2700000</v>
      </c>
      <c r="BA35" s="32" t="n">
        <v>91800</v>
      </c>
      <c r="BB35" s="32" t="n">
        <v>48600</v>
      </c>
      <c r="BC35" s="32" t="n">
        <v>2561400</v>
      </c>
      <c r="BD35" s="34" t="n">
        <v>2700000</v>
      </c>
      <c r="BE35" s="34" t="n">
        <v>540000</v>
      </c>
      <c r="BF35" s="34" t="n">
        <v>0</v>
      </c>
      <c r="BG35" s="34" t="n">
        <v>2160000</v>
      </c>
      <c r="BH35" s="34" t="n">
        <v>1350000</v>
      </c>
      <c r="BI35" s="34" t="n">
        <v>270000</v>
      </c>
      <c r="BJ35" s="34" t="n">
        <v>270000</v>
      </c>
      <c r="BK35" s="34" t="n">
        <v>810000</v>
      </c>
      <c r="BL35" s="34" t="n">
        <v>675000</v>
      </c>
      <c r="BM35" s="34" t="n">
        <v>135000</v>
      </c>
      <c r="BN35" s="34" t="n">
        <v>337500</v>
      </c>
      <c r="BO35" s="34" t="n">
        <v>1012500</v>
      </c>
    </row>
    <row r="36" customFormat="false" ht="12.8" hidden="false" customHeight="false" outlineLevel="0" collapsed="false">
      <c r="A36" s="1" t="n">
        <v>32</v>
      </c>
      <c r="B36" s="16" t="s">
        <v>1125</v>
      </c>
      <c r="C36" s="16" t="s">
        <v>1110</v>
      </c>
      <c r="D36" s="30" t="n">
        <v>90000</v>
      </c>
      <c r="E36" s="30" t="n">
        <v>3060</v>
      </c>
      <c r="F36" s="30" t="n">
        <v>1620</v>
      </c>
      <c r="G36" s="30" t="n">
        <v>85320</v>
      </c>
      <c r="H36" s="25" t="n">
        <v>0.965</v>
      </c>
      <c r="I36" s="25" t="n">
        <v>0.955</v>
      </c>
      <c r="J36" s="25" t="n">
        <v>0.94</v>
      </c>
      <c r="K36" s="25" t="n">
        <v>0.965</v>
      </c>
      <c r="L36" s="25" t="n">
        <v>0.552</v>
      </c>
      <c r="M36" s="25" t="n">
        <v>0.595</v>
      </c>
      <c r="N36" s="25" t="n">
        <v>0.637</v>
      </c>
      <c r="O36" s="25" t="n">
        <v>0.544</v>
      </c>
      <c r="P36" s="25" t="n">
        <v>0.035</v>
      </c>
      <c r="Q36" s="25" t="n">
        <v>0.045</v>
      </c>
      <c r="R36" s="25" t="n">
        <v>0.06</v>
      </c>
      <c r="S36" s="25" t="n">
        <v>0.035</v>
      </c>
      <c r="T36" s="25" t="n">
        <v>0.042</v>
      </c>
      <c r="U36" s="25" t="n">
        <v>0.05</v>
      </c>
      <c r="V36" s="25" t="n">
        <v>0.084</v>
      </c>
      <c r="W36" s="25" t="n">
        <v>0.041</v>
      </c>
      <c r="X36" s="31" t="n">
        <v>31.88</v>
      </c>
      <c r="Y36" s="31" t="n">
        <v>20.7</v>
      </c>
      <c r="Z36" s="31" t="n">
        <v>49.4</v>
      </c>
      <c r="AA36" s="32" t="n">
        <v>66310</v>
      </c>
      <c r="AB36" s="32" t="n">
        <v>43120</v>
      </c>
      <c r="AC36" s="32" t="n">
        <v>102752</v>
      </c>
      <c r="AD36" s="33" t="n">
        <v>30.3</v>
      </c>
      <c r="AE36" s="33" t="n">
        <v>19.7</v>
      </c>
      <c r="AF36" s="33" t="n">
        <v>46.9</v>
      </c>
      <c r="AG36" s="32" t="n">
        <v>63024</v>
      </c>
      <c r="AH36" s="32" t="n">
        <v>40992</v>
      </c>
      <c r="AI36" s="32" t="n">
        <v>97728</v>
      </c>
      <c r="AJ36" s="33" t="n">
        <v>27.7</v>
      </c>
      <c r="AK36" s="33" t="n">
        <v>18</v>
      </c>
      <c r="AL36" s="33" t="n">
        <v>43</v>
      </c>
      <c r="AM36" s="32" t="n">
        <v>57616</v>
      </c>
      <c r="AN36" s="32" t="n">
        <v>37488</v>
      </c>
      <c r="AO36" s="32" t="n">
        <v>89424</v>
      </c>
      <c r="AP36" s="33" t="n">
        <v>32.5</v>
      </c>
      <c r="AQ36" s="33" t="n">
        <v>21.1</v>
      </c>
      <c r="AR36" s="33" t="n">
        <v>50.4</v>
      </c>
      <c r="AS36" s="32" t="n">
        <v>67600</v>
      </c>
      <c r="AT36" s="32" t="n">
        <v>43960</v>
      </c>
      <c r="AU36" s="32" t="n">
        <v>105104</v>
      </c>
      <c r="AV36" s="32" t="n">
        <v>2700000</v>
      </c>
      <c r="AW36" s="32" t="n">
        <v>91800</v>
      </c>
      <c r="AX36" s="32" t="n">
        <v>48600</v>
      </c>
      <c r="AY36" s="32" t="n">
        <v>2561400</v>
      </c>
      <c r="AZ36" s="32" t="n">
        <v>1350000</v>
      </c>
      <c r="BA36" s="32" t="n">
        <v>45900</v>
      </c>
      <c r="BB36" s="32" t="n">
        <v>24300</v>
      </c>
      <c r="BC36" s="32" t="n">
        <v>1280700</v>
      </c>
      <c r="BD36" s="34" t="n">
        <v>1350000</v>
      </c>
      <c r="BE36" s="34" t="n">
        <v>270000</v>
      </c>
      <c r="BF36" s="34" t="n">
        <v>0</v>
      </c>
      <c r="BG36" s="34" t="n">
        <v>1080000</v>
      </c>
      <c r="BH36" s="34" t="n">
        <v>675000</v>
      </c>
      <c r="BI36" s="34" t="n">
        <v>135000</v>
      </c>
      <c r="BJ36" s="34" t="n">
        <v>135000</v>
      </c>
      <c r="BK36" s="34" t="n">
        <v>405000</v>
      </c>
      <c r="BL36" s="34" t="n">
        <v>337500</v>
      </c>
      <c r="BM36" s="34" t="n">
        <v>67500</v>
      </c>
      <c r="BN36" s="34" t="n">
        <v>168750</v>
      </c>
      <c r="BO36" s="34" t="n">
        <v>506250</v>
      </c>
    </row>
    <row r="37" customFormat="false" ht="12.8" hidden="false" customHeight="false" outlineLevel="0" collapsed="false">
      <c r="A37" s="1" t="n">
        <v>33</v>
      </c>
      <c r="B37" s="16" t="s">
        <v>1126</v>
      </c>
      <c r="C37" s="16" t="s">
        <v>1109</v>
      </c>
      <c r="D37" s="30" t="n">
        <v>110000</v>
      </c>
      <c r="E37" s="30" t="n">
        <v>3740</v>
      </c>
      <c r="F37" s="30" t="n">
        <v>1980</v>
      </c>
      <c r="G37" s="30" t="n">
        <v>104280</v>
      </c>
      <c r="H37" s="25" t="n">
        <v>0.96</v>
      </c>
      <c r="I37" s="25" t="n">
        <v>0.93</v>
      </c>
      <c r="J37" s="25" t="n">
        <v>0.88</v>
      </c>
      <c r="K37" s="25" t="n">
        <v>0.963</v>
      </c>
      <c r="L37" s="25" t="n">
        <v>0.58</v>
      </c>
      <c r="M37" s="25" t="n">
        <v>0.64</v>
      </c>
      <c r="N37" s="25" t="n">
        <v>0.71</v>
      </c>
      <c r="O37" s="25" t="n">
        <v>0.57</v>
      </c>
      <c r="P37" s="25" t="n">
        <v>0.04</v>
      </c>
      <c r="Q37" s="25" t="n">
        <v>0.07</v>
      </c>
      <c r="R37" s="25" t="n">
        <v>0.12</v>
      </c>
      <c r="S37" s="25" t="n">
        <v>0.037</v>
      </c>
      <c r="T37" s="25" t="n">
        <v>0.076</v>
      </c>
      <c r="U37" s="25" t="n">
        <v>0.1</v>
      </c>
      <c r="V37" s="25" t="n">
        <v>0.17</v>
      </c>
      <c r="W37" s="25" t="n">
        <v>0.073</v>
      </c>
      <c r="X37" s="31" t="n">
        <v>15.21</v>
      </c>
      <c r="Y37" s="31" t="n">
        <v>9.9</v>
      </c>
      <c r="Z37" s="31" t="n">
        <v>23.6</v>
      </c>
      <c r="AA37" s="32" t="n">
        <v>31637</v>
      </c>
      <c r="AB37" s="32" t="n">
        <v>20592</v>
      </c>
      <c r="AC37" s="32" t="n">
        <v>49024</v>
      </c>
      <c r="AD37" s="33" t="n">
        <v>14.5</v>
      </c>
      <c r="AE37" s="33" t="n">
        <v>9.4</v>
      </c>
      <c r="AF37" s="33" t="n">
        <v>22.5</v>
      </c>
      <c r="AG37" s="32" t="n">
        <v>30160</v>
      </c>
      <c r="AH37" s="32" t="n">
        <v>19640</v>
      </c>
      <c r="AI37" s="32" t="n">
        <v>46800</v>
      </c>
      <c r="AJ37" s="33" t="n">
        <v>12.6</v>
      </c>
      <c r="AK37" s="33" t="n">
        <v>8.2</v>
      </c>
      <c r="AL37" s="33" t="n">
        <v>19.6</v>
      </c>
      <c r="AM37" s="32" t="n">
        <v>26208</v>
      </c>
      <c r="AN37" s="32" t="n">
        <v>17048</v>
      </c>
      <c r="AO37" s="32" t="n">
        <v>40656</v>
      </c>
      <c r="AP37" s="33" t="n">
        <v>15.5</v>
      </c>
      <c r="AQ37" s="33" t="n">
        <v>10.1</v>
      </c>
      <c r="AR37" s="33" t="n">
        <v>24</v>
      </c>
      <c r="AS37" s="32" t="n">
        <v>32240</v>
      </c>
      <c r="AT37" s="32" t="n">
        <v>20960</v>
      </c>
      <c r="AU37" s="32" t="n">
        <v>49920</v>
      </c>
      <c r="AV37" s="32" t="n">
        <v>3300000</v>
      </c>
      <c r="AW37" s="32" t="n">
        <v>112200</v>
      </c>
      <c r="AX37" s="32" t="n">
        <v>59400</v>
      </c>
      <c r="AY37" s="32" t="n">
        <v>3127800</v>
      </c>
      <c r="AZ37" s="32" t="n">
        <v>1650000</v>
      </c>
      <c r="BA37" s="32" t="n">
        <v>56100</v>
      </c>
      <c r="BB37" s="32" t="n">
        <v>29700</v>
      </c>
      <c r="BC37" s="32" t="n">
        <v>1563900</v>
      </c>
      <c r="BD37" s="34" t="n">
        <v>1650000</v>
      </c>
      <c r="BE37" s="34" t="n">
        <v>330000</v>
      </c>
      <c r="BF37" s="34" t="n">
        <v>0</v>
      </c>
      <c r="BG37" s="34" t="n">
        <v>1320000</v>
      </c>
      <c r="BH37" s="34" t="n">
        <v>825000</v>
      </c>
      <c r="BI37" s="34" t="n">
        <v>165000</v>
      </c>
      <c r="BJ37" s="34" t="n">
        <v>165000</v>
      </c>
      <c r="BK37" s="34" t="n">
        <v>495000</v>
      </c>
      <c r="BL37" s="34" t="n">
        <v>412500</v>
      </c>
      <c r="BM37" s="34" t="n">
        <v>82500</v>
      </c>
      <c r="BN37" s="34" t="n">
        <v>206250</v>
      </c>
      <c r="BO37" s="34" t="n">
        <v>618750</v>
      </c>
    </row>
    <row r="38" customFormat="false" ht="12.8" hidden="false" customHeight="false" outlineLevel="0" collapsed="false">
      <c r="A38" s="1" t="n">
        <v>34</v>
      </c>
      <c r="B38" s="16" t="s">
        <v>1126</v>
      </c>
      <c r="C38" s="16" t="s">
        <v>1110</v>
      </c>
      <c r="D38" s="30" t="n">
        <v>55000</v>
      </c>
      <c r="E38" s="30" t="n">
        <v>1870</v>
      </c>
      <c r="F38" s="30" t="n">
        <v>990</v>
      </c>
      <c r="G38" s="30" t="n">
        <v>52140</v>
      </c>
      <c r="H38" s="25" t="n">
        <v>0.96</v>
      </c>
      <c r="I38" s="25" t="n">
        <v>0.93</v>
      </c>
      <c r="J38" s="25" t="n">
        <v>0.88</v>
      </c>
      <c r="K38" s="25" t="n">
        <v>0.963</v>
      </c>
      <c r="L38" s="25" t="n">
        <v>0.551</v>
      </c>
      <c r="M38" s="25" t="n">
        <v>0.608</v>
      </c>
      <c r="N38" s="25" t="n">
        <v>0.674</v>
      </c>
      <c r="O38" s="25" t="n">
        <v>0.542</v>
      </c>
      <c r="P38" s="25" t="n">
        <v>0.04</v>
      </c>
      <c r="Q38" s="25" t="n">
        <v>0.07</v>
      </c>
      <c r="R38" s="25" t="n">
        <v>0.12</v>
      </c>
      <c r="S38" s="25" t="n">
        <v>0.037</v>
      </c>
      <c r="T38" s="25" t="n">
        <v>0.076</v>
      </c>
      <c r="U38" s="25" t="n">
        <v>0.1</v>
      </c>
      <c r="V38" s="25" t="n">
        <v>0.17</v>
      </c>
      <c r="W38" s="25" t="n">
        <v>0.073</v>
      </c>
      <c r="X38" s="31" t="n">
        <v>12.93</v>
      </c>
      <c r="Y38" s="31" t="n">
        <v>8.4</v>
      </c>
      <c r="Z38" s="31" t="n">
        <v>20</v>
      </c>
      <c r="AA38" s="32" t="n">
        <v>26904</v>
      </c>
      <c r="AB38" s="32" t="n">
        <v>17496</v>
      </c>
      <c r="AC38" s="32" t="n">
        <v>41600</v>
      </c>
      <c r="AD38" s="33" t="n">
        <v>12.3</v>
      </c>
      <c r="AE38" s="33" t="n">
        <v>8</v>
      </c>
      <c r="AF38" s="33" t="n">
        <v>19.1</v>
      </c>
      <c r="AG38" s="32" t="n">
        <v>25584</v>
      </c>
      <c r="AH38" s="32" t="n">
        <v>16632</v>
      </c>
      <c r="AI38" s="32" t="n">
        <v>39648</v>
      </c>
      <c r="AJ38" s="33" t="n">
        <v>10.7</v>
      </c>
      <c r="AK38" s="33" t="n">
        <v>7</v>
      </c>
      <c r="AL38" s="33" t="n">
        <v>16.7</v>
      </c>
      <c r="AM38" s="32" t="n">
        <v>22256</v>
      </c>
      <c r="AN38" s="32" t="n">
        <v>14464</v>
      </c>
      <c r="AO38" s="32" t="n">
        <v>34496</v>
      </c>
      <c r="AP38" s="33" t="n">
        <v>13.2</v>
      </c>
      <c r="AQ38" s="33" t="n">
        <v>8.6</v>
      </c>
      <c r="AR38" s="33" t="n">
        <v>20.4</v>
      </c>
      <c r="AS38" s="32" t="n">
        <v>27456</v>
      </c>
      <c r="AT38" s="32" t="n">
        <v>17864</v>
      </c>
      <c r="AU38" s="32" t="n">
        <v>42512</v>
      </c>
      <c r="AV38" s="32" t="n">
        <v>1650000</v>
      </c>
      <c r="AW38" s="32" t="n">
        <v>56100</v>
      </c>
      <c r="AX38" s="32" t="n">
        <v>29700</v>
      </c>
      <c r="AY38" s="32" t="n">
        <v>1563900</v>
      </c>
      <c r="AZ38" s="32" t="n">
        <v>825000</v>
      </c>
      <c r="BA38" s="32" t="n">
        <v>28050</v>
      </c>
      <c r="BB38" s="32" t="n">
        <v>14850</v>
      </c>
      <c r="BC38" s="32" t="n">
        <v>781950</v>
      </c>
      <c r="BD38" s="34" t="n">
        <v>825000</v>
      </c>
      <c r="BE38" s="34" t="n">
        <v>165000</v>
      </c>
      <c r="BF38" s="34" t="n">
        <v>0</v>
      </c>
      <c r="BG38" s="34" t="n">
        <v>660000</v>
      </c>
      <c r="BH38" s="34" t="n">
        <v>412500</v>
      </c>
      <c r="BI38" s="34" t="n">
        <v>82500</v>
      </c>
      <c r="BJ38" s="34" t="n">
        <v>82500</v>
      </c>
      <c r="BK38" s="34" t="n">
        <v>247500</v>
      </c>
      <c r="BL38" s="34" t="n">
        <v>206250</v>
      </c>
      <c r="BM38" s="34" t="n">
        <v>41250</v>
      </c>
      <c r="BN38" s="34" t="n">
        <v>103125</v>
      </c>
      <c r="BO38" s="34" t="n">
        <v>309375</v>
      </c>
    </row>
    <row r="39" customFormat="false" ht="12.8" hidden="false" customHeight="false" outlineLevel="0" collapsed="false">
      <c r="A39" s="5"/>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row>
  </sheetData>
  <mergeCells count="19">
    <mergeCell ref="A2:C2"/>
    <mergeCell ref="D2:G2"/>
    <mergeCell ref="H2:K2"/>
    <mergeCell ref="L2:O2"/>
    <mergeCell ref="P2:S2"/>
    <mergeCell ref="T2:W2"/>
    <mergeCell ref="X2:Z2"/>
    <mergeCell ref="AA2:AC2"/>
    <mergeCell ref="AD2:AF2"/>
    <mergeCell ref="AG2:AI2"/>
    <mergeCell ref="AJ2:AL2"/>
    <mergeCell ref="AM2:AO2"/>
    <mergeCell ref="AP2:AR2"/>
    <mergeCell ref="AS2:AU2"/>
    <mergeCell ref="AV2:AY2"/>
    <mergeCell ref="AZ2:BC2"/>
    <mergeCell ref="BD2:BG2"/>
    <mergeCell ref="BH2:BK2"/>
    <mergeCell ref="BL2:BO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P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 width="11.54"/>
    <col collapsed="false" customWidth="true" hidden="false" outlineLevel="0" max="2" min="2" style="13" width="41.5"/>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10" t="s">
        <v>11</v>
      </c>
      <c r="B1" s="21" t="s">
        <v>12</v>
      </c>
      <c r="C1" s="15" t="s">
        <v>2</v>
      </c>
      <c r="D1" s="35" t="s">
        <v>1127</v>
      </c>
      <c r="AZ1" s="13"/>
      <c r="BP1" s="13"/>
    </row>
    <row r="2" customFormat="false" ht="35.05" hidden="false" customHeight="false" outlineLevel="0" collapsed="false">
      <c r="A2" s="22" t="s">
        <v>1128</v>
      </c>
      <c r="B2" s="21" t="s">
        <v>1129</v>
      </c>
      <c r="C2" s="36" t="str">
        <f aca="false">[1]CALC!D3</f>
        <v>Labor Force Population</v>
      </c>
      <c r="D2" s="36" t="str">
        <f aca="false">[1]CALC!E3</f>
        <v>Authorized Labor Force Population</v>
      </c>
      <c r="E2" s="36" t="str">
        <f aca="false">[1]CALC!F3</f>
        <v>Unauthorized Labor Force Population</v>
      </c>
      <c r="F2" s="36" t="str">
        <f aca="false">[1]CALC!G3</f>
        <v>American Labor Force Population</v>
      </c>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c r="BN2" s="20"/>
      <c r="BO2" s="20"/>
      <c r="BP2" s="20"/>
    </row>
    <row r="3" customFormat="false" ht="12.8" hidden="false" customHeight="false" outlineLevel="0" collapsed="false">
      <c r="A3" s="3" t="str">
        <f aca="false">_xlfn.CONCAT($A$1, ".", [1]CALC!A4)</f>
        <v>LSD.RID.0.AR.LFP.0</v>
      </c>
      <c r="B3" s="37" t="str">
        <f aca="false">_xlfn.CONCAT([1]CALC!B4, ":", [1]CALC!C4)</f>
        <v>All Industries:All Roles</v>
      </c>
      <c r="C3" s="14" t="n">
        <f aca="false">[1]CALC!D4</f>
        <v>2381400</v>
      </c>
      <c r="D3" s="14" t="n">
        <f aca="false">[1]CALC!E4</f>
        <v>81000</v>
      </c>
      <c r="E3" s="14" t="n">
        <f aca="false">[1]CALC!F4</f>
        <v>43000</v>
      </c>
      <c r="F3" s="14" t="n">
        <f aca="false">[1]CALC!G4</f>
        <v>2257400</v>
      </c>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row>
    <row r="4" customFormat="false" ht="12.8" hidden="false" customHeight="false" outlineLevel="0" collapsed="false">
      <c r="A4" s="10" t="str">
        <f aca="false">_xlfn.CONCAT($A$1, ".", [1]CALC!A5)</f>
        <v>LSD.RID.0.AR.LFP.1</v>
      </c>
      <c r="B4" s="23" t="str">
        <f aca="false">_xlfn.CONCAT([1]CALC!B5, ":", [1]CALC!C5)</f>
        <v>Agriculture:Worker</v>
      </c>
      <c r="C4" s="16" t="n">
        <f aca="false">[1]CALC!D5</f>
        <v>30000</v>
      </c>
      <c r="D4" s="16" t="n">
        <f aca="false">[1]CALC!E5</f>
        <v>1020</v>
      </c>
      <c r="E4" s="16" t="n">
        <f aca="false">[1]CALC!F5</f>
        <v>540</v>
      </c>
      <c r="F4" s="16" t="n">
        <f aca="false">[1]CALC!G5</f>
        <v>28440</v>
      </c>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row>
    <row r="5" customFormat="false" ht="12.8" hidden="false" customHeight="false" outlineLevel="0" collapsed="false">
      <c r="A5" s="10" t="str">
        <f aca="false">_xlfn.CONCAT($A$1, ".", [1]CALC!A6)</f>
        <v>LSD.RID.0.AR.LFP.2</v>
      </c>
      <c r="B5" s="23" t="str">
        <f aca="false">_xlfn.CONCAT([1]CALC!B6, ":", [1]CALC!C6)</f>
        <v>Agriculture:Support</v>
      </c>
      <c r="C5" s="16" t="n">
        <f aca="false">[1]CALC!D6</f>
        <v>15000</v>
      </c>
      <c r="D5" s="16" t="n">
        <f aca="false">[1]CALC!E6</f>
        <v>510</v>
      </c>
      <c r="E5" s="16" t="n">
        <f aca="false">[1]CALC!F6</f>
        <v>270</v>
      </c>
      <c r="F5" s="16" t="n">
        <f aca="false">[1]CALC!G6</f>
        <v>14220</v>
      </c>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row>
    <row r="6" customFormat="false" ht="12.8" hidden="false" customHeight="false" outlineLevel="0" collapsed="false">
      <c r="A6" s="10" t="str">
        <f aca="false">_xlfn.CONCAT($A$1, ".", [1]CALC!A7)</f>
        <v>LSD.RID.0.AR.LFP.3</v>
      </c>
      <c r="B6" s="23" t="str">
        <f aca="false">_xlfn.CONCAT([1]CALC!B7, ":", [1]CALC!C7)</f>
        <v>Construction:Worker</v>
      </c>
      <c r="C6" s="16" t="n">
        <f aca="false">[1]CALC!D7</f>
        <v>95000</v>
      </c>
      <c r="D6" s="16" t="n">
        <f aca="false">[1]CALC!E7</f>
        <v>3230</v>
      </c>
      <c r="E6" s="16" t="n">
        <f aca="false">[1]CALC!F7</f>
        <v>1710</v>
      </c>
      <c r="F6" s="16" t="n">
        <f aca="false">[1]CALC!G7</f>
        <v>90060</v>
      </c>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row>
    <row r="7" customFormat="false" ht="12.8" hidden="false" customHeight="false" outlineLevel="0" collapsed="false">
      <c r="A7" s="10" t="str">
        <f aca="false">_xlfn.CONCAT($A$1, ".", [1]CALC!A8)</f>
        <v>LSD.RID.0.AR.LFP.4</v>
      </c>
      <c r="B7" s="23" t="str">
        <f aca="false">_xlfn.CONCAT([1]CALC!B8, ":", [1]CALC!C8)</f>
        <v>Construction:Support</v>
      </c>
      <c r="C7" s="16" t="n">
        <f aca="false">[1]CALC!D8</f>
        <v>47500</v>
      </c>
      <c r="D7" s="16" t="n">
        <f aca="false">[1]CALC!E8</f>
        <v>1615</v>
      </c>
      <c r="E7" s="16" t="n">
        <f aca="false">[1]CALC!F8</f>
        <v>855</v>
      </c>
      <c r="F7" s="16" t="n">
        <f aca="false">[1]CALC!G8</f>
        <v>45030</v>
      </c>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row>
    <row r="8" customFormat="false" ht="12.8" hidden="false" customHeight="false" outlineLevel="0" collapsed="false">
      <c r="A8" s="10" t="str">
        <f aca="false">_xlfn.CONCAT($A$1, ".", [1]CALC!A9)</f>
        <v>LSD.RID.0.AR.LFP.5</v>
      </c>
      <c r="B8" s="23" t="str">
        <f aca="false">_xlfn.CONCAT([1]CALC!B9, ":", [1]CALC!C9)</f>
        <v>Hospitality:Worker</v>
      </c>
      <c r="C8" s="16" t="n">
        <f aca="false">[1]CALC!D9</f>
        <v>240000</v>
      </c>
      <c r="D8" s="16" t="n">
        <f aca="false">[1]CALC!E9</f>
        <v>8160</v>
      </c>
      <c r="E8" s="16" t="n">
        <f aca="false">[1]CALC!F9</f>
        <v>4320</v>
      </c>
      <c r="F8" s="16" t="n">
        <f aca="false">[1]CALC!G9</f>
        <v>227520</v>
      </c>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row>
    <row r="9" customFormat="false" ht="12.8" hidden="false" customHeight="false" outlineLevel="0" collapsed="false">
      <c r="A9" s="10" t="str">
        <f aca="false">_xlfn.CONCAT($A$1, ".", [1]CALC!A10)</f>
        <v>LSD.RID.0.AR.LFP.6</v>
      </c>
      <c r="B9" s="23" t="str">
        <f aca="false">_xlfn.CONCAT([1]CALC!B10, ":", [1]CALC!C10)</f>
        <v>Hospitality:Support</v>
      </c>
      <c r="C9" s="16" t="n">
        <f aca="false">[1]CALC!D10</f>
        <v>120000</v>
      </c>
      <c r="D9" s="16" t="n">
        <f aca="false">[1]CALC!E10</f>
        <v>4080</v>
      </c>
      <c r="E9" s="16" t="n">
        <f aca="false">[1]CALC!F10</f>
        <v>2160</v>
      </c>
      <c r="F9" s="16" t="n">
        <f aca="false">[1]CALC!G10</f>
        <v>113760</v>
      </c>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row>
    <row r="10" customFormat="false" ht="12.8" hidden="false" customHeight="false" outlineLevel="0" collapsed="false">
      <c r="A10" s="10" t="str">
        <f aca="false">_xlfn.CONCAT($A$1, ".", [1]CALC!A11)</f>
        <v>LSD.RID.0.AR.LFP.7</v>
      </c>
      <c r="B10" s="23" t="str">
        <f aca="false">_xlfn.CONCAT([1]CALC!B11, ":", [1]CALC!C11)</f>
        <v>Cleaning &amp; Maintenance:Worker</v>
      </c>
      <c r="C10" s="16" t="n">
        <f aca="false">[1]CALC!D11</f>
        <v>65000</v>
      </c>
      <c r="D10" s="16" t="n">
        <f aca="false">[1]CALC!E11</f>
        <v>2210</v>
      </c>
      <c r="E10" s="16" t="n">
        <f aca="false">[1]CALC!F11</f>
        <v>1170</v>
      </c>
      <c r="F10" s="16" t="n">
        <f aca="false">[1]CALC!G11</f>
        <v>61620</v>
      </c>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row>
    <row r="11" customFormat="false" ht="12.8" hidden="false" customHeight="false" outlineLevel="0" collapsed="false">
      <c r="A11" s="10" t="str">
        <f aca="false">_xlfn.CONCAT($A$1, ".", [1]CALC!A12)</f>
        <v>LSD.RID.0.AR.LFP.8</v>
      </c>
      <c r="B11" s="23" t="str">
        <f aca="false">_xlfn.CONCAT([1]CALC!B12, ":", [1]CALC!C12)</f>
        <v>Cleaning &amp; Maintenance:Support</v>
      </c>
      <c r="C11" s="16" t="n">
        <f aca="false">[1]CALC!D12</f>
        <v>32500</v>
      </c>
      <c r="D11" s="16" t="n">
        <f aca="false">[1]CALC!E12</f>
        <v>1105</v>
      </c>
      <c r="E11" s="16" t="n">
        <f aca="false">[1]CALC!F12</f>
        <v>585</v>
      </c>
      <c r="F11" s="16" t="n">
        <f aca="false">[1]CALC!G12</f>
        <v>30810</v>
      </c>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row>
    <row r="12" customFormat="false" ht="12.8" hidden="false" customHeight="false" outlineLevel="0" collapsed="false">
      <c r="A12" s="10" t="str">
        <f aca="false">_xlfn.CONCAT($A$1, ".", [1]CALC!A13)</f>
        <v>LSD.RID.0.AR.LFP.9</v>
      </c>
      <c r="B12" s="23" t="str">
        <f aca="false">_xlfn.CONCAT([1]CALC!B13, ":", [1]CALC!C13)</f>
        <v>Manufacturing:Worker</v>
      </c>
      <c r="C12" s="16" t="n">
        <f aca="false">[1]CALC!D13</f>
        <v>270000</v>
      </c>
      <c r="D12" s="16" t="n">
        <f aca="false">[1]CALC!E13</f>
        <v>9180</v>
      </c>
      <c r="E12" s="16" t="n">
        <f aca="false">[1]CALC!F13</f>
        <v>4860</v>
      </c>
      <c r="F12" s="16" t="n">
        <f aca="false">[1]CALC!G13</f>
        <v>255960</v>
      </c>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row>
    <row r="13" customFormat="false" ht="12.8" hidden="false" customHeight="false" outlineLevel="0" collapsed="false">
      <c r="A13" s="10" t="str">
        <f aca="false">_xlfn.CONCAT($A$1, ".", [1]CALC!A14)</f>
        <v>LSD.RID.0.AR.LFP.10</v>
      </c>
      <c r="B13" s="23" t="str">
        <f aca="false">_xlfn.CONCAT([1]CALC!B14, ":", [1]CALC!C14)</f>
        <v>Manufacturing:Support</v>
      </c>
      <c r="C13" s="16" t="n">
        <f aca="false">[1]CALC!D14</f>
        <v>135000</v>
      </c>
      <c r="D13" s="16" t="n">
        <f aca="false">[1]CALC!E14</f>
        <v>4590</v>
      </c>
      <c r="E13" s="16" t="n">
        <f aca="false">[1]CALC!F14</f>
        <v>2430</v>
      </c>
      <c r="F13" s="16" t="n">
        <f aca="false">[1]CALC!G14</f>
        <v>127980</v>
      </c>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row>
    <row r="14" customFormat="false" ht="12.8" hidden="false" customHeight="false" outlineLevel="0" collapsed="false">
      <c r="A14" s="10" t="str">
        <f aca="false">_xlfn.CONCAT($A$1, ".", [1]CALC!A15)</f>
        <v>LSD.RID.0.AR.LFP.11</v>
      </c>
      <c r="B14" s="23" t="str">
        <f aca="false">_xlfn.CONCAT([1]CALC!B15, ":", [1]CALC!C15)</f>
        <v>Transportation &amp; Warehousing:Worker</v>
      </c>
      <c r="C14" s="16" t="n">
        <f aca="false">[1]CALC!D15</f>
        <v>90000</v>
      </c>
      <c r="D14" s="16" t="n">
        <f aca="false">[1]CALC!E15</f>
        <v>3060</v>
      </c>
      <c r="E14" s="16" t="n">
        <f aca="false">[1]CALC!F15</f>
        <v>1620</v>
      </c>
      <c r="F14" s="16" t="n">
        <f aca="false">[1]CALC!G15</f>
        <v>85320</v>
      </c>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row>
    <row r="15" customFormat="false" ht="12.8" hidden="false" customHeight="false" outlineLevel="0" collapsed="false">
      <c r="A15" s="10" t="str">
        <f aca="false">_xlfn.CONCAT($A$1, ".", [1]CALC!A16)</f>
        <v>LSD.RID.0.AR.LFP.12</v>
      </c>
      <c r="B15" s="23" t="str">
        <f aca="false">_xlfn.CONCAT([1]CALC!B16, ":", [1]CALC!C16)</f>
        <v>Transportation &amp; Warehousing:Support</v>
      </c>
      <c r="C15" s="16" t="n">
        <f aca="false">[1]CALC!D16</f>
        <v>45000</v>
      </c>
      <c r="D15" s="16" t="n">
        <f aca="false">[1]CALC!E16</f>
        <v>1530</v>
      </c>
      <c r="E15" s="16" t="n">
        <f aca="false">[1]CALC!F16</f>
        <v>810</v>
      </c>
      <c r="F15" s="16" t="n">
        <f aca="false">[1]CALC!G16</f>
        <v>42660</v>
      </c>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row>
    <row r="16" customFormat="false" ht="12.8" hidden="false" customHeight="false" outlineLevel="0" collapsed="false">
      <c r="A16" s="10" t="str">
        <f aca="false">_xlfn.CONCAT($A$1, ".", [1]CALC!A17)</f>
        <v>LSD.RID.0.AR.LFP.13</v>
      </c>
      <c r="B16" s="23" t="str">
        <f aca="false">_xlfn.CONCAT([1]CALC!B17, ":", [1]CALC!C17)</f>
        <v>Retail Trade:Worker</v>
      </c>
      <c r="C16" s="16" t="n">
        <f aca="false">[1]CALC!D17</f>
        <v>320000</v>
      </c>
      <c r="D16" s="16" t="n">
        <f aca="false">[1]CALC!E17</f>
        <v>10880</v>
      </c>
      <c r="E16" s="16" t="n">
        <f aca="false">[1]CALC!F17</f>
        <v>5760</v>
      </c>
      <c r="F16" s="16" t="n">
        <f aca="false">[1]CALC!G17</f>
        <v>303360</v>
      </c>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row>
    <row r="17" customFormat="false" ht="12.8" hidden="false" customHeight="false" outlineLevel="0" collapsed="false">
      <c r="A17" s="10" t="str">
        <f aca="false">_xlfn.CONCAT($A$1, ".", [1]CALC!A18)</f>
        <v>LSD.RID.0.AR.LFP.14</v>
      </c>
      <c r="B17" s="23" t="str">
        <f aca="false">_xlfn.CONCAT([1]CALC!B18, ":", [1]CALC!C18)</f>
        <v>Retail Trade:Support</v>
      </c>
      <c r="C17" s="16" t="n">
        <f aca="false">[1]CALC!D18</f>
        <v>160000</v>
      </c>
      <c r="D17" s="16" t="n">
        <f aca="false">[1]CALC!E18</f>
        <v>5440</v>
      </c>
      <c r="E17" s="16" t="n">
        <f aca="false">[1]CALC!F18</f>
        <v>2880</v>
      </c>
      <c r="F17" s="16" t="n">
        <f aca="false">[1]CALC!G18</f>
        <v>151680</v>
      </c>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row>
    <row r="18" customFormat="false" ht="12.8" hidden="false" customHeight="false" outlineLevel="0" collapsed="false">
      <c r="A18" s="10" t="str">
        <f aca="false">_xlfn.CONCAT($A$1, ".", [1]CALC!A19)</f>
        <v>LSD.RID.0.AR.LFP.15</v>
      </c>
      <c r="B18" s="23" t="str">
        <f aca="false">_xlfn.CONCAT([1]CALC!B19, ":", [1]CALC!C19)</f>
        <v>Landscaping / Groundskeeping:Worker</v>
      </c>
      <c r="C18" s="16" t="n">
        <f aca="false">[1]CALC!D19</f>
        <v>55000</v>
      </c>
      <c r="D18" s="16" t="n">
        <f aca="false">[1]CALC!E19</f>
        <v>1870</v>
      </c>
      <c r="E18" s="16" t="n">
        <f aca="false">[1]CALC!F19</f>
        <v>990</v>
      </c>
      <c r="F18" s="16" t="n">
        <f aca="false">[1]CALC!G19</f>
        <v>52140</v>
      </c>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row>
    <row r="19" customFormat="false" ht="12.8" hidden="false" customHeight="false" outlineLevel="0" collapsed="false">
      <c r="A19" s="10" t="str">
        <f aca="false">_xlfn.CONCAT($A$1, ".", [1]CALC!A20)</f>
        <v>LSD.RID.0.AR.LFP.16</v>
      </c>
      <c r="B19" s="23" t="str">
        <f aca="false">_xlfn.CONCAT([1]CALC!B20, ":", [1]CALC!C20)</f>
        <v>Landscaping / Groundskeeping:Support</v>
      </c>
      <c r="C19" s="16" t="n">
        <f aca="false">[1]CALC!D20</f>
        <v>27500</v>
      </c>
      <c r="D19" s="16" t="n">
        <f aca="false">[1]CALC!E20</f>
        <v>935</v>
      </c>
      <c r="E19" s="16" t="n">
        <f aca="false">[1]CALC!F20</f>
        <v>495</v>
      </c>
      <c r="F19" s="16" t="n">
        <f aca="false">[1]CALC!G20</f>
        <v>26070</v>
      </c>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row>
    <row r="20" customFormat="false" ht="12.8" hidden="false" customHeight="false" outlineLevel="0" collapsed="false">
      <c r="A20" s="10" t="str">
        <f aca="false">_xlfn.CONCAT($A$1, ".", [1]CALC!A21)</f>
        <v>LSD.RID.0.AR.LFP.17</v>
      </c>
      <c r="B20" s="23" t="str">
        <f aca="false">_xlfn.CONCAT([1]CALC!B21, ":", [1]CALC!C21)</f>
        <v>Automotive &amp; Repair:Worker</v>
      </c>
      <c r="C20" s="16" t="n">
        <f aca="false">[1]CALC!D21</f>
        <v>45000</v>
      </c>
      <c r="D20" s="16" t="n">
        <f aca="false">[1]CALC!E21</f>
        <v>1530</v>
      </c>
      <c r="E20" s="16" t="n">
        <f aca="false">[1]CALC!F21</f>
        <v>810</v>
      </c>
      <c r="F20" s="16" t="n">
        <f aca="false">[1]CALC!G21</f>
        <v>42660</v>
      </c>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row>
    <row r="21" customFormat="false" ht="12.8" hidden="false" customHeight="false" outlineLevel="0" collapsed="false">
      <c r="A21" s="10" t="str">
        <f aca="false">_xlfn.CONCAT($A$1, ".", [1]CALC!A22)</f>
        <v>LSD.RID.0.AR.LFP.18</v>
      </c>
      <c r="B21" s="23" t="str">
        <f aca="false">_xlfn.CONCAT([1]CALC!B22, ":", [1]CALC!C22)</f>
        <v>Automotive &amp; Repair:Support</v>
      </c>
      <c r="C21" s="16" t="n">
        <f aca="false">[1]CALC!D22</f>
        <v>22500</v>
      </c>
      <c r="D21" s="16" t="n">
        <f aca="false">[1]CALC!E22</f>
        <v>765</v>
      </c>
      <c r="E21" s="16" t="n">
        <f aca="false">[1]CALC!F22</f>
        <v>405</v>
      </c>
      <c r="F21" s="16" t="n">
        <f aca="false">[1]CALC!G22</f>
        <v>21330</v>
      </c>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row>
    <row r="22" customFormat="false" ht="12.8" hidden="false" customHeight="false" outlineLevel="0" collapsed="false">
      <c r="A22" s="10" t="str">
        <f aca="false">_xlfn.CONCAT($A$1, ".", [1]CALC!A23)</f>
        <v>LSD.RID.0.AR.LFP.19</v>
      </c>
      <c r="B22" s="23" t="str">
        <f aca="false">_xlfn.CONCAT([1]CALC!B23, ":", [1]CALC!C23)</f>
        <v>Healthcare &amp; Social Assistance:Worker</v>
      </c>
      <c r="C22" s="16" t="n">
        <f aca="false">[1]CALC!D23</f>
        <v>320000</v>
      </c>
      <c r="D22" s="16" t="n">
        <f aca="false">[1]CALC!E23</f>
        <v>10880</v>
      </c>
      <c r="E22" s="16" t="n">
        <f aca="false">[1]CALC!F23</f>
        <v>5760</v>
      </c>
      <c r="F22" s="16" t="n">
        <f aca="false">[1]CALC!G23</f>
        <v>303360</v>
      </c>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row>
    <row r="23" customFormat="false" ht="12.8" hidden="false" customHeight="false" outlineLevel="0" collapsed="false">
      <c r="A23" s="10" t="str">
        <f aca="false">_xlfn.CONCAT($A$1, ".", [1]CALC!A24)</f>
        <v>LSD.RID.0.AR.LFP.20</v>
      </c>
      <c r="B23" s="23" t="str">
        <f aca="false">_xlfn.CONCAT([1]CALC!B24, ":", [1]CALC!C24)</f>
        <v>Healthcare &amp; Social Assistance:Support</v>
      </c>
      <c r="C23" s="16" t="n">
        <f aca="false">[1]CALC!D24</f>
        <v>160000</v>
      </c>
      <c r="D23" s="16" t="n">
        <f aca="false">[1]CALC!E24</f>
        <v>5440</v>
      </c>
      <c r="E23" s="16" t="n">
        <f aca="false">[1]CALC!F24</f>
        <v>2880</v>
      </c>
      <c r="F23" s="16" t="n">
        <f aca="false">[1]CALC!G24</f>
        <v>151680</v>
      </c>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row>
    <row r="24" customFormat="false" ht="12.8" hidden="false" customHeight="false" outlineLevel="0" collapsed="false">
      <c r="A24" s="10" t="str">
        <f aca="false">_xlfn.CONCAT($A$1, ".", [1]CALC!A25)</f>
        <v>LSD.RID.0.AR.LFP.21</v>
      </c>
      <c r="B24" s="23" t="str">
        <f aca="false">_xlfn.CONCAT([1]CALC!B25, ":", [1]CALC!C25)</f>
        <v>Professional Services:Worker</v>
      </c>
      <c r="C24" s="16" t="n">
        <f aca="false">[1]CALC!D25</f>
        <v>220000</v>
      </c>
      <c r="D24" s="16" t="n">
        <f aca="false">[1]CALC!E25</f>
        <v>7480</v>
      </c>
      <c r="E24" s="16" t="n">
        <f aca="false">[1]CALC!F25</f>
        <v>3960</v>
      </c>
      <c r="F24" s="16" t="n">
        <f aca="false">[1]CALC!G25</f>
        <v>208560</v>
      </c>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row>
    <row r="25" customFormat="false" ht="12.8" hidden="false" customHeight="false" outlineLevel="0" collapsed="false">
      <c r="A25" s="10" t="str">
        <f aca="false">_xlfn.CONCAT($A$1, ".", [1]CALC!A26)</f>
        <v>LSD.RID.0.AR.LFP.22</v>
      </c>
      <c r="B25" s="23" t="str">
        <f aca="false">_xlfn.CONCAT([1]CALC!B26, ":", [1]CALC!C26)</f>
        <v>Professional Services:Support</v>
      </c>
      <c r="C25" s="16" t="n">
        <f aca="false">[1]CALC!D26</f>
        <v>110000</v>
      </c>
      <c r="D25" s="16" t="n">
        <f aca="false">[1]CALC!E26</f>
        <v>3740</v>
      </c>
      <c r="E25" s="16" t="n">
        <f aca="false">[1]CALC!F26</f>
        <v>1980</v>
      </c>
      <c r="F25" s="16" t="n">
        <f aca="false">[1]CALC!G26</f>
        <v>104280</v>
      </c>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row>
    <row r="26" customFormat="false" ht="12.8" hidden="false" customHeight="false" outlineLevel="0" collapsed="false">
      <c r="A26" s="10" t="str">
        <f aca="false">_xlfn.CONCAT($A$1, ".", [1]CALC!A27)</f>
        <v>LSD.RID.0.AR.LFP.23</v>
      </c>
      <c r="B26" s="23" t="str">
        <f aca="false">_xlfn.CONCAT([1]CALC!B27, ":", [1]CALC!C27)</f>
        <v>Educational Services:Worker</v>
      </c>
      <c r="C26" s="16" t="n">
        <f aca="false">[1]CALC!D27</f>
        <v>140000</v>
      </c>
      <c r="D26" s="16" t="n">
        <f aca="false">[1]CALC!E27</f>
        <v>4760</v>
      </c>
      <c r="E26" s="16" t="n">
        <f aca="false">[1]CALC!F27</f>
        <v>2520</v>
      </c>
      <c r="F26" s="16" t="n">
        <f aca="false">[1]CALC!G27</f>
        <v>127720</v>
      </c>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row>
    <row r="27" customFormat="false" ht="12.8" hidden="false" customHeight="false" outlineLevel="0" collapsed="false">
      <c r="A27" s="10" t="str">
        <f aca="false">_xlfn.CONCAT($A$1, ".", [1]CALC!A28)</f>
        <v>LSD.RID.0.AR.LFP.24</v>
      </c>
      <c r="B27" s="23" t="str">
        <f aca="false">_xlfn.CONCAT([1]CALC!B28, ":", [1]CALC!C28)</f>
        <v>Educational Services:Support</v>
      </c>
      <c r="C27" s="16" t="n">
        <f aca="false">[1]CALC!D28</f>
        <v>70000</v>
      </c>
      <c r="D27" s="16" t="n">
        <f aca="false">[1]CALC!E28</f>
        <v>2380</v>
      </c>
      <c r="E27" s="16" t="n">
        <f aca="false">[1]CALC!F28</f>
        <v>1260</v>
      </c>
      <c r="F27" s="16" t="n">
        <f aca="false">[1]CALC!G28</f>
        <v>63860</v>
      </c>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row>
    <row r="28" customFormat="false" ht="12.8" hidden="false" customHeight="false" outlineLevel="0" collapsed="false">
      <c r="A28" s="10" t="str">
        <f aca="false">_xlfn.CONCAT($A$1, ".", [1]CALC!A29)</f>
        <v>LSD.RID.0.AR.LFP.25</v>
      </c>
      <c r="B28" s="23" t="str">
        <f aca="false">_xlfn.CONCAT([1]CALC!B29, ":", [1]CALC!C29)</f>
        <v>Finance &amp; Insurance:Worker</v>
      </c>
      <c r="C28" s="16" t="n">
        <f aca="false">[1]CALC!D29</f>
        <v>100000</v>
      </c>
      <c r="D28" s="16" t="n">
        <f aca="false">[1]CALC!E29</f>
        <v>3400</v>
      </c>
      <c r="E28" s="16" t="n">
        <f aca="false">[1]CALC!F29</f>
        <v>1800</v>
      </c>
      <c r="F28" s="16" t="n">
        <f aca="false">[1]CALC!G29</f>
        <v>94800</v>
      </c>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row>
    <row r="29" customFormat="false" ht="12.8" hidden="false" customHeight="false" outlineLevel="0" collapsed="false">
      <c r="A29" s="10" t="str">
        <f aca="false">_xlfn.CONCAT($A$1, ".", [1]CALC!A30)</f>
        <v>LSD.RID.0.AR.LFP.26</v>
      </c>
      <c r="B29" s="23" t="str">
        <f aca="false">_xlfn.CONCAT([1]CALC!B30, ":", [1]CALC!C30)</f>
        <v>Finance &amp; Insurance:Support</v>
      </c>
      <c r="C29" s="16" t="n">
        <f aca="false">[1]CALC!D30</f>
        <v>50000</v>
      </c>
      <c r="D29" s="16" t="n">
        <f aca="false">[1]CALC!E30</f>
        <v>1700</v>
      </c>
      <c r="E29" s="16" t="n">
        <f aca="false">[1]CALC!F30</f>
        <v>900</v>
      </c>
      <c r="F29" s="16" t="n">
        <f aca="false">[1]CALC!G30</f>
        <v>47400</v>
      </c>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row>
    <row r="30" customFormat="false" ht="12.8" hidden="false" customHeight="false" outlineLevel="0" collapsed="false">
      <c r="A30" s="10" t="str">
        <f aca="false">_xlfn.CONCAT($A$1, ".", [1]CALC!A31)</f>
        <v>LSD.RID.0.AR.LFP.27</v>
      </c>
      <c r="B30" s="23" t="str">
        <f aca="false">_xlfn.CONCAT([1]CALC!B31, ":", [1]CALC!C31)</f>
        <v>Media and Information Technology:Worker</v>
      </c>
      <c r="C30" s="16" t="n">
        <f aca="false">[1]CALC!D31</f>
        <v>30000</v>
      </c>
      <c r="D30" s="16" t="n">
        <f aca="false">[1]CALC!E31</f>
        <v>1020</v>
      </c>
      <c r="E30" s="16" t="n">
        <f aca="false">[1]CALC!F31</f>
        <v>540</v>
      </c>
      <c r="F30" s="16" t="n">
        <f aca="false">[1]CALC!G31</f>
        <v>28440</v>
      </c>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row>
    <row r="31" customFormat="false" ht="12.8" hidden="false" customHeight="false" outlineLevel="0" collapsed="false">
      <c r="A31" s="10" t="str">
        <f aca="false">_xlfn.CONCAT($A$1, ".", [1]CALC!A32)</f>
        <v>LSD.RID.0.AR.LFP.28</v>
      </c>
      <c r="B31" s="23" t="str">
        <f aca="false">_xlfn.CONCAT([1]CALC!B32, ":", [1]CALC!C32)</f>
        <v>Media and Information Technology:Support</v>
      </c>
      <c r="C31" s="16" t="n">
        <f aca="false">[1]CALC!D32</f>
        <v>15000</v>
      </c>
      <c r="D31" s="16" t="n">
        <f aca="false">[1]CALC!E32</f>
        <v>510</v>
      </c>
      <c r="E31" s="16" t="n">
        <f aca="false">[1]CALC!F32</f>
        <v>270</v>
      </c>
      <c r="F31" s="16" t="n">
        <f aca="false">[1]CALC!G32</f>
        <v>14220</v>
      </c>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row>
    <row r="32" customFormat="false" ht="12.8" hidden="false" customHeight="false" outlineLevel="0" collapsed="false">
      <c r="A32" s="10" t="str">
        <f aca="false">_xlfn.CONCAT($A$1, ".", [1]CALC!A33)</f>
        <v>LSD.RID.0.AR.LFP.29</v>
      </c>
      <c r="B32" s="23" t="str">
        <f aca="false">_xlfn.CONCAT([1]CALC!B33, ":", [1]CALC!C33)</f>
        <v>Government:Worker</v>
      </c>
      <c r="C32" s="16" t="n">
        <f aca="false">[1]CALC!D33</f>
        <v>400000</v>
      </c>
      <c r="D32" s="16" t="n">
        <f aca="false">[1]CALC!E33</f>
        <v>13600</v>
      </c>
      <c r="E32" s="16" t="n">
        <f aca="false">[1]CALC!F33</f>
        <v>7200</v>
      </c>
      <c r="F32" s="16" t="n">
        <f aca="false">[1]CALC!G33</f>
        <v>379200</v>
      </c>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row>
    <row r="33" customFormat="false" ht="12.8" hidden="false" customHeight="false" outlineLevel="0" collapsed="false">
      <c r="A33" s="10" t="str">
        <f aca="false">_xlfn.CONCAT($A$1, ".", [1]CALC!A34)</f>
        <v>LSD.RID.0.AR.LFP.30</v>
      </c>
      <c r="B33" s="23" t="str">
        <f aca="false">_xlfn.CONCAT([1]CALC!B34, ":", [1]CALC!C34)</f>
        <v>Government:Support</v>
      </c>
      <c r="C33" s="16" t="n">
        <f aca="false">[1]CALC!D34</f>
        <v>200000</v>
      </c>
      <c r="D33" s="16" t="n">
        <f aca="false">[1]CALC!E34</f>
        <v>6800</v>
      </c>
      <c r="E33" s="16" t="n">
        <f aca="false">[1]CALC!F34</f>
        <v>3600</v>
      </c>
      <c r="F33" s="16" t="n">
        <f aca="false">[1]CALC!G34</f>
        <v>189600</v>
      </c>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row>
    <row r="34" customFormat="false" ht="12.8" hidden="false" customHeight="false" outlineLevel="0" collapsed="false">
      <c r="A34" s="10" t="str">
        <f aca="false">_xlfn.CONCAT($A$1, ".", [1]CALC!A35)</f>
        <v>LSD.RID.0.AR.LFP.31</v>
      </c>
      <c r="B34" s="23" t="str">
        <f aca="false">_xlfn.CONCAT([1]CALC!B35, ":", [1]CALC!C35)</f>
        <v>Self-Employed / Non-Employer:Worker</v>
      </c>
      <c r="C34" s="16" t="n">
        <f aca="false">[1]CALC!D35</f>
        <v>180000</v>
      </c>
      <c r="D34" s="16" t="n">
        <f aca="false">[1]CALC!E35</f>
        <v>6120</v>
      </c>
      <c r="E34" s="16" t="n">
        <f aca="false">[1]CALC!F35</f>
        <v>3240</v>
      </c>
      <c r="F34" s="16" t="n">
        <f aca="false">[1]CALC!G35</f>
        <v>170640</v>
      </c>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row>
    <row r="35" customFormat="false" ht="12.8" hidden="false" customHeight="false" outlineLevel="0" collapsed="false">
      <c r="A35" s="10" t="str">
        <f aca="false">_xlfn.CONCAT($A$1, ".", [1]CALC!A36)</f>
        <v>LSD.RID.0.AR.LFP.32</v>
      </c>
      <c r="B35" s="23" t="str">
        <f aca="false">_xlfn.CONCAT([1]CALC!B36, ":", [1]CALC!C36)</f>
        <v>Self-Employed / Non-Employer:Support</v>
      </c>
      <c r="C35" s="16" t="n">
        <f aca="false">[1]CALC!D36</f>
        <v>90000</v>
      </c>
      <c r="D35" s="16" t="n">
        <f aca="false">[1]CALC!E36</f>
        <v>3060</v>
      </c>
      <c r="E35" s="16" t="n">
        <f aca="false">[1]CALC!F36</f>
        <v>1620</v>
      </c>
      <c r="F35" s="16" t="n">
        <f aca="false">[1]CALC!G36</f>
        <v>85320</v>
      </c>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row>
    <row r="36" customFormat="false" ht="12.8" hidden="false" customHeight="false" outlineLevel="0" collapsed="false">
      <c r="A36" s="10" t="str">
        <f aca="false">_xlfn.CONCAT($A$1, ".", [1]CALC!A37)</f>
        <v>LSD.RID.0.AR.LFP.33</v>
      </c>
      <c r="B36" s="23" t="str">
        <f aca="false">_xlfn.CONCAT([1]CALC!B37, ":", [1]CALC!C37)</f>
        <v>Other Services:Worker</v>
      </c>
      <c r="C36" s="16" t="n">
        <f aca="false">[1]CALC!D37</f>
        <v>110000</v>
      </c>
      <c r="D36" s="16" t="n">
        <f aca="false">[1]CALC!E37</f>
        <v>3740</v>
      </c>
      <c r="E36" s="16" t="n">
        <f aca="false">[1]CALC!F37</f>
        <v>1980</v>
      </c>
      <c r="F36" s="16" t="n">
        <f aca="false">[1]CALC!G37</f>
        <v>104280</v>
      </c>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row>
    <row r="37" customFormat="false" ht="12.8" hidden="false" customHeight="false" outlineLevel="0" collapsed="false">
      <c r="A37" s="10" t="str">
        <f aca="false">_xlfn.CONCAT($A$1, ".", [1]CALC!A38)</f>
        <v>LSD.RID.0.AR.LFP.34</v>
      </c>
      <c r="B37" s="23" t="str">
        <f aca="false">_xlfn.CONCAT([1]CALC!B38, ":", [1]CALC!C38)</f>
        <v>Other Services:Support</v>
      </c>
      <c r="C37" s="16" t="n">
        <f aca="false">[1]CALC!D38</f>
        <v>55000</v>
      </c>
      <c r="D37" s="16" t="n">
        <f aca="false">[1]CALC!E38</f>
        <v>1870</v>
      </c>
      <c r="E37" s="16" t="n">
        <f aca="false">[1]CALC!F38</f>
        <v>990</v>
      </c>
      <c r="F37" s="16" t="n">
        <f aca="false">[1]CALC!G38</f>
        <v>52140</v>
      </c>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row>
    <row r="38" customFormat="false" ht="12.8" hidden="false" customHeight="false" outlineLevel="0" collapsed="false">
      <c r="A38" s="3"/>
    </row>
    <row r="39" customFormat="false" ht="12.8" hidden="false" customHeight="false" outlineLevel="0" collapsed="false">
      <c r="A39" s="10"/>
      <c r="B39" s="16"/>
      <c r="C39" s="38"/>
      <c r="D39" s="38"/>
      <c r="E39" s="38"/>
      <c r="F39" s="3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BP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 width="11.54"/>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5" t="s">
        <v>13</v>
      </c>
      <c r="B1" s="14" t="s">
        <v>14</v>
      </c>
      <c r="C1" s="15" t="s">
        <v>2</v>
      </c>
      <c r="D1" s="35" t="s">
        <v>1130</v>
      </c>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c r="AM1" s="39"/>
      <c r="AN1" s="39"/>
      <c r="AO1" s="39"/>
      <c r="AP1" s="39"/>
      <c r="AQ1" s="39"/>
      <c r="AR1" s="39"/>
      <c r="AS1" s="39"/>
      <c r="AT1" s="39"/>
      <c r="AU1" s="39"/>
      <c r="AV1" s="39"/>
      <c r="AW1" s="39"/>
      <c r="AX1" s="39"/>
      <c r="AY1" s="39"/>
      <c r="AZ1" s="39"/>
      <c r="BA1" s="39"/>
      <c r="BB1" s="39"/>
      <c r="BC1" s="39"/>
      <c r="BD1" s="39"/>
      <c r="BE1" s="39"/>
      <c r="BF1" s="39"/>
      <c r="BG1" s="39"/>
      <c r="BH1" s="39"/>
      <c r="BI1" s="39"/>
      <c r="BJ1" s="39"/>
      <c r="BK1" s="39"/>
      <c r="BL1" s="39"/>
      <c r="BM1" s="39"/>
      <c r="BN1" s="39"/>
      <c r="BO1" s="39"/>
      <c r="BP1" s="39"/>
    </row>
    <row r="2" customFormat="false" ht="46.25" hidden="false" customHeight="false" outlineLevel="0" collapsed="false">
      <c r="A2" s="22" t="s">
        <v>1128</v>
      </c>
      <c r="B2" s="21" t="s">
        <v>1129</v>
      </c>
      <c r="C2" s="40" t="str">
        <f aca="false">[1]CALC!H3</f>
        <v>Employment-to-Population Ratio</v>
      </c>
      <c r="D2" s="40" t="str">
        <f aca="false">[1]CALC!I3</f>
        <v>Authorized Immigrant Employment-to-Population Ratio</v>
      </c>
      <c r="E2" s="40" t="str">
        <f aca="false">[1]CALC!J3</f>
        <v>Unauthorized Immigrant Employment-to-Population Ratio</v>
      </c>
      <c r="F2" s="40" t="str">
        <f aca="false">[1]CALC!K3</f>
        <v>American Employment-to-Population Ratio</v>
      </c>
    </row>
    <row r="3" customFormat="false" ht="12.8" hidden="false" customHeight="false" outlineLevel="0" collapsed="false">
      <c r="A3" s="3" t="str">
        <f aca="false">_xlfn.CONCAT($A$1, ".", [1]CALC!A4)</f>
        <v>LSD.RID.0.AR.ETPR.0</v>
      </c>
      <c r="B3" s="37" t="str">
        <f aca="false">_xlfn.CONCAT([1]CALC!B4, ":", [1]CALC!C4)</f>
        <v>All Industries:All Roles</v>
      </c>
      <c r="C3" s="40" t="n">
        <f aca="false">[1]CALC!H4</f>
        <v>0.973</v>
      </c>
      <c r="D3" s="40" t="n">
        <f aca="false">[1]CALC!I4</f>
        <v>0.96</v>
      </c>
      <c r="E3" s="40" t="n">
        <f aca="false">[1]CALC!J4</f>
        <v>0.935</v>
      </c>
      <c r="F3" s="40" t="n">
        <f aca="false">[1]CALC!K4</f>
        <v>0.976</v>
      </c>
    </row>
    <row r="4" customFormat="false" ht="12.8" hidden="false" customHeight="false" outlineLevel="0" collapsed="false">
      <c r="A4" s="10" t="str">
        <f aca="false">_xlfn.CONCAT($A$1, ".", [1]CALC!A5)</f>
        <v>LSD.RID.0.AR.ETPR.1</v>
      </c>
      <c r="B4" s="23" t="str">
        <f aca="false">_xlfn.CONCAT([1]CALC!B5, ":", [1]CALC!C5)</f>
        <v>Agriculture:Worker</v>
      </c>
      <c r="C4" s="41" t="n">
        <f aca="false">[1]CALC!H5</f>
        <v>0.952</v>
      </c>
      <c r="D4" s="41" t="n">
        <f aca="false">[1]CALC!I5</f>
        <v>0.93</v>
      </c>
      <c r="E4" s="41" t="n">
        <f aca="false">[1]CALC!J5</f>
        <v>0.89</v>
      </c>
      <c r="F4" s="41" t="n">
        <f aca="false">[1]CALC!K5</f>
        <v>0.955</v>
      </c>
    </row>
    <row r="5" customFormat="false" ht="12.8" hidden="false" customHeight="false" outlineLevel="0" collapsed="false">
      <c r="A5" s="10" t="str">
        <f aca="false">_xlfn.CONCAT($A$1, ".", [1]CALC!A6)</f>
        <v>LSD.RID.0.AR.ETPR.2</v>
      </c>
      <c r="B5" s="23" t="str">
        <f aca="false">_xlfn.CONCAT([1]CALC!B6, ":", [1]CALC!C6)</f>
        <v>Agriculture:Support</v>
      </c>
      <c r="C5" s="41" t="n">
        <f aca="false">[1]CALC!H6</f>
        <v>0.952</v>
      </c>
      <c r="D5" s="41" t="n">
        <f aca="false">[1]CALC!I6</f>
        <v>0.93</v>
      </c>
      <c r="E5" s="41" t="n">
        <f aca="false">[1]CALC!J6</f>
        <v>0.89</v>
      </c>
      <c r="F5" s="41" t="n">
        <f aca="false">[1]CALC!K6</f>
        <v>0.955</v>
      </c>
    </row>
    <row r="6" customFormat="false" ht="12.8" hidden="false" customHeight="false" outlineLevel="0" collapsed="false">
      <c r="A6" s="10" t="str">
        <f aca="false">_xlfn.CONCAT($A$1, ".", [1]CALC!A7)</f>
        <v>LSD.RID.0.AR.ETPR.3</v>
      </c>
      <c r="B6" s="23" t="str">
        <f aca="false">_xlfn.CONCAT([1]CALC!B7, ":", [1]CALC!C7)</f>
        <v>Construction:Worker</v>
      </c>
      <c r="C6" s="41" t="n">
        <f aca="false">[1]CALC!H7</f>
        <v>0.967</v>
      </c>
      <c r="D6" s="41" t="n">
        <f aca="false">[1]CALC!I7</f>
        <v>0.94</v>
      </c>
      <c r="E6" s="41" t="n">
        <f aca="false">[1]CALC!J7</f>
        <v>0.9</v>
      </c>
      <c r="F6" s="41" t="n">
        <f aca="false">[1]CALC!K7</f>
        <v>0.97</v>
      </c>
    </row>
    <row r="7" customFormat="false" ht="12.8" hidden="false" customHeight="false" outlineLevel="0" collapsed="false">
      <c r="A7" s="10" t="str">
        <f aca="false">_xlfn.CONCAT($A$1, ".", [1]CALC!A8)</f>
        <v>LSD.RID.0.AR.ETPR.4</v>
      </c>
      <c r="B7" s="23" t="str">
        <f aca="false">_xlfn.CONCAT([1]CALC!B8, ":", [1]CALC!C8)</f>
        <v>Construction:Support</v>
      </c>
      <c r="C7" s="41" t="n">
        <f aca="false">[1]CALC!H8</f>
        <v>0.967</v>
      </c>
      <c r="D7" s="41" t="n">
        <f aca="false">[1]CALC!I8</f>
        <v>0.94</v>
      </c>
      <c r="E7" s="41" t="n">
        <f aca="false">[1]CALC!J8</f>
        <v>0.9</v>
      </c>
      <c r="F7" s="41" t="n">
        <f aca="false">[1]CALC!K8</f>
        <v>0.97</v>
      </c>
    </row>
    <row r="8" customFormat="false" ht="12.8" hidden="false" customHeight="false" outlineLevel="0" collapsed="false">
      <c r="A8" s="10" t="str">
        <f aca="false">_xlfn.CONCAT($A$1, ".", [1]CALC!A9)</f>
        <v>LSD.RID.0.AR.ETPR.5</v>
      </c>
      <c r="B8" s="23" t="str">
        <f aca="false">_xlfn.CONCAT([1]CALC!B9, ":", [1]CALC!C9)</f>
        <v>Hospitality:Worker</v>
      </c>
      <c r="C8" s="41" t="n">
        <f aca="false">[1]CALC!H9</f>
        <v>0.96</v>
      </c>
      <c r="D8" s="41" t="n">
        <f aca="false">[1]CALC!I9</f>
        <v>0.93</v>
      </c>
      <c r="E8" s="41" t="n">
        <f aca="false">[1]CALC!J9</f>
        <v>0.88</v>
      </c>
      <c r="F8" s="41" t="n">
        <f aca="false">[1]CALC!K9</f>
        <v>0.963</v>
      </c>
    </row>
    <row r="9" customFormat="false" ht="12.8" hidden="false" customHeight="false" outlineLevel="0" collapsed="false">
      <c r="A9" s="10" t="str">
        <f aca="false">_xlfn.CONCAT($A$1, ".", [1]CALC!A10)</f>
        <v>LSD.RID.0.AR.ETPR.6</v>
      </c>
      <c r="B9" s="23" t="str">
        <f aca="false">_xlfn.CONCAT([1]CALC!B10, ":", [1]CALC!C10)</f>
        <v>Hospitality:Support</v>
      </c>
      <c r="C9" s="41" t="n">
        <f aca="false">[1]CALC!H10</f>
        <v>0.96</v>
      </c>
      <c r="D9" s="41" t="n">
        <f aca="false">[1]CALC!I10</f>
        <v>0.93</v>
      </c>
      <c r="E9" s="41" t="n">
        <f aca="false">[1]CALC!J10</f>
        <v>0.88</v>
      </c>
      <c r="F9" s="41" t="n">
        <f aca="false">[1]CALC!K10</f>
        <v>0.963</v>
      </c>
    </row>
    <row r="10" customFormat="false" ht="12.8" hidden="false" customHeight="false" outlineLevel="0" collapsed="false">
      <c r="A10" s="10" t="str">
        <f aca="false">_xlfn.CONCAT($A$1, ".", [1]CALC!A11)</f>
        <v>LSD.RID.0.AR.ETPR.7</v>
      </c>
      <c r="B10" s="23" t="str">
        <f aca="false">_xlfn.CONCAT([1]CALC!B11, ":", [1]CALC!C11)</f>
        <v>Cleaning &amp; Maintenance:Worker</v>
      </c>
      <c r="C10" s="41" t="n">
        <f aca="false">[1]CALC!H11</f>
        <v>0.957</v>
      </c>
      <c r="D10" s="41" t="n">
        <f aca="false">[1]CALC!I11</f>
        <v>0.92</v>
      </c>
      <c r="E10" s="41" t="n">
        <f aca="false">[1]CALC!J11</f>
        <v>0.87</v>
      </c>
      <c r="F10" s="41" t="n">
        <f aca="false">[1]CALC!K11</f>
        <v>0.96</v>
      </c>
    </row>
    <row r="11" customFormat="false" ht="12.8" hidden="false" customHeight="false" outlineLevel="0" collapsed="false">
      <c r="A11" s="10" t="str">
        <f aca="false">_xlfn.CONCAT($A$1, ".", [1]CALC!A12)</f>
        <v>LSD.RID.0.AR.ETPR.8</v>
      </c>
      <c r="B11" s="23" t="str">
        <f aca="false">_xlfn.CONCAT([1]CALC!B12, ":", [1]CALC!C12)</f>
        <v>Cleaning &amp; Maintenance:Support</v>
      </c>
      <c r="C11" s="41" t="n">
        <f aca="false">[1]CALC!H12</f>
        <v>0.957</v>
      </c>
      <c r="D11" s="41" t="n">
        <f aca="false">[1]CALC!I12</f>
        <v>0.92</v>
      </c>
      <c r="E11" s="41" t="n">
        <f aca="false">[1]CALC!J12</f>
        <v>0.87</v>
      </c>
      <c r="F11" s="41" t="n">
        <f aca="false">[1]CALC!K12</f>
        <v>0.96</v>
      </c>
    </row>
    <row r="12" customFormat="false" ht="12.8" hidden="false" customHeight="false" outlineLevel="0" collapsed="false">
      <c r="A12" s="10" t="str">
        <f aca="false">_xlfn.CONCAT($A$1, ".", [1]CALC!A13)</f>
        <v>LSD.RID.0.AR.ETPR.9</v>
      </c>
      <c r="B12" s="23" t="str">
        <f aca="false">_xlfn.CONCAT([1]CALC!B13, ":", [1]CALC!C13)</f>
        <v>Manufacturing:Worker</v>
      </c>
      <c r="C12" s="41" t="n">
        <f aca="false">[1]CALC!H13</f>
        <v>0.98</v>
      </c>
      <c r="D12" s="41" t="n">
        <f aca="false">[1]CALC!I13</f>
        <v>0.96</v>
      </c>
      <c r="E12" s="41" t="n">
        <f aca="false">[1]CALC!J13</f>
        <v>0.93</v>
      </c>
      <c r="F12" s="41" t="n">
        <f aca="false">[1]CALC!K13</f>
        <v>0.982</v>
      </c>
    </row>
    <row r="13" customFormat="false" ht="12.8" hidden="false" customHeight="false" outlineLevel="0" collapsed="false">
      <c r="A13" s="10" t="str">
        <f aca="false">_xlfn.CONCAT($A$1, ".", [1]CALC!A14)</f>
        <v>LSD.RID.0.AR.ETPR.10</v>
      </c>
      <c r="B13" s="23" t="str">
        <f aca="false">_xlfn.CONCAT([1]CALC!B14, ":", [1]CALC!C14)</f>
        <v>Manufacturing:Support</v>
      </c>
      <c r="C13" s="41" t="n">
        <f aca="false">[1]CALC!H14</f>
        <v>0.98</v>
      </c>
      <c r="D13" s="41" t="n">
        <f aca="false">[1]CALC!I14</f>
        <v>0.96</v>
      </c>
      <c r="E13" s="41" t="n">
        <f aca="false">[1]CALC!J14</f>
        <v>0.93</v>
      </c>
      <c r="F13" s="41" t="n">
        <f aca="false">[1]CALC!K14</f>
        <v>0.982</v>
      </c>
    </row>
    <row r="14" customFormat="false" ht="12.8" hidden="false" customHeight="false" outlineLevel="0" collapsed="false">
      <c r="A14" s="10" t="str">
        <f aca="false">_xlfn.CONCAT($A$1, ".", [1]CALC!A15)</f>
        <v>LSD.RID.0.AR.ETPR.11</v>
      </c>
      <c r="B14" s="23" t="str">
        <f aca="false">_xlfn.CONCAT([1]CALC!B15, ":", [1]CALC!C15)</f>
        <v>Transportation &amp; Warehousing:Worker</v>
      </c>
      <c r="C14" s="41" t="n">
        <f aca="false">[1]CALC!H15</f>
        <v>0.976</v>
      </c>
      <c r="D14" s="41" t="n">
        <f aca="false">[1]CALC!I15</f>
        <v>0.95</v>
      </c>
      <c r="E14" s="41" t="n">
        <f aca="false">[1]CALC!J15</f>
        <v>0.92</v>
      </c>
      <c r="F14" s="41" t="n">
        <f aca="false">[1]CALC!K15</f>
        <v>0.978</v>
      </c>
    </row>
    <row r="15" customFormat="false" ht="12.8" hidden="false" customHeight="false" outlineLevel="0" collapsed="false">
      <c r="A15" s="10" t="str">
        <f aca="false">_xlfn.CONCAT($A$1, ".", [1]CALC!A16)</f>
        <v>LSD.RID.0.AR.ETPR.12</v>
      </c>
      <c r="B15" s="23" t="str">
        <f aca="false">_xlfn.CONCAT([1]CALC!B16, ":", [1]CALC!C16)</f>
        <v>Transportation &amp; Warehousing:Support</v>
      </c>
      <c r="C15" s="41" t="n">
        <f aca="false">[1]CALC!H16</f>
        <v>0.976</v>
      </c>
      <c r="D15" s="41" t="n">
        <f aca="false">[1]CALC!I16</f>
        <v>0.95</v>
      </c>
      <c r="E15" s="41" t="n">
        <f aca="false">[1]CALC!J16</f>
        <v>0.92</v>
      </c>
      <c r="F15" s="41" t="n">
        <f aca="false">[1]CALC!K16</f>
        <v>0.978</v>
      </c>
    </row>
    <row r="16" customFormat="false" ht="12.8" hidden="false" customHeight="false" outlineLevel="0" collapsed="false">
      <c r="A16" s="10" t="str">
        <f aca="false">_xlfn.CONCAT($A$1, ".", [1]CALC!A17)</f>
        <v>LSD.RID.0.AR.ETPR.13</v>
      </c>
      <c r="B16" s="23" t="str">
        <f aca="false">_xlfn.CONCAT([1]CALC!B17, ":", [1]CALC!C17)</f>
        <v>Retail Trade:Worker</v>
      </c>
      <c r="C16" s="41" t="n">
        <f aca="false">[1]CALC!H17</f>
        <v>0.96</v>
      </c>
      <c r="D16" s="41" t="n">
        <f aca="false">[1]CALC!I17</f>
        <v>0.93</v>
      </c>
      <c r="E16" s="41" t="n">
        <f aca="false">[1]CALC!J17</f>
        <v>0.88</v>
      </c>
      <c r="F16" s="41" t="n">
        <f aca="false">[1]CALC!K17</f>
        <v>0.963</v>
      </c>
    </row>
    <row r="17" customFormat="false" ht="12.8" hidden="false" customHeight="false" outlineLevel="0" collapsed="false">
      <c r="A17" s="10" t="str">
        <f aca="false">_xlfn.CONCAT($A$1, ".", [1]CALC!A18)</f>
        <v>LSD.RID.0.AR.ETPR.14</v>
      </c>
      <c r="B17" s="23" t="str">
        <f aca="false">_xlfn.CONCAT([1]CALC!B18, ":", [1]CALC!C18)</f>
        <v>Retail Trade:Support</v>
      </c>
      <c r="C17" s="41" t="n">
        <f aca="false">[1]CALC!H18</f>
        <v>0.96</v>
      </c>
      <c r="D17" s="41" t="n">
        <f aca="false">[1]CALC!I18</f>
        <v>0.93</v>
      </c>
      <c r="E17" s="41" t="n">
        <f aca="false">[1]CALC!J18</f>
        <v>0.88</v>
      </c>
      <c r="F17" s="41" t="n">
        <f aca="false">[1]CALC!K18</f>
        <v>0.963</v>
      </c>
    </row>
    <row r="18" customFormat="false" ht="12.8" hidden="false" customHeight="false" outlineLevel="0" collapsed="false">
      <c r="A18" s="10" t="str">
        <f aca="false">_xlfn.CONCAT($A$1, ".", [1]CALC!A19)</f>
        <v>LSD.RID.0.AR.ETPR.15</v>
      </c>
      <c r="B18" s="23" t="str">
        <f aca="false">_xlfn.CONCAT([1]CALC!B19, ":", [1]CALC!C19)</f>
        <v>Landscaping / Groundskeeping:Worker</v>
      </c>
      <c r="C18" s="41" t="n">
        <f aca="false">[1]CALC!H19</f>
        <v>0.952</v>
      </c>
      <c r="D18" s="41" t="n">
        <f aca="false">[1]CALC!I19</f>
        <v>0.93</v>
      </c>
      <c r="E18" s="41" t="n">
        <f aca="false">[1]CALC!J19</f>
        <v>0.89</v>
      </c>
      <c r="F18" s="41" t="n">
        <f aca="false">[1]CALC!K19</f>
        <v>0.955</v>
      </c>
    </row>
    <row r="19" customFormat="false" ht="12.8" hidden="false" customHeight="false" outlineLevel="0" collapsed="false">
      <c r="A19" s="10" t="str">
        <f aca="false">_xlfn.CONCAT($A$1, ".", [1]CALC!A20)</f>
        <v>LSD.RID.0.AR.ETPR.16</v>
      </c>
      <c r="B19" s="23" t="str">
        <f aca="false">_xlfn.CONCAT([1]CALC!B20, ":", [1]CALC!C20)</f>
        <v>Landscaping / Groundskeeping:Support</v>
      </c>
      <c r="C19" s="41" t="n">
        <f aca="false">[1]CALC!H20</f>
        <v>0.952</v>
      </c>
      <c r="D19" s="41" t="n">
        <f aca="false">[1]CALC!I20</f>
        <v>0.93</v>
      </c>
      <c r="E19" s="41" t="n">
        <f aca="false">[1]CALC!J20</f>
        <v>0.89</v>
      </c>
      <c r="F19" s="41" t="n">
        <f aca="false">[1]CALC!K20</f>
        <v>0.955</v>
      </c>
    </row>
    <row r="20" customFormat="false" ht="12.8" hidden="false" customHeight="false" outlineLevel="0" collapsed="false">
      <c r="A20" s="10" t="str">
        <f aca="false">_xlfn.CONCAT($A$1, ".", [1]CALC!A21)</f>
        <v>LSD.RID.0.AR.ETPR.17</v>
      </c>
      <c r="B20" s="23" t="str">
        <f aca="false">_xlfn.CONCAT([1]CALC!B21, ":", [1]CALC!C21)</f>
        <v>Automotive &amp; Repair:Worker</v>
      </c>
      <c r="C20" s="41" t="n">
        <f aca="false">[1]CALC!H21</f>
        <v>0.976</v>
      </c>
      <c r="D20" s="41" t="n">
        <f aca="false">[1]CALC!I21</f>
        <v>0.95</v>
      </c>
      <c r="E20" s="41" t="n">
        <f aca="false">[1]CALC!J21</f>
        <v>0.92</v>
      </c>
      <c r="F20" s="41" t="n">
        <f aca="false">[1]CALC!K21</f>
        <v>0.978</v>
      </c>
    </row>
    <row r="21" customFormat="false" ht="12.8" hidden="false" customHeight="false" outlineLevel="0" collapsed="false">
      <c r="A21" s="10" t="str">
        <f aca="false">_xlfn.CONCAT($A$1, ".", [1]CALC!A22)</f>
        <v>LSD.RID.0.AR.ETPR.18</v>
      </c>
      <c r="B21" s="23" t="str">
        <f aca="false">_xlfn.CONCAT([1]CALC!B22, ":", [1]CALC!C22)</f>
        <v>Automotive &amp; Repair:Support</v>
      </c>
      <c r="C21" s="41" t="n">
        <f aca="false">[1]CALC!H22</f>
        <v>0.976</v>
      </c>
      <c r="D21" s="41" t="n">
        <f aca="false">[1]CALC!I22</f>
        <v>0.95</v>
      </c>
      <c r="E21" s="41" t="n">
        <f aca="false">[1]CALC!J22</f>
        <v>0.92</v>
      </c>
      <c r="F21" s="41" t="n">
        <f aca="false">[1]CALC!K22</f>
        <v>0.978</v>
      </c>
    </row>
    <row r="22" customFormat="false" ht="12.8" hidden="false" customHeight="false" outlineLevel="0" collapsed="false">
      <c r="A22" s="10" t="str">
        <f aca="false">_xlfn.CONCAT($A$1, ".", [1]CALC!A23)</f>
        <v>LSD.RID.0.AR.ETPR.19</v>
      </c>
      <c r="B22" s="23" t="str">
        <f aca="false">_xlfn.CONCAT([1]CALC!B23, ":", [1]CALC!C23)</f>
        <v>Healthcare &amp; Social Assistance:Worker</v>
      </c>
      <c r="C22" s="41" t="n">
        <f aca="false">[1]CALC!H23</f>
        <v>0.98</v>
      </c>
      <c r="D22" s="41" t="n">
        <f aca="false">[1]CALC!I23</f>
        <v>0.96</v>
      </c>
      <c r="E22" s="41" t="n">
        <f aca="false">[1]CALC!J23</f>
        <v>0.93</v>
      </c>
      <c r="F22" s="41" t="n">
        <f aca="false">[1]CALC!K23</f>
        <v>0.982</v>
      </c>
    </row>
    <row r="23" customFormat="false" ht="12.8" hidden="false" customHeight="false" outlineLevel="0" collapsed="false">
      <c r="A23" s="10" t="str">
        <f aca="false">_xlfn.CONCAT($A$1, ".", [1]CALC!A24)</f>
        <v>LSD.RID.0.AR.ETPR.20</v>
      </c>
      <c r="B23" s="23" t="str">
        <f aca="false">_xlfn.CONCAT([1]CALC!B24, ":", [1]CALC!C24)</f>
        <v>Healthcare &amp; Social Assistance:Support</v>
      </c>
      <c r="C23" s="41" t="n">
        <f aca="false">[1]CALC!H24</f>
        <v>0.98</v>
      </c>
      <c r="D23" s="41" t="n">
        <f aca="false">[1]CALC!I24</f>
        <v>0.96</v>
      </c>
      <c r="E23" s="41" t="n">
        <f aca="false">[1]CALC!J24</f>
        <v>0.93</v>
      </c>
      <c r="F23" s="41" t="n">
        <f aca="false">[1]CALC!K24</f>
        <v>0.982</v>
      </c>
    </row>
    <row r="24" customFormat="false" ht="12.8" hidden="false" customHeight="false" outlineLevel="0" collapsed="false">
      <c r="A24" s="10" t="str">
        <f aca="false">_xlfn.CONCAT($A$1, ".", [1]CALC!A25)</f>
        <v>LSD.RID.0.AR.ETPR.21</v>
      </c>
      <c r="B24" s="23" t="str">
        <f aca="false">_xlfn.CONCAT([1]CALC!B25, ":", [1]CALC!C25)</f>
        <v>Professional Services:Worker</v>
      </c>
      <c r="C24" s="41" t="n">
        <f aca="false">[1]CALC!H25</f>
        <v>0.98</v>
      </c>
      <c r="D24" s="41" t="n">
        <f aca="false">[1]CALC!I25</f>
        <v>0.96</v>
      </c>
      <c r="E24" s="41" t="n">
        <f aca="false">[1]CALC!J25</f>
        <v>0.93</v>
      </c>
      <c r="F24" s="41" t="n">
        <f aca="false">[1]CALC!K25</f>
        <v>0.982</v>
      </c>
    </row>
    <row r="25" customFormat="false" ht="12.8" hidden="false" customHeight="false" outlineLevel="0" collapsed="false">
      <c r="A25" s="10" t="str">
        <f aca="false">_xlfn.CONCAT($A$1, ".", [1]CALC!A26)</f>
        <v>LSD.RID.0.AR.ETPR.22</v>
      </c>
      <c r="B25" s="23" t="str">
        <f aca="false">_xlfn.CONCAT([1]CALC!B26, ":", [1]CALC!C26)</f>
        <v>Professional Services:Support</v>
      </c>
      <c r="C25" s="41" t="n">
        <f aca="false">[1]CALC!H26</f>
        <v>0.98</v>
      </c>
      <c r="D25" s="41" t="n">
        <f aca="false">[1]CALC!I26</f>
        <v>0.96</v>
      </c>
      <c r="E25" s="41" t="n">
        <f aca="false">[1]CALC!J26</f>
        <v>0.93</v>
      </c>
      <c r="F25" s="41" t="n">
        <f aca="false">[1]CALC!K26</f>
        <v>0.982</v>
      </c>
    </row>
    <row r="26" customFormat="false" ht="12.8" hidden="false" customHeight="false" outlineLevel="0" collapsed="false">
      <c r="A26" s="10" t="str">
        <f aca="false">_xlfn.CONCAT($A$1, ".", [1]CALC!A27)</f>
        <v>LSD.RID.0.AR.ETPR.23</v>
      </c>
      <c r="B26" s="23" t="str">
        <f aca="false">_xlfn.CONCAT([1]CALC!B27, ":", [1]CALC!C27)</f>
        <v>Educational Services:Worker</v>
      </c>
      <c r="C26" s="41" t="n">
        <f aca="false">[1]CALC!H27</f>
        <v>0.98</v>
      </c>
      <c r="D26" s="41" t="n">
        <f aca="false">[1]CALC!I27</f>
        <v>0.96</v>
      </c>
      <c r="E26" s="41" t="n">
        <f aca="false">[1]CALC!J27</f>
        <v>0.93</v>
      </c>
      <c r="F26" s="41" t="n">
        <f aca="false">[1]CALC!K27</f>
        <v>0.982</v>
      </c>
    </row>
    <row r="27" customFormat="false" ht="12.8" hidden="false" customHeight="false" outlineLevel="0" collapsed="false">
      <c r="A27" s="10" t="str">
        <f aca="false">_xlfn.CONCAT($A$1, ".", [1]CALC!A28)</f>
        <v>LSD.RID.0.AR.ETPR.24</v>
      </c>
      <c r="B27" s="23" t="str">
        <f aca="false">_xlfn.CONCAT([1]CALC!B28, ":", [1]CALC!C28)</f>
        <v>Educational Services:Support</v>
      </c>
      <c r="C27" s="41" t="n">
        <f aca="false">[1]CALC!H28</f>
        <v>0.98</v>
      </c>
      <c r="D27" s="41" t="n">
        <f aca="false">[1]CALC!I28</f>
        <v>0.96</v>
      </c>
      <c r="E27" s="41" t="n">
        <f aca="false">[1]CALC!J28</f>
        <v>0.93</v>
      </c>
      <c r="F27" s="41" t="n">
        <f aca="false">[1]CALC!K28</f>
        <v>0.982</v>
      </c>
    </row>
    <row r="28" customFormat="false" ht="12.8" hidden="false" customHeight="false" outlineLevel="0" collapsed="false">
      <c r="A28" s="10" t="str">
        <f aca="false">_xlfn.CONCAT($A$1, ".", [1]CALC!A29)</f>
        <v>LSD.RID.0.AR.ETPR.25</v>
      </c>
      <c r="B28" s="23" t="str">
        <f aca="false">_xlfn.CONCAT([1]CALC!B29, ":", [1]CALC!C29)</f>
        <v>Finance &amp; Insurance:Worker</v>
      </c>
      <c r="C28" s="41" t="n">
        <f aca="false">[1]CALC!H29</f>
        <v>0.98</v>
      </c>
      <c r="D28" s="41" t="n">
        <f aca="false">[1]CALC!I29</f>
        <v>0.96</v>
      </c>
      <c r="E28" s="41" t="n">
        <f aca="false">[1]CALC!J29</f>
        <v>0.93</v>
      </c>
      <c r="F28" s="41" t="n">
        <f aca="false">[1]CALC!K29</f>
        <v>0.982</v>
      </c>
    </row>
    <row r="29" customFormat="false" ht="12.8" hidden="false" customHeight="false" outlineLevel="0" collapsed="false">
      <c r="A29" s="10" t="str">
        <f aca="false">_xlfn.CONCAT($A$1, ".", [1]CALC!A30)</f>
        <v>LSD.RID.0.AR.ETPR.26</v>
      </c>
      <c r="B29" s="23" t="str">
        <f aca="false">_xlfn.CONCAT([1]CALC!B30, ":", [1]CALC!C30)</f>
        <v>Finance &amp; Insurance:Support</v>
      </c>
      <c r="C29" s="41" t="n">
        <f aca="false">[1]CALC!H30</f>
        <v>0.98</v>
      </c>
      <c r="D29" s="41" t="n">
        <f aca="false">[1]CALC!I30</f>
        <v>0.96</v>
      </c>
      <c r="E29" s="41" t="n">
        <f aca="false">[1]CALC!J30</f>
        <v>0.93</v>
      </c>
      <c r="F29" s="41" t="n">
        <f aca="false">[1]CALC!K30</f>
        <v>0.982</v>
      </c>
    </row>
    <row r="30" customFormat="false" ht="12.8" hidden="false" customHeight="false" outlineLevel="0" collapsed="false">
      <c r="A30" s="10" t="str">
        <f aca="false">_xlfn.CONCAT($A$1, ".", [1]CALC!A31)</f>
        <v>LSD.RID.0.AR.ETPR.27</v>
      </c>
      <c r="B30" s="23" t="str">
        <f aca="false">_xlfn.CONCAT([1]CALC!B31, ":", [1]CALC!C31)</f>
        <v>Media and Information Technology:Worker</v>
      </c>
      <c r="C30" s="41" t="n">
        <f aca="false">[1]CALC!H31</f>
        <v>0.98</v>
      </c>
      <c r="D30" s="41" t="n">
        <f aca="false">[1]CALC!I31</f>
        <v>0.96</v>
      </c>
      <c r="E30" s="41" t="n">
        <f aca="false">[1]CALC!J31</f>
        <v>0.93</v>
      </c>
      <c r="F30" s="41" t="n">
        <f aca="false">[1]CALC!K31</f>
        <v>0.982</v>
      </c>
    </row>
    <row r="31" customFormat="false" ht="12.8" hidden="false" customHeight="false" outlineLevel="0" collapsed="false">
      <c r="A31" s="10" t="str">
        <f aca="false">_xlfn.CONCAT($A$1, ".", [1]CALC!A32)</f>
        <v>LSD.RID.0.AR.ETPR.28</v>
      </c>
      <c r="B31" s="23" t="str">
        <f aca="false">_xlfn.CONCAT([1]CALC!B32, ":", [1]CALC!C32)</f>
        <v>Media and Information Technology:Support</v>
      </c>
      <c r="C31" s="41" t="n">
        <f aca="false">[1]CALC!H32</f>
        <v>0.98</v>
      </c>
      <c r="D31" s="41" t="n">
        <f aca="false">[1]CALC!I32</f>
        <v>0.96</v>
      </c>
      <c r="E31" s="41" t="n">
        <f aca="false">[1]CALC!J32</f>
        <v>0.93</v>
      </c>
      <c r="F31" s="41" t="n">
        <f aca="false">[1]CALC!K32</f>
        <v>0.982</v>
      </c>
    </row>
    <row r="32" customFormat="false" ht="12.8" hidden="false" customHeight="false" outlineLevel="0" collapsed="false">
      <c r="A32" s="10" t="str">
        <f aca="false">_xlfn.CONCAT($A$1, ".", [1]CALC!A33)</f>
        <v>LSD.RID.0.AR.ETPR.29</v>
      </c>
      <c r="B32" s="23" t="str">
        <f aca="false">_xlfn.CONCAT([1]CALC!B33, ":", [1]CALC!C33)</f>
        <v>Government:Worker</v>
      </c>
      <c r="C32" s="41" t="n">
        <f aca="false">[1]CALC!H33</f>
        <v>0.98</v>
      </c>
      <c r="D32" s="41" t="n">
        <f aca="false">[1]CALC!I33</f>
        <v>0.96</v>
      </c>
      <c r="E32" s="41" t="n">
        <f aca="false">[1]CALC!J33</f>
        <v>0.93</v>
      </c>
      <c r="F32" s="41" t="n">
        <f aca="false">[1]CALC!K33</f>
        <v>0.982</v>
      </c>
    </row>
    <row r="33" customFormat="false" ht="12.8" hidden="false" customHeight="false" outlineLevel="0" collapsed="false">
      <c r="A33" s="10" t="str">
        <f aca="false">_xlfn.CONCAT($A$1, ".", [1]CALC!A34)</f>
        <v>LSD.RID.0.AR.ETPR.30</v>
      </c>
      <c r="B33" s="23" t="str">
        <f aca="false">_xlfn.CONCAT([1]CALC!B34, ":", [1]CALC!C34)</f>
        <v>Government:Support</v>
      </c>
      <c r="C33" s="41" t="n">
        <f aca="false">[1]CALC!H34</f>
        <v>0.98</v>
      </c>
      <c r="D33" s="41" t="n">
        <f aca="false">[1]CALC!I34</f>
        <v>0.96</v>
      </c>
      <c r="E33" s="41" t="n">
        <f aca="false">[1]CALC!J34</f>
        <v>0.93</v>
      </c>
      <c r="F33" s="41" t="n">
        <f aca="false">[1]CALC!K34</f>
        <v>0.982</v>
      </c>
    </row>
    <row r="34" customFormat="false" ht="12.8" hidden="false" customHeight="false" outlineLevel="0" collapsed="false">
      <c r="A34" s="10" t="str">
        <f aca="false">_xlfn.CONCAT($A$1, ".", [1]CALC!A35)</f>
        <v>LSD.RID.0.AR.ETPR.31</v>
      </c>
      <c r="B34" s="23" t="str">
        <f aca="false">_xlfn.CONCAT([1]CALC!B35, ":", [1]CALC!C35)</f>
        <v>Self-Employed / Non-Employer:Worker</v>
      </c>
      <c r="C34" s="41" t="n">
        <f aca="false">[1]CALC!H35</f>
        <v>0.965</v>
      </c>
      <c r="D34" s="41" t="n">
        <f aca="false">[1]CALC!I35</f>
        <v>0.955</v>
      </c>
      <c r="E34" s="41" t="n">
        <f aca="false">[1]CALC!J35</f>
        <v>0.94</v>
      </c>
      <c r="F34" s="41" t="n">
        <f aca="false">[1]CALC!K35</f>
        <v>0.965</v>
      </c>
    </row>
    <row r="35" customFormat="false" ht="12.8" hidden="false" customHeight="false" outlineLevel="0" collapsed="false">
      <c r="A35" s="10" t="str">
        <f aca="false">_xlfn.CONCAT($A$1, ".", [1]CALC!A36)</f>
        <v>LSD.RID.0.AR.ETPR.32</v>
      </c>
      <c r="B35" s="23" t="str">
        <f aca="false">_xlfn.CONCAT([1]CALC!B36, ":", [1]CALC!C36)</f>
        <v>Self-Employed / Non-Employer:Support</v>
      </c>
      <c r="C35" s="41" t="n">
        <f aca="false">[1]CALC!H36</f>
        <v>0.965</v>
      </c>
      <c r="D35" s="41" t="n">
        <f aca="false">[1]CALC!I36</f>
        <v>0.955</v>
      </c>
      <c r="E35" s="41" t="n">
        <f aca="false">[1]CALC!J36</f>
        <v>0.94</v>
      </c>
      <c r="F35" s="41" t="n">
        <f aca="false">[1]CALC!K36</f>
        <v>0.965</v>
      </c>
    </row>
    <row r="36" customFormat="false" ht="12.8" hidden="false" customHeight="false" outlineLevel="0" collapsed="false">
      <c r="A36" s="10" t="str">
        <f aca="false">_xlfn.CONCAT($A$1, ".", [1]CALC!A37)</f>
        <v>LSD.RID.0.AR.ETPR.33</v>
      </c>
      <c r="B36" s="23" t="str">
        <f aca="false">_xlfn.CONCAT([1]CALC!B37, ":", [1]CALC!C37)</f>
        <v>Other Services:Worker</v>
      </c>
      <c r="C36" s="41" t="n">
        <f aca="false">[1]CALC!H37</f>
        <v>0.96</v>
      </c>
      <c r="D36" s="41" t="n">
        <f aca="false">[1]CALC!I37</f>
        <v>0.93</v>
      </c>
      <c r="E36" s="41" t="n">
        <f aca="false">[1]CALC!J37</f>
        <v>0.88</v>
      </c>
      <c r="F36" s="41" t="n">
        <f aca="false">[1]CALC!K37</f>
        <v>0.963</v>
      </c>
    </row>
    <row r="37" customFormat="false" ht="12.8" hidden="false" customHeight="false" outlineLevel="0" collapsed="false">
      <c r="A37" s="10" t="str">
        <f aca="false">_xlfn.CONCAT($A$1, ".", [1]CALC!A38)</f>
        <v>LSD.RID.0.AR.ETPR.34</v>
      </c>
      <c r="B37" s="23" t="str">
        <f aca="false">_xlfn.CONCAT([1]CALC!B38, ":", [1]CALC!C38)</f>
        <v>Other Services:Support</v>
      </c>
      <c r="C37" s="41" t="n">
        <f aca="false">[1]CALC!H38</f>
        <v>0.96</v>
      </c>
      <c r="D37" s="41" t="n">
        <f aca="false">[1]CALC!I38</f>
        <v>0.93</v>
      </c>
      <c r="E37" s="41" t="n">
        <f aca="false">[1]CALC!J38</f>
        <v>0.88</v>
      </c>
      <c r="F37" s="41" t="n">
        <f aca="false">[1]CALC!K38</f>
        <v>0.963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0938A"/>
    <pageSetUpPr fitToPage="false"/>
  </sheetPr>
  <dimension ref="A1:B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3" t="s">
        <v>15</v>
      </c>
      <c r="B1" s="14" t="s">
        <v>16</v>
      </c>
      <c r="C1" s="15" t="s">
        <v>2</v>
      </c>
      <c r="D1" s="14" t="s">
        <v>1131</v>
      </c>
      <c r="E1" s="35" t="s">
        <v>1132</v>
      </c>
      <c r="AZ1" s="13"/>
      <c r="BA1" s="13"/>
      <c r="BB1" s="13"/>
      <c r="BC1" s="13"/>
    </row>
    <row r="2" customFormat="false" ht="46.25" hidden="false" customHeight="false" outlineLevel="0" collapsed="false">
      <c r="A2" s="22" t="s">
        <v>1128</v>
      </c>
      <c r="B2" s="21" t="s">
        <v>1129</v>
      </c>
      <c r="C2" s="40" t="str">
        <f aca="false">[1]CALC!L3</f>
        <v>Labor Force Participation Rate (LFPR)</v>
      </c>
      <c r="D2" s="40" t="str">
        <f aca="false">[1]CALC!M3</f>
        <v>Authorized Immigrant Labor Force Participation Rate (LFPR)</v>
      </c>
      <c r="E2" s="40" t="str">
        <f aca="false">[1]CALC!N3</f>
        <v>Unauthorized Immigrant Labor Force Participation Rate (LFPR)</v>
      </c>
      <c r="F2" s="40" t="str">
        <f aca="false">[1]CALC!O3</f>
        <v>American Labor Force Participation Rate (LFPR)</v>
      </c>
    </row>
    <row r="3" customFormat="false" ht="12.8" hidden="false" customHeight="false" outlineLevel="0" collapsed="false">
      <c r="A3" s="3" t="str">
        <f aca="false">_xlfn.CONCAT($A$1, ".", [1]CALC!A4)</f>
        <v>LSD.RID.0.AR.LFPR.0</v>
      </c>
      <c r="B3" s="37" t="str">
        <f aca="false">_xlfn.CONCAT([1]CALC!B4, ":", [1]CALC!C4)</f>
        <v>All Industries:All Roles</v>
      </c>
      <c r="C3" s="40" t="n">
        <f aca="false">[1]CALC!L4</f>
        <v>0.577</v>
      </c>
      <c r="D3" s="40" t="n">
        <f aca="false">[1]CALC!M4</f>
        <v>0.65</v>
      </c>
      <c r="E3" s="40" t="n">
        <f aca="false">[1]CALC!N4</f>
        <v>0.72</v>
      </c>
      <c r="F3" s="40" t="n">
        <f aca="false">[1]CALC!O4</f>
        <v>0.575</v>
      </c>
    </row>
    <row r="4" customFormat="false" ht="12.8" hidden="false" customHeight="false" outlineLevel="0" collapsed="false">
      <c r="A4" s="10" t="str">
        <f aca="false">_xlfn.CONCAT($A$1, ".", [1]CALC!A5)</f>
        <v>LSD.RID.0.AR.LFPR.1</v>
      </c>
      <c r="B4" s="23" t="str">
        <f aca="false">_xlfn.CONCAT([1]CALC!B5, ":", [1]CALC!C5)</f>
        <v>Agriculture:Worker</v>
      </c>
      <c r="C4" s="41" t="n">
        <f aca="false">[1]CALC!L5</f>
        <v>0.62</v>
      </c>
      <c r="D4" s="41" t="n">
        <f aca="false">[1]CALC!M5</f>
        <v>0.68</v>
      </c>
      <c r="E4" s="41" t="n">
        <f aca="false">[1]CALC!N5</f>
        <v>0.78</v>
      </c>
      <c r="F4" s="41" t="n">
        <f aca="false">[1]CALC!O5</f>
        <v>0.6</v>
      </c>
    </row>
    <row r="5" customFormat="false" ht="12.8" hidden="false" customHeight="false" outlineLevel="0" collapsed="false">
      <c r="A5" s="10" t="str">
        <f aca="false">_xlfn.CONCAT($A$1, ".", [1]CALC!A6)</f>
        <v>LSD.RID.0.AR.LFPR.2</v>
      </c>
      <c r="B5" s="23" t="str">
        <f aca="false">_xlfn.CONCAT([1]CALC!B6, ":", [1]CALC!C6)</f>
        <v>Agriculture:Support</v>
      </c>
      <c r="C5" s="41" t="n">
        <f aca="false">[1]CALC!L6</f>
        <v>0.589</v>
      </c>
      <c r="D5" s="41" t="n">
        <f aca="false">[1]CALC!M6</f>
        <v>0.646</v>
      </c>
      <c r="E5" s="41" t="n">
        <f aca="false">[1]CALC!N6</f>
        <v>0.741</v>
      </c>
      <c r="F5" s="41" t="n">
        <f aca="false">[1]CALC!O6</f>
        <v>0.57</v>
      </c>
    </row>
    <row r="6" customFormat="false" ht="12.8" hidden="false" customHeight="false" outlineLevel="0" collapsed="false">
      <c r="A6" s="10" t="str">
        <f aca="false">_xlfn.CONCAT($A$1, ".", [1]CALC!A7)</f>
        <v>LSD.RID.0.AR.LFPR.3</v>
      </c>
      <c r="B6" s="23" t="str">
        <f aca="false">_xlfn.CONCAT([1]CALC!B7, ":", [1]CALC!C7)</f>
        <v>Construction:Worker</v>
      </c>
      <c r="C6" s="41" t="n">
        <f aca="false">[1]CALC!L7</f>
        <v>0.61</v>
      </c>
      <c r="D6" s="41" t="n">
        <f aca="false">[1]CALC!M7</f>
        <v>0.67</v>
      </c>
      <c r="E6" s="41" t="n">
        <f aca="false">[1]CALC!N7</f>
        <v>0.76</v>
      </c>
      <c r="F6" s="41" t="n">
        <f aca="false">[1]CALC!O7</f>
        <v>0.59</v>
      </c>
    </row>
    <row r="7" customFormat="false" ht="12.8" hidden="false" customHeight="false" outlineLevel="0" collapsed="false">
      <c r="A7" s="10" t="str">
        <f aca="false">_xlfn.CONCAT($A$1, ".", [1]CALC!A8)</f>
        <v>LSD.RID.0.AR.LFPR.4</v>
      </c>
      <c r="B7" s="23" t="str">
        <f aca="false">_xlfn.CONCAT([1]CALC!B8, ":", [1]CALC!C8)</f>
        <v>Construction:Support</v>
      </c>
      <c r="C7" s="41" t="n">
        <f aca="false">[1]CALC!L8</f>
        <v>0.579</v>
      </c>
      <c r="D7" s="41" t="n">
        <f aca="false">[1]CALC!M8</f>
        <v>0.637</v>
      </c>
      <c r="E7" s="41" t="n">
        <f aca="false">[1]CALC!N8</f>
        <v>0.722</v>
      </c>
      <c r="F7" s="41" t="n">
        <f aca="false">[1]CALC!O8</f>
        <v>0.56</v>
      </c>
    </row>
    <row r="8" customFormat="false" ht="12.8" hidden="false" customHeight="false" outlineLevel="0" collapsed="false">
      <c r="A8" s="10" t="str">
        <f aca="false">_xlfn.CONCAT($A$1, ".", [1]CALC!A9)</f>
        <v>LSD.RID.0.AR.LFPR.5</v>
      </c>
      <c r="B8" s="23" t="str">
        <f aca="false">_xlfn.CONCAT([1]CALC!B9, ":", [1]CALC!C9)</f>
        <v>Hospitality:Worker</v>
      </c>
      <c r="C8" s="41" t="n">
        <f aca="false">[1]CALC!L9</f>
        <v>0.58</v>
      </c>
      <c r="D8" s="41" t="n">
        <f aca="false">[1]CALC!M9</f>
        <v>0.64</v>
      </c>
      <c r="E8" s="41" t="n">
        <f aca="false">[1]CALC!N9</f>
        <v>0.71</v>
      </c>
      <c r="F8" s="41" t="n">
        <f aca="false">[1]CALC!O9</f>
        <v>0.57</v>
      </c>
    </row>
    <row r="9" customFormat="false" ht="12.8" hidden="false" customHeight="false" outlineLevel="0" collapsed="false">
      <c r="A9" s="10" t="str">
        <f aca="false">_xlfn.CONCAT($A$1, ".", [1]CALC!A10)</f>
        <v>LSD.RID.0.AR.LFPR.6</v>
      </c>
      <c r="B9" s="23" t="str">
        <f aca="false">_xlfn.CONCAT([1]CALC!B10, ":", [1]CALC!C10)</f>
        <v>Hospitality:Support</v>
      </c>
      <c r="C9" s="41" t="n">
        <f aca="false">[1]CALC!L10</f>
        <v>0.551</v>
      </c>
      <c r="D9" s="41" t="n">
        <f aca="false">[1]CALC!M10</f>
        <v>0.608</v>
      </c>
      <c r="E9" s="41" t="n">
        <f aca="false">[1]CALC!N10</f>
        <v>0.674</v>
      </c>
      <c r="F9" s="41" t="n">
        <f aca="false">[1]CALC!O10</f>
        <v>0.542</v>
      </c>
    </row>
    <row r="10" customFormat="false" ht="12.8" hidden="false" customHeight="false" outlineLevel="0" collapsed="false">
      <c r="A10" s="10" t="str">
        <f aca="false">_xlfn.CONCAT($A$1, ".", [1]CALC!A11)</f>
        <v>LSD.RID.0.AR.LFPR.7</v>
      </c>
      <c r="B10" s="23" t="str">
        <f aca="false">_xlfn.CONCAT([1]CALC!B11, ":", [1]CALC!C11)</f>
        <v>Cleaning &amp; Maintenance:Worker</v>
      </c>
      <c r="C10" s="41" t="n">
        <f aca="false">[1]CALC!L11</f>
        <v>0.595</v>
      </c>
      <c r="D10" s="41" t="n">
        <f aca="false">[1]CALC!M11</f>
        <v>0.655</v>
      </c>
      <c r="E10" s="41" t="n">
        <f aca="false">[1]CALC!N11</f>
        <v>0.74</v>
      </c>
      <c r="F10" s="41" t="n">
        <f aca="false">[1]CALC!O11</f>
        <v>0.58</v>
      </c>
    </row>
    <row r="11" customFormat="false" ht="12.8" hidden="false" customHeight="false" outlineLevel="0" collapsed="false">
      <c r="A11" s="10" t="str">
        <f aca="false">_xlfn.CONCAT($A$1, ".", [1]CALC!A12)</f>
        <v>LSD.RID.0.AR.LFPR.8</v>
      </c>
      <c r="B11" s="23" t="str">
        <f aca="false">_xlfn.CONCAT([1]CALC!B12, ":", [1]CALC!C12)</f>
        <v>Cleaning &amp; Maintenance:Support</v>
      </c>
      <c r="C11" s="41" t="n">
        <f aca="false">[1]CALC!L12</f>
        <v>0.565</v>
      </c>
      <c r="D11" s="41" t="n">
        <f aca="false">[1]CALC!M12</f>
        <v>0.622</v>
      </c>
      <c r="E11" s="41" t="n">
        <f aca="false">[1]CALC!N12</f>
        <v>0.703</v>
      </c>
      <c r="F11" s="41" t="n">
        <f aca="false">[1]CALC!O12</f>
        <v>0.551</v>
      </c>
    </row>
    <row r="12" customFormat="false" ht="12.8" hidden="false" customHeight="false" outlineLevel="0" collapsed="false">
      <c r="A12" s="10" t="str">
        <f aca="false">_xlfn.CONCAT($A$1, ".", [1]CALC!A13)</f>
        <v>LSD.RID.0.AR.LFPR.9</v>
      </c>
      <c r="B12" s="23" t="str">
        <f aca="false">_xlfn.CONCAT([1]CALC!B13, ":", [1]CALC!C13)</f>
        <v>Manufacturing:Worker</v>
      </c>
      <c r="C12" s="41" t="n">
        <f aca="false">[1]CALC!L13</f>
        <v>0.605</v>
      </c>
      <c r="D12" s="41" t="n">
        <f aca="false">[1]CALC!M13</f>
        <v>0.665</v>
      </c>
      <c r="E12" s="41" t="n">
        <f aca="false">[1]CALC!N13</f>
        <v>0.74</v>
      </c>
      <c r="F12" s="41" t="n">
        <f aca="false">[1]CALC!O13</f>
        <v>0.59</v>
      </c>
    </row>
    <row r="13" customFormat="false" ht="12.8" hidden="false" customHeight="false" outlineLevel="0" collapsed="false">
      <c r="A13" s="10" t="str">
        <f aca="false">_xlfn.CONCAT($A$1, ".", [1]CALC!A14)</f>
        <v>LSD.RID.0.AR.LFPR.10</v>
      </c>
      <c r="B13" s="23" t="str">
        <f aca="false">_xlfn.CONCAT([1]CALC!B14, ":", [1]CALC!C14)</f>
        <v>Manufacturing:Support</v>
      </c>
      <c r="C13" s="41" t="n">
        <f aca="false">[1]CALC!L14</f>
        <v>0.575</v>
      </c>
      <c r="D13" s="41" t="n">
        <f aca="false">[1]CALC!M14</f>
        <v>0.632</v>
      </c>
      <c r="E13" s="41" t="n">
        <f aca="false">[1]CALC!N14</f>
        <v>0.703</v>
      </c>
      <c r="F13" s="41" t="n">
        <f aca="false">[1]CALC!O14</f>
        <v>0.56</v>
      </c>
    </row>
    <row r="14" customFormat="false" ht="12.8" hidden="false" customHeight="false" outlineLevel="0" collapsed="false">
      <c r="A14" s="10" t="str">
        <f aca="false">_xlfn.CONCAT($A$1, ".", [1]CALC!A15)</f>
        <v>LSD.RID.0.AR.LFPR.11</v>
      </c>
      <c r="B14" s="23" t="str">
        <f aca="false">_xlfn.CONCAT([1]CALC!B15, ":", [1]CALC!C15)</f>
        <v>Transportation &amp; Warehousing:Worker</v>
      </c>
      <c r="C14" s="41" t="n">
        <f aca="false">[1]CALC!L15</f>
        <v>0.6</v>
      </c>
      <c r="D14" s="41" t="n">
        <f aca="false">[1]CALC!M15</f>
        <v>0.66</v>
      </c>
      <c r="E14" s="41" t="n">
        <f aca="false">[1]CALC!N15</f>
        <v>0.75</v>
      </c>
      <c r="F14" s="41" t="n">
        <f aca="false">[1]CALC!O15</f>
        <v>0.58</v>
      </c>
    </row>
    <row r="15" customFormat="false" ht="12.8" hidden="false" customHeight="false" outlineLevel="0" collapsed="false">
      <c r="A15" s="10" t="str">
        <f aca="false">_xlfn.CONCAT($A$1, ".", [1]CALC!A16)</f>
        <v>LSD.RID.0.AR.LFPR.12</v>
      </c>
      <c r="B15" s="23" t="str">
        <f aca="false">_xlfn.CONCAT([1]CALC!B16, ":", [1]CALC!C16)</f>
        <v>Transportation &amp; Warehousing:Support</v>
      </c>
      <c r="C15" s="41" t="n">
        <f aca="false">[1]CALC!L16</f>
        <v>0.57</v>
      </c>
      <c r="D15" s="41" t="n">
        <f aca="false">[1]CALC!M16</f>
        <v>0.627</v>
      </c>
      <c r="E15" s="41" t="n">
        <f aca="false">[1]CALC!N16</f>
        <v>0.712</v>
      </c>
      <c r="F15" s="41" t="n">
        <f aca="false">[1]CALC!O16</f>
        <v>0.55</v>
      </c>
    </row>
    <row r="16" customFormat="false" ht="12.8" hidden="false" customHeight="false" outlineLevel="0" collapsed="false">
      <c r="A16" s="10" t="str">
        <f aca="false">_xlfn.CONCAT($A$1, ".", [1]CALC!A17)</f>
        <v>LSD.RID.0.AR.LFPR.13</v>
      </c>
      <c r="B16" s="23" t="str">
        <f aca="false">_xlfn.CONCAT([1]CALC!B17, ":", [1]CALC!C17)</f>
        <v>Retail Trade:Worker</v>
      </c>
      <c r="C16" s="41" t="n">
        <f aca="false">[1]CALC!L17</f>
        <v>0.58</v>
      </c>
      <c r="D16" s="41" t="n">
        <f aca="false">[1]CALC!M17</f>
        <v>0.64</v>
      </c>
      <c r="E16" s="41" t="n">
        <f aca="false">[1]CALC!N17</f>
        <v>0.71</v>
      </c>
      <c r="F16" s="41" t="n">
        <f aca="false">[1]CALC!O17</f>
        <v>0.57</v>
      </c>
    </row>
    <row r="17" customFormat="false" ht="12.8" hidden="false" customHeight="false" outlineLevel="0" collapsed="false">
      <c r="A17" s="10" t="str">
        <f aca="false">_xlfn.CONCAT($A$1, ".", [1]CALC!A18)</f>
        <v>LSD.RID.0.AR.LFPR.14</v>
      </c>
      <c r="B17" s="23" t="str">
        <f aca="false">_xlfn.CONCAT([1]CALC!B18, ":", [1]CALC!C18)</f>
        <v>Retail Trade:Support</v>
      </c>
      <c r="C17" s="41" t="n">
        <f aca="false">[1]CALC!L18</f>
        <v>0.551</v>
      </c>
      <c r="D17" s="41" t="n">
        <f aca="false">[1]CALC!M18</f>
        <v>0.608</v>
      </c>
      <c r="E17" s="41" t="n">
        <f aca="false">[1]CALC!N18</f>
        <v>0.674</v>
      </c>
      <c r="F17" s="41" t="n">
        <f aca="false">[1]CALC!O18</f>
        <v>0.542</v>
      </c>
    </row>
    <row r="18" customFormat="false" ht="12.8" hidden="false" customHeight="false" outlineLevel="0" collapsed="false">
      <c r="A18" s="10" t="str">
        <f aca="false">_xlfn.CONCAT($A$1, ".", [1]CALC!A19)</f>
        <v>LSD.RID.0.AR.LFPR.15</v>
      </c>
      <c r="B18" s="23" t="str">
        <f aca="false">_xlfn.CONCAT([1]CALC!B19, ":", [1]CALC!C19)</f>
        <v>Landscaping / Groundskeeping:Worker</v>
      </c>
      <c r="C18" s="41" t="n">
        <f aca="false">[1]CALC!L19</f>
        <v>0.62</v>
      </c>
      <c r="D18" s="41" t="n">
        <f aca="false">[1]CALC!M19</f>
        <v>0.68</v>
      </c>
      <c r="E18" s="41" t="n">
        <f aca="false">[1]CALC!N19</f>
        <v>0.78</v>
      </c>
      <c r="F18" s="41" t="n">
        <f aca="false">[1]CALC!O19</f>
        <v>0.6</v>
      </c>
    </row>
    <row r="19" customFormat="false" ht="12.8" hidden="false" customHeight="false" outlineLevel="0" collapsed="false">
      <c r="A19" s="10" t="str">
        <f aca="false">_xlfn.CONCAT($A$1, ".", [1]CALC!A20)</f>
        <v>LSD.RID.0.AR.LFPR.16</v>
      </c>
      <c r="B19" s="23" t="str">
        <f aca="false">_xlfn.CONCAT([1]CALC!B20, ":", [1]CALC!C20)</f>
        <v>Landscaping / Groundskeeping:Support</v>
      </c>
      <c r="C19" s="41" t="n">
        <f aca="false">[1]CALC!L20</f>
        <v>0.589</v>
      </c>
      <c r="D19" s="41" t="n">
        <f aca="false">[1]CALC!M20</f>
        <v>0.646</v>
      </c>
      <c r="E19" s="41" t="n">
        <f aca="false">[1]CALC!N20</f>
        <v>0.741</v>
      </c>
      <c r="F19" s="41" t="n">
        <f aca="false">[1]CALC!O20</f>
        <v>0.57</v>
      </c>
    </row>
    <row r="20" customFormat="false" ht="12.8" hidden="false" customHeight="false" outlineLevel="0" collapsed="false">
      <c r="A20" s="10" t="str">
        <f aca="false">_xlfn.CONCAT($A$1, ".", [1]CALC!A21)</f>
        <v>LSD.RID.0.AR.LFPR.17</v>
      </c>
      <c r="B20" s="23" t="str">
        <f aca="false">_xlfn.CONCAT([1]CALC!B21, ":", [1]CALC!C21)</f>
        <v>Automotive &amp; Repair:Worker</v>
      </c>
      <c r="C20" s="41" t="n">
        <f aca="false">[1]CALC!L21</f>
        <v>0.6</v>
      </c>
      <c r="D20" s="41" t="n">
        <f aca="false">[1]CALC!M21</f>
        <v>0.66</v>
      </c>
      <c r="E20" s="41" t="n">
        <f aca="false">[1]CALC!N21</f>
        <v>0.75</v>
      </c>
      <c r="F20" s="41" t="n">
        <f aca="false">[1]CALC!O21</f>
        <v>0.58</v>
      </c>
    </row>
    <row r="21" customFormat="false" ht="12.8" hidden="false" customHeight="false" outlineLevel="0" collapsed="false">
      <c r="A21" s="10" t="str">
        <f aca="false">_xlfn.CONCAT($A$1, ".", [1]CALC!A22)</f>
        <v>LSD.RID.0.AR.LFPR.18</v>
      </c>
      <c r="B21" s="23" t="str">
        <f aca="false">_xlfn.CONCAT([1]CALC!B22, ":", [1]CALC!C22)</f>
        <v>Automotive &amp; Repair:Support</v>
      </c>
      <c r="C21" s="41" t="n">
        <f aca="false">[1]CALC!L22</f>
        <v>0.57</v>
      </c>
      <c r="D21" s="41" t="n">
        <f aca="false">[1]CALC!M22</f>
        <v>0.627</v>
      </c>
      <c r="E21" s="41" t="n">
        <f aca="false">[1]CALC!N22</f>
        <v>0.712</v>
      </c>
      <c r="F21" s="41" t="n">
        <f aca="false">[1]CALC!O22</f>
        <v>0.55</v>
      </c>
    </row>
    <row r="22" customFormat="false" ht="12.8" hidden="false" customHeight="false" outlineLevel="0" collapsed="false">
      <c r="A22" s="10" t="str">
        <f aca="false">_xlfn.CONCAT($A$1, ".", [1]CALC!A23)</f>
        <v>LSD.RID.0.AR.LFPR.19</v>
      </c>
      <c r="B22" s="23" t="str">
        <f aca="false">_xlfn.CONCAT([1]CALC!B23, ":", [1]CALC!C23)</f>
        <v>Healthcare &amp; Social Assistance:Worker</v>
      </c>
      <c r="C22" s="41" t="n">
        <f aca="false">[1]CALC!L23</f>
        <v>0.605</v>
      </c>
      <c r="D22" s="41" t="n">
        <f aca="false">[1]CALC!M23</f>
        <v>0.665</v>
      </c>
      <c r="E22" s="41" t="n">
        <f aca="false">[1]CALC!N23</f>
        <v>0.74</v>
      </c>
      <c r="F22" s="41" t="n">
        <f aca="false">[1]CALC!O23</f>
        <v>0.59</v>
      </c>
    </row>
    <row r="23" customFormat="false" ht="12.8" hidden="false" customHeight="false" outlineLevel="0" collapsed="false">
      <c r="A23" s="10" t="str">
        <f aca="false">_xlfn.CONCAT($A$1, ".", [1]CALC!A24)</f>
        <v>LSD.RID.0.AR.LFPR.20</v>
      </c>
      <c r="B23" s="23" t="str">
        <f aca="false">_xlfn.CONCAT([1]CALC!B24, ":", [1]CALC!C24)</f>
        <v>Healthcare &amp; Social Assistance:Support</v>
      </c>
      <c r="C23" s="41" t="n">
        <f aca="false">[1]CALC!L24</f>
        <v>0.575</v>
      </c>
      <c r="D23" s="41" t="n">
        <f aca="false">[1]CALC!M24</f>
        <v>0.632</v>
      </c>
      <c r="E23" s="41" t="n">
        <f aca="false">[1]CALC!N24</f>
        <v>0.703</v>
      </c>
      <c r="F23" s="41" t="n">
        <f aca="false">[1]CALC!O24</f>
        <v>0.56</v>
      </c>
    </row>
    <row r="24" customFormat="false" ht="12.8" hidden="false" customHeight="false" outlineLevel="0" collapsed="false">
      <c r="A24" s="10" t="str">
        <f aca="false">_xlfn.CONCAT($A$1, ".", [1]CALC!A25)</f>
        <v>LSD.RID.0.AR.LFPR.21</v>
      </c>
      <c r="B24" s="23" t="str">
        <f aca="false">_xlfn.CONCAT([1]CALC!B25, ":", [1]CALC!C25)</f>
        <v>Professional Services:Worker</v>
      </c>
      <c r="C24" s="41" t="n">
        <f aca="false">[1]CALC!L25</f>
        <v>0.605</v>
      </c>
      <c r="D24" s="41" t="n">
        <f aca="false">[1]CALC!M25</f>
        <v>0.665</v>
      </c>
      <c r="E24" s="41" t="n">
        <f aca="false">[1]CALC!N25</f>
        <v>0.74</v>
      </c>
      <c r="F24" s="41" t="n">
        <f aca="false">[1]CALC!O25</f>
        <v>0.59</v>
      </c>
    </row>
    <row r="25" customFormat="false" ht="12.8" hidden="false" customHeight="false" outlineLevel="0" collapsed="false">
      <c r="A25" s="10" t="str">
        <f aca="false">_xlfn.CONCAT($A$1, ".", [1]CALC!A26)</f>
        <v>LSD.RID.0.AR.LFPR.22</v>
      </c>
      <c r="B25" s="23" t="str">
        <f aca="false">_xlfn.CONCAT([1]CALC!B26, ":", [1]CALC!C26)</f>
        <v>Professional Services:Support</v>
      </c>
      <c r="C25" s="41" t="n">
        <f aca="false">[1]CALC!L26</f>
        <v>0.575</v>
      </c>
      <c r="D25" s="41" t="n">
        <f aca="false">[1]CALC!M26</f>
        <v>0.632</v>
      </c>
      <c r="E25" s="41" t="n">
        <f aca="false">[1]CALC!N26</f>
        <v>0.703</v>
      </c>
      <c r="F25" s="41" t="n">
        <f aca="false">[1]CALC!O26</f>
        <v>0.56</v>
      </c>
    </row>
    <row r="26" customFormat="false" ht="12.8" hidden="false" customHeight="false" outlineLevel="0" collapsed="false">
      <c r="A26" s="10" t="str">
        <f aca="false">_xlfn.CONCAT($A$1, ".", [1]CALC!A27)</f>
        <v>LSD.RID.0.AR.LFPR.23</v>
      </c>
      <c r="B26" s="23" t="str">
        <f aca="false">_xlfn.CONCAT([1]CALC!B27, ":", [1]CALC!C27)</f>
        <v>Educational Services:Worker</v>
      </c>
      <c r="C26" s="41" t="n">
        <f aca="false">[1]CALC!L27</f>
        <v>0.605</v>
      </c>
      <c r="D26" s="41" t="n">
        <f aca="false">[1]CALC!M27</f>
        <v>0.665</v>
      </c>
      <c r="E26" s="41" t="n">
        <f aca="false">[1]CALC!N27</f>
        <v>0.74</v>
      </c>
      <c r="F26" s="41" t="n">
        <f aca="false">[1]CALC!O27</f>
        <v>0.59</v>
      </c>
    </row>
    <row r="27" customFormat="false" ht="12.8" hidden="false" customHeight="false" outlineLevel="0" collapsed="false">
      <c r="A27" s="10" t="str">
        <f aca="false">_xlfn.CONCAT($A$1, ".", [1]CALC!A28)</f>
        <v>LSD.RID.0.AR.LFPR.24</v>
      </c>
      <c r="B27" s="23" t="str">
        <f aca="false">_xlfn.CONCAT([1]CALC!B28, ":", [1]CALC!C28)</f>
        <v>Educational Services:Support</v>
      </c>
      <c r="C27" s="41" t="n">
        <f aca="false">[1]CALC!L28</f>
        <v>0.575</v>
      </c>
      <c r="D27" s="41" t="n">
        <f aca="false">[1]CALC!M28</f>
        <v>0.632</v>
      </c>
      <c r="E27" s="41" t="n">
        <f aca="false">[1]CALC!N28</f>
        <v>0.703</v>
      </c>
      <c r="F27" s="41" t="n">
        <f aca="false">[1]CALC!O28</f>
        <v>0.56</v>
      </c>
    </row>
    <row r="28" customFormat="false" ht="12.8" hidden="false" customHeight="false" outlineLevel="0" collapsed="false">
      <c r="A28" s="10" t="str">
        <f aca="false">_xlfn.CONCAT($A$1, ".", [1]CALC!A29)</f>
        <v>LSD.RID.0.AR.LFPR.25</v>
      </c>
      <c r="B28" s="23" t="str">
        <f aca="false">_xlfn.CONCAT([1]CALC!B29, ":", [1]CALC!C29)</f>
        <v>Finance &amp; Insurance:Worker</v>
      </c>
      <c r="C28" s="41" t="n">
        <f aca="false">[1]CALC!L29</f>
        <v>0.605</v>
      </c>
      <c r="D28" s="41" t="n">
        <f aca="false">[1]CALC!M29</f>
        <v>0.665</v>
      </c>
      <c r="E28" s="41" t="n">
        <f aca="false">[1]CALC!N29</f>
        <v>0.74</v>
      </c>
      <c r="F28" s="41" t="n">
        <f aca="false">[1]CALC!O29</f>
        <v>0.59</v>
      </c>
    </row>
    <row r="29" customFormat="false" ht="12.8" hidden="false" customHeight="false" outlineLevel="0" collapsed="false">
      <c r="A29" s="10" t="str">
        <f aca="false">_xlfn.CONCAT($A$1, ".", [1]CALC!A30)</f>
        <v>LSD.RID.0.AR.LFPR.26</v>
      </c>
      <c r="B29" s="23" t="str">
        <f aca="false">_xlfn.CONCAT([1]CALC!B30, ":", [1]CALC!C30)</f>
        <v>Finance &amp; Insurance:Support</v>
      </c>
      <c r="C29" s="41" t="n">
        <f aca="false">[1]CALC!L30</f>
        <v>0.575</v>
      </c>
      <c r="D29" s="41" t="n">
        <f aca="false">[1]CALC!M30</f>
        <v>0.632</v>
      </c>
      <c r="E29" s="41" t="n">
        <f aca="false">[1]CALC!N30</f>
        <v>0.703</v>
      </c>
      <c r="F29" s="41" t="n">
        <f aca="false">[1]CALC!O30</f>
        <v>0.56</v>
      </c>
    </row>
    <row r="30" customFormat="false" ht="12.8" hidden="false" customHeight="false" outlineLevel="0" collapsed="false">
      <c r="A30" s="10" t="str">
        <f aca="false">_xlfn.CONCAT($A$1, ".", [1]CALC!A31)</f>
        <v>LSD.RID.0.AR.LFPR.27</v>
      </c>
      <c r="B30" s="23" t="str">
        <f aca="false">_xlfn.CONCAT([1]CALC!B31, ":", [1]CALC!C31)</f>
        <v>Media and Information Technology:Worker</v>
      </c>
      <c r="C30" s="41" t="n">
        <f aca="false">[1]CALC!L31</f>
        <v>0.605</v>
      </c>
      <c r="D30" s="41" t="n">
        <f aca="false">[1]CALC!M31</f>
        <v>0.665</v>
      </c>
      <c r="E30" s="41" t="n">
        <f aca="false">[1]CALC!N31</f>
        <v>0.74</v>
      </c>
      <c r="F30" s="41" t="n">
        <f aca="false">[1]CALC!O31</f>
        <v>0.59</v>
      </c>
    </row>
    <row r="31" customFormat="false" ht="12.8" hidden="false" customHeight="false" outlineLevel="0" collapsed="false">
      <c r="A31" s="10" t="str">
        <f aca="false">_xlfn.CONCAT($A$1, ".", [1]CALC!A32)</f>
        <v>LSD.RID.0.AR.LFPR.28</v>
      </c>
      <c r="B31" s="23" t="str">
        <f aca="false">_xlfn.CONCAT([1]CALC!B32, ":", [1]CALC!C32)</f>
        <v>Media and Information Technology:Support</v>
      </c>
      <c r="C31" s="41" t="n">
        <f aca="false">[1]CALC!L32</f>
        <v>0.575</v>
      </c>
      <c r="D31" s="41" t="n">
        <f aca="false">[1]CALC!M32</f>
        <v>0.632</v>
      </c>
      <c r="E31" s="41" t="n">
        <f aca="false">[1]CALC!N32</f>
        <v>0.703</v>
      </c>
      <c r="F31" s="41" t="n">
        <f aca="false">[1]CALC!O32</f>
        <v>0.56</v>
      </c>
    </row>
    <row r="32" customFormat="false" ht="12.8" hidden="false" customHeight="false" outlineLevel="0" collapsed="false">
      <c r="A32" s="10" t="str">
        <f aca="false">_xlfn.CONCAT($A$1, ".", [1]CALC!A33)</f>
        <v>LSD.RID.0.AR.LFPR.29</v>
      </c>
      <c r="B32" s="23" t="str">
        <f aca="false">_xlfn.CONCAT([1]CALC!B33, ":", [1]CALC!C33)</f>
        <v>Government:Worker</v>
      </c>
      <c r="C32" s="41" t="n">
        <f aca="false">[1]CALC!L33</f>
        <v>0.605</v>
      </c>
      <c r="D32" s="41" t="n">
        <f aca="false">[1]CALC!M33</f>
        <v>0.665</v>
      </c>
      <c r="E32" s="41" t="n">
        <f aca="false">[1]CALC!N33</f>
        <v>0.74</v>
      </c>
      <c r="F32" s="41" t="n">
        <f aca="false">[1]CALC!O33</f>
        <v>0.59</v>
      </c>
    </row>
    <row r="33" customFormat="false" ht="12.8" hidden="false" customHeight="false" outlineLevel="0" collapsed="false">
      <c r="A33" s="10" t="str">
        <f aca="false">_xlfn.CONCAT($A$1, ".", [1]CALC!A34)</f>
        <v>LSD.RID.0.AR.LFPR.30</v>
      </c>
      <c r="B33" s="23" t="str">
        <f aca="false">_xlfn.CONCAT([1]CALC!B34, ":", [1]CALC!C34)</f>
        <v>Government:Support</v>
      </c>
      <c r="C33" s="41" t="n">
        <f aca="false">[1]CALC!L34</f>
        <v>0.575</v>
      </c>
      <c r="D33" s="41" t="n">
        <f aca="false">[1]CALC!M34</f>
        <v>0.632</v>
      </c>
      <c r="E33" s="41" t="n">
        <f aca="false">[1]CALC!N34</f>
        <v>0.703</v>
      </c>
      <c r="F33" s="41" t="n">
        <f aca="false">[1]CALC!O34</f>
        <v>0.56</v>
      </c>
    </row>
    <row r="34" customFormat="false" ht="12.8" hidden="false" customHeight="false" outlineLevel="0" collapsed="false">
      <c r="A34" s="10" t="str">
        <f aca="false">_xlfn.CONCAT($A$1, ".", [1]CALC!A35)</f>
        <v>LSD.RID.0.AR.LFPR.31</v>
      </c>
      <c r="B34" s="23" t="str">
        <f aca="false">_xlfn.CONCAT([1]CALC!B35, ":", [1]CALC!C35)</f>
        <v>Self-Employed / Non-Employer:Worker</v>
      </c>
      <c r="C34" s="41" t="n">
        <f aca="false">[1]CALC!L35</f>
        <v>0.65</v>
      </c>
      <c r="D34" s="41" t="n">
        <f aca="false">[1]CALC!M35</f>
        <v>0.7</v>
      </c>
      <c r="E34" s="41" t="n">
        <f aca="false">[1]CALC!N35</f>
        <v>0.75</v>
      </c>
      <c r="F34" s="41" t="n">
        <f aca="false">[1]CALC!O35</f>
        <v>0.64</v>
      </c>
    </row>
    <row r="35" customFormat="false" ht="12.8" hidden="false" customHeight="false" outlineLevel="0" collapsed="false">
      <c r="A35" s="10" t="str">
        <f aca="false">_xlfn.CONCAT($A$1, ".", [1]CALC!A36)</f>
        <v>LSD.RID.0.AR.LFPR.32</v>
      </c>
      <c r="B35" s="23" t="str">
        <f aca="false">_xlfn.CONCAT([1]CALC!B36, ":", [1]CALC!C36)</f>
        <v>Self-Employed / Non-Employer:Support</v>
      </c>
      <c r="C35" s="41" t="n">
        <f aca="false">[1]CALC!L36</f>
        <v>0.552</v>
      </c>
      <c r="D35" s="41" t="n">
        <f aca="false">[1]CALC!M36</f>
        <v>0.595</v>
      </c>
      <c r="E35" s="41" t="n">
        <f aca="false">[1]CALC!N36</f>
        <v>0.637</v>
      </c>
      <c r="F35" s="41" t="n">
        <f aca="false">[1]CALC!O36</f>
        <v>0.544</v>
      </c>
    </row>
    <row r="36" customFormat="false" ht="12.8" hidden="false" customHeight="false" outlineLevel="0" collapsed="false">
      <c r="A36" s="10" t="str">
        <f aca="false">_xlfn.CONCAT($A$1, ".", [1]CALC!A37)</f>
        <v>LSD.RID.0.AR.LFPR.33</v>
      </c>
      <c r="B36" s="23" t="str">
        <f aca="false">_xlfn.CONCAT([1]CALC!B37, ":", [1]CALC!C37)</f>
        <v>Other Services:Worker</v>
      </c>
      <c r="C36" s="41" t="n">
        <f aca="false">[1]CALC!L37</f>
        <v>0.58</v>
      </c>
      <c r="D36" s="41" t="n">
        <f aca="false">[1]CALC!M37</f>
        <v>0.64</v>
      </c>
      <c r="E36" s="41" t="n">
        <f aca="false">[1]CALC!N37</f>
        <v>0.71</v>
      </c>
      <c r="F36" s="41" t="n">
        <f aca="false">[1]CALC!O37</f>
        <v>0.57</v>
      </c>
    </row>
    <row r="37" customFormat="false" ht="12.8" hidden="false" customHeight="false" outlineLevel="0" collapsed="false">
      <c r="A37" s="10" t="str">
        <f aca="false">_xlfn.CONCAT($A$1, ".", [1]CALC!A38)</f>
        <v>LSD.RID.0.AR.LFPR.34</v>
      </c>
      <c r="B37" s="23" t="str">
        <f aca="false">_xlfn.CONCAT([1]CALC!B38, ":", [1]CALC!C38)</f>
        <v>Other Services:Support</v>
      </c>
      <c r="C37" s="41" t="n">
        <f aca="false">[1]CALC!L38</f>
        <v>0.551</v>
      </c>
      <c r="D37" s="41" t="n">
        <f aca="false">[1]CALC!M38</f>
        <v>0.608</v>
      </c>
      <c r="E37" s="41" t="n">
        <f aca="false">[1]CALC!N38</f>
        <v>0.674</v>
      </c>
      <c r="F37" s="41" t="n">
        <f aca="false">[1]CALC!O38</f>
        <v>0.542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83B0"/>
    <pageSetUpPr fitToPage="false"/>
  </sheetPr>
  <dimension ref="A1:BP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3" t="s">
        <v>1133</v>
      </c>
      <c r="B1" s="21" t="s">
        <v>1134</v>
      </c>
      <c r="C1" s="15" t="s">
        <v>2</v>
      </c>
      <c r="D1" s="35" t="s">
        <v>1135</v>
      </c>
      <c r="AZ1" s="13"/>
      <c r="BP1" s="13"/>
    </row>
    <row r="2" customFormat="false" ht="46.25" hidden="false" customHeight="false" outlineLevel="0" collapsed="false">
      <c r="A2" s="22" t="s">
        <v>1128</v>
      </c>
      <c r="B2" s="21" t="s">
        <v>1129</v>
      </c>
      <c r="C2" s="40" t="str">
        <f aca="false">[1]CALC!P3</f>
        <v>Unemployment Rate</v>
      </c>
      <c r="D2" s="40" t="str">
        <f aca="false">[1]CALC!Q3</f>
        <v>Authorized Immigrant Unemployment Rate</v>
      </c>
      <c r="E2" s="40" t="str">
        <f aca="false">[1]CALC!R3</f>
        <v>Unauthorized Immigrant Unemployment Rate</v>
      </c>
      <c r="F2" s="40" t="str">
        <f aca="false">[1]CALC!S3</f>
        <v>American Unemployment Rate</v>
      </c>
    </row>
    <row r="3" customFormat="false" ht="12.8" hidden="false" customHeight="false" outlineLevel="0" collapsed="false">
      <c r="A3" s="3" t="str">
        <f aca="false">_xlfn.CONCAT($A$1, ".", [1]CALC!A4)</f>
        <v>AR.U3R.0</v>
      </c>
      <c r="B3" s="37" t="str">
        <f aca="false">_xlfn.CONCAT([1]CALC!B4, ":", [1]CALC!C4)</f>
        <v>All Industries:All Roles</v>
      </c>
      <c r="C3" s="40" t="n">
        <f aca="false">[1]CALC!P4</f>
        <v>0.027</v>
      </c>
      <c r="D3" s="40" t="n">
        <f aca="false">[1]CALC!Q4</f>
        <v>0.04</v>
      </c>
      <c r="E3" s="40" t="n">
        <f aca="false">[1]CALC!R4</f>
        <v>0.065</v>
      </c>
      <c r="F3" s="40" t="n">
        <f aca="false">[1]CALC!S4</f>
        <v>0.024</v>
      </c>
    </row>
    <row r="4" customFormat="false" ht="12.8" hidden="false" customHeight="false" outlineLevel="0" collapsed="false">
      <c r="A4" s="10" t="str">
        <f aca="false">_xlfn.CONCAT($A$1, ".", [1]CALC!A5)</f>
        <v>AR.U3R.1</v>
      </c>
      <c r="B4" s="23" t="str">
        <f aca="false">_xlfn.CONCAT([1]CALC!B5, ":", [1]CALC!C5)</f>
        <v>Agriculture:Worker</v>
      </c>
      <c r="C4" s="41" t="n">
        <f aca="false">[1]CALC!P5</f>
        <v>0.048</v>
      </c>
      <c r="D4" s="41" t="n">
        <f aca="false">[1]CALC!Q5</f>
        <v>0.07</v>
      </c>
      <c r="E4" s="41" t="n">
        <f aca="false">[1]CALC!R5</f>
        <v>0.11</v>
      </c>
      <c r="F4" s="41" t="n">
        <f aca="false">[1]CALC!S5</f>
        <v>0.045</v>
      </c>
    </row>
    <row r="5" customFormat="false" ht="12.8" hidden="false" customHeight="false" outlineLevel="0" collapsed="false">
      <c r="A5" s="10" t="str">
        <f aca="false">_xlfn.CONCAT($A$1, ".", [1]CALC!A6)</f>
        <v>AR.U3R.2</v>
      </c>
      <c r="B5" s="23" t="str">
        <f aca="false">_xlfn.CONCAT([1]CALC!B6, ":", [1]CALC!C6)</f>
        <v>Agriculture:Support</v>
      </c>
      <c r="C5" s="41" t="n">
        <f aca="false">[1]CALC!P6</f>
        <v>0.048</v>
      </c>
      <c r="D5" s="41" t="n">
        <f aca="false">[1]CALC!Q6</f>
        <v>0.07</v>
      </c>
      <c r="E5" s="41" t="n">
        <f aca="false">[1]CALC!R6</f>
        <v>0.11</v>
      </c>
      <c r="F5" s="41" t="n">
        <f aca="false">[1]CALC!S6</f>
        <v>0.045</v>
      </c>
    </row>
    <row r="6" customFormat="false" ht="12.8" hidden="false" customHeight="false" outlineLevel="0" collapsed="false">
      <c r="A6" s="10" t="str">
        <f aca="false">_xlfn.CONCAT($A$1, ".", [1]CALC!A7)</f>
        <v>AR.U3R.3</v>
      </c>
      <c r="B6" s="23" t="str">
        <f aca="false">_xlfn.CONCAT([1]CALC!B7, ":", [1]CALC!C7)</f>
        <v>Construction:Worker</v>
      </c>
      <c r="C6" s="41" t="n">
        <f aca="false">[1]CALC!P7</f>
        <v>0.033</v>
      </c>
      <c r="D6" s="41" t="n">
        <f aca="false">[1]CALC!Q7</f>
        <v>0.06</v>
      </c>
      <c r="E6" s="41" t="n">
        <f aca="false">[1]CALC!R7</f>
        <v>0.1</v>
      </c>
      <c r="F6" s="41" t="n">
        <f aca="false">[1]CALC!S7</f>
        <v>0.03</v>
      </c>
    </row>
    <row r="7" customFormat="false" ht="12.8" hidden="false" customHeight="false" outlineLevel="0" collapsed="false">
      <c r="A7" s="10" t="str">
        <f aca="false">_xlfn.CONCAT($A$1, ".", [1]CALC!A8)</f>
        <v>AR.U3R.4</v>
      </c>
      <c r="B7" s="23" t="str">
        <f aca="false">_xlfn.CONCAT([1]CALC!B8, ":", [1]CALC!C8)</f>
        <v>Construction:Support</v>
      </c>
      <c r="C7" s="41" t="n">
        <f aca="false">[1]CALC!P8</f>
        <v>0.033</v>
      </c>
      <c r="D7" s="41" t="n">
        <f aca="false">[1]CALC!Q8</f>
        <v>0.06</v>
      </c>
      <c r="E7" s="41" t="n">
        <f aca="false">[1]CALC!R8</f>
        <v>0.1</v>
      </c>
      <c r="F7" s="41" t="n">
        <f aca="false">[1]CALC!S8</f>
        <v>0.03</v>
      </c>
    </row>
    <row r="8" customFormat="false" ht="12.8" hidden="false" customHeight="false" outlineLevel="0" collapsed="false">
      <c r="A8" s="10" t="str">
        <f aca="false">_xlfn.CONCAT($A$1, ".", [1]CALC!A9)</f>
        <v>AR.U3R.5</v>
      </c>
      <c r="B8" s="23" t="str">
        <f aca="false">_xlfn.CONCAT([1]CALC!B9, ":", [1]CALC!C9)</f>
        <v>Hospitality:Worker</v>
      </c>
      <c r="C8" s="41" t="n">
        <f aca="false">[1]CALC!P9</f>
        <v>0.04</v>
      </c>
      <c r="D8" s="41" t="n">
        <f aca="false">[1]CALC!Q9</f>
        <v>0.07</v>
      </c>
      <c r="E8" s="41" t="n">
        <f aca="false">[1]CALC!R9</f>
        <v>0.12</v>
      </c>
      <c r="F8" s="41" t="n">
        <f aca="false">[1]CALC!S9</f>
        <v>0.037</v>
      </c>
    </row>
    <row r="9" customFormat="false" ht="12.8" hidden="false" customHeight="false" outlineLevel="0" collapsed="false">
      <c r="A9" s="10" t="str">
        <f aca="false">_xlfn.CONCAT($A$1, ".", [1]CALC!A10)</f>
        <v>AR.U3R.6</v>
      </c>
      <c r="B9" s="23" t="str">
        <f aca="false">_xlfn.CONCAT([1]CALC!B10, ":", [1]CALC!C10)</f>
        <v>Hospitality:Support</v>
      </c>
      <c r="C9" s="41" t="n">
        <f aca="false">[1]CALC!P10</f>
        <v>0.04</v>
      </c>
      <c r="D9" s="41" t="n">
        <f aca="false">[1]CALC!Q10</f>
        <v>0.07</v>
      </c>
      <c r="E9" s="41" t="n">
        <f aca="false">[1]CALC!R10</f>
        <v>0.12</v>
      </c>
      <c r="F9" s="41" t="n">
        <f aca="false">[1]CALC!S10</f>
        <v>0.037</v>
      </c>
    </row>
    <row r="10" customFormat="false" ht="12.8" hidden="false" customHeight="false" outlineLevel="0" collapsed="false">
      <c r="A10" s="10" t="str">
        <f aca="false">_xlfn.CONCAT($A$1, ".", [1]CALC!A11)</f>
        <v>AR.U3R.7</v>
      </c>
      <c r="B10" s="23" t="str">
        <f aca="false">_xlfn.CONCAT([1]CALC!B11, ":", [1]CALC!C11)</f>
        <v>Cleaning &amp; Maintenance:Worker</v>
      </c>
      <c r="C10" s="41" t="n">
        <f aca="false">[1]CALC!P11</f>
        <v>0.043</v>
      </c>
      <c r="D10" s="41" t="n">
        <f aca="false">[1]CALC!Q11</f>
        <v>0.08</v>
      </c>
      <c r="E10" s="41" t="n">
        <f aca="false">[1]CALC!R11</f>
        <v>0.13</v>
      </c>
      <c r="F10" s="41" t="n">
        <f aca="false">[1]CALC!S11</f>
        <v>0.04</v>
      </c>
    </row>
    <row r="11" customFormat="false" ht="12.8" hidden="false" customHeight="false" outlineLevel="0" collapsed="false">
      <c r="A11" s="10" t="str">
        <f aca="false">_xlfn.CONCAT($A$1, ".", [1]CALC!A12)</f>
        <v>AR.U3R.8</v>
      </c>
      <c r="B11" s="23" t="str">
        <f aca="false">_xlfn.CONCAT([1]CALC!B12, ":", [1]CALC!C12)</f>
        <v>Cleaning &amp; Maintenance:Support</v>
      </c>
      <c r="C11" s="41" t="n">
        <f aca="false">[1]CALC!P12</f>
        <v>0.043</v>
      </c>
      <c r="D11" s="41" t="n">
        <f aca="false">[1]CALC!Q12</f>
        <v>0.08</v>
      </c>
      <c r="E11" s="41" t="n">
        <f aca="false">[1]CALC!R12</f>
        <v>0.13</v>
      </c>
      <c r="F11" s="41" t="n">
        <f aca="false">[1]CALC!S12</f>
        <v>0.04</v>
      </c>
    </row>
    <row r="12" customFormat="false" ht="12.8" hidden="false" customHeight="false" outlineLevel="0" collapsed="false">
      <c r="A12" s="10" t="str">
        <f aca="false">_xlfn.CONCAT($A$1, ".", [1]CALC!A13)</f>
        <v>AR.U3R.9</v>
      </c>
      <c r="B12" s="23" t="str">
        <f aca="false">_xlfn.CONCAT([1]CALC!B13, ":", [1]CALC!C13)</f>
        <v>Manufacturing:Worker</v>
      </c>
      <c r="C12" s="41" t="n">
        <f aca="false">[1]CALC!P13</f>
        <v>0.02</v>
      </c>
      <c r="D12" s="41" t="n">
        <f aca="false">[1]CALC!Q13</f>
        <v>0.04</v>
      </c>
      <c r="E12" s="41" t="n">
        <f aca="false">[1]CALC!R13</f>
        <v>0.07</v>
      </c>
      <c r="F12" s="41" t="n">
        <f aca="false">[1]CALC!S13</f>
        <v>0.018</v>
      </c>
    </row>
    <row r="13" customFormat="false" ht="12.8" hidden="false" customHeight="false" outlineLevel="0" collapsed="false">
      <c r="A13" s="10" t="str">
        <f aca="false">_xlfn.CONCAT($A$1, ".", [1]CALC!A14)</f>
        <v>AR.U3R.10</v>
      </c>
      <c r="B13" s="23" t="str">
        <f aca="false">_xlfn.CONCAT([1]CALC!B14, ":", [1]CALC!C14)</f>
        <v>Manufacturing:Support</v>
      </c>
      <c r="C13" s="41" t="n">
        <f aca="false">[1]CALC!P14</f>
        <v>0.02</v>
      </c>
      <c r="D13" s="41" t="n">
        <f aca="false">[1]CALC!Q14</f>
        <v>0.04</v>
      </c>
      <c r="E13" s="41" t="n">
        <f aca="false">[1]CALC!R14</f>
        <v>0.07</v>
      </c>
      <c r="F13" s="41" t="n">
        <f aca="false">[1]CALC!S14</f>
        <v>0.018</v>
      </c>
    </row>
    <row r="14" customFormat="false" ht="12.8" hidden="false" customHeight="false" outlineLevel="0" collapsed="false">
      <c r="A14" s="10" t="str">
        <f aca="false">_xlfn.CONCAT($A$1, ".", [1]CALC!A15)</f>
        <v>AR.U3R.11</v>
      </c>
      <c r="B14" s="23" t="str">
        <f aca="false">_xlfn.CONCAT([1]CALC!B15, ":", [1]CALC!C15)</f>
        <v>Transportation &amp; Warehousing:Worker</v>
      </c>
      <c r="C14" s="41" t="n">
        <f aca="false">[1]CALC!P15</f>
        <v>0.024</v>
      </c>
      <c r="D14" s="41" t="n">
        <f aca="false">[1]CALC!Q15</f>
        <v>0.05</v>
      </c>
      <c r="E14" s="41" t="n">
        <f aca="false">[1]CALC!R15</f>
        <v>0.08</v>
      </c>
      <c r="F14" s="41" t="n">
        <f aca="false">[1]CALC!S15</f>
        <v>0.022</v>
      </c>
    </row>
    <row r="15" customFormat="false" ht="12.8" hidden="false" customHeight="false" outlineLevel="0" collapsed="false">
      <c r="A15" s="10" t="str">
        <f aca="false">_xlfn.CONCAT($A$1, ".", [1]CALC!A16)</f>
        <v>AR.U3R.12</v>
      </c>
      <c r="B15" s="23" t="str">
        <f aca="false">_xlfn.CONCAT([1]CALC!B16, ":", [1]CALC!C16)</f>
        <v>Transportation &amp; Warehousing:Support</v>
      </c>
      <c r="C15" s="41" t="n">
        <f aca="false">[1]CALC!P16</f>
        <v>0.024</v>
      </c>
      <c r="D15" s="41" t="n">
        <f aca="false">[1]CALC!Q16</f>
        <v>0.05</v>
      </c>
      <c r="E15" s="41" t="n">
        <f aca="false">[1]CALC!R16</f>
        <v>0.08</v>
      </c>
      <c r="F15" s="41" t="n">
        <f aca="false">[1]CALC!S16</f>
        <v>0.022</v>
      </c>
    </row>
    <row r="16" customFormat="false" ht="12.8" hidden="false" customHeight="false" outlineLevel="0" collapsed="false">
      <c r="A16" s="10" t="str">
        <f aca="false">_xlfn.CONCAT($A$1, ".", [1]CALC!A17)</f>
        <v>AR.U3R.13</v>
      </c>
      <c r="B16" s="23" t="str">
        <f aca="false">_xlfn.CONCAT([1]CALC!B17, ":", [1]CALC!C17)</f>
        <v>Retail Trade:Worker</v>
      </c>
      <c r="C16" s="41" t="n">
        <f aca="false">[1]CALC!P17</f>
        <v>0.04</v>
      </c>
      <c r="D16" s="41" t="n">
        <f aca="false">[1]CALC!Q17</f>
        <v>0.07</v>
      </c>
      <c r="E16" s="41" t="n">
        <f aca="false">[1]CALC!R17</f>
        <v>0.12</v>
      </c>
      <c r="F16" s="41" t="n">
        <f aca="false">[1]CALC!S17</f>
        <v>0.037</v>
      </c>
    </row>
    <row r="17" customFormat="false" ht="12.8" hidden="false" customHeight="false" outlineLevel="0" collapsed="false">
      <c r="A17" s="10" t="str">
        <f aca="false">_xlfn.CONCAT($A$1, ".", [1]CALC!A18)</f>
        <v>AR.U3R.14</v>
      </c>
      <c r="B17" s="23" t="str">
        <f aca="false">_xlfn.CONCAT([1]CALC!B18, ":", [1]CALC!C18)</f>
        <v>Retail Trade:Support</v>
      </c>
      <c r="C17" s="41" t="n">
        <f aca="false">[1]CALC!P18</f>
        <v>0.04</v>
      </c>
      <c r="D17" s="41" t="n">
        <f aca="false">[1]CALC!Q18</f>
        <v>0.07</v>
      </c>
      <c r="E17" s="41" t="n">
        <f aca="false">[1]CALC!R18</f>
        <v>0.12</v>
      </c>
      <c r="F17" s="41" t="n">
        <f aca="false">[1]CALC!S18</f>
        <v>0.037</v>
      </c>
    </row>
    <row r="18" customFormat="false" ht="12.8" hidden="false" customHeight="false" outlineLevel="0" collapsed="false">
      <c r="A18" s="10" t="str">
        <f aca="false">_xlfn.CONCAT($A$1, ".", [1]CALC!A19)</f>
        <v>AR.U3R.15</v>
      </c>
      <c r="B18" s="23" t="str">
        <f aca="false">_xlfn.CONCAT([1]CALC!B19, ":", [1]CALC!C19)</f>
        <v>Landscaping / Groundskeeping:Worker</v>
      </c>
      <c r="C18" s="41" t="n">
        <f aca="false">[1]CALC!P19</f>
        <v>0.048</v>
      </c>
      <c r="D18" s="41" t="n">
        <f aca="false">[1]CALC!Q19</f>
        <v>0.07</v>
      </c>
      <c r="E18" s="41" t="n">
        <f aca="false">[1]CALC!R19</f>
        <v>0.11</v>
      </c>
      <c r="F18" s="41" t="n">
        <f aca="false">[1]CALC!S19</f>
        <v>0.045</v>
      </c>
    </row>
    <row r="19" customFormat="false" ht="12.8" hidden="false" customHeight="false" outlineLevel="0" collapsed="false">
      <c r="A19" s="10" t="str">
        <f aca="false">_xlfn.CONCAT($A$1, ".", [1]CALC!A20)</f>
        <v>AR.U3R.16</v>
      </c>
      <c r="B19" s="23" t="str">
        <f aca="false">_xlfn.CONCAT([1]CALC!B20, ":", [1]CALC!C20)</f>
        <v>Landscaping / Groundskeeping:Support</v>
      </c>
      <c r="C19" s="41" t="n">
        <f aca="false">[1]CALC!P20</f>
        <v>0.048</v>
      </c>
      <c r="D19" s="41" t="n">
        <f aca="false">[1]CALC!Q20</f>
        <v>0.07</v>
      </c>
      <c r="E19" s="41" t="n">
        <f aca="false">[1]CALC!R20</f>
        <v>0.11</v>
      </c>
      <c r="F19" s="41" t="n">
        <f aca="false">[1]CALC!S20</f>
        <v>0.045</v>
      </c>
    </row>
    <row r="20" customFormat="false" ht="12.8" hidden="false" customHeight="false" outlineLevel="0" collapsed="false">
      <c r="A20" s="10" t="str">
        <f aca="false">_xlfn.CONCAT($A$1, ".", [1]CALC!A21)</f>
        <v>AR.U3R.17</v>
      </c>
      <c r="B20" s="23" t="str">
        <f aca="false">_xlfn.CONCAT([1]CALC!B21, ":", [1]CALC!C21)</f>
        <v>Automotive &amp; Repair:Worker</v>
      </c>
      <c r="C20" s="41" t="n">
        <f aca="false">[1]CALC!P21</f>
        <v>0.024</v>
      </c>
      <c r="D20" s="41" t="n">
        <f aca="false">[1]CALC!Q21</f>
        <v>0.05</v>
      </c>
      <c r="E20" s="41" t="n">
        <f aca="false">[1]CALC!R21</f>
        <v>0.08</v>
      </c>
      <c r="F20" s="41" t="n">
        <f aca="false">[1]CALC!S21</f>
        <v>0.022</v>
      </c>
    </row>
    <row r="21" customFormat="false" ht="12.8" hidden="false" customHeight="false" outlineLevel="0" collapsed="false">
      <c r="A21" s="10" t="str">
        <f aca="false">_xlfn.CONCAT($A$1, ".", [1]CALC!A22)</f>
        <v>AR.U3R.18</v>
      </c>
      <c r="B21" s="23" t="str">
        <f aca="false">_xlfn.CONCAT([1]CALC!B22, ":", [1]CALC!C22)</f>
        <v>Automotive &amp; Repair:Support</v>
      </c>
      <c r="C21" s="41" t="n">
        <f aca="false">[1]CALC!P22</f>
        <v>0.024</v>
      </c>
      <c r="D21" s="41" t="n">
        <f aca="false">[1]CALC!Q22</f>
        <v>0.05</v>
      </c>
      <c r="E21" s="41" t="n">
        <f aca="false">[1]CALC!R22</f>
        <v>0.08</v>
      </c>
      <c r="F21" s="41" t="n">
        <f aca="false">[1]CALC!S22</f>
        <v>0.022</v>
      </c>
    </row>
    <row r="22" customFormat="false" ht="12.8" hidden="false" customHeight="false" outlineLevel="0" collapsed="false">
      <c r="A22" s="10" t="str">
        <f aca="false">_xlfn.CONCAT($A$1, ".", [1]CALC!A23)</f>
        <v>AR.U3R.19</v>
      </c>
      <c r="B22" s="23" t="str">
        <f aca="false">_xlfn.CONCAT([1]CALC!B23, ":", [1]CALC!C23)</f>
        <v>Healthcare &amp; Social Assistance:Worker</v>
      </c>
      <c r="C22" s="41" t="n">
        <f aca="false">[1]CALC!P23</f>
        <v>0.02</v>
      </c>
      <c r="D22" s="41" t="n">
        <f aca="false">[1]CALC!Q23</f>
        <v>0.04</v>
      </c>
      <c r="E22" s="41" t="n">
        <f aca="false">[1]CALC!R23</f>
        <v>0.07</v>
      </c>
      <c r="F22" s="41" t="n">
        <f aca="false">[1]CALC!S23</f>
        <v>0.018</v>
      </c>
    </row>
    <row r="23" customFormat="false" ht="12.8" hidden="false" customHeight="false" outlineLevel="0" collapsed="false">
      <c r="A23" s="10" t="str">
        <f aca="false">_xlfn.CONCAT($A$1, ".", [1]CALC!A24)</f>
        <v>AR.U3R.20</v>
      </c>
      <c r="B23" s="23" t="str">
        <f aca="false">_xlfn.CONCAT([1]CALC!B24, ":", [1]CALC!C24)</f>
        <v>Healthcare &amp; Social Assistance:Support</v>
      </c>
      <c r="C23" s="41" t="n">
        <f aca="false">[1]CALC!P24</f>
        <v>0.02</v>
      </c>
      <c r="D23" s="41" t="n">
        <f aca="false">[1]CALC!Q24</f>
        <v>0.04</v>
      </c>
      <c r="E23" s="41" t="n">
        <f aca="false">[1]CALC!R24</f>
        <v>0.07</v>
      </c>
      <c r="F23" s="41" t="n">
        <f aca="false">[1]CALC!S24</f>
        <v>0.018</v>
      </c>
    </row>
    <row r="24" customFormat="false" ht="12.8" hidden="false" customHeight="false" outlineLevel="0" collapsed="false">
      <c r="A24" s="10" t="str">
        <f aca="false">_xlfn.CONCAT($A$1, ".", [1]CALC!A25)</f>
        <v>AR.U3R.21</v>
      </c>
      <c r="B24" s="23" t="str">
        <f aca="false">_xlfn.CONCAT([1]CALC!B25, ":", [1]CALC!C25)</f>
        <v>Professional Services:Worker</v>
      </c>
      <c r="C24" s="41" t="n">
        <f aca="false">[1]CALC!P25</f>
        <v>0.02</v>
      </c>
      <c r="D24" s="41" t="n">
        <f aca="false">[1]CALC!Q25</f>
        <v>0.04</v>
      </c>
      <c r="E24" s="41" t="n">
        <f aca="false">[1]CALC!R25</f>
        <v>0.07</v>
      </c>
      <c r="F24" s="41" t="n">
        <f aca="false">[1]CALC!S25</f>
        <v>0.018</v>
      </c>
    </row>
    <row r="25" customFormat="false" ht="12.8" hidden="false" customHeight="false" outlineLevel="0" collapsed="false">
      <c r="A25" s="10" t="str">
        <f aca="false">_xlfn.CONCAT($A$1, ".", [1]CALC!A26)</f>
        <v>AR.U3R.22</v>
      </c>
      <c r="B25" s="23" t="str">
        <f aca="false">_xlfn.CONCAT([1]CALC!B26, ":", [1]CALC!C26)</f>
        <v>Professional Services:Support</v>
      </c>
      <c r="C25" s="41" t="n">
        <f aca="false">[1]CALC!P26</f>
        <v>0.02</v>
      </c>
      <c r="D25" s="41" t="n">
        <f aca="false">[1]CALC!Q26</f>
        <v>0.04</v>
      </c>
      <c r="E25" s="41" t="n">
        <f aca="false">[1]CALC!R26</f>
        <v>0.07</v>
      </c>
      <c r="F25" s="41" t="n">
        <f aca="false">[1]CALC!S26</f>
        <v>0.018</v>
      </c>
    </row>
    <row r="26" customFormat="false" ht="12.8" hidden="false" customHeight="false" outlineLevel="0" collapsed="false">
      <c r="A26" s="10" t="str">
        <f aca="false">_xlfn.CONCAT($A$1, ".", [1]CALC!A27)</f>
        <v>AR.U3R.23</v>
      </c>
      <c r="B26" s="23" t="str">
        <f aca="false">_xlfn.CONCAT([1]CALC!B27, ":", [1]CALC!C27)</f>
        <v>Educational Services:Worker</v>
      </c>
      <c r="C26" s="41" t="n">
        <f aca="false">[1]CALC!P27</f>
        <v>0.02</v>
      </c>
      <c r="D26" s="41" t="n">
        <f aca="false">[1]CALC!Q27</f>
        <v>0.04</v>
      </c>
      <c r="E26" s="41" t="n">
        <f aca="false">[1]CALC!R27</f>
        <v>0.07</v>
      </c>
      <c r="F26" s="41" t="n">
        <f aca="false">[1]CALC!S27</f>
        <v>0.018</v>
      </c>
    </row>
    <row r="27" customFormat="false" ht="12.8" hidden="false" customHeight="false" outlineLevel="0" collapsed="false">
      <c r="A27" s="10" t="str">
        <f aca="false">_xlfn.CONCAT($A$1, ".", [1]CALC!A28)</f>
        <v>AR.U3R.24</v>
      </c>
      <c r="B27" s="23" t="str">
        <f aca="false">_xlfn.CONCAT([1]CALC!B28, ":", [1]CALC!C28)</f>
        <v>Educational Services:Support</v>
      </c>
      <c r="C27" s="41" t="n">
        <f aca="false">[1]CALC!P28</f>
        <v>0.02</v>
      </c>
      <c r="D27" s="41" t="n">
        <f aca="false">[1]CALC!Q28</f>
        <v>0.04</v>
      </c>
      <c r="E27" s="41" t="n">
        <f aca="false">[1]CALC!R28</f>
        <v>0.07</v>
      </c>
      <c r="F27" s="41" t="n">
        <f aca="false">[1]CALC!S28</f>
        <v>0.018</v>
      </c>
    </row>
    <row r="28" customFormat="false" ht="12.8" hidden="false" customHeight="false" outlineLevel="0" collapsed="false">
      <c r="A28" s="10" t="str">
        <f aca="false">_xlfn.CONCAT($A$1, ".", [1]CALC!A29)</f>
        <v>AR.U3R.25</v>
      </c>
      <c r="B28" s="23" t="str">
        <f aca="false">_xlfn.CONCAT([1]CALC!B29, ":", [1]CALC!C29)</f>
        <v>Finance &amp; Insurance:Worker</v>
      </c>
      <c r="C28" s="41" t="n">
        <f aca="false">[1]CALC!P29</f>
        <v>0.02</v>
      </c>
      <c r="D28" s="41" t="n">
        <f aca="false">[1]CALC!Q29</f>
        <v>0.04</v>
      </c>
      <c r="E28" s="41" t="n">
        <f aca="false">[1]CALC!R29</f>
        <v>0.07</v>
      </c>
      <c r="F28" s="41" t="n">
        <f aca="false">[1]CALC!S29</f>
        <v>0.018</v>
      </c>
    </row>
    <row r="29" customFormat="false" ht="12.8" hidden="false" customHeight="false" outlineLevel="0" collapsed="false">
      <c r="A29" s="10" t="str">
        <f aca="false">_xlfn.CONCAT($A$1, ".", [1]CALC!A30)</f>
        <v>AR.U3R.26</v>
      </c>
      <c r="B29" s="23" t="str">
        <f aca="false">_xlfn.CONCAT([1]CALC!B30, ":", [1]CALC!C30)</f>
        <v>Finance &amp; Insurance:Support</v>
      </c>
      <c r="C29" s="41" t="n">
        <f aca="false">[1]CALC!P30</f>
        <v>0.02</v>
      </c>
      <c r="D29" s="41" t="n">
        <f aca="false">[1]CALC!Q30</f>
        <v>0.04</v>
      </c>
      <c r="E29" s="41" t="n">
        <f aca="false">[1]CALC!R30</f>
        <v>0.07</v>
      </c>
      <c r="F29" s="41" t="n">
        <f aca="false">[1]CALC!S30</f>
        <v>0.018</v>
      </c>
    </row>
    <row r="30" customFormat="false" ht="12.8" hidden="false" customHeight="false" outlineLevel="0" collapsed="false">
      <c r="A30" s="10" t="str">
        <f aca="false">_xlfn.CONCAT($A$1, ".", [1]CALC!A31)</f>
        <v>AR.U3R.27</v>
      </c>
      <c r="B30" s="23" t="str">
        <f aca="false">_xlfn.CONCAT([1]CALC!B31, ":", [1]CALC!C31)</f>
        <v>Media and Information Technology:Worker</v>
      </c>
      <c r="C30" s="41" t="n">
        <f aca="false">[1]CALC!P31</f>
        <v>0.02</v>
      </c>
      <c r="D30" s="41" t="n">
        <f aca="false">[1]CALC!Q31</f>
        <v>0.04</v>
      </c>
      <c r="E30" s="41" t="n">
        <f aca="false">[1]CALC!R31</f>
        <v>0.07</v>
      </c>
      <c r="F30" s="41" t="n">
        <f aca="false">[1]CALC!S31</f>
        <v>0.018</v>
      </c>
    </row>
    <row r="31" customFormat="false" ht="12.8" hidden="false" customHeight="false" outlineLevel="0" collapsed="false">
      <c r="A31" s="10" t="str">
        <f aca="false">_xlfn.CONCAT($A$1, ".", [1]CALC!A32)</f>
        <v>AR.U3R.28</v>
      </c>
      <c r="B31" s="23" t="str">
        <f aca="false">_xlfn.CONCAT([1]CALC!B32, ":", [1]CALC!C32)</f>
        <v>Media and Information Technology:Support</v>
      </c>
      <c r="C31" s="41" t="n">
        <f aca="false">[1]CALC!P32</f>
        <v>0.02</v>
      </c>
      <c r="D31" s="41" t="n">
        <f aca="false">[1]CALC!Q32</f>
        <v>0.04</v>
      </c>
      <c r="E31" s="41" t="n">
        <f aca="false">[1]CALC!R32</f>
        <v>0.07</v>
      </c>
      <c r="F31" s="41" t="n">
        <f aca="false">[1]CALC!S32</f>
        <v>0.018</v>
      </c>
    </row>
    <row r="32" customFormat="false" ht="12.8" hidden="false" customHeight="false" outlineLevel="0" collapsed="false">
      <c r="A32" s="10" t="str">
        <f aca="false">_xlfn.CONCAT($A$1, ".", [1]CALC!A33)</f>
        <v>AR.U3R.29</v>
      </c>
      <c r="B32" s="23" t="str">
        <f aca="false">_xlfn.CONCAT([1]CALC!B33, ":", [1]CALC!C33)</f>
        <v>Government:Worker</v>
      </c>
      <c r="C32" s="41" t="n">
        <f aca="false">[1]CALC!P33</f>
        <v>0.02</v>
      </c>
      <c r="D32" s="41" t="n">
        <f aca="false">[1]CALC!Q33</f>
        <v>0.04</v>
      </c>
      <c r="E32" s="41" t="n">
        <f aca="false">[1]CALC!R33</f>
        <v>0.07</v>
      </c>
      <c r="F32" s="41" t="n">
        <f aca="false">[1]CALC!S33</f>
        <v>0.018</v>
      </c>
    </row>
    <row r="33" customFormat="false" ht="12.8" hidden="false" customHeight="false" outlineLevel="0" collapsed="false">
      <c r="A33" s="10" t="str">
        <f aca="false">_xlfn.CONCAT($A$1, ".", [1]CALC!A34)</f>
        <v>AR.U3R.30</v>
      </c>
      <c r="B33" s="23" t="str">
        <f aca="false">_xlfn.CONCAT([1]CALC!B34, ":", [1]CALC!C34)</f>
        <v>Government:Support</v>
      </c>
      <c r="C33" s="41" t="n">
        <f aca="false">[1]CALC!P34</f>
        <v>0.02</v>
      </c>
      <c r="D33" s="41" t="n">
        <f aca="false">[1]CALC!Q34</f>
        <v>0.04</v>
      </c>
      <c r="E33" s="41" t="n">
        <f aca="false">[1]CALC!R34</f>
        <v>0.07</v>
      </c>
      <c r="F33" s="41" t="n">
        <f aca="false">[1]CALC!S34</f>
        <v>0.018</v>
      </c>
    </row>
    <row r="34" customFormat="false" ht="12.8" hidden="false" customHeight="false" outlineLevel="0" collapsed="false">
      <c r="A34" s="10" t="str">
        <f aca="false">_xlfn.CONCAT($A$1, ".", [1]CALC!A35)</f>
        <v>AR.U3R.31</v>
      </c>
      <c r="B34" s="23" t="str">
        <f aca="false">_xlfn.CONCAT([1]CALC!B35, ":", [1]CALC!C35)</f>
        <v>Self-Employed / Non-Employer:Worker</v>
      </c>
      <c r="C34" s="41" t="n">
        <f aca="false">[1]CALC!P35</f>
        <v>0.035</v>
      </c>
      <c r="D34" s="41" t="n">
        <f aca="false">[1]CALC!Q35</f>
        <v>0.045</v>
      </c>
      <c r="E34" s="41" t="n">
        <f aca="false">[1]CALC!R35</f>
        <v>0.06</v>
      </c>
      <c r="F34" s="41" t="n">
        <f aca="false">[1]CALC!S35</f>
        <v>0.035</v>
      </c>
    </row>
    <row r="35" customFormat="false" ht="12.8" hidden="false" customHeight="false" outlineLevel="0" collapsed="false">
      <c r="A35" s="10" t="str">
        <f aca="false">_xlfn.CONCAT($A$1, ".", [1]CALC!A36)</f>
        <v>AR.U3R.32</v>
      </c>
      <c r="B35" s="23" t="str">
        <f aca="false">_xlfn.CONCAT([1]CALC!B36, ":", [1]CALC!C36)</f>
        <v>Self-Employed / Non-Employer:Support</v>
      </c>
      <c r="C35" s="41" t="n">
        <f aca="false">[1]CALC!P36</f>
        <v>0.035</v>
      </c>
      <c r="D35" s="41" t="n">
        <f aca="false">[1]CALC!Q36</f>
        <v>0.045</v>
      </c>
      <c r="E35" s="41" t="n">
        <f aca="false">[1]CALC!R36</f>
        <v>0.06</v>
      </c>
      <c r="F35" s="41" t="n">
        <f aca="false">[1]CALC!S36</f>
        <v>0.035</v>
      </c>
    </row>
    <row r="36" customFormat="false" ht="12.8" hidden="false" customHeight="false" outlineLevel="0" collapsed="false">
      <c r="A36" s="10" t="str">
        <f aca="false">_xlfn.CONCAT($A$1, ".", [1]CALC!A37)</f>
        <v>AR.U3R.33</v>
      </c>
      <c r="B36" s="23" t="str">
        <f aca="false">_xlfn.CONCAT([1]CALC!B37, ":", [1]CALC!C37)</f>
        <v>Other Services:Worker</v>
      </c>
      <c r="C36" s="41" t="n">
        <f aca="false">[1]CALC!P37</f>
        <v>0.04</v>
      </c>
      <c r="D36" s="41" t="n">
        <f aca="false">[1]CALC!Q37</f>
        <v>0.07</v>
      </c>
      <c r="E36" s="41" t="n">
        <f aca="false">[1]CALC!R37</f>
        <v>0.12</v>
      </c>
      <c r="F36" s="41" t="n">
        <f aca="false">[1]CALC!S37</f>
        <v>0.037</v>
      </c>
    </row>
    <row r="37" customFormat="false" ht="12.8" hidden="false" customHeight="false" outlineLevel="0" collapsed="false">
      <c r="A37" s="10" t="str">
        <f aca="false">_xlfn.CONCAT($A$1, ".", [1]CALC!A38)</f>
        <v>AR.U3R.34</v>
      </c>
      <c r="B37" s="23" t="str">
        <f aca="false">_xlfn.CONCAT([1]CALC!B38, ":", [1]CALC!C38)</f>
        <v>Other Services:Support</v>
      </c>
      <c r="C37" s="41" t="n">
        <f aca="false">[1]CALC!P38</f>
        <v>0.04</v>
      </c>
      <c r="D37" s="41" t="n">
        <f aca="false">[1]CALC!Q38</f>
        <v>0.07</v>
      </c>
      <c r="E37" s="41" t="n">
        <f aca="false">[1]CALC!R38</f>
        <v>0.12</v>
      </c>
      <c r="F37" s="41" t="n">
        <f aca="false">[1]CALC!S38</f>
        <v>0.037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3" t="s">
        <v>1136</v>
      </c>
      <c r="B1" s="21" t="s">
        <v>1137</v>
      </c>
      <c r="C1" s="15" t="s">
        <v>2</v>
      </c>
      <c r="D1" s="35" t="s">
        <v>1138</v>
      </c>
      <c r="AZ1" s="13"/>
      <c r="BP1" s="13"/>
    </row>
    <row r="2" customFormat="false" ht="46.25" hidden="false" customHeight="false" outlineLevel="0" collapsed="false">
      <c r="A2" s="22" t="s">
        <v>1128</v>
      </c>
      <c r="B2" s="21" t="s">
        <v>1129</v>
      </c>
      <c r="C2" s="40" t="str">
        <f aca="false">[1]CALC!T3</f>
        <v>Underemployment Rate</v>
      </c>
      <c r="D2" s="40" t="str">
        <f aca="false">[1]CALC!U3</f>
        <v>Authorized Immigrant Underemployment Rate</v>
      </c>
      <c r="E2" s="40" t="str">
        <f aca="false">[1]CALC!V3</f>
        <v>Unauthorized Immigrant Underemployment Rate</v>
      </c>
      <c r="F2" s="40" t="str">
        <f aca="false">[1]CALC!W3</f>
        <v>American Underemployment Rate</v>
      </c>
    </row>
    <row r="3" customFormat="false" ht="12.8" hidden="false" customHeight="false" outlineLevel="0" collapsed="false">
      <c r="A3" s="3" t="str">
        <f aca="false">_xlfn.CONCAT($A$1, ".", [1]CALC!A4)</f>
        <v>AR.U6R.0</v>
      </c>
      <c r="B3" s="37" t="str">
        <f aca="false">_xlfn.CONCAT([1]CALC!B4, ":", [1]CALC!C4)</f>
        <v>All Industries:All Roles</v>
      </c>
      <c r="C3" s="40" t="n">
        <f aca="false">[1]CALC!T4</f>
        <v>0.053</v>
      </c>
      <c r="D3" s="40" t="n">
        <f aca="false">[1]CALC!U4</f>
        <v>0.058</v>
      </c>
      <c r="E3" s="40" t="n">
        <f aca="false">[1]CALC!V4</f>
        <v>0.088</v>
      </c>
      <c r="F3" s="40" t="n">
        <f aca="false">[1]CALC!W4</f>
        <v>0.049</v>
      </c>
    </row>
    <row r="4" customFormat="false" ht="12.8" hidden="false" customHeight="false" outlineLevel="0" collapsed="false">
      <c r="A4" s="10" t="str">
        <f aca="false">_xlfn.CONCAT($A$1, ".", [1]CALC!A5)</f>
        <v>AR.U6R.1</v>
      </c>
      <c r="B4" s="23" t="str">
        <f aca="false">_xlfn.CONCAT([1]CALC!B5, ":", [1]CALC!C5)</f>
        <v>Agriculture:Worker</v>
      </c>
      <c r="C4" s="41" t="n">
        <f aca="false">[1]CALC!T5</f>
        <v>0.093</v>
      </c>
      <c r="D4" s="41" t="n">
        <f aca="false">[1]CALC!U5</f>
        <v>0.108</v>
      </c>
      <c r="E4" s="41" t="n">
        <f aca="false">[1]CALC!V5</f>
        <v>0.155</v>
      </c>
      <c r="F4" s="41" t="n">
        <f aca="false">[1]CALC!W5</f>
        <v>0.089</v>
      </c>
    </row>
    <row r="5" customFormat="false" ht="12.8" hidden="false" customHeight="false" outlineLevel="0" collapsed="false">
      <c r="A5" s="10" t="str">
        <f aca="false">_xlfn.CONCAT($A$1, ".", [1]CALC!A6)</f>
        <v>AR.U6R.2</v>
      </c>
      <c r="B5" s="23" t="str">
        <f aca="false">_xlfn.CONCAT([1]CALC!B6, ":", [1]CALC!C6)</f>
        <v>Agriculture:Support</v>
      </c>
      <c r="C5" s="41" t="n">
        <f aca="false">[1]CALC!T6</f>
        <v>0.093</v>
      </c>
      <c r="D5" s="41" t="n">
        <f aca="false">[1]CALC!U6</f>
        <v>0.108</v>
      </c>
      <c r="E5" s="41" t="n">
        <f aca="false">[1]CALC!V6</f>
        <v>0.155</v>
      </c>
      <c r="F5" s="41" t="n">
        <f aca="false">[1]CALC!W6</f>
        <v>0.089</v>
      </c>
    </row>
    <row r="6" customFormat="false" ht="12.8" hidden="false" customHeight="false" outlineLevel="0" collapsed="false">
      <c r="A6" s="10" t="str">
        <f aca="false">_xlfn.CONCAT($A$1, ".", [1]CALC!A7)</f>
        <v>AR.U6R.3</v>
      </c>
      <c r="B6" s="23" t="str">
        <f aca="false">_xlfn.CONCAT([1]CALC!B7, ":", [1]CALC!C7)</f>
        <v>Construction:Worker</v>
      </c>
      <c r="C6" s="41" t="n">
        <f aca="false">[1]CALC!T7</f>
        <v>0.046</v>
      </c>
      <c r="D6" s="41" t="n">
        <f aca="false">[1]CALC!U7</f>
        <v>0.066</v>
      </c>
      <c r="E6" s="41" t="n">
        <f aca="false">[1]CALC!V7</f>
        <v>0.11</v>
      </c>
      <c r="F6" s="41" t="n">
        <f aca="false">[1]CALC!W7</f>
        <v>0.042</v>
      </c>
    </row>
    <row r="7" customFormat="false" ht="12.8" hidden="false" customHeight="false" outlineLevel="0" collapsed="false">
      <c r="A7" s="10" t="str">
        <f aca="false">_xlfn.CONCAT($A$1, ".", [1]CALC!A8)</f>
        <v>AR.U6R.4</v>
      </c>
      <c r="B7" s="23" t="str">
        <f aca="false">_xlfn.CONCAT([1]CALC!B8, ":", [1]CALC!C8)</f>
        <v>Construction:Support</v>
      </c>
      <c r="C7" s="41" t="n">
        <f aca="false">[1]CALC!T8</f>
        <v>0.046</v>
      </c>
      <c r="D7" s="41" t="n">
        <f aca="false">[1]CALC!U8</f>
        <v>0.066</v>
      </c>
      <c r="E7" s="41" t="n">
        <f aca="false">[1]CALC!V8</f>
        <v>0.11</v>
      </c>
      <c r="F7" s="41" t="n">
        <f aca="false">[1]CALC!W8</f>
        <v>0.042</v>
      </c>
    </row>
    <row r="8" customFormat="false" ht="12.8" hidden="false" customHeight="false" outlineLevel="0" collapsed="false">
      <c r="A8" s="10" t="str">
        <f aca="false">_xlfn.CONCAT($A$1, ".", [1]CALC!A9)</f>
        <v>AR.U6R.5</v>
      </c>
      <c r="B8" s="23" t="str">
        <f aca="false">_xlfn.CONCAT([1]CALC!B9, ":", [1]CALC!C9)</f>
        <v>Hospitality:Worker</v>
      </c>
      <c r="C8" s="41" t="n">
        <f aca="false">[1]CALC!T9</f>
        <v>0.072</v>
      </c>
      <c r="D8" s="41" t="n">
        <f aca="false">[1]CALC!U9</f>
        <v>0.095</v>
      </c>
      <c r="E8" s="41" t="n">
        <f aca="false">[1]CALC!V9</f>
        <v>0.162</v>
      </c>
      <c r="F8" s="41" t="n">
        <f aca="false">[1]CALC!W9</f>
        <v>0.069</v>
      </c>
    </row>
    <row r="9" customFormat="false" ht="12.8" hidden="false" customHeight="false" outlineLevel="0" collapsed="false">
      <c r="A9" s="10" t="str">
        <f aca="false">_xlfn.CONCAT($A$1, ".", [1]CALC!A10)</f>
        <v>AR.U6R.6</v>
      </c>
      <c r="B9" s="23" t="str">
        <f aca="false">_xlfn.CONCAT([1]CALC!B10, ":", [1]CALC!C10)</f>
        <v>Hospitality:Support</v>
      </c>
      <c r="C9" s="41" t="n">
        <f aca="false">[1]CALC!T10</f>
        <v>0.072</v>
      </c>
      <c r="D9" s="41" t="n">
        <f aca="false">[1]CALC!U10</f>
        <v>0.095</v>
      </c>
      <c r="E9" s="41" t="n">
        <f aca="false">[1]CALC!V10</f>
        <v>0.162</v>
      </c>
      <c r="F9" s="41" t="n">
        <f aca="false">[1]CALC!W10</f>
        <v>0.069</v>
      </c>
    </row>
    <row r="10" customFormat="false" ht="12.8" hidden="false" customHeight="false" outlineLevel="0" collapsed="false">
      <c r="A10" s="10" t="str">
        <f aca="false">_xlfn.CONCAT($A$1, ".", [1]CALC!A11)</f>
        <v>AR.U6R.7</v>
      </c>
      <c r="B10" s="23" t="str">
        <f aca="false">_xlfn.CONCAT([1]CALC!B11, ":", [1]CALC!C11)</f>
        <v>Cleaning &amp; Maintenance:Worker</v>
      </c>
      <c r="C10" s="41" t="n">
        <f aca="false">[1]CALC!T11</f>
        <v>0.1</v>
      </c>
      <c r="D10" s="41" t="n">
        <f aca="false">[1]CALC!U11</f>
        <v>0.132</v>
      </c>
      <c r="E10" s="41" t="n">
        <f aca="false">[1]CALC!V11</f>
        <v>0.221</v>
      </c>
      <c r="F10" s="41" t="n">
        <f aca="false">[1]CALC!W11</f>
        <v>0.095</v>
      </c>
    </row>
    <row r="11" customFormat="false" ht="12.8" hidden="false" customHeight="false" outlineLevel="0" collapsed="false">
      <c r="A11" s="10" t="str">
        <f aca="false">_xlfn.CONCAT($A$1, ".", [1]CALC!A12)</f>
        <v>AR.U6R.8</v>
      </c>
      <c r="B11" s="23" t="str">
        <f aca="false">_xlfn.CONCAT([1]CALC!B12, ":", [1]CALC!C12)</f>
        <v>Cleaning &amp; Maintenance:Support</v>
      </c>
      <c r="C11" s="41" t="n">
        <f aca="false">[1]CALC!T12</f>
        <v>0.1</v>
      </c>
      <c r="D11" s="41" t="n">
        <f aca="false">[1]CALC!U12</f>
        <v>0.132</v>
      </c>
      <c r="E11" s="41" t="n">
        <f aca="false">[1]CALC!V12</f>
        <v>0.221</v>
      </c>
      <c r="F11" s="41" t="n">
        <f aca="false">[1]CALC!W12</f>
        <v>0.095</v>
      </c>
    </row>
    <row r="12" customFormat="false" ht="12.8" hidden="false" customHeight="false" outlineLevel="0" collapsed="false">
      <c r="A12" s="10" t="str">
        <f aca="false">_xlfn.CONCAT($A$1, ".", [1]CALC!A13)</f>
        <v>AR.U6R.9</v>
      </c>
      <c r="B12" s="23" t="str">
        <f aca="false">_xlfn.CONCAT([1]CALC!B13, ":", [1]CALC!C13)</f>
        <v>Manufacturing:Worker</v>
      </c>
      <c r="C12" s="41" t="n">
        <f aca="false">[1]CALC!T13</f>
        <v>0.031</v>
      </c>
      <c r="D12" s="41" t="n">
        <f aca="false">[1]CALC!U13</f>
        <v>0.037</v>
      </c>
      <c r="E12" s="41" t="n">
        <f aca="false">[1]CALC!V13</f>
        <v>0.078</v>
      </c>
      <c r="F12" s="41" t="n">
        <f aca="false">[1]CALC!W13</f>
        <v>0.03</v>
      </c>
    </row>
    <row r="13" customFormat="false" ht="12.8" hidden="false" customHeight="false" outlineLevel="0" collapsed="false">
      <c r="A13" s="10" t="str">
        <f aca="false">_xlfn.CONCAT($A$1, ".", [1]CALC!A14)</f>
        <v>AR.U6R.10</v>
      </c>
      <c r="B13" s="23" t="str">
        <f aca="false">_xlfn.CONCAT([1]CALC!B14, ":", [1]CALC!C14)</f>
        <v>Manufacturing:Support</v>
      </c>
      <c r="C13" s="41" t="n">
        <f aca="false">[1]CALC!T14</f>
        <v>0.031</v>
      </c>
      <c r="D13" s="41" t="n">
        <f aca="false">[1]CALC!U14</f>
        <v>0.037</v>
      </c>
      <c r="E13" s="41" t="n">
        <f aca="false">[1]CALC!V14</f>
        <v>0.078</v>
      </c>
      <c r="F13" s="41" t="n">
        <f aca="false">[1]CALC!W14</f>
        <v>0.03</v>
      </c>
    </row>
    <row r="14" customFormat="false" ht="12.8" hidden="false" customHeight="false" outlineLevel="0" collapsed="false">
      <c r="A14" s="10" t="str">
        <f aca="false">_xlfn.CONCAT($A$1, ".", [1]CALC!A15)</f>
        <v>AR.U6R.11</v>
      </c>
      <c r="B14" s="23" t="str">
        <f aca="false">_xlfn.CONCAT([1]CALC!B15, ":", [1]CALC!C15)</f>
        <v>Transportation &amp; Warehousing:Worker</v>
      </c>
      <c r="C14" s="41" t="n">
        <f aca="false">[1]CALC!T15</f>
        <v>0.037</v>
      </c>
      <c r="D14" s="41" t="n">
        <f aca="false">[1]CALC!U15</f>
        <v>0.046</v>
      </c>
      <c r="E14" s="41" t="n">
        <f aca="false">[1]CALC!V15</f>
        <v>0.084</v>
      </c>
      <c r="F14" s="41" t="n">
        <f aca="false">[1]CALC!W15</f>
        <v>0.034</v>
      </c>
    </row>
    <row r="15" customFormat="false" ht="12.8" hidden="false" customHeight="false" outlineLevel="0" collapsed="false">
      <c r="A15" s="10" t="str">
        <f aca="false">_xlfn.CONCAT($A$1, ".", [1]CALC!A16)</f>
        <v>AR.U6R.12</v>
      </c>
      <c r="B15" s="23" t="str">
        <f aca="false">_xlfn.CONCAT([1]CALC!B16, ":", [1]CALC!C16)</f>
        <v>Transportation &amp; Warehousing:Support</v>
      </c>
      <c r="C15" s="41" t="n">
        <f aca="false">[1]CALC!T16</f>
        <v>0.037</v>
      </c>
      <c r="D15" s="41" t="n">
        <f aca="false">[1]CALC!U16</f>
        <v>0.046</v>
      </c>
      <c r="E15" s="41" t="n">
        <f aca="false">[1]CALC!V16</f>
        <v>0.084</v>
      </c>
      <c r="F15" s="41" t="n">
        <f aca="false">[1]CALC!W16</f>
        <v>0.034</v>
      </c>
    </row>
    <row r="16" customFormat="false" ht="12.8" hidden="false" customHeight="false" outlineLevel="0" collapsed="false">
      <c r="A16" s="10" t="str">
        <f aca="false">_xlfn.CONCAT($A$1, ".", [1]CALC!A17)</f>
        <v>AR.U6R.13</v>
      </c>
      <c r="B16" s="23" t="str">
        <f aca="false">_xlfn.CONCAT([1]CALC!B17, ":", [1]CALC!C17)</f>
        <v>Retail Trade:Worker</v>
      </c>
      <c r="C16" s="41" t="n">
        <f aca="false">[1]CALC!T17</f>
        <v>0.074</v>
      </c>
      <c r="D16" s="41" t="n">
        <f aca="false">[1]CALC!U17</f>
        <v>0.097</v>
      </c>
      <c r="E16" s="41" t="n">
        <f aca="false">[1]CALC!V17</f>
        <v>0.165</v>
      </c>
      <c r="F16" s="41" t="n">
        <f aca="false">[1]CALC!W17</f>
        <v>0.071</v>
      </c>
    </row>
    <row r="17" customFormat="false" ht="12.8" hidden="false" customHeight="false" outlineLevel="0" collapsed="false">
      <c r="A17" s="10" t="str">
        <f aca="false">_xlfn.CONCAT($A$1, ".", [1]CALC!A18)</f>
        <v>AR.U6R.14</v>
      </c>
      <c r="B17" s="23" t="str">
        <f aca="false">_xlfn.CONCAT([1]CALC!B18, ":", [1]CALC!C18)</f>
        <v>Retail Trade:Support</v>
      </c>
      <c r="C17" s="41" t="n">
        <f aca="false">[1]CALC!T18</f>
        <v>0.074</v>
      </c>
      <c r="D17" s="41" t="n">
        <f aca="false">[1]CALC!U18</f>
        <v>0.097</v>
      </c>
      <c r="E17" s="41" t="n">
        <f aca="false">[1]CALC!V18</f>
        <v>0.165</v>
      </c>
      <c r="F17" s="41" t="n">
        <f aca="false">[1]CALC!W18</f>
        <v>0.071</v>
      </c>
    </row>
    <row r="18" customFormat="false" ht="12.8" hidden="false" customHeight="false" outlineLevel="0" collapsed="false">
      <c r="A18" s="10" t="str">
        <f aca="false">_xlfn.CONCAT($A$1, ".", [1]CALC!A19)</f>
        <v>AR.U6R.15</v>
      </c>
      <c r="B18" s="23" t="str">
        <f aca="false">_xlfn.CONCAT([1]CALC!B19, ":", [1]CALC!C19)</f>
        <v>Landscaping / Groundskeeping:Worker</v>
      </c>
      <c r="C18" s="41" t="n">
        <f aca="false">[1]CALC!T19</f>
        <v>0.093</v>
      </c>
      <c r="D18" s="41" t="n">
        <f aca="false">[1]CALC!U19</f>
        <v>0.108</v>
      </c>
      <c r="E18" s="41" t="n">
        <f aca="false">[1]CALC!V19</f>
        <v>0.155</v>
      </c>
      <c r="F18" s="41" t="n">
        <f aca="false">[1]CALC!W19</f>
        <v>0.089</v>
      </c>
    </row>
    <row r="19" customFormat="false" ht="12.8" hidden="false" customHeight="false" outlineLevel="0" collapsed="false">
      <c r="A19" s="10" t="str">
        <f aca="false">_xlfn.CONCAT($A$1, ".", [1]CALC!A20)</f>
        <v>AR.U6R.16</v>
      </c>
      <c r="B19" s="23" t="str">
        <f aca="false">_xlfn.CONCAT([1]CALC!B20, ":", [1]CALC!C20)</f>
        <v>Landscaping / Groundskeeping:Support</v>
      </c>
      <c r="C19" s="41" t="n">
        <f aca="false">[1]CALC!T20</f>
        <v>0.093</v>
      </c>
      <c r="D19" s="41" t="n">
        <f aca="false">[1]CALC!U20</f>
        <v>0.108</v>
      </c>
      <c r="E19" s="41" t="n">
        <f aca="false">[1]CALC!V20</f>
        <v>0.155</v>
      </c>
      <c r="F19" s="41" t="n">
        <f aca="false">[1]CALC!W20</f>
        <v>0.089</v>
      </c>
    </row>
    <row r="20" customFormat="false" ht="12.8" hidden="false" customHeight="false" outlineLevel="0" collapsed="false">
      <c r="A20" s="10" t="str">
        <f aca="false">_xlfn.CONCAT($A$1, ".", [1]CALC!A21)</f>
        <v>AR.U6R.17</v>
      </c>
      <c r="B20" s="23" t="str">
        <f aca="false">_xlfn.CONCAT([1]CALC!B21, ":", [1]CALC!C21)</f>
        <v>Automotive &amp; Repair:Worker</v>
      </c>
      <c r="C20" s="41" t="n">
        <f aca="false">[1]CALC!T21</f>
        <v>0.046</v>
      </c>
      <c r="D20" s="41" t="n">
        <f aca="false">[1]CALC!U21</f>
        <v>0.057</v>
      </c>
      <c r="E20" s="41" t="n">
        <f aca="false">[1]CALC!V21</f>
        <v>0.104</v>
      </c>
      <c r="F20" s="41" t="n">
        <f aca="false">[1]CALC!W21</f>
        <v>0.042</v>
      </c>
    </row>
    <row r="21" customFormat="false" ht="12.8" hidden="false" customHeight="false" outlineLevel="0" collapsed="false">
      <c r="A21" s="10" t="str">
        <f aca="false">_xlfn.CONCAT($A$1, ".", [1]CALC!A22)</f>
        <v>AR.U6R.18</v>
      </c>
      <c r="B21" s="23" t="str">
        <f aca="false">_xlfn.CONCAT([1]CALC!B22, ":", [1]CALC!C22)</f>
        <v>Automotive &amp; Repair:Support</v>
      </c>
      <c r="C21" s="41" t="n">
        <f aca="false">[1]CALC!T22</f>
        <v>0.046</v>
      </c>
      <c r="D21" s="41" t="n">
        <f aca="false">[1]CALC!U22</f>
        <v>0.057</v>
      </c>
      <c r="E21" s="41" t="n">
        <f aca="false">[1]CALC!V22</f>
        <v>0.104</v>
      </c>
      <c r="F21" s="41" t="n">
        <f aca="false">[1]CALC!W22</f>
        <v>0.042</v>
      </c>
    </row>
    <row r="22" customFormat="false" ht="12.8" hidden="false" customHeight="false" outlineLevel="0" collapsed="false">
      <c r="A22" s="10" t="str">
        <f aca="false">_xlfn.CONCAT($A$1, ".", [1]CALC!A23)</f>
        <v>AR.U6R.19</v>
      </c>
      <c r="B22" s="23" t="str">
        <f aca="false">_xlfn.CONCAT([1]CALC!B23, ":", [1]CALC!C23)</f>
        <v>Healthcare &amp; Social Assistance:Worker</v>
      </c>
      <c r="C22" s="41" t="n">
        <f aca="false">[1]CALC!T23</f>
        <v>0.035</v>
      </c>
      <c r="D22" s="41" t="n">
        <f aca="false">[1]CALC!U23</f>
        <v>0.042</v>
      </c>
      <c r="E22" s="41" t="n">
        <f aca="false">[1]CALC!V23</f>
        <v>0.088</v>
      </c>
      <c r="F22" s="41" t="n">
        <f aca="false">[1]CALC!W23</f>
        <v>0.034</v>
      </c>
    </row>
    <row r="23" customFormat="false" ht="12.8" hidden="false" customHeight="false" outlineLevel="0" collapsed="false">
      <c r="A23" s="10" t="str">
        <f aca="false">_xlfn.CONCAT($A$1, ".", [1]CALC!A24)</f>
        <v>AR.U6R.20</v>
      </c>
      <c r="B23" s="23" t="str">
        <f aca="false">_xlfn.CONCAT([1]CALC!B24, ":", [1]CALC!C24)</f>
        <v>Healthcare &amp; Social Assistance:Support</v>
      </c>
      <c r="C23" s="41" t="n">
        <f aca="false">[1]CALC!T24</f>
        <v>0.035</v>
      </c>
      <c r="D23" s="41" t="n">
        <f aca="false">[1]CALC!U24</f>
        <v>0.042</v>
      </c>
      <c r="E23" s="41" t="n">
        <f aca="false">[1]CALC!V24</f>
        <v>0.088</v>
      </c>
      <c r="F23" s="41" t="n">
        <f aca="false">[1]CALC!W24</f>
        <v>0.034</v>
      </c>
    </row>
    <row r="24" customFormat="false" ht="12.8" hidden="false" customHeight="false" outlineLevel="0" collapsed="false">
      <c r="A24" s="10" t="str">
        <f aca="false">_xlfn.CONCAT($A$1, ".", [1]CALC!A25)</f>
        <v>AR.U6R.21</v>
      </c>
      <c r="B24" s="23" t="str">
        <f aca="false">_xlfn.CONCAT([1]CALC!B25, ":", [1]CALC!C25)</f>
        <v>Professional Services:Worker</v>
      </c>
      <c r="C24" s="41" t="n">
        <f aca="false">[1]CALC!T25</f>
        <v>0.026</v>
      </c>
      <c r="D24" s="41" t="n">
        <f aca="false">[1]CALC!U25</f>
        <v>0.031</v>
      </c>
      <c r="E24" s="41" t="n">
        <f aca="false">[1]CALC!V25</f>
        <v>0.065</v>
      </c>
      <c r="F24" s="41" t="n">
        <f aca="false">[1]CALC!W25</f>
        <v>0.024</v>
      </c>
    </row>
    <row r="25" customFormat="false" ht="12.8" hidden="false" customHeight="false" outlineLevel="0" collapsed="false">
      <c r="A25" s="10" t="str">
        <f aca="false">_xlfn.CONCAT($A$1, ".", [1]CALC!A26)</f>
        <v>AR.U6R.22</v>
      </c>
      <c r="B25" s="23" t="str">
        <f aca="false">_xlfn.CONCAT([1]CALC!B26, ":", [1]CALC!C26)</f>
        <v>Professional Services:Support</v>
      </c>
      <c r="C25" s="41" t="n">
        <f aca="false">[1]CALC!T26</f>
        <v>0.026</v>
      </c>
      <c r="D25" s="41" t="n">
        <f aca="false">[1]CALC!U26</f>
        <v>0.031</v>
      </c>
      <c r="E25" s="41" t="n">
        <f aca="false">[1]CALC!V26</f>
        <v>0.065</v>
      </c>
      <c r="F25" s="41" t="n">
        <f aca="false">[1]CALC!W26</f>
        <v>0.024</v>
      </c>
    </row>
    <row r="26" customFormat="false" ht="12.8" hidden="false" customHeight="false" outlineLevel="0" collapsed="false">
      <c r="A26" s="10" t="str">
        <f aca="false">_xlfn.CONCAT($A$1, ".", [1]CALC!A27)</f>
        <v>AR.U6R.23</v>
      </c>
      <c r="B26" s="23" t="str">
        <f aca="false">_xlfn.CONCAT([1]CALC!B27, ":", [1]CALC!C27)</f>
        <v>Educational Services:Worker</v>
      </c>
      <c r="C26" s="41" t="n">
        <f aca="false">[1]CALC!T27</f>
        <v>0.036</v>
      </c>
      <c r="D26" s="41" t="n">
        <f aca="false">[1]CALC!U27</f>
        <v>0.043</v>
      </c>
      <c r="E26" s="41" t="n">
        <f aca="false">[1]CALC!V27</f>
        <v>0.09</v>
      </c>
      <c r="F26" s="41" t="n">
        <f aca="false">[1]CALC!W27</f>
        <v>0.035</v>
      </c>
    </row>
    <row r="27" customFormat="false" ht="12.8" hidden="false" customHeight="false" outlineLevel="0" collapsed="false">
      <c r="A27" s="10" t="str">
        <f aca="false">_xlfn.CONCAT($A$1, ".", [1]CALC!A28)</f>
        <v>AR.U6R.24</v>
      </c>
      <c r="B27" s="23" t="str">
        <f aca="false">_xlfn.CONCAT([1]CALC!B28, ":", [1]CALC!C28)</f>
        <v>Educational Services:Support</v>
      </c>
      <c r="C27" s="41" t="n">
        <f aca="false">[1]CALC!T28</f>
        <v>0.036</v>
      </c>
      <c r="D27" s="41" t="n">
        <f aca="false">[1]CALC!U28</f>
        <v>0.043</v>
      </c>
      <c r="E27" s="41" t="n">
        <f aca="false">[1]CALC!V28</f>
        <v>0.09</v>
      </c>
      <c r="F27" s="41" t="n">
        <f aca="false">[1]CALC!W28</f>
        <v>0.035</v>
      </c>
    </row>
    <row r="28" customFormat="false" ht="12.8" hidden="false" customHeight="false" outlineLevel="0" collapsed="false">
      <c r="A28" s="10" t="str">
        <f aca="false">_xlfn.CONCAT($A$1, ".", [1]CALC!A29)</f>
        <v>AR.U6R.25</v>
      </c>
      <c r="B28" s="23" t="str">
        <f aca="false">_xlfn.CONCAT([1]CALC!B29, ":", [1]CALC!C29)</f>
        <v>Finance &amp; Insurance:Worker</v>
      </c>
      <c r="C28" s="41" t="n">
        <f aca="false">[1]CALC!T29</f>
        <v>0.028</v>
      </c>
      <c r="D28" s="41" t="n">
        <f aca="false">[1]CALC!U29</f>
        <v>0.034</v>
      </c>
      <c r="E28" s="41" t="n">
        <f aca="false">[1]CALC!V29</f>
        <v>0.071</v>
      </c>
      <c r="F28" s="41" t="n">
        <f aca="false">[1]CALC!W29</f>
        <v>0.027</v>
      </c>
    </row>
    <row r="29" customFormat="false" ht="12.8" hidden="false" customHeight="false" outlineLevel="0" collapsed="false">
      <c r="A29" s="10" t="str">
        <f aca="false">_xlfn.CONCAT($A$1, ".", [1]CALC!A30)</f>
        <v>AR.U6R.26</v>
      </c>
      <c r="B29" s="23" t="str">
        <f aca="false">_xlfn.CONCAT([1]CALC!B30, ":", [1]CALC!C30)</f>
        <v>Finance &amp; Insurance:Support</v>
      </c>
      <c r="C29" s="41" t="n">
        <f aca="false">[1]CALC!T30</f>
        <v>0.028</v>
      </c>
      <c r="D29" s="41" t="n">
        <f aca="false">[1]CALC!U30</f>
        <v>0.034</v>
      </c>
      <c r="E29" s="41" t="n">
        <f aca="false">[1]CALC!V30</f>
        <v>0.071</v>
      </c>
      <c r="F29" s="41" t="n">
        <f aca="false">[1]CALC!W30</f>
        <v>0.027</v>
      </c>
    </row>
    <row r="30" customFormat="false" ht="12.8" hidden="false" customHeight="false" outlineLevel="0" collapsed="false">
      <c r="A30" s="10" t="str">
        <f aca="false">_xlfn.CONCAT($A$1, ".", [1]CALC!A31)</f>
        <v>AR.U6R.27</v>
      </c>
      <c r="B30" s="23" t="str">
        <f aca="false">_xlfn.CONCAT([1]CALC!B31, ":", [1]CALC!C31)</f>
        <v>Media and Information Technology:Worker</v>
      </c>
      <c r="C30" s="41" t="n">
        <f aca="false">[1]CALC!T31</f>
        <v>0.03</v>
      </c>
      <c r="D30" s="41" t="n">
        <f aca="false">[1]CALC!U31</f>
        <v>0.036</v>
      </c>
      <c r="E30" s="41" t="n">
        <f aca="false">[1]CALC!V31</f>
        <v>0.076</v>
      </c>
      <c r="F30" s="41" t="n">
        <f aca="false">[1]CALC!W31</f>
        <v>0.029</v>
      </c>
    </row>
    <row r="31" customFormat="false" ht="12.8" hidden="false" customHeight="false" outlineLevel="0" collapsed="false">
      <c r="A31" s="10" t="str">
        <f aca="false">_xlfn.CONCAT($A$1, ".", [1]CALC!A32)</f>
        <v>AR.U6R.28</v>
      </c>
      <c r="B31" s="23" t="str">
        <f aca="false">_xlfn.CONCAT([1]CALC!B32, ":", [1]CALC!C32)</f>
        <v>Media and Information Technology:Support</v>
      </c>
      <c r="C31" s="41" t="n">
        <f aca="false">[1]CALC!T32</f>
        <v>0.03</v>
      </c>
      <c r="D31" s="41" t="n">
        <f aca="false">[1]CALC!U32</f>
        <v>0.036</v>
      </c>
      <c r="E31" s="41" t="n">
        <f aca="false">[1]CALC!V32</f>
        <v>0.076</v>
      </c>
      <c r="F31" s="41" t="n">
        <f aca="false">[1]CALC!W32</f>
        <v>0.029</v>
      </c>
    </row>
    <row r="32" customFormat="false" ht="12.8" hidden="false" customHeight="false" outlineLevel="0" collapsed="false">
      <c r="A32" s="10" t="str">
        <f aca="false">_xlfn.CONCAT($A$1, ".", [1]CALC!A33)</f>
        <v>AR.U6R.29</v>
      </c>
      <c r="B32" s="23" t="str">
        <f aca="false">_xlfn.CONCAT([1]CALC!B33, ":", [1]CALC!C33)</f>
        <v>Government:Worker</v>
      </c>
      <c r="C32" s="41" t="n">
        <f aca="false">[1]CALC!T33</f>
        <v>0.03</v>
      </c>
      <c r="D32" s="41" t="n">
        <f aca="false">[1]CALC!U33</f>
        <v>0.036</v>
      </c>
      <c r="E32" s="41" t="n">
        <f aca="false">[1]CALC!V33</f>
        <v>0.076</v>
      </c>
      <c r="F32" s="41" t="n">
        <f aca="false">[1]CALC!W33</f>
        <v>0.029</v>
      </c>
    </row>
    <row r="33" customFormat="false" ht="12.8" hidden="false" customHeight="false" outlineLevel="0" collapsed="false">
      <c r="A33" s="10" t="str">
        <f aca="false">_xlfn.CONCAT($A$1, ".", [1]CALC!A34)</f>
        <v>AR.U6R.30</v>
      </c>
      <c r="B33" s="23" t="str">
        <f aca="false">_xlfn.CONCAT([1]CALC!B34, ":", [1]CALC!C34)</f>
        <v>Government:Support</v>
      </c>
      <c r="C33" s="41" t="n">
        <f aca="false">[1]CALC!T34</f>
        <v>0.03</v>
      </c>
      <c r="D33" s="41" t="n">
        <f aca="false">[1]CALC!U34</f>
        <v>0.036</v>
      </c>
      <c r="E33" s="41" t="n">
        <f aca="false">[1]CALC!V34</f>
        <v>0.076</v>
      </c>
      <c r="F33" s="41" t="n">
        <f aca="false">[1]CALC!W34</f>
        <v>0.029</v>
      </c>
    </row>
    <row r="34" customFormat="false" ht="12.8" hidden="false" customHeight="false" outlineLevel="0" collapsed="false">
      <c r="A34" s="10" t="str">
        <f aca="false">_xlfn.CONCAT($A$1, ".", [1]CALC!A35)</f>
        <v>AR.U6R.31</v>
      </c>
      <c r="B34" s="23" t="str">
        <f aca="false">_xlfn.CONCAT([1]CALC!B35, ":", [1]CALC!C35)</f>
        <v>Self-Employed / Non-Employer:Worker</v>
      </c>
      <c r="C34" s="41" t="n">
        <f aca="false">[1]CALC!T35</f>
        <v>0.042</v>
      </c>
      <c r="D34" s="41" t="n">
        <f aca="false">[1]CALC!U35</f>
        <v>0.05</v>
      </c>
      <c r="E34" s="41" t="n">
        <f aca="false">[1]CALC!V35</f>
        <v>0.084</v>
      </c>
      <c r="F34" s="41" t="n">
        <f aca="false">[1]CALC!W35</f>
        <v>0.041</v>
      </c>
    </row>
    <row r="35" customFormat="false" ht="12.8" hidden="false" customHeight="false" outlineLevel="0" collapsed="false">
      <c r="A35" s="10" t="str">
        <f aca="false">_xlfn.CONCAT($A$1, ".", [1]CALC!A36)</f>
        <v>AR.U6R.32</v>
      </c>
      <c r="B35" s="23" t="str">
        <f aca="false">_xlfn.CONCAT([1]CALC!B36, ":", [1]CALC!C36)</f>
        <v>Self-Employed / Non-Employer:Support</v>
      </c>
      <c r="C35" s="41" t="n">
        <f aca="false">[1]CALC!T36</f>
        <v>0.042</v>
      </c>
      <c r="D35" s="41" t="n">
        <f aca="false">[1]CALC!U36</f>
        <v>0.05</v>
      </c>
      <c r="E35" s="41" t="n">
        <f aca="false">[1]CALC!V36</f>
        <v>0.084</v>
      </c>
      <c r="F35" s="41" t="n">
        <f aca="false">[1]CALC!W36</f>
        <v>0.041</v>
      </c>
    </row>
    <row r="36" customFormat="false" ht="12.8" hidden="false" customHeight="false" outlineLevel="0" collapsed="false">
      <c r="A36" s="10" t="str">
        <f aca="false">_xlfn.CONCAT($A$1, ".", [1]CALC!A37)</f>
        <v>AR.U6R.33</v>
      </c>
      <c r="B36" s="23" t="str">
        <f aca="false">_xlfn.CONCAT([1]CALC!B37, ":", [1]CALC!C37)</f>
        <v>Other Services:Worker</v>
      </c>
      <c r="C36" s="41" t="n">
        <f aca="false">[1]CALC!T37</f>
        <v>0.076</v>
      </c>
      <c r="D36" s="41" t="n">
        <f aca="false">[1]CALC!U37</f>
        <v>0.1</v>
      </c>
      <c r="E36" s="41" t="n">
        <f aca="false">[1]CALC!V37</f>
        <v>0.17</v>
      </c>
      <c r="F36" s="41" t="n">
        <f aca="false">[1]CALC!W37</f>
        <v>0.073</v>
      </c>
    </row>
    <row r="37" customFormat="false" ht="12.8" hidden="false" customHeight="false" outlineLevel="0" collapsed="false">
      <c r="A37" s="10" t="str">
        <f aca="false">_xlfn.CONCAT($A$1, ".", [1]CALC!A38)</f>
        <v>AR.U6R.34</v>
      </c>
      <c r="B37" s="23" t="str">
        <f aca="false">_xlfn.CONCAT([1]CALC!B38, ":", [1]CALC!C38)</f>
        <v>Other Services:Support</v>
      </c>
      <c r="C37" s="41" t="n">
        <f aca="false">[1]CALC!T38</f>
        <v>0.076</v>
      </c>
      <c r="D37" s="41" t="n">
        <f aca="false">[1]CALC!U38</f>
        <v>0.1</v>
      </c>
      <c r="E37" s="41" t="n">
        <f aca="false">[1]CALC!V38</f>
        <v>0.17</v>
      </c>
      <c r="F37" s="41" t="n">
        <f aca="false">[1]CALC!W38</f>
        <v>0.073</v>
      </c>
    </row>
    <row r="131" customFormat="false" ht="12.8" hidden="false" customHeight="false" outlineLevel="0" collapsed="false">
      <c r="A131" s="3" t="s">
        <v>1139</v>
      </c>
      <c r="B131" s="21" t="s">
        <v>1140</v>
      </c>
      <c r="C131" s="35" t="s">
        <v>1138</v>
      </c>
    </row>
    <row r="132" customFormat="false" ht="12.8" hidden="false" customHeight="false" outlineLevel="0" collapsed="false">
      <c r="A132" s="3" t="s">
        <v>29</v>
      </c>
      <c r="B132" s="19" t="s">
        <v>1129</v>
      </c>
      <c r="C132" s="40" t="e">
        <f aca="false">#REF!</f>
        <v>#REF!</v>
      </c>
      <c r="D132" s="40" t="e">
        <f aca="false">#REF!</f>
        <v>#REF!</v>
      </c>
      <c r="E132" s="40" t="e">
        <f aca="false">#REF!</f>
        <v>#REF!</v>
      </c>
      <c r="F132" s="40" t="e">
        <f aca="false">#REF!</f>
        <v>#REF!</v>
      </c>
    </row>
    <row r="133" customFormat="false" ht="12.8" hidden="false" customHeight="false" outlineLevel="0" collapsed="false">
      <c r="A133" s="1" t="e">
        <f aca="false">_xlfn.CONCAT($A$131, ".", #REF!)</f>
        <v>#REF!</v>
      </c>
      <c r="B133" s="14" t="e">
        <f aca="false">_xlfn.CONCAT(#REF!, ": ", #REF!)</f>
        <v>#REF!</v>
      </c>
      <c r="C133" s="41" t="e">
        <f aca="false">#REF!</f>
        <v>#REF!</v>
      </c>
      <c r="D133" s="41" t="e">
        <f aca="false">#REF!</f>
        <v>#REF!</v>
      </c>
      <c r="E133" s="41" t="e">
        <f aca="false">#REF!</f>
        <v>#REF!</v>
      </c>
      <c r="F133" s="41" t="e">
        <f aca="false">#REF!</f>
        <v>#REF!</v>
      </c>
    </row>
    <row r="134" customFormat="false" ht="12.8" hidden="false" customHeight="false" outlineLevel="0" collapsed="false">
      <c r="A134" s="1" t="e">
        <f aca="false">_xlfn.CONCAT($A$131, ".", #REF!)</f>
        <v>#REF!</v>
      </c>
      <c r="B134" s="16" t="e">
        <f aca="false">_xlfn.CONCAT(#REF!, ": ", #REF!)</f>
        <v>#REF!</v>
      </c>
      <c r="C134" s="41" t="e">
        <f aca="false">#REF!</f>
        <v>#REF!</v>
      </c>
      <c r="D134" s="41" t="e">
        <f aca="false">#REF!</f>
        <v>#REF!</v>
      </c>
      <c r="E134" s="41" t="e">
        <f aca="false">#REF!</f>
        <v>#REF!</v>
      </c>
      <c r="F134" s="41" t="e">
        <f aca="false">#REF!</f>
        <v>#REF!</v>
      </c>
    </row>
    <row r="135" customFormat="false" ht="12.8" hidden="false" customHeight="false" outlineLevel="0" collapsed="false">
      <c r="A135" s="1" t="e">
        <f aca="false">_xlfn.CONCAT($A$131, ".", #REF!)</f>
        <v>#REF!</v>
      </c>
      <c r="B135" s="16" t="e">
        <f aca="false">_xlfn.CONCAT(#REF!, ": ", #REF!)</f>
        <v>#REF!</v>
      </c>
      <c r="C135" s="41" t="e">
        <f aca="false">#REF!</f>
        <v>#REF!</v>
      </c>
      <c r="D135" s="41" t="e">
        <f aca="false">#REF!</f>
        <v>#REF!</v>
      </c>
      <c r="E135" s="41" t="e">
        <f aca="false">#REF!</f>
        <v>#REF!</v>
      </c>
      <c r="F135" s="41" t="e">
        <f aca="false">#REF!</f>
        <v>#REF!</v>
      </c>
    </row>
    <row r="136" customFormat="false" ht="12.8" hidden="false" customHeight="false" outlineLevel="0" collapsed="false">
      <c r="A136" s="1" t="e">
        <f aca="false">_xlfn.CONCAT($A$131, ".", #REF!)</f>
        <v>#REF!</v>
      </c>
      <c r="B136" s="16" t="e">
        <f aca="false">_xlfn.CONCAT(#REF!, ": ", #REF!)</f>
        <v>#REF!</v>
      </c>
      <c r="C136" s="41" t="e">
        <f aca="false">#REF!</f>
        <v>#REF!</v>
      </c>
      <c r="D136" s="41" t="e">
        <f aca="false">#REF!</f>
        <v>#REF!</v>
      </c>
      <c r="E136" s="41" t="e">
        <f aca="false">#REF!</f>
        <v>#REF!</v>
      </c>
      <c r="F136" s="41" t="e">
        <f aca="false">#REF!</f>
        <v>#REF!</v>
      </c>
    </row>
    <row r="137" customFormat="false" ht="12.8" hidden="false" customHeight="false" outlineLevel="0" collapsed="false">
      <c r="A137" s="1" t="e">
        <f aca="false">_xlfn.CONCAT($A$131, ".", #REF!)</f>
        <v>#REF!</v>
      </c>
      <c r="B137" s="16" t="e">
        <f aca="false">_xlfn.CONCAT(#REF!, ": ", #REF!)</f>
        <v>#REF!</v>
      </c>
      <c r="C137" s="41" t="e">
        <f aca="false">#REF!</f>
        <v>#REF!</v>
      </c>
      <c r="D137" s="41" t="e">
        <f aca="false">#REF!</f>
        <v>#REF!</v>
      </c>
      <c r="E137" s="41" t="e">
        <f aca="false">#REF!</f>
        <v>#REF!</v>
      </c>
      <c r="F137" s="41" t="e">
        <f aca="false">#REF!</f>
        <v>#REF!</v>
      </c>
    </row>
    <row r="138" customFormat="false" ht="12.8" hidden="false" customHeight="false" outlineLevel="0" collapsed="false">
      <c r="A138" s="1" t="e">
        <f aca="false">_xlfn.CONCAT($A$131, ".", #REF!)</f>
        <v>#REF!</v>
      </c>
      <c r="B138" s="16" t="e">
        <f aca="false">_xlfn.CONCAT(#REF!, ": ", #REF!)</f>
        <v>#REF!</v>
      </c>
      <c r="C138" s="41" t="e">
        <f aca="false">#REF!</f>
        <v>#REF!</v>
      </c>
      <c r="D138" s="41" t="e">
        <f aca="false">#REF!</f>
        <v>#REF!</v>
      </c>
      <c r="E138" s="41" t="e">
        <f aca="false">#REF!</f>
        <v>#REF!</v>
      </c>
      <c r="F138" s="41" t="e">
        <f aca="false">#REF!</f>
        <v>#REF!</v>
      </c>
    </row>
    <row r="139" customFormat="false" ht="12.8" hidden="false" customHeight="false" outlineLevel="0" collapsed="false">
      <c r="A139" s="1" t="e">
        <f aca="false">_xlfn.CONCAT($A$131, ".", #REF!)</f>
        <v>#REF!</v>
      </c>
      <c r="B139" s="16" t="e">
        <f aca="false">_xlfn.CONCAT(#REF!, ": ", #REF!)</f>
        <v>#REF!</v>
      </c>
      <c r="C139" s="41" t="e">
        <f aca="false">#REF!</f>
        <v>#REF!</v>
      </c>
      <c r="D139" s="41" t="e">
        <f aca="false">#REF!</f>
        <v>#REF!</v>
      </c>
      <c r="E139" s="41" t="e">
        <f aca="false">#REF!</f>
        <v>#REF!</v>
      </c>
      <c r="F139" s="41" t="e">
        <f aca="false">#REF!</f>
        <v>#REF!</v>
      </c>
    </row>
    <row r="140" customFormat="false" ht="12.8" hidden="false" customHeight="false" outlineLevel="0" collapsed="false">
      <c r="A140" s="1" t="e">
        <f aca="false">_xlfn.CONCAT($A$131, ".", #REF!)</f>
        <v>#REF!</v>
      </c>
      <c r="B140" s="16" t="e">
        <f aca="false">_xlfn.CONCAT(#REF!, ": ", #REF!)</f>
        <v>#REF!</v>
      </c>
      <c r="C140" s="41" t="e">
        <f aca="false">#REF!</f>
        <v>#REF!</v>
      </c>
      <c r="D140" s="41" t="e">
        <f aca="false">#REF!</f>
        <v>#REF!</v>
      </c>
      <c r="E140" s="41" t="e">
        <f aca="false">#REF!</f>
        <v>#REF!</v>
      </c>
      <c r="F140" s="41" t="e">
        <f aca="false">#REF!</f>
        <v>#REF!</v>
      </c>
    </row>
    <row r="141" customFormat="false" ht="12.8" hidden="false" customHeight="false" outlineLevel="0" collapsed="false">
      <c r="A141" s="1" t="e">
        <f aca="false">_xlfn.CONCAT($A$131, ".", #REF!)</f>
        <v>#REF!</v>
      </c>
      <c r="B141" s="16" t="e">
        <f aca="false">_xlfn.CONCAT(#REF!, ": ", #REF!)</f>
        <v>#REF!</v>
      </c>
      <c r="C141" s="41" t="e">
        <f aca="false">#REF!</f>
        <v>#REF!</v>
      </c>
      <c r="D141" s="41" t="e">
        <f aca="false">#REF!</f>
        <v>#REF!</v>
      </c>
      <c r="E141" s="41" t="e">
        <f aca="false">#REF!</f>
        <v>#REF!</v>
      </c>
      <c r="F141" s="41" t="e">
        <f aca="false">#REF!</f>
        <v>#REF!</v>
      </c>
    </row>
    <row r="142" customFormat="false" ht="12.8" hidden="false" customHeight="false" outlineLevel="0" collapsed="false">
      <c r="A142" s="1" t="e">
        <f aca="false">_xlfn.CONCAT($A$131, ".", #REF!)</f>
        <v>#REF!</v>
      </c>
      <c r="B142" s="16" t="e">
        <f aca="false">_xlfn.CONCAT(#REF!, ": ", #REF!)</f>
        <v>#REF!</v>
      </c>
      <c r="C142" s="41" t="e">
        <f aca="false">#REF!</f>
        <v>#REF!</v>
      </c>
      <c r="D142" s="41" t="e">
        <f aca="false">#REF!</f>
        <v>#REF!</v>
      </c>
      <c r="E142" s="41" t="e">
        <f aca="false">#REF!</f>
        <v>#REF!</v>
      </c>
      <c r="F142" s="41" t="e">
        <f aca="false">#REF!</f>
        <v>#REF!</v>
      </c>
    </row>
    <row r="143" customFormat="false" ht="12.8" hidden="false" customHeight="false" outlineLevel="0" collapsed="false">
      <c r="A143" s="1" t="e">
        <f aca="false">_xlfn.CONCAT($A$131, ".", #REF!)</f>
        <v>#REF!</v>
      </c>
      <c r="B143" s="16" t="e">
        <f aca="false">_xlfn.CONCAT(#REF!, ": ", #REF!)</f>
        <v>#REF!</v>
      </c>
      <c r="C143" s="41" t="e">
        <f aca="false">#REF!</f>
        <v>#REF!</v>
      </c>
      <c r="D143" s="41" t="e">
        <f aca="false">#REF!</f>
        <v>#REF!</v>
      </c>
      <c r="E143" s="41" t="e">
        <f aca="false">#REF!</f>
        <v>#REF!</v>
      </c>
      <c r="F143" s="41" t="e">
        <f aca="false">#REF!</f>
        <v>#REF!</v>
      </c>
    </row>
    <row r="144" customFormat="false" ht="12.8" hidden="false" customHeight="false" outlineLevel="0" collapsed="false">
      <c r="A144" s="1" t="e">
        <f aca="false">_xlfn.CONCAT($A$131, ".", #REF!)</f>
        <v>#REF!</v>
      </c>
      <c r="B144" s="16" t="e">
        <f aca="false">_xlfn.CONCAT(#REF!, ": ", #REF!)</f>
        <v>#REF!</v>
      </c>
      <c r="C144" s="41" t="e">
        <f aca="false">#REF!</f>
        <v>#REF!</v>
      </c>
      <c r="D144" s="41" t="e">
        <f aca="false">#REF!</f>
        <v>#REF!</v>
      </c>
      <c r="E144" s="41" t="e">
        <f aca="false">#REF!</f>
        <v>#REF!</v>
      </c>
      <c r="F144" s="41" t="e">
        <f aca="false">#REF!</f>
        <v>#REF!</v>
      </c>
    </row>
    <row r="145" customFormat="false" ht="12.8" hidden="false" customHeight="false" outlineLevel="0" collapsed="false">
      <c r="A145" s="1" t="e">
        <f aca="false">_xlfn.CONCAT($A$131, ".", #REF!)</f>
        <v>#REF!</v>
      </c>
      <c r="B145" s="16" t="e">
        <f aca="false">_xlfn.CONCAT(#REF!, ": ", #REF!)</f>
        <v>#REF!</v>
      </c>
      <c r="C145" s="41" t="e">
        <f aca="false">#REF!</f>
        <v>#REF!</v>
      </c>
      <c r="D145" s="41" t="e">
        <f aca="false">#REF!</f>
        <v>#REF!</v>
      </c>
      <c r="E145" s="41" t="e">
        <f aca="false">#REF!</f>
        <v>#REF!</v>
      </c>
      <c r="F145" s="41" t="e">
        <f aca="false">#REF!</f>
        <v>#REF!</v>
      </c>
    </row>
    <row r="146" customFormat="false" ht="12.8" hidden="false" customHeight="false" outlineLevel="0" collapsed="false">
      <c r="A146" s="1" t="e">
        <f aca="false">_xlfn.CONCAT($A$131, ".", #REF!)</f>
        <v>#REF!</v>
      </c>
      <c r="B146" s="16" t="e">
        <f aca="false">_xlfn.CONCAT(#REF!, ": ", #REF!)</f>
        <v>#REF!</v>
      </c>
      <c r="C146" s="41" t="e">
        <f aca="false">#REF!</f>
        <v>#REF!</v>
      </c>
      <c r="D146" s="41" t="e">
        <f aca="false">#REF!</f>
        <v>#REF!</v>
      </c>
      <c r="E146" s="41" t="e">
        <f aca="false">#REF!</f>
        <v>#REF!</v>
      </c>
      <c r="F146" s="41" t="e">
        <f aca="false">#REF!</f>
        <v>#REF!</v>
      </c>
    </row>
    <row r="147" customFormat="false" ht="12.8" hidden="false" customHeight="false" outlineLevel="0" collapsed="false">
      <c r="A147" s="1" t="e">
        <f aca="false">_xlfn.CONCAT($A$131, ".", #REF!)</f>
        <v>#REF!</v>
      </c>
      <c r="B147" s="16" t="e">
        <f aca="false">_xlfn.CONCAT(#REF!, ": ", #REF!)</f>
        <v>#REF!</v>
      </c>
      <c r="C147" s="41" t="e">
        <f aca="false">#REF!</f>
        <v>#REF!</v>
      </c>
      <c r="D147" s="41" t="e">
        <f aca="false">#REF!</f>
        <v>#REF!</v>
      </c>
      <c r="E147" s="41" t="e">
        <f aca="false">#REF!</f>
        <v>#REF!</v>
      </c>
      <c r="F147" s="41" t="e">
        <f aca="false">#REF!</f>
        <v>#REF!</v>
      </c>
    </row>
    <row r="148" customFormat="false" ht="12.8" hidden="false" customHeight="false" outlineLevel="0" collapsed="false">
      <c r="A148" s="1" t="e">
        <f aca="false">_xlfn.CONCAT($A$131, ".", #REF!)</f>
        <v>#REF!</v>
      </c>
      <c r="B148" s="16" t="e">
        <f aca="false">_xlfn.CONCAT(#REF!, ": ", #REF!)</f>
        <v>#REF!</v>
      </c>
      <c r="C148" s="41" t="e">
        <f aca="false">#REF!</f>
        <v>#REF!</v>
      </c>
      <c r="D148" s="41" t="e">
        <f aca="false">#REF!</f>
        <v>#REF!</v>
      </c>
      <c r="E148" s="41" t="e">
        <f aca="false">#REF!</f>
        <v>#REF!</v>
      </c>
      <c r="F148" s="41" t="e">
        <f aca="false">#REF!</f>
        <v>#REF!</v>
      </c>
    </row>
    <row r="149" customFormat="false" ht="12.8" hidden="false" customHeight="false" outlineLevel="0" collapsed="false">
      <c r="A149" s="1" t="e">
        <f aca="false">_xlfn.CONCAT($A$131, ".", #REF!)</f>
        <v>#REF!</v>
      </c>
      <c r="B149" s="16" t="e">
        <f aca="false">_xlfn.CONCAT(#REF!, ": ", #REF!)</f>
        <v>#REF!</v>
      </c>
      <c r="C149" s="41" t="e">
        <f aca="false">#REF!</f>
        <v>#REF!</v>
      </c>
      <c r="D149" s="41" t="e">
        <f aca="false">#REF!</f>
        <v>#REF!</v>
      </c>
      <c r="E149" s="41" t="e">
        <f aca="false">#REF!</f>
        <v>#REF!</v>
      </c>
      <c r="F149" s="41" t="e">
        <f aca="false">#REF!</f>
        <v>#REF!</v>
      </c>
    </row>
    <row r="150" customFormat="false" ht="12.8" hidden="false" customHeight="false" outlineLevel="0" collapsed="false">
      <c r="A150" s="1" t="e">
        <f aca="false">_xlfn.CONCAT($A$131, ".", #REF!)</f>
        <v>#REF!</v>
      </c>
      <c r="B150" s="16" t="e">
        <f aca="false">_xlfn.CONCAT(#REF!, ": ", #REF!)</f>
        <v>#REF!</v>
      </c>
      <c r="C150" s="41" t="e">
        <f aca="false">#REF!</f>
        <v>#REF!</v>
      </c>
      <c r="D150" s="41" t="e">
        <f aca="false">#REF!</f>
        <v>#REF!</v>
      </c>
      <c r="E150" s="41" t="e">
        <f aca="false">#REF!</f>
        <v>#REF!</v>
      </c>
      <c r="F150" s="41" t="e">
        <f aca="false">#REF!</f>
        <v>#REF!</v>
      </c>
    </row>
    <row r="151" customFormat="false" ht="12.8" hidden="false" customHeight="false" outlineLevel="0" collapsed="false">
      <c r="A151" s="1" t="e">
        <f aca="false">_xlfn.CONCAT($A$131, ".", #REF!)</f>
        <v>#REF!</v>
      </c>
      <c r="B151" s="16" t="e">
        <f aca="false">_xlfn.CONCAT(#REF!, ": ", #REF!)</f>
        <v>#REF!</v>
      </c>
      <c r="C151" s="41" t="e">
        <f aca="false">#REF!</f>
        <v>#REF!</v>
      </c>
      <c r="D151" s="41" t="e">
        <f aca="false">#REF!</f>
        <v>#REF!</v>
      </c>
      <c r="E151" s="41" t="e">
        <f aca="false">#REF!</f>
        <v>#REF!</v>
      </c>
      <c r="F151" s="41" t="e">
        <f aca="false">#REF!</f>
        <v>#REF!</v>
      </c>
    </row>
    <row r="152" customFormat="false" ht="12.8" hidden="false" customHeight="false" outlineLevel="0" collapsed="false">
      <c r="A152" s="1" t="e">
        <f aca="false">_xlfn.CONCAT($A$131, ".", #REF!)</f>
        <v>#REF!</v>
      </c>
      <c r="B152" s="16" t="e">
        <f aca="false">_xlfn.CONCAT(#REF!, ": ", #REF!)</f>
        <v>#REF!</v>
      </c>
      <c r="C152" s="41" t="e">
        <f aca="false">#REF!</f>
        <v>#REF!</v>
      </c>
      <c r="D152" s="41" t="e">
        <f aca="false">#REF!</f>
        <v>#REF!</v>
      </c>
      <c r="E152" s="41" t="e">
        <f aca="false">#REF!</f>
        <v>#REF!</v>
      </c>
      <c r="F152" s="41" t="e">
        <f aca="false">#REF!</f>
        <v>#REF!</v>
      </c>
    </row>
    <row r="153" customFormat="false" ht="12.8" hidden="false" customHeight="false" outlineLevel="0" collapsed="false">
      <c r="A153" s="1" t="e">
        <f aca="false">_xlfn.CONCAT($A$131, ".", #REF!)</f>
        <v>#REF!</v>
      </c>
      <c r="B153" s="16" t="e">
        <f aca="false">_xlfn.CONCAT(#REF!, ": ", #REF!)</f>
        <v>#REF!</v>
      </c>
      <c r="C153" s="41" t="e">
        <f aca="false">#REF!</f>
        <v>#REF!</v>
      </c>
      <c r="D153" s="41" t="e">
        <f aca="false">#REF!</f>
        <v>#REF!</v>
      </c>
      <c r="E153" s="41" t="e">
        <f aca="false">#REF!</f>
        <v>#REF!</v>
      </c>
      <c r="F153" s="41" t="e">
        <f aca="false">#REF!</f>
        <v>#REF!</v>
      </c>
    </row>
    <row r="154" customFormat="false" ht="12.8" hidden="false" customHeight="false" outlineLevel="0" collapsed="false">
      <c r="A154" s="1" t="e">
        <f aca="false">_xlfn.CONCAT($A$131, ".", #REF!)</f>
        <v>#REF!</v>
      </c>
      <c r="B154" s="16" t="e">
        <f aca="false">_xlfn.CONCAT(#REF!, ": ", #REF!)</f>
        <v>#REF!</v>
      </c>
      <c r="C154" s="41" t="e">
        <f aca="false">#REF!</f>
        <v>#REF!</v>
      </c>
      <c r="D154" s="41" t="e">
        <f aca="false">#REF!</f>
        <v>#REF!</v>
      </c>
      <c r="E154" s="41" t="e">
        <f aca="false">#REF!</f>
        <v>#REF!</v>
      </c>
      <c r="F154" s="41" t="e">
        <f aca="false">#REF!</f>
        <v>#REF!</v>
      </c>
    </row>
    <row r="155" customFormat="false" ht="12.8" hidden="false" customHeight="false" outlineLevel="0" collapsed="false">
      <c r="A155" s="1" t="e">
        <f aca="false">_xlfn.CONCAT($A$131, ".", #REF!)</f>
        <v>#REF!</v>
      </c>
      <c r="B155" s="16" t="e">
        <f aca="false">_xlfn.CONCAT(#REF!, ": ", #REF!)</f>
        <v>#REF!</v>
      </c>
      <c r="C155" s="41" t="e">
        <f aca="false">#REF!</f>
        <v>#REF!</v>
      </c>
      <c r="D155" s="41" t="e">
        <f aca="false">#REF!</f>
        <v>#REF!</v>
      </c>
      <c r="E155" s="41" t="e">
        <f aca="false">#REF!</f>
        <v>#REF!</v>
      </c>
      <c r="F155" s="41" t="e">
        <f aca="false">#REF!</f>
        <v>#REF!</v>
      </c>
    </row>
    <row r="156" customFormat="false" ht="12.8" hidden="false" customHeight="false" outlineLevel="0" collapsed="false">
      <c r="A156" s="1" t="e">
        <f aca="false">_xlfn.CONCAT($A$131, ".", #REF!)</f>
        <v>#REF!</v>
      </c>
      <c r="B156" s="16" t="e">
        <f aca="false">_xlfn.CONCAT(#REF!, ": ", #REF!)</f>
        <v>#REF!</v>
      </c>
      <c r="C156" s="41" t="e">
        <f aca="false">#REF!</f>
        <v>#REF!</v>
      </c>
      <c r="D156" s="41" t="e">
        <f aca="false">#REF!</f>
        <v>#REF!</v>
      </c>
      <c r="E156" s="41" t="e">
        <f aca="false">#REF!</f>
        <v>#REF!</v>
      </c>
      <c r="F156" s="41" t="e">
        <f aca="false">#REF!</f>
        <v>#REF!</v>
      </c>
    </row>
    <row r="157" customFormat="false" ht="12.8" hidden="false" customHeight="false" outlineLevel="0" collapsed="false">
      <c r="A157" s="1" t="e">
        <f aca="false">_xlfn.CONCAT($A$131, ".", #REF!)</f>
        <v>#REF!</v>
      </c>
      <c r="B157" s="16" t="e">
        <f aca="false">_xlfn.CONCAT(#REF!, ": ", #REF!)</f>
        <v>#REF!</v>
      </c>
      <c r="C157" s="41" t="e">
        <f aca="false">#REF!</f>
        <v>#REF!</v>
      </c>
      <c r="D157" s="41" t="e">
        <f aca="false">#REF!</f>
        <v>#REF!</v>
      </c>
      <c r="E157" s="41" t="e">
        <f aca="false">#REF!</f>
        <v>#REF!</v>
      </c>
      <c r="F157" s="41" t="e">
        <f aca="false">#REF!</f>
        <v>#REF!</v>
      </c>
    </row>
    <row r="158" customFormat="false" ht="12.8" hidden="false" customHeight="false" outlineLevel="0" collapsed="false">
      <c r="A158" s="1" t="e">
        <f aca="false">_xlfn.CONCAT($A$131, ".", #REF!)</f>
        <v>#REF!</v>
      </c>
      <c r="B158" s="16" t="e">
        <f aca="false">_xlfn.CONCAT(#REF!, ": ", #REF!)</f>
        <v>#REF!</v>
      </c>
      <c r="C158" s="41" t="e">
        <f aca="false">#REF!</f>
        <v>#REF!</v>
      </c>
      <c r="D158" s="41" t="e">
        <f aca="false">#REF!</f>
        <v>#REF!</v>
      </c>
      <c r="E158" s="41" t="e">
        <f aca="false">#REF!</f>
        <v>#REF!</v>
      </c>
      <c r="F158" s="41" t="e">
        <f aca="false">#REF!</f>
        <v>#REF!</v>
      </c>
    </row>
    <row r="159" customFormat="false" ht="12.8" hidden="false" customHeight="false" outlineLevel="0" collapsed="false">
      <c r="A159" s="1" t="e">
        <f aca="false">_xlfn.CONCAT($A$131, ".", #REF!)</f>
        <v>#REF!</v>
      </c>
      <c r="B159" s="16" t="e">
        <f aca="false">_xlfn.CONCAT(#REF!, ": ", #REF!)</f>
        <v>#REF!</v>
      </c>
      <c r="C159" s="41" t="e">
        <f aca="false">#REF!</f>
        <v>#REF!</v>
      </c>
      <c r="D159" s="41" t="e">
        <f aca="false">#REF!</f>
        <v>#REF!</v>
      </c>
      <c r="E159" s="41" t="e">
        <f aca="false">#REF!</f>
        <v>#REF!</v>
      </c>
      <c r="F159" s="41" t="e">
        <f aca="false">#REF!</f>
        <v>#REF!</v>
      </c>
    </row>
    <row r="160" customFormat="false" ht="12.8" hidden="false" customHeight="false" outlineLevel="0" collapsed="false">
      <c r="A160" s="1" t="e">
        <f aca="false">_xlfn.CONCAT($A$131, ".", #REF!)</f>
        <v>#REF!</v>
      </c>
      <c r="B160" s="16" t="e">
        <f aca="false">_xlfn.CONCAT(#REF!, ": ", #REF!)</f>
        <v>#REF!</v>
      </c>
      <c r="C160" s="41" t="e">
        <f aca="false">#REF!</f>
        <v>#REF!</v>
      </c>
      <c r="D160" s="41" t="e">
        <f aca="false">#REF!</f>
        <v>#REF!</v>
      </c>
      <c r="E160" s="41" t="e">
        <f aca="false">#REF!</f>
        <v>#REF!</v>
      </c>
      <c r="F160" s="41" t="e">
        <f aca="false">#REF!</f>
        <v>#REF!</v>
      </c>
    </row>
    <row r="161" customFormat="false" ht="12.8" hidden="false" customHeight="false" outlineLevel="0" collapsed="false">
      <c r="A161" s="1" t="e">
        <f aca="false">_xlfn.CONCAT($A$131, ".", #REF!)</f>
        <v>#REF!</v>
      </c>
      <c r="B161" s="16" t="e">
        <f aca="false">_xlfn.CONCAT(#REF!, ": ", #REF!)</f>
        <v>#REF!</v>
      </c>
      <c r="C161" s="41" t="e">
        <f aca="false">#REF!</f>
        <v>#REF!</v>
      </c>
      <c r="D161" s="41" t="e">
        <f aca="false">#REF!</f>
        <v>#REF!</v>
      </c>
      <c r="E161" s="41" t="e">
        <f aca="false">#REF!</f>
        <v>#REF!</v>
      </c>
      <c r="F161" s="41" t="e">
        <f aca="false">#REF!</f>
        <v>#REF!</v>
      </c>
    </row>
    <row r="162" customFormat="false" ht="12.8" hidden="false" customHeight="false" outlineLevel="0" collapsed="false">
      <c r="A162" s="1" t="e">
        <f aca="false">_xlfn.CONCAT($A$131, ".", #REF!)</f>
        <v>#REF!</v>
      </c>
      <c r="B162" s="16" t="e">
        <f aca="false">_xlfn.CONCAT(#REF!, ": ", #REF!)</f>
        <v>#REF!</v>
      </c>
      <c r="C162" s="41" t="e">
        <f aca="false">#REF!</f>
        <v>#REF!</v>
      </c>
      <c r="D162" s="41" t="e">
        <f aca="false">#REF!</f>
        <v>#REF!</v>
      </c>
      <c r="E162" s="41" t="e">
        <f aca="false">#REF!</f>
        <v>#REF!</v>
      </c>
      <c r="F162" s="41" t="e">
        <f aca="false">#REF!</f>
        <v>#REF!</v>
      </c>
    </row>
    <row r="163" customFormat="false" ht="12.8" hidden="false" customHeight="false" outlineLevel="0" collapsed="false">
      <c r="A163" s="1" t="e">
        <f aca="false">_xlfn.CONCAT($A$131, ".", #REF!)</f>
        <v>#REF!</v>
      </c>
      <c r="B163" s="16" t="e">
        <f aca="false">_xlfn.CONCAT(#REF!, ": ", #REF!)</f>
        <v>#REF!</v>
      </c>
      <c r="C163" s="41" t="e">
        <f aca="false">#REF!</f>
        <v>#REF!</v>
      </c>
      <c r="D163" s="41" t="e">
        <f aca="false">#REF!</f>
        <v>#REF!</v>
      </c>
      <c r="E163" s="41" t="e">
        <f aca="false">#REF!</f>
        <v>#REF!</v>
      </c>
      <c r="F163" s="41" t="e">
        <f aca="false">#REF!</f>
        <v>#REF!</v>
      </c>
    </row>
    <row r="164" customFormat="false" ht="12.8" hidden="false" customHeight="false" outlineLevel="0" collapsed="false">
      <c r="B164" s="16"/>
      <c r="C164" s="41"/>
      <c r="D164" s="41"/>
      <c r="E164" s="41"/>
      <c r="F164" s="41"/>
    </row>
    <row r="165" customFormat="false" ht="12.8" hidden="false" customHeight="false" outlineLevel="0" collapsed="false">
      <c r="B165" s="16"/>
      <c r="C165" s="41"/>
      <c r="D165" s="41"/>
      <c r="E165" s="41"/>
      <c r="F165" s="41"/>
    </row>
    <row r="166" customFormat="false" ht="12.8" hidden="false" customHeight="false" outlineLevel="0" collapsed="false">
      <c r="B166" s="16"/>
      <c r="C166" s="41"/>
      <c r="D166" s="41"/>
      <c r="E166" s="41"/>
      <c r="F166" s="41"/>
    </row>
    <row r="167" customFormat="false" ht="12.8" hidden="false" customHeight="false" outlineLevel="0" collapsed="false">
      <c r="B167" s="16"/>
      <c r="C167" s="41"/>
      <c r="D167" s="41"/>
      <c r="E167" s="41"/>
      <c r="F167" s="41"/>
    </row>
    <row r="168" customFormat="false" ht="12.8" hidden="false" customHeight="false" outlineLevel="0" collapsed="false">
      <c r="B168" s="16"/>
      <c r="C168" s="41"/>
      <c r="D168" s="41"/>
      <c r="E168" s="41"/>
      <c r="F168" s="41"/>
    </row>
    <row r="169" customFormat="false" ht="12.8" hidden="false" customHeight="false" outlineLevel="0" collapsed="false">
      <c r="B169" s="16"/>
      <c r="C169" s="41"/>
      <c r="D169" s="41"/>
      <c r="E169" s="41"/>
      <c r="F169" s="41"/>
    </row>
    <row r="170" customFormat="false" ht="12.8" hidden="false" customHeight="false" outlineLevel="0" collapsed="false">
      <c r="B170" s="16"/>
      <c r="C170" s="41"/>
      <c r="D170" s="41"/>
      <c r="E170" s="41"/>
      <c r="F170" s="41"/>
    </row>
    <row r="171" customFormat="false" ht="12.8" hidden="false" customHeight="false" outlineLevel="0" collapsed="false">
      <c r="B171" s="16"/>
      <c r="C171" s="41"/>
      <c r="D171" s="41"/>
      <c r="E171" s="41"/>
      <c r="F171" s="41"/>
    </row>
    <row r="172" customFormat="false" ht="12.8" hidden="false" customHeight="false" outlineLevel="0" collapsed="false">
      <c r="B172" s="16"/>
      <c r="C172" s="41"/>
      <c r="D172" s="41"/>
      <c r="E172" s="41"/>
      <c r="F172" s="41"/>
    </row>
    <row r="173" customFormat="false" ht="12.8" hidden="false" customHeight="false" outlineLevel="0" collapsed="false">
      <c r="B173" s="16"/>
      <c r="C173" s="41"/>
      <c r="D173" s="41"/>
      <c r="E173" s="41"/>
      <c r="F173" s="41"/>
    </row>
    <row r="174" customFormat="false" ht="12.8" hidden="false" customHeight="false" outlineLevel="0" collapsed="false">
      <c r="B174" s="16"/>
      <c r="C174" s="41"/>
      <c r="D174" s="41"/>
      <c r="E174" s="41"/>
      <c r="F174" s="41"/>
    </row>
    <row r="175" customFormat="false" ht="12.8" hidden="false" customHeight="false" outlineLevel="0" collapsed="false">
      <c r="B175" s="16"/>
      <c r="C175" s="41"/>
      <c r="D175" s="41"/>
      <c r="E175" s="41"/>
      <c r="F175" s="41"/>
    </row>
    <row r="176" customFormat="false" ht="12.8" hidden="false" customHeight="false" outlineLevel="0" collapsed="false">
      <c r="B176" s="16"/>
      <c r="C176" s="41"/>
      <c r="D176" s="41"/>
      <c r="E176" s="41"/>
      <c r="F176" s="41"/>
    </row>
    <row r="177" customFormat="false" ht="12.8" hidden="false" customHeight="false" outlineLevel="0" collapsed="false">
      <c r="B177" s="16"/>
      <c r="C177" s="41"/>
      <c r="D177" s="41"/>
      <c r="E177" s="41"/>
      <c r="F177" s="41"/>
    </row>
    <row r="178" customFormat="false" ht="12.8" hidden="false" customHeight="false" outlineLevel="0" collapsed="false">
      <c r="B178" s="16"/>
      <c r="C178" s="41"/>
      <c r="D178" s="41"/>
      <c r="E178" s="41"/>
      <c r="F178" s="41"/>
    </row>
    <row r="179" customFormat="false" ht="12.8" hidden="false" customHeight="false" outlineLevel="0" collapsed="false">
      <c r="B179" s="16"/>
      <c r="C179" s="41"/>
      <c r="D179" s="41"/>
      <c r="E179" s="41"/>
      <c r="F179" s="41"/>
    </row>
    <row r="180" customFormat="false" ht="12.8" hidden="false" customHeight="false" outlineLevel="0" collapsed="false">
      <c r="B180" s="16"/>
      <c r="C180" s="41"/>
      <c r="D180" s="41"/>
      <c r="E180" s="41"/>
      <c r="F180" s="41"/>
    </row>
    <row r="181" customFormat="false" ht="12.8" hidden="false" customHeight="false" outlineLevel="0" collapsed="false">
      <c r="B181" s="16"/>
      <c r="C181" s="41"/>
      <c r="D181" s="41"/>
      <c r="E181" s="41"/>
      <c r="F181" s="41"/>
    </row>
    <row r="182" customFormat="false" ht="12.8" hidden="false" customHeight="false" outlineLevel="0" collapsed="false">
      <c r="B182" s="16"/>
      <c r="C182" s="41"/>
      <c r="D182" s="41"/>
      <c r="E182" s="41"/>
      <c r="F182" s="4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3" t="s">
        <v>1141</v>
      </c>
      <c r="B1" s="21" t="s">
        <v>1142</v>
      </c>
      <c r="C1" s="15" t="s">
        <v>2</v>
      </c>
      <c r="D1" s="35" t="s">
        <v>1143</v>
      </c>
      <c r="AZ1" s="13"/>
      <c r="BP1" s="13"/>
    </row>
    <row r="2" customFormat="false" ht="35.05" hidden="false" customHeight="false" outlineLevel="0" collapsed="false">
      <c r="A2" s="22" t="s">
        <v>1128</v>
      </c>
      <c r="B2" s="21" t="s">
        <v>1129</v>
      </c>
      <c r="C2" s="42" t="str">
        <f aca="false">[1]CALC!X3</f>
        <v>Wage Average ($  /hr)</v>
      </c>
      <c r="D2" s="42" t="str">
        <f aca="false">[1]CALC!AD3</f>
        <v>Authorized Immigrant Wage Average ($  /hr)</v>
      </c>
      <c r="E2" s="42" t="str">
        <f aca="false">[1]CALC!AJ3</f>
        <v>Unauthorized Immigrant Wage Average ($  /hr)</v>
      </c>
      <c r="F2" s="42" t="str">
        <f aca="false">[1]CALC!AP3</f>
        <v>American Wage Average ($  /hr)</v>
      </c>
    </row>
    <row r="3" customFormat="false" ht="12.8" hidden="false" customHeight="false" outlineLevel="0" collapsed="false">
      <c r="A3" s="3" t="str">
        <f aca="false">_xlfn.CONCAT($A$1, ".", [1]CALC!A4)</f>
        <v>AR.WAVG.0</v>
      </c>
      <c r="B3" s="37" t="str">
        <f aca="false">_xlfn.CONCAT([1]CALC!B4, ":", [1]CALC!C4)</f>
        <v>All Industries:All Roles</v>
      </c>
      <c r="C3" s="42" t="n">
        <f aca="false">[1]CALC!X4</f>
        <v>31.5</v>
      </c>
      <c r="D3" s="42" t="n">
        <f aca="false">[1]CALC!AD4</f>
        <v>30.5</v>
      </c>
      <c r="E3" s="42" t="n">
        <f aca="false">[1]CALC!AJ4</f>
        <v>26.8</v>
      </c>
      <c r="F3" s="42" t="n">
        <f aca="false">[1]CALC!AP4</f>
        <v>32.1</v>
      </c>
    </row>
    <row r="4" customFormat="false" ht="12.8" hidden="false" customHeight="false" outlineLevel="0" collapsed="false">
      <c r="A4" s="10" t="str">
        <f aca="false">_xlfn.CONCAT($A$1, ".", [1]CALC!A5)</f>
        <v>AR.WAVG.1</v>
      </c>
      <c r="B4" s="23" t="str">
        <f aca="false">_xlfn.CONCAT([1]CALC!B5, ":", [1]CALC!C5)</f>
        <v>Agriculture:Worker</v>
      </c>
      <c r="C4" s="43" t="n">
        <f aca="false">[1]CALC!X5</f>
        <v>21.93</v>
      </c>
      <c r="D4" s="43" t="n">
        <f aca="false">[1]CALC!AD5</f>
        <v>21</v>
      </c>
      <c r="E4" s="43" t="n">
        <f aca="false">[1]CALC!AJ5</f>
        <v>18.2</v>
      </c>
      <c r="F4" s="43" t="n">
        <f aca="false">[1]CALC!AP5</f>
        <v>22.4</v>
      </c>
    </row>
    <row r="5" customFormat="false" ht="12.8" hidden="false" customHeight="false" outlineLevel="0" collapsed="false">
      <c r="A5" s="10" t="str">
        <f aca="false">_xlfn.CONCAT($A$1, ".", [1]CALC!A6)</f>
        <v>AR.WAVG.2</v>
      </c>
      <c r="B5" s="23" t="str">
        <f aca="false">_xlfn.CONCAT([1]CALC!B6, ":", [1]CALC!C6)</f>
        <v>Agriculture:Support</v>
      </c>
      <c r="C5" s="43" t="n">
        <f aca="false">[1]CALC!X6</f>
        <v>18.64</v>
      </c>
      <c r="D5" s="43" t="n">
        <f aca="false">[1]CALC!AD6</f>
        <v>17.8</v>
      </c>
      <c r="E5" s="43" t="n">
        <f aca="false">[1]CALC!AJ6</f>
        <v>15.5</v>
      </c>
      <c r="F5" s="43" t="n">
        <f aca="false">[1]CALC!AP6</f>
        <v>19</v>
      </c>
    </row>
    <row r="6" customFormat="false" ht="12.8" hidden="false" customHeight="false" outlineLevel="0" collapsed="false">
      <c r="A6" s="10" t="str">
        <f aca="false">_xlfn.CONCAT($A$1, ".", [1]CALC!A7)</f>
        <v>AR.WAVG.3</v>
      </c>
      <c r="B6" s="23" t="str">
        <f aca="false">_xlfn.CONCAT([1]CALC!B7, ":", [1]CALC!C7)</f>
        <v>Construction:Worker</v>
      </c>
      <c r="C6" s="43" t="n">
        <f aca="false">[1]CALC!X7</f>
        <v>25.34</v>
      </c>
      <c r="D6" s="43" t="n">
        <f aca="false">[1]CALC!AD7</f>
        <v>24.1</v>
      </c>
      <c r="E6" s="43" t="n">
        <f aca="false">[1]CALC!AJ7</f>
        <v>21.5</v>
      </c>
      <c r="F6" s="43" t="n">
        <f aca="false">[1]CALC!AP7</f>
        <v>25.9</v>
      </c>
    </row>
    <row r="7" customFormat="false" ht="12.8" hidden="false" customHeight="false" outlineLevel="0" collapsed="false">
      <c r="A7" s="10" t="str">
        <f aca="false">_xlfn.CONCAT($A$1, ".", [1]CALC!A8)</f>
        <v>AR.WAVG.4</v>
      </c>
      <c r="B7" s="23" t="str">
        <f aca="false">_xlfn.CONCAT([1]CALC!B8, ":", [1]CALC!C8)</f>
        <v>Construction:Support</v>
      </c>
      <c r="C7" s="43" t="n">
        <f aca="false">[1]CALC!X8</f>
        <v>21.54</v>
      </c>
      <c r="D7" s="43" t="n">
        <f aca="false">[1]CALC!AD8</f>
        <v>20.5</v>
      </c>
      <c r="E7" s="43" t="n">
        <f aca="false">[1]CALC!AJ8</f>
        <v>18.3</v>
      </c>
      <c r="F7" s="43" t="n">
        <f aca="false">[1]CALC!AP8</f>
        <v>22</v>
      </c>
    </row>
    <row r="8" customFormat="false" ht="12.8" hidden="false" customHeight="false" outlineLevel="0" collapsed="false">
      <c r="A8" s="10" t="str">
        <f aca="false">_xlfn.CONCAT($A$1, ".", [1]CALC!A9)</f>
        <v>AR.WAVG.5</v>
      </c>
      <c r="B8" s="23" t="str">
        <f aca="false">_xlfn.CONCAT([1]CALC!B9, ":", [1]CALC!C9)</f>
        <v>Hospitality:Worker</v>
      </c>
      <c r="C8" s="43" t="n">
        <f aca="false">[1]CALC!X9</f>
        <v>14.15</v>
      </c>
      <c r="D8" s="43" t="n">
        <f aca="false">[1]CALC!AD9</f>
        <v>13.5</v>
      </c>
      <c r="E8" s="43" t="n">
        <f aca="false">[1]CALC!AJ9</f>
        <v>11.7</v>
      </c>
      <c r="F8" s="43" t="n">
        <f aca="false">[1]CALC!AP9</f>
        <v>14.4</v>
      </c>
    </row>
    <row r="9" customFormat="false" ht="12.8" hidden="false" customHeight="false" outlineLevel="0" collapsed="false">
      <c r="A9" s="10" t="str">
        <f aca="false">_xlfn.CONCAT($A$1, ".", [1]CALC!A10)</f>
        <v>AR.WAVG.6</v>
      </c>
      <c r="B9" s="23" t="str">
        <f aca="false">_xlfn.CONCAT([1]CALC!B10, ":", [1]CALC!C10)</f>
        <v>Hospitality:Support</v>
      </c>
      <c r="C9" s="43" t="n">
        <f aca="false">[1]CALC!X10</f>
        <v>12.03</v>
      </c>
      <c r="D9" s="43" t="n">
        <f aca="false">[1]CALC!AD10</f>
        <v>11.5</v>
      </c>
      <c r="E9" s="43" t="n">
        <f aca="false">[1]CALC!AJ10</f>
        <v>9.9</v>
      </c>
      <c r="F9" s="43" t="n">
        <f aca="false">[1]CALC!AP10</f>
        <v>12.3</v>
      </c>
    </row>
    <row r="10" customFormat="false" ht="12.8" hidden="false" customHeight="false" outlineLevel="0" collapsed="false">
      <c r="A10" s="10" t="str">
        <f aca="false">_xlfn.CONCAT($A$1, ".", [1]CALC!A11)</f>
        <v>AR.WAVG.7</v>
      </c>
      <c r="B10" s="23" t="str">
        <f aca="false">_xlfn.CONCAT([1]CALC!B11, ":", [1]CALC!C11)</f>
        <v>Cleaning &amp; Maintenance:Worker</v>
      </c>
      <c r="C10" s="43" t="n">
        <f aca="false">[1]CALC!X11</f>
        <v>16.59</v>
      </c>
      <c r="D10" s="43" t="n">
        <f aca="false">[1]CALC!AD11</f>
        <v>15.8</v>
      </c>
      <c r="E10" s="43" t="n">
        <f aca="false">[1]CALC!AJ11</f>
        <v>13.8</v>
      </c>
      <c r="F10" s="43" t="n">
        <f aca="false">[1]CALC!AP11</f>
        <v>16.9</v>
      </c>
    </row>
    <row r="11" customFormat="false" ht="12.8" hidden="false" customHeight="false" outlineLevel="0" collapsed="false">
      <c r="A11" s="10" t="str">
        <f aca="false">_xlfn.CONCAT($A$1, ".", [1]CALC!A12)</f>
        <v>AR.WAVG.8</v>
      </c>
      <c r="B11" s="23" t="str">
        <f aca="false">_xlfn.CONCAT([1]CALC!B12, ":", [1]CALC!C12)</f>
        <v>Cleaning &amp; Maintenance:Support</v>
      </c>
      <c r="C11" s="43" t="n">
        <f aca="false">[1]CALC!X12</f>
        <v>14.1</v>
      </c>
      <c r="D11" s="43" t="n">
        <f aca="false">[1]CALC!AD12</f>
        <v>13.4</v>
      </c>
      <c r="E11" s="43" t="n">
        <f aca="false">[1]CALC!AJ12</f>
        <v>11.7</v>
      </c>
      <c r="F11" s="43" t="n">
        <f aca="false">[1]CALC!AP12</f>
        <v>14.4</v>
      </c>
    </row>
    <row r="12" customFormat="false" ht="12.8" hidden="false" customHeight="false" outlineLevel="0" collapsed="false">
      <c r="A12" s="10" t="str">
        <f aca="false">_xlfn.CONCAT($A$1, ".", [1]CALC!A13)</f>
        <v>AR.WAVG.9</v>
      </c>
      <c r="B12" s="23" t="str">
        <f aca="false">_xlfn.CONCAT([1]CALC!B13, ":", [1]CALC!C13)</f>
        <v>Manufacturing:Worker</v>
      </c>
      <c r="C12" s="43" t="n">
        <f aca="false">[1]CALC!X13</f>
        <v>24.19</v>
      </c>
      <c r="D12" s="43" t="n">
        <f aca="false">[1]CALC!AD13</f>
        <v>23</v>
      </c>
      <c r="E12" s="43" t="n">
        <f aca="false">[1]CALC!AJ13</f>
        <v>21</v>
      </c>
      <c r="F12" s="43" t="n">
        <f aca="false">[1]CALC!AP13</f>
        <v>24.7</v>
      </c>
    </row>
    <row r="13" customFormat="false" ht="12.8" hidden="false" customHeight="false" outlineLevel="0" collapsed="false">
      <c r="A13" s="10" t="str">
        <f aca="false">_xlfn.CONCAT($A$1, ".", [1]CALC!A14)</f>
        <v>AR.WAVG.10</v>
      </c>
      <c r="B13" s="23" t="str">
        <f aca="false">_xlfn.CONCAT([1]CALC!B14, ":", [1]CALC!C14)</f>
        <v>Manufacturing:Support</v>
      </c>
      <c r="C13" s="43" t="n">
        <f aca="false">[1]CALC!X14</f>
        <v>20.56</v>
      </c>
      <c r="D13" s="43" t="n">
        <f aca="false">[1]CALC!AD14</f>
        <v>19.6</v>
      </c>
      <c r="E13" s="43" t="n">
        <f aca="false">[1]CALC!AJ14</f>
        <v>17.9</v>
      </c>
      <c r="F13" s="43" t="n">
        <f aca="false">[1]CALC!AP14</f>
        <v>21</v>
      </c>
    </row>
    <row r="14" customFormat="false" ht="12.8" hidden="false" customHeight="false" outlineLevel="0" collapsed="false">
      <c r="A14" s="10" t="str">
        <f aca="false">_xlfn.CONCAT($A$1, ".", [1]CALC!A15)</f>
        <v>AR.WAVG.11</v>
      </c>
      <c r="B14" s="23" t="str">
        <f aca="false">_xlfn.CONCAT([1]CALC!B15, ":", [1]CALC!C15)</f>
        <v>Transportation &amp; Warehousing:Worker</v>
      </c>
      <c r="C14" s="43" t="n">
        <f aca="false">[1]CALC!X15</f>
        <v>24.4</v>
      </c>
      <c r="D14" s="43" t="n">
        <f aca="false">[1]CALC!AD15</f>
        <v>23.2</v>
      </c>
      <c r="E14" s="43" t="n">
        <f aca="false">[1]CALC!AJ15</f>
        <v>21.2</v>
      </c>
      <c r="F14" s="43" t="n">
        <f aca="false">[1]CALC!AP15</f>
        <v>24.9</v>
      </c>
    </row>
    <row r="15" customFormat="false" ht="12.8" hidden="false" customHeight="false" outlineLevel="0" collapsed="false">
      <c r="A15" s="10" t="str">
        <f aca="false">_xlfn.CONCAT($A$1, ".", [1]CALC!A16)</f>
        <v>AR.WAVG.12</v>
      </c>
      <c r="B15" s="23" t="str">
        <f aca="false">_xlfn.CONCAT([1]CALC!B16, ":", [1]CALC!C16)</f>
        <v>Transportation &amp; Warehousing:Support</v>
      </c>
      <c r="C15" s="43" t="n">
        <f aca="false">[1]CALC!X16</f>
        <v>20.74</v>
      </c>
      <c r="D15" s="43" t="n">
        <f aca="false">[1]CALC!AD16</f>
        <v>19.7</v>
      </c>
      <c r="E15" s="43" t="n">
        <f aca="false">[1]CALC!AJ16</f>
        <v>18</v>
      </c>
      <c r="F15" s="43" t="n">
        <f aca="false">[1]CALC!AP16</f>
        <v>21.2</v>
      </c>
    </row>
    <row r="16" customFormat="false" ht="12.8" hidden="false" customHeight="false" outlineLevel="0" collapsed="false">
      <c r="A16" s="10" t="str">
        <f aca="false">_xlfn.CONCAT($A$1, ".", [1]CALC!A17)</f>
        <v>AR.WAVG.13</v>
      </c>
      <c r="B16" s="23" t="str">
        <f aca="false">_xlfn.CONCAT([1]CALC!B17, ":", [1]CALC!C17)</f>
        <v>Retail Trade:Worker</v>
      </c>
      <c r="C16" s="43" t="n">
        <f aca="false">[1]CALC!X17</f>
        <v>21.94</v>
      </c>
      <c r="D16" s="43" t="n">
        <f aca="false">[1]CALC!AD17</f>
        <v>20.9</v>
      </c>
      <c r="E16" s="43" t="n">
        <f aca="false">[1]CALC!AJ17</f>
        <v>18.1</v>
      </c>
      <c r="F16" s="43" t="n">
        <f aca="false">[1]CALC!AP17</f>
        <v>22.4</v>
      </c>
    </row>
    <row r="17" customFormat="false" ht="12.8" hidden="false" customHeight="false" outlineLevel="0" collapsed="false">
      <c r="A17" s="10" t="str">
        <f aca="false">_xlfn.CONCAT($A$1, ".", [1]CALC!A18)</f>
        <v>AR.WAVG.14</v>
      </c>
      <c r="B17" s="23" t="str">
        <f aca="false">_xlfn.CONCAT([1]CALC!B18, ":", [1]CALC!C18)</f>
        <v>Retail Trade:Support</v>
      </c>
      <c r="C17" s="43" t="n">
        <f aca="false">[1]CALC!X18</f>
        <v>18.65</v>
      </c>
      <c r="D17" s="43" t="n">
        <f aca="false">[1]CALC!AD18</f>
        <v>17.8</v>
      </c>
      <c r="E17" s="43" t="n">
        <f aca="false">[1]CALC!AJ18</f>
        <v>15.4</v>
      </c>
      <c r="F17" s="43" t="n">
        <f aca="false">[1]CALC!AP18</f>
        <v>19</v>
      </c>
    </row>
    <row r="18" customFormat="false" ht="12.8" hidden="false" customHeight="false" outlineLevel="0" collapsed="false">
      <c r="A18" s="10" t="str">
        <f aca="false">_xlfn.CONCAT($A$1, ".", [1]CALC!A19)</f>
        <v>AR.WAVG.15</v>
      </c>
      <c r="B18" s="23" t="str">
        <f aca="false">_xlfn.CONCAT([1]CALC!B19, ":", [1]CALC!C19)</f>
        <v>Landscaping / Groundskeeping:Worker</v>
      </c>
      <c r="C18" s="43" t="n">
        <f aca="false">[1]CALC!X19</f>
        <v>16.59</v>
      </c>
      <c r="D18" s="43" t="n">
        <f aca="false">[1]CALC!AD19</f>
        <v>15.8</v>
      </c>
      <c r="E18" s="43" t="n">
        <f aca="false">[1]CALC!AJ19</f>
        <v>13.8</v>
      </c>
      <c r="F18" s="43" t="n">
        <f aca="false">[1]CALC!AP19</f>
        <v>16.9</v>
      </c>
    </row>
    <row r="19" customFormat="false" ht="12.8" hidden="false" customHeight="false" outlineLevel="0" collapsed="false">
      <c r="A19" s="10" t="str">
        <f aca="false">_xlfn.CONCAT($A$1, ".", [1]CALC!A20)</f>
        <v>AR.WAVG.16</v>
      </c>
      <c r="B19" s="23" t="str">
        <f aca="false">_xlfn.CONCAT([1]CALC!B20, ":", [1]CALC!C20)</f>
        <v>Landscaping / Groundskeeping:Support</v>
      </c>
      <c r="C19" s="43" t="n">
        <f aca="false">[1]CALC!X20</f>
        <v>14.1</v>
      </c>
      <c r="D19" s="43" t="n">
        <f aca="false">[1]CALC!AD20</f>
        <v>13.4</v>
      </c>
      <c r="E19" s="43" t="n">
        <f aca="false">[1]CALC!AJ20</f>
        <v>11.7</v>
      </c>
      <c r="F19" s="43" t="n">
        <f aca="false">[1]CALC!AP20</f>
        <v>14.4</v>
      </c>
    </row>
    <row r="20" customFormat="false" ht="12.8" hidden="false" customHeight="false" outlineLevel="0" collapsed="false">
      <c r="A20" s="10" t="str">
        <f aca="false">_xlfn.CONCAT($A$1, ".", [1]CALC!A21)</f>
        <v>AR.WAVG.17</v>
      </c>
      <c r="B20" s="23" t="str">
        <f aca="false">_xlfn.CONCAT([1]CALC!B21, ":", [1]CALC!C21)</f>
        <v>Automotive &amp; Repair:Worker</v>
      </c>
      <c r="C20" s="43" t="n">
        <f aca="false">[1]CALC!X21</f>
        <v>29.21</v>
      </c>
      <c r="D20" s="43" t="n">
        <f aca="false">[1]CALC!AD21</f>
        <v>27.7</v>
      </c>
      <c r="E20" s="43" t="n">
        <f aca="false">[1]CALC!AJ21</f>
        <v>25.3</v>
      </c>
      <c r="F20" s="43" t="n">
        <f aca="false">[1]CALC!AP21</f>
        <v>29.8</v>
      </c>
    </row>
    <row r="21" customFormat="false" ht="12.8" hidden="false" customHeight="false" outlineLevel="0" collapsed="false">
      <c r="A21" s="10" t="str">
        <f aca="false">_xlfn.CONCAT($A$1, ".", [1]CALC!A22)</f>
        <v>AR.WAVG.18</v>
      </c>
      <c r="B21" s="23" t="str">
        <f aca="false">_xlfn.CONCAT([1]CALC!B22, ":", [1]CALC!C22)</f>
        <v>Automotive &amp; Repair:Support</v>
      </c>
      <c r="C21" s="43" t="n">
        <f aca="false">[1]CALC!X22</f>
        <v>24.83</v>
      </c>
      <c r="D21" s="43" t="n">
        <f aca="false">[1]CALC!AD22</f>
        <v>23.6</v>
      </c>
      <c r="E21" s="43" t="n">
        <f aca="false">[1]CALC!AJ22</f>
        <v>21.5</v>
      </c>
      <c r="F21" s="43" t="n">
        <f aca="false">[1]CALC!AP22</f>
        <v>25.3</v>
      </c>
    </row>
    <row r="22" customFormat="false" ht="12.8" hidden="false" customHeight="false" outlineLevel="0" collapsed="false">
      <c r="A22" s="10" t="str">
        <f aca="false">_xlfn.CONCAT($A$1, ".", [1]CALC!A23)</f>
        <v>AR.WAVG.19</v>
      </c>
      <c r="B22" s="23" t="str">
        <f aca="false">_xlfn.CONCAT([1]CALC!B23, ":", [1]CALC!C23)</f>
        <v>Healthcare &amp; Social Assistance:Worker</v>
      </c>
      <c r="C22" s="43" t="n">
        <f aca="false">[1]CALC!X23</f>
        <v>41.16</v>
      </c>
      <c r="D22" s="43" t="n">
        <f aca="false">[1]CALC!AD23</f>
        <v>39.1</v>
      </c>
      <c r="E22" s="43" t="n">
        <f aca="false">[1]CALC!AJ23</f>
        <v>35.8</v>
      </c>
      <c r="F22" s="43" t="n">
        <f aca="false">[1]CALC!AP23</f>
        <v>42</v>
      </c>
    </row>
    <row r="23" customFormat="false" ht="12.8" hidden="false" customHeight="false" outlineLevel="0" collapsed="false">
      <c r="A23" s="10" t="str">
        <f aca="false">_xlfn.CONCAT($A$1, ".", [1]CALC!A24)</f>
        <v>AR.WAVG.20</v>
      </c>
      <c r="B23" s="23" t="str">
        <f aca="false">_xlfn.CONCAT([1]CALC!B24, ":", [1]CALC!C24)</f>
        <v>Healthcare &amp; Social Assistance:Support</v>
      </c>
      <c r="C23" s="43" t="n">
        <f aca="false">[1]CALC!X24</f>
        <v>34.99</v>
      </c>
      <c r="D23" s="43" t="n">
        <f aca="false">[1]CALC!AD24</f>
        <v>33.2</v>
      </c>
      <c r="E23" s="43" t="n">
        <f aca="false">[1]CALC!AJ24</f>
        <v>30.4</v>
      </c>
      <c r="F23" s="43" t="n">
        <f aca="false">[1]CALC!AP24</f>
        <v>35.7</v>
      </c>
    </row>
    <row r="24" customFormat="false" ht="12.8" hidden="false" customHeight="false" outlineLevel="0" collapsed="false">
      <c r="A24" s="10" t="str">
        <f aca="false">_xlfn.CONCAT($A$1, ".", [1]CALC!A25)</f>
        <v>AR.WAVG.21</v>
      </c>
      <c r="B24" s="23" t="str">
        <f aca="false">_xlfn.CONCAT([1]CALC!B25, ":", [1]CALC!C25)</f>
        <v>Professional Services:Worker</v>
      </c>
      <c r="C24" s="43" t="n">
        <f aca="false">[1]CALC!X25</f>
        <v>53.09</v>
      </c>
      <c r="D24" s="43" t="n">
        <f aca="false">[1]CALC!AD25</f>
        <v>50.4</v>
      </c>
      <c r="E24" s="43" t="n">
        <f aca="false">[1]CALC!AJ25</f>
        <v>46.2</v>
      </c>
      <c r="F24" s="43" t="n">
        <f aca="false">[1]CALC!AP25</f>
        <v>54.2</v>
      </c>
    </row>
    <row r="25" customFormat="false" ht="12.8" hidden="false" customHeight="false" outlineLevel="0" collapsed="false">
      <c r="A25" s="10" t="str">
        <f aca="false">_xlfn.CONCAT($A$1, ".", [1]CALC!A26)</f>
        <v>AR.WAVG.22</v>
      </c>
      <c r="B25" s="23" t="str">
        <f aca="false">_xlfn.CONCAT([1]CALC!B26, ":", [1]CALC!C26)</f>
        <v>Professional Services:Support</v>
      </c>
      <c r="C25" s="43" t="n">
        <f aca="false">[1]CALC!X26</f>
        <v>45.13</v>
      </c>
      <c r="D25" s="43" t="n">
        <f aca="false">[1]CALC!AD26</f>
        <v>42.9</v>
      </c>
      <c r="E25" s="43" t="n">
        <f aca="false">[1]CALC!AJ26</f>
        <v>39.3</v>
      </c>
      <c r="F25" s="43" t="n">
        <f aca="false">[1]CALC!AP26</f>
        <v>46</v>
      </c>
    </row>
    <row r="26" customFormat="false" ht="12.8" hidden="false" customHeight="false" outlineLevel="0" collapsed="false">
      <c r="A26" s="10" t="str">
        <f aca="false">_xlfn.CONCAT($A$1, ".", [1]CALC!A27)</f>
        <v>AR.WAVG.23</v>
      </c>
      <c r="B26" s="23" t="str">
        <f aca="false">_xlfn.CONCAT([1]CALC!B27, ":", [1]CALC!C27)</f>
        <v>Educational Services:Worker</v>
      </c>
      <c r="C26" s="43" t="n">
        <f aca="false">[1]CALC!X27</f>
        <v>26.24</v>
      </c>
      <c r="D26" s="43" t="n">
        <f aca="false">[1]CALC!AD27</f>
        <v>24.9</v>
      </c>
      <c r="E26" s="43" t="n">
        <f aca="false">[1]CALC!AJ27</f>
        <v>22.8</v>
      </c>
      <c r="F26" s="43" t="n">
        <f aca="false">[1]CALC!AP27</f>
        <v>26.8</v>
      </c>
    </row>
    <row r="27" customFormat="false" ht="12.8" hidden="false" customHeight="false" outlineLevel="0" collapsed="false">
      <c r="A27" s="10" t="str">
        <f aca="false">_xlfn.CONCAT($A$1, ".", [1]CALC!A28)</f>
        <v>AR.WAVG.24</v>
      </c>
      <c r="B27" s="23" t="str">
        <f aca="false">_xlfn.CONCAT([1]CALC!B28, ":", [1]CALC!C28)</f>
        <v>Educational Services:Support</v>
      </c>
      <c r="C27" s="43" t="n">
        <f aca="false">[1]CALC!X28</f>
        <v>22.3</v>
      </c>
      <c r="D27" s="43" t="n">
        <f aca="false">[1]CALC!AD28</f>
        <v>21.2</v>
      </c>
      <c r="E27" s="43" t="n">
        <f aca="false">[1]CALC!AJ28</f>
        <v>19.4</v>
      </c>
      <c r="F27" s="43" t="n">
        <f aca="false">[1]CALC!AP28</f>
        <v>22.8</v>
      </c>
    </row>
    <row r="28" customFormat="false" ht="12.8" hidden="false" customHeight="false" outlineLevel="0" collapsed="false">
      <c r="A28" s="10" t="str">
        <f aca="false">_xlfn.CONCAT($A$1, ".", [1]CALC!A29)</f>
        <v>AR.WAVG.25</v>
      </c>
      <c r="B28" s="23" t="str">
        <f aca="false">_xlfn.CONCAT([1]CALC!B29, ":", [1]CALC!C29)</f>
        <v>Finance &amp; Insurance:Worker</v>
      </c>
      <c r="C28" s="43" t="n">
        <f aca="false">[1]CALC!X29</f>
        <v>41</v>
      </c>
      <c r="D28" s="43" t="n">
        <f aca="false">[1]CALC!AD29</f>
        <v>39</v>
      </c>
      <c r="E28" s="43" t="n">
        <f aca="false">[1]CALC!AJ29</f>
        <v>35.7</v>
      </c>
      <c r="F28" s="43" t="n">
        <f aca="false">[1]CALC!AP29</f>
        <v>41.8</v>
      </c>
    </row>
    <row r="29" customFormat="false" ht="12.8" hidden="false" customHeight="false" outlineLevel="0" collapsed="false">
      <c r="A29" s="10" t="str">
        <f aca="false">_xlfn.CONCAT($A$1, ".", [1]CALC!A30)</f>
        <v>AR.WAVG.26</v>
      </c>
      <c r="B29" s="23" t="str">
        <f aca="false">_xlfn.CONCAT([1]CALC!B30, ":", [1]CALC!C30)</f>
        <v>Finance &amp; Insurance:Support</v>
      </c>
      <c r="C29" s="43" t="n">
        <f aca="false">[1]CALC!X30</f>
        <v>34.85</v>
      </c>
      <c r="D29" s="43" t="n">
        <f aca="false">[1]CALC!AD30</f>
        <v>33.1</v>
      </c>
      <c r="E29" s="43" t="n">
        <f aca="false">[1]CALC!AJ30</f>
        <v>30.3</v>
      </c>
      <c r="F29" s="43" t="n">
        <f aca="false">[1]CALC!AP30</f>
        <v>35.5</v>
      </c>
    </row>
    <row r="30" customFormat="false" ht="12.8" hidden="false" customHeight="false" outlineLevel="0" collapsed="false">
      <c r="A30" s="10" t="str">
        <f aca="false">_xlfn.CONCAT($A$1, ".", [1]CALC!A31)</f>
        <v>AR.WAVG.27</v>
      </c>
      <c r="B30" s="23" t="str">
        <f aca="false">_xlfn.CONCAT([1]CALC!B31, ":", [1]CALC!C31)</f>
        <v>Media and Information Technology:Worker</v>
      </c>
      <c r="C30" s="43" t="n">
        <f aca="false">[1]CALC!X31</f>
        <v>28.71</v>
      </c>
      <c r="D30" s="43" t="n">
        <f aca="false">[1]CALC!AD31</f>
        <v>27.3</v>
      </c>
      <c r="E30" s="43" t="n">
        <f aca="false">[1]CALC!AJ31</f>
        <v>25</v>
      </c>
      <c r="F30" s="43" t="n">
        <f aca="false">[1]CALC!AP31</f>
        <v>29.3</v>
      </c>
    </row>
    <row r="31" customFormat="false" ht="12.8" hidden="false" customHeight="false" outlineLevel="0" collapsed="false">
      <c r="A31" s="10" t="str">
        <f aca="false">_xlfn.CONCAT($A$1, ".", [1]CALC!A32)</f>
        <v>AR.WAVG.28</v>
      </c>
      <c r="B31" s="23" t="str">
        <f aca="false">_xlfn.CONCAT([1]CALC!B32, ":", [1]CALC!C32)</f>
        <v>Media and Information Technology:Support</v>
      </c>
      <c r="C31" s="43" t="n">
        <f aca="false">[1]CALC!X32</f>
        <v>24.4</v>
      </c>
      <c r="D31" s="43" t="n">
        <f aca="false">[1]CALC!AD32</f>
        <v>23.2</v>
      </c>
      <c r="E31" s="43" t="n">
        <f aca="false">[1]CALC!AJ32</f>
        <v>21.2</v>
      </c>
      <c r="F31" s="43" t="n">
        <f aca="false">[1]CALC!AP32</f>
        <v>24.9</v>
      </c>
    </row>
    <row r="32" customFormat="false" ht="12.8" hidden="false" customHeight="false" outlineLevel="0" collapsed="false">
      <c r="A32" s="10" t="str">
        <f aca="false">_xlfn.CONCAT($A$1, ".", [1]CALC!A33)</f>
        <v>AR.WAVG.29</v>
      </c>
      <c r="B32" s="23" t="str">
        <f aca="false">_xlfn.CONCAT([1]CALC!B33, ":", [1]CALC!C33)</f>
        <v>Government:Worker</v>
      </c>
      <c r="C32" s="43" t="n">
        <f aca="false">[1]CALC!X33</f>
        <v>24.54</v>
      </c>
      <c r="D32" s="43" t="n">
        <f aca="false">[1]CALC!AD33</f>
        <v>23.3</v>
      </c>
      <c r="E32" s="43" t="n">
        <f aca="false">[1]CALC!AJ33</f>
        <v>21.3</v>
      </c>
      <c r="F32" s="43" t="n">
        <f aca="false">[1]CALC!AP33</f>
        <v>25</v>
      </c>
    </row>
    <row r="33" customFormat="false" ht="12.8" hidden="false" customHeight="false" outlineLevel="0" collapsed="false">
      <c r="A33" s="10" t="str">
        <f aca="false">_xlfn.CONCAT($A$1, ".", [1]CALC!A34)</f>
        <v>AR.WAVG.30</v>
      </c>
      <c r="B33" s="23" t="str">
        <f aca="false">_xlfn.CONCAT([1]CALC!B34, ":", [1]CALC!C34)</f>
        <v>Government:Support</v>
      </c>
      <c r="C33" s="43" t="n">
        <f aca="false">[1]CALC!X34</f>
        <v>20.86</v>
      </c>
      <c r="D33" s="43" t="n">
        <f aca="false">[1]CALC!AD34</f>
        <v>19.8</v>
      </c>
      <c r="E33" s="43" t="n">
        <f aca="false">[1]CALC!AJ34</f>
        <v>18.1</v>
      </c>
      <c r="F33" s="43" t="n">
        <f aca="false">[1]CALC!AP34</f>
        <v>21.3</v>
      </c>
    </row>
    <row r="34" customFormat="false" ht="12.8" hidden="false" customHeight="false" outlineLevel="0" collapsed="false">
      <c r="A34" s="10" t="str">
        <f aca="false">_xlfn.CONCAT($A$1, ".", [1]CALC!A35)</f>
        <v>AR.WAVG.31</v>
      </c>
      <c r="B34" s="23" t="str">
        <f aca="false">_xlfn.CONCAT([1]CALC!B35, ":", [1]CALC!C35)</f>
        <v>Self-Employed / Non-Employer:Worker</v>
      </c>
      <c r="C34" s="43" t="n">
        <f aca="false">[1]CALC!X35</f>
        <v>37.5</v>
      </c>
      <c r="D34" s="43" t="n">
        <f aca="false">[1]CALC!AD35</f>
        <v>35.6</v>
      </c>
      <c r="E34" s="43" t="n">
        <f aca="false">[1]CALC!AJ35</f>
        <v>32.6</v>
      </c>
      <c r="F34" s="43" t="n">
        <f aca="false">[1]CALC!AP35</f>
        <v>38.3</v>
      </c>
    </row>
    <row r="35" customFormat="false" ht="12.8" hidden="false" customHeight="false" outlineLevel="0" collapsed="false">
      <c r="A35" s="10" t="str">
        <f aca="false">_xlfn.CONCAT($A$1, ".", [1]CALC!A36)</f>
        <v>AR.WAVG.32</v>
      </c>
      <c r="B35" s="23" t="str">
        <f aca="false">_xlfn.CONCAT([1]CALC!B36, ":", [1]CALC!C36)</f>
        <v>Self-Employed / Non-Employer:Support</v>
      </c>
      <c r="C35" s="43" t="n">
        <f aca="false">[1]CALC!X36</f>
        <v>31.88</v>
      </c>
      <c r="D35" s="43" t="n">
        <f aca="false">[1]CALC!AD36</f>
        <v>30.3</v>
      </c>
      <c r="E35" s="43" t="n">
        <f aca="false">[1]CALC!AJ36</f>
        <v>27.7</v>
      </c>
      <c r="F35" s="43" t="n">
        <f aca="false">[1]CALC!AP36</f>
        <v>32.5</v>
      </c>
    </row>
    <row r="36" customFormat="false" ht="12.8" hidden="false" customHeight="false" outlineLevel="0" collapsed="false">
      <c r="A36" s="10" t="str">
        <f aca="false">_xlfn.CONCAT($A$1, ".", [1]CALC!A37)</f>
        <v>AR.WAVG.33</v>
      </c>
      <c r="B36" s="23" t="str">
        <f aca="false">_xlfn.CONCAT([1]CALC!B37, ":", [1]CALC!C37)</f>
        <v>Other Services:Worker</v>
      </c>
      <c r="C36" s="43" t="n">
        <f aca="false">[1]CALC!X37</f>
        <v>15.21</v>
      </c>
      <c r="D36" s="43" t="n">
        <f aca="false">[1]CALC!AD37</f>
        <v>14.5</v>
      </c>
      <c r="E36" s="43" t="n">
        <f aca="false">[1]CALC!AJ37</f>
        <v>12.6</v>
      </c>
      <c r="F36" s="43" t="n">
        <f aca="false">[1]CALC!AP37</f>
        <v>15.5</v>
      </c>
    </row>
    <row r="37" customFormat="false" ht="12.8" hidden="false" customHeight="false" outlineLevel="0" collapsed="false">
      <c r="A37" s="10" t="str">
        <f aca="false">_xlfn.CONCAT($A$1, ".", [1]CALC!A38)</f>
        <v>AR.WAVG.34</v>
      </c>
      <c r="B37" s="23" t="str">
        <f aca="false">_xlfn.CONCAT([1]CALC!B38, ":", [1]CALC!C38)</f>
        <v>Other Services:Support</v>
      </c>
      <c r="C37" s="43" t="n">
        <f aca="false">[1]CALC!X38</f>
        <v>12.93</v>
      </c>
      <c r="D37" s="43" t="n">
        <f aca="false">[1]CALC!AD38</f>
        <v>12.3</v>
      </c>
      <c r="E37" s="43" t="n">
        <f aca="false">[1]CALC!AJ38</f>
        <v>10.7</v>
      </c>
      <c r="F37" s="43" t="n">
        <f aca="false">[1]CALC!AP38</f>
        <v>13.2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1" activeCellId="0" sqref="A4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5" t="s">
        <v>1144</v>
      </c>
      <c r="B1" s="21" t="s">
        <v>1145</v>
      </c>
      <c r="C1" s="15" t="s">
        <v>2</v>
      </c>
      <c r="D1" s="35" t="s">
        <v>1146</v>
      </c>
      <c r="AZ1" s="13"/>
      <c r="BP1" s="13"/>
    </row>
    <row r="2" customFormat="false" ht="46.25" hidden="false" customHeight="false" outlineLevel="0" collapsed="false">
      <c r="A2" s="22" t="s">
        <v>1128</v>
      </c>
      <c r="B2" s="21" t="s">
        <v>1129</v>
      </c>
      <c r="C2" s="44" t="str">
        <f aca="false">[1]CALC!AA3</f>
        <v>Annual Income (  $)</v>
      </c>
      <c r="D2" s="44" t="str">
        <f aca="false">[1]CALC!AG3</f>
        <v>Authorized Immigrant Annual Income Average (  $)</v>
      </c>
      <c r="E2" s="44" t="str">
        <f aca="false">[1]CALC!AM3</f>
        <v>Unauthorized Immigrant Annual Income Average (  $)</v>
      </c>
      <c r="F2" s="44" t="str">
        <f aca="false">[1]CALC!AS3</f>
        <v>American Annual Income Average (  $)</v>
      </c>
    </row>
    <row r="3" customFormat="false" ht="12.8" hidden="false" customHeight="false" outlineLevel="0" collapsed="false">
      <c r="A3" s="3" t="str">
        <f aca="false">_xlfn.CONCAT($A$1, ".", [1]CALC!A4)</f>
        <v>AR.AIAVG.0</v>
      </c>
      <c r="B3" s="37" t="str">
        <f aca="false">_xlfn.CONCAT([1]CALC!B4, ":", [1]CALC!C4)</f>
        <v>All Industries:All Roles</v>
      </c>
      <c r="C3" s="44" t="n">
        <f aca="false">[1]CALC!AA4</f>
        <v>65520</v>
      </c>
      <c r="D3" s="44" t="n">
        <f aca="false">[1]CALC!AG4</f>
        <v>63440</v>
      </c>
      <c r="E3" s="44" t="n">
        <f aca="false">[1]CALC!AM4</f>
        <v>55776</v>
      </c>
      <c r="F3" s="44" t="n">
        <f aca="false">[1]CALC!AS4</f>
        <v>66768</v>
      </c>
    </row>
    <row r="4" customFormat="false" ht="12.8" hidden="false" customHeight="false" outlineLevel="0" collapsed="false">
      <c r="A4" s="10" t="str">
        <f aca="false">_xlfn.CONCAT($A$1, ".", [1]CALC!A5)</f>
        <v>AR.AIAVG.1</v>
      </c>
      <c r="B4" s="23" t="str">
        <f aca="false">_xlfn.CONCAT([1]CALC!B5, ":", [1]CALC!C5)</f>
        <v>Agriculture:Worker</v>
      </c>
      <c r="C4" s="45" t="n">
        <f aca="false">[1]CALC!AA5</f>
        <v>45614</v>
      </c>
      <c r="D4" s="45" t="n">
        <f aca="false">[1]CALC!AG5</f>
        <v>43680</v>
      </c>
      <c r="E4" s="45" t="n">
        <f aca="false">[1]CALC!AM5</f>
        <v>37856</v>
      </c>
      <c r="F4" s="45" t="n">
        <f aca="false">[1]CALC!AS5</f>
        <v>46592</v>
      </c>
    </row>
    <row r="5" customFormat="false" ht="12.8" hidden="false" customHeight="false" outlineLevel="0" collapsed="false">
      <c r="A5" s="10" t="str">
        <f aca="false">_xlfn.CONCAT($A$1, ".", [1]CALC!A6)</f>
        <v>AR.AIAVG.2</v>
      </c>
      <c r="B5" s="23" t="str">
        <f aca="false">_xlfn.CONCAT([1]CALC!B6, ":", [1]CALC!C6)</f>
        <v>Agriculture:Support</v>
      </c>
      <c r="C5" s="45" t="n">
        <f aca="false">[1]CALC!AA6</f>
        <v>38771</v>
      </c>
      <c r="D5" s="45" t="n">
        <f aca="false">[1]CALC!AG6</f>
        <v>37024</v>
      </c>
      <c r="E5" s="45" t="n">
        <f aca="false">[1]CALC!AM6</f>
        <v>32240</v>
      </c>
      <c r="F5" s="45" t="n">
        <f aca="false">[1]CALC!AS6</f>
        <v>39520</v>
      </c>
    </row>
    <row r="6" customFormat="false" ht="12.8" hidden="false" customHeight="false" outlineLevel="0" collapsed="false">
      <c r="A6" s="10" t="str">
        <f aca="false">_xlfn.CONCAT($A$1, ".", [1]CALC!A7)</f>
        <v>AR.AIAVG.3</v>
      </c>
      <c r="B6" s="23" t="str">
        <f aca="false">_xlfn.CONCAT([1]CALC!B7, ":", [1]CALC!C7)</f>
        <v>Construction:Worker</v>
      </c>
      <c r="C6" s="45" t="n">
        <f aca="false">[1]CALC!AA7</f>
        <v>52707</v>
      </c>
      <c r="D6" s="45" t="n">
        <f aca="false">[1]CALC!AG7</f>
        <v>50128</v>
      </c>
      <c r="E6" s="45" t="n">
        <f aca="false">[1]CALC!AM7</f>
        <v>44720</v>
      </c>
      <c r="F6" s="45" t="n">
        <f aca="false">[1]CALC!AS7</f>
        <v>53872</v>
      </c>
    </row>
    <row r="7" customFormat="false" ht="12.8" hidden="false" customHeight="false" outlineLevel="0" collapsed="false">
      <c r="A7" s="10" t="str">
        <f aca="false">_xlfn.CONCAT($A$1, ".", [1]CALC!A8)</f>
        <v>AR.AIAVG.4</v>
      </c>
      <c r="B7" s="23" t="str">
        <f aca="false">_xlfn.CONCAT([1]CALC!B8, ":", [1]CALC!C8)</f>
        <v>Construction:Support</v>
      </c>
      <c r="C7" s="45" t="n">
        <f aca="false">[1]CALC!AA8</f>
        <v>44771</v>
      </c>
      <c r="D7" s="45" t="n">
        <f aca="false">[1]CALC!AG8</f>
        <v>42640</v>
      </c>
      <c r="E7" s="45" t="n">
        <f aca="false">[1]CALC!AM8</f>
        <v>38064</v>
      </c>
      <c r="F7" s="45" t="n">
        <f aca="false">[1]CALC!AS8</f>
        <v>45760</v>
      </c>
    </row>
    <row r="8" customFormat="false" ht="12.8" hidden="false" customHeight="false" outlineLevel="0" collapsed="false">
      <c r="A8" s="10" t="str">
        <f aca="false">_xlfn.CONCAT($A$1, ".", [1]CALC!A9)</f>
        <v>AR.AIAVG.5</v>
      </c>
      <c r="B8" s="23" t="str">
        <f aca="false">_xlfn.CONCAT([1]CALC!B9, ":", [1]CALC!C9)</f>
        <v>Hospitality:Worker</v>
      </c>
      <c r="C8" s="45" t="n">
        <f aca="false">[1]CALC!AA9</f>
        <v>29432</v>
      </c>
      <c r="D8" s="45" t="n">
        <f aca="false">[1]CALC!AG9</f>
        <v>28080</v>
      </c>
      <c r="E8" s="45" t="n">
        <f aca="false">[1]CALC!AM9</f>
        <v>24336</v>
      </c>
      <c r="F8" s="45" t="n">
        <f aca="false">[1]CALC!AS9</f>
        <v>29952</v>
      </c>
    </row>
    <row r="9" customFormat="false" ht="12.8" hidden="false" customHeight="false" outlineLevel="0" collapsed="false">
      <c r="A9" s="10" t="str">
        <f aca="false">_xlfn.CONCAT($A$1, ".", [1]CALC!A10)</f>
        <v>AR.AIAVG.6</v>
      </c>
      <c r="B9" s="23" t="str">
        <f aca="false">_xlfn.CONCAT([1]CALC!B10, ":", [1]CALC!C10)</f>
        <v>Hospitality:Support</v>
      </c>
      <c r="C9" s="45" t="n">
        <f aca="false">[1]CALC!AA10</f>
        <v>25022</v>
      </c>
      <c r="D9" s="45" t="n">
        <f aca="false">[1]CALC!AG10</f>
        <v>23920</v>
      </c>
      <c r="E9" s="45" t="n">
        <f aca="false">[1]CALC!AM10</f>
        <v>20592</v>
      </c>
      <c r="F9" s="45" t="n">
        <f aca="false">[1]CALC!AS10</f>
        <v>25584</v>
      </c>
    </row>
    <row r="10" customFormat="false" ht="12.8" hidden="false" customHeight="false" outlineLevel="0" collapsed="false">
      <c r="A10" s="10" t="str">
        <f aca="false">_xlfn.CONCAT($A$1, ".", [1]CALC!A11)</f>
        <v>AR.AIAVG.7</v>
      </c>
      <c r="B10" s="23" t="str">
        <f aca="false">_xlfn.CONCAT([1]CALC!B11, ":", [1]CALC!C11)</f>
        <v>Cleaning &amp; Maintenance:Worker</v>
      </c>
      <c r="C10" s="45" t="n">
        <f aca="false">[1]CALC!AA11</f>
        <v>34507</v>
      </c>
      <c r="D10" s="45" t="n">
        <f aca="false">[1]CALC!AG11</f>
        <v>32864</v>
      </c>
      <c r="E10" s="45" t="n">
        <f aca="false">[1]CALC!AM11</f>
        <v>28704</v>
      </c>
      <c r="F10" s="45" t="n">
        <f aca="false">[1]CALC!AS11</f>
        <v>35152</v>
      </c>
    </row>
    <row r="11" customFormat="false" ht="12.8" hidden="false" customHeight="false" outlineLevel="0" collapsed="false">
      <c r="A11" s="10" t="str">
        <f aca="false">_xlfn.CONCAT($A$1, ".", [1]CALC!A12)</f>
        <v>AR.AIAVG.8</v>
      </c>
      <c r="B11" s="23" t="str">
        <f aca="false">_xlfn.CONCAT([1]CALC!B12, ":", [1]CALC!C12)</f>
        <v>Cleaning &amp; Maintenance:Support</v>
      </c>
      <c r="C11" s="45" t="n">
        <f aca="false">[1]CALC!AA12</f>
        <v>29328</v>
      </c>
      <c r="D11" s="45" t="n">
        <f aca="false">[1]CALC!AG12</f>
        <v>27872</v>
      </c>
      <c r="E11" s="45" t="n">
        <f aca="false">[1]CALC!AM12</f>
        <v>24336</v>
      </c>
      <c r="F11" s="45" t="n">
        <f aca="false">[1]CALC!AS12</f>
        <v>29952</v>
      </c>
    </row>
    <row r="12" customFormat="false" ht="12.8" hidden="false" customHeight="false" outlineLevel="0" collapsed="false">
      <c r="A12" s="10" t="str">
        <f aca="false">_xlfn.CONCAT($A$1, ".", [1]CALC!A13)</f>
        <v>AR.AIAVG.9</v>
      </c>
      <c r="B12" s="23" t="str">
        <f aca="false">_xlfn.CONCAT([1]CALC!B13, ":", [1]CALC!C13)</f>
        <v>Manufacturing:Worker</v>
      </c>
      <c r="C12" s="45" t="n">
        <f aca="false">[1]CALC!AA13</f>
        <v>50315</v>
      </c>
      <c r="D12" s="45" t="n">
        <f aca="false">[1]CALC!AG13</f>
        <v>47840</v>
      </c>
      <c r="E12" s="45" t="n">
        <f aca="false">[1]CALC!AM13</f>
        <v>43680</v>
      </c>
      <c r="F12" s="45" t="n">
        <f aca="false">[1]CALC!AS13</f>
        <v>51376</v>
      </c>
    </row>
    <row r="13" customFormat="false" ht="12.8" hidden="false" customHeight="false" outlineLevel="0" collapsed="false">
      <c r="A13" s="10" t="str">
        <f aca="false">_xlfn.CONCAT($A$1, ".", [1]CALC!A14)</f>
        <v>AR.AIAVG.10</v>
      </c>
      <c r="B13" s="23" t="str">
        <f aca="false">_xlfn.CONCAT([1]CALC!B14, ":", [1]CALC!C14)</f>
        <v>Manufacturing:Support</v>
      </c>
      <c r="C13" s="45" t="n">
        <f aca="false">[1]CALC!AA14</f>
        <v>42765</v>
      </c>
      <c r="D13" s="45" t="n">
        <f aca="false">[1]CALC!AG14</f>
        <v>40768</v>
      </c>
      <c r="E13" s="45" t="n">
        <f aca="false">[1]CALC!AM14</f>
        <v>37232</v>
      </c>
      <c r="F13" s="45" t="n">
        <f aca="false">[1]CALC!AS14</f>
        <v>43680</v>
      </c>
    </row>
    <row r="14" customFormat="false" ht="12.8" hidden="false" customHeight="false" outlineLevel="0" collapsed="false">
      <c r="A14" s="10" t="str">
        <f aca="false">_xlfn.CONCAT($A$1, ".", [1]CALC!A15)</f>
        <v>AR.AIAVG.11</v>
      </c>
      <c r="B14" s="23" t="str">
        <f aca="false">_xlfn.CONCAT([1]CALC!B15, ":", [1]CALC!C15)</f>
        <v>Transportation &amp; Warehousing:Worker</v>
      </c>
      <c r="C14" s="45" t="n">
        <f aca="false">[1]CALC!AA15</f>
        <v>50752</v>
      </c>
      <c r="D14" s="45" t="n">
        <f aca="false">[1]CALC!AG15</f>
        <v>48256</v>
      </c>
      <c r="E14" s="45" t="n">
        <f aca="false">[1]CALC!AM15</f>
        <v>44100</v>
      </c>
      <c r="F14" s="45" t="n">
        <f aca="false">[1]CALC!AS15</f>
        <v>51792</v>
      </c>
    </row>
    <row r="15" customFormat="false" ht="12.8" hidden="false" customHeight="false" outlineLevel="0" collapsed="false">
      <c r="A15" s="10" t="str">
        <f aca="false">_xlfn.CONCAT($A$1, ".", [1]CALC!A16)</f>
        <v>AR.AIAVG.12</v>
      </c>
      <c r="B15" s="23" t="str">
        <f aca="false">_xlfn.CONCAT([1]CALC!B16, ":", [1]CALC!C16)</f>
        <v>Transportation &amp; Warehousing:Support</v>
      </c>
      <c r="C15" s="45" t="n">
        <f aca="false">[1]CALC!AA16</f>
        <v>43139</v>
      </c>
      <c r="D15" s="45" t="n">
        <f aca="false">[1]CALC!AG16</f>
        <v>40976</v>
      </c>
      <c r="E15" s="45" t="n">
        <f aca="false">[1]CALC!AM16</f>
        <v>37440</v>
      </c>
      <c r="F15" s="45" t="n">
        <f aca="false">[1]CALC!AS16</f>
        <v>44096</v>
      </c>
    </row>
    <row r="16" customFormat="false" ht="12.8" hidden="false" customHeight="false" outlineLevel="0" collapsed="false">
      <c r="A16" s="10" t="str">
        <f aca="false">_xlfn.CONCAT($A$1, ".", [1]CALC!A17)</f>
        <v>AR.AIAVG.13</v>
      </c>
      <c r="B16" s="23" t="str">
        <f aca="false">_xlfn.CONCAT([1]CALC!B17, ":", [1]CALC!C17)</f>
        <v>Retail Trade:Worker</v>
      </c>
      <c r="C16" s="45" t="n">
        <f aca="false">[1]CALC!AA17</f>
        <v>45635</v>
      </c>
      <c r="D16" s="45" t="n">
        <f aca="false">[1]CALC!AG17</f>
        <v>43472</v>
      </c>
      <c r="E16" s="45" t="n">
        <f aca="false">[1]CALC!AM17</f>
        <v>37648</v>
      </c>
      <c r="F16" s="45" t="n">
        <f aca="false">[1]CALC!AS17</f>
        <v>46592</v>
      </c>
    </row>
    <row r="17" customFormat="false" ht="12.8" hidden="false" customHeight="false" outlineLevel="0" collapsed="false">
      <c r="A17" s="10" t="str">
        <f aca="false">_xlfn.CONCAT($A$1, ".", [1]CALC!A18)</f>
        <v>AR.AIAVG.14</v>
      </c>
      <c r="B17" s="23" t="str">
        <f aca="false">_xlfn.CONCAT([1]CALC!B18, ":", [1]CALC!C18)</f>
        <v>Retail Trade:Support</v>
      </c>
      <c r="C17" s="45" t="n">
        <f aca="false">[1]CALC!AA18</f>
        <v>38792</v>
      </c>
      <c r="D17" s="45" t="n">
        <f aca="false">[1]CALC!AG18</f>
        <v>37024</v>
      </c>
      <c r="E17" s="45" t="n">
        <f aca="false">[1]CALC!AM18</f>
        <v>32032</v>
      </c>
      <c r="F17" s="45" t="n">
        <f aca="false">[1]CALC!AS18</f>
        <v>39520</v>
      </c>
    </row>
    <row r="18" customFormat="false" ht="12.8" hidden="false" customHeight="false" outlineLevel="0" collapsed="false">
      <c r="A18" s="10" t="str">
        <f aca="false">_xlfn.CONCAT($A$1, ".", [1]CALC!A19)</f>
        <v>AR.AIAVG.15</v>
      </c>
      <c r="B18" s="23" t="str">
        <f aca="false">_xlfn.CONCAT([1]CALC!B19, ":", [1]CALC!C19)</f>
        <v>Landscaping / Groundskeeping:Worker</v>
      </c>
      <c r="C18" s="45" t="n">
        <f aca="false">[1]CALC!AA19</f>
        <v>34507</v>
      </c>
      <c r="D18" s="45" t="n">
        <f aca="false">[1]CALC!AG19</f>
        <v>32864</v>
      </c>
      <c r="E18" s="45" t="n">
        <f aca="false">[1]CALC!AM19</f>
        <v>28704</v>
      </c>
      <c r="F18" s="45" t="n">
        <f aca="false">[1]CALC!AS19</f>
        <v>35152</v>
      </c>
    </row>
    <row r="19" customFormat="false" ht="12.8" hidden="false" customHeight="false" outlineLevel="0" collapsed="false">
      <c r="A19" s="10" t="str">
        <f aca="false">_xlfn.CONCAT($A$1, ".", [1]CALC!A20)</f>
        <v>AR.AIAVG.16</v>
      </c>
      <c r="B19" s="23" t="str">
        <f aca="false">_xlfn.CONCAT([1]CALC!B20, ":", [1]CALC!C20)</f>
        <v>Landscaping / Groundskeeping:Support</v>
      </c>
      <c r="C19" s="45" t="n">
        <f aca="false">[1]CALC!AA20</f>
        <v>29328</v>
      </c>
      <c r="D19" s="45" t="n">
        <f aca="false">[1]CALC!AG20</f>
        <v>27872</v>
      </c>
      <c r="E19" s="45" t="n">
        <f aca="false">[1]CALC!AM20</f>
        <v>24336</v>
      </c>
      <c r="F19" s="45" t="n">
        <f aca="false">[1]CALC!AS20</f>
        <v>29952</v>
      </c>
    </row>
    <row r="20" customFormat="false" ht="12.8" hidden="false" customHeight="false" outlineLevel="0" collapsed="false">
      <c r="A20" s="10" t="str">
        <f aca="false">_xlfn.CONCAT($A$1, ".", [1]CALC!A21)</f>
        <v>AR.AIAVG.17</v>
      </c>
      <c r="B20" s="23" t="str">
        <f aca="false">_xlfn.CONCAT([1]CALC!B21, ":", [1]CALC!C21)</f>
        <v>Automotive &amp; Repair:Worker</v>
      </c>
      <c r="C20" s="45" t="n">
        <f aca="false">[1]CALC!AA21</f>
        <v>60757</v>
      </c>
      <c r="D20" s="45" t="n">
        <f aca="false">[1]CALC!AG21</f>
        <v>57616</v>
      </c>
      <c r="E20" s="45" t="n">
        <f aca="false">[1]CALC!AM21</f>
        <v>52624</v>
      </c>
      <c r="F20" s="45" t="n">
        <f aca="false">[1]CALC!AS21</f>
        <v>61984</v>
      </c>
    </row>
    <row r="21" customFormat="false" ht="12.8" hidden="false" customHeight="false" outlineLevel="0" collapsed="false">
      <c r="A21" s="10" t="str">
        <f aca="false">_xlfn.CONCAT($A$1, ".", [1]CALC!A22)</f>
        <v>AR.AIAVG.18</v>
      </c>
      <c r="B21" s="23" t="str">
        <f aca="false">_xlfn.CONCAT([1]CALC!B22, ":", [1]CALC!C22)</f>
        <v>Automotive &amp; Repair:Support</v>
      </c>
      <c r="C21" s="45" t="n">
        <f aca="false">[1]CALC!AA22</f>
        <v>51646</v>
      </c>
      <c r="D21" s="45" t="n">
        <f aca="false">[1]CALC!AG22</f>
        <v>49088</v>
      </c>
      <c r="E21" s="45" t="n">
        <f aca="false">[1]CALC!AM22</f>
        <v>44720</v>
      </c>
      <c r="F21" s="45" t="n">
        <f aca="false">[1]CALC!AS22</f>
        <v>52624</v>
      </c>
    </row>
    <row r="22" customFormat="false" ht="12.8" hidden="false" customHeight="false" outlineLevel="0" collapsed="false">
      <c r="A22" s="10" t="str">
        <f aca="false">_xlfn.CONCAT($A$1, ".", [1]CALC!A23)</f>
        <v>AR.AIAVG.19</v>
      </c>
      <c r="B22" s="23" t="str">
        <f aca="false">_xlfn.CONCAT([1]CALC!B23, ":", [1]CALC!C23)</f>
        <v>Healthcare &amp; Social Assistance:Worker</v>
      </c>
      <c r="C22" s="45" t="n">
        <f aca="false">[1]CALC!AA23</f>
        <v>85613</v>
      </c>
      <c r="D22" s="45" t="n">
        <f aca="false">[1]CALC!AG23</f>
        <v>81328</v>
      </c>
      <c r="E22" s="45" t="n">
        <f aca="false">[1]CALC!AM23</f>
        <v>74464</v>
      </c>
      <c r="F22" s="45" t="n">
        <f aca="false">[1]CALC!AS23</f>
        <v>87360</v>
      </c>
    </row>
    <row r="23" customFormat="false" ht="12.8" hidden="false" customHeight="false" outlineLevel="0" collapsed="false">
      <c r="A23" s="10" t="str">
        <f aca="false">_xlfn.CONCAT($A$1, ".", [1]CALC!A24)</f>
        <v>AR.AIAVG.20</v>
      </c>
      <c r="B23" s="23" t="str">
        <f aca="false">_xlfn.CONCAT([1]CALC!B24, ":", [1]CALC!C24)</f>
        <v>Healthcare &amp; Social Assistance:Support</v>
      </c>
      <c r="C23" s="45" t="n">
        <f aca="false">[1]CALC!AA24</f>
        <v>72779</v>
      </c>
      <c r="D23" s="45" t="n">
        <f aca="false">[1]CALC!AG24</f>
        <v>69056</v>
      </c>
      <c r="E23" s="45" t="n">
        <f aca="false">[1]CALC!AM24</f>
        <v>63232</v>
      </c>
      <c r="F23" s="45" t="n">
        <f aca="false">[1]CALC!AS24</f>
        <v>74256</v>
      </c>
    </row>
    <row r="24" customFormat="false" ht="12.8" hidden="false" customHeight="false" outlineLevel="0" collapsed="false">
      <c r="A24" s="10" t="str">
        <f aca="false">_xlfn.CONCAT($A$1, ".", [1]CALC!A25)</f>
        <v>AR.AIAVG.21</v>
      </c>
      <c r="B24" s="23" t="str">
        <f aca="false">_xlfn.CONCAT([1]CALC!B25, ":", [1]CALC!C25)</f>
        <v>Professional Services:Worker</v>
      </c>
      <c r="C24" s="45" t="n">
        <f aca="false">[1]CALC!AA25</f>
        <v>110427</v>
      </c>
      <c r="D24" s="45" t="n">
        <f aca="false">[1]CALC!AG25</f>
        <v>104832</v>
      </c>
      <c r="E24" s="45" t="n">
        <f aca="false">[1]CALC!AM25</f>
        <v>96096</v>
      </c>
      <c r="F24" s="45" t="n">
        <f aca="false">[1]CALC!AS25</f>
        <v>112736</v>
      </c>
    </row>
    <row r="25" customFormat="false" ht="12.8" hidden="false" customHeight="false" outlineLevel="0" collapsed="false">
      <c r="A25" s="10" t="str">
        <f aca="false">_xlfn.CONCAT($A$1, ".", [1]CALC!A26)</f>
        <v>AR.AIAVG.22</v>
      </c>
      <c r="B25" s="23" t="str">
        <f aca="false">_xlfn.CONCAT([1]CALC!B26, ":", [1]CALC!C26)</f>
        <v>Professional Services:Support</v>
      </c>
      <c r="C25" s="45" t="n">
        <f aca="false">[1]CALC!AA26</f>
        <v>93870</v>
      </c>
      <c r="D25" s="45" t="n">
        <f aca="false">[1]CALC!AG26</f>
        <v>89232</v>
      </c>
      <c r="E25" s="45" t="n">
        <f aca="false">[1]CALC!AM26</f>
        <v>81744</v>
      </c>
      <c r="F25" s="45" t="n">
        <f aca="false">[1]CALC!AS26</f>
        <v>95680</v>
      </c>
    </row>
    <row r="26" customFormat="false" ht="12.8" hidden="false" customHeight="false" outlineLevel="0" collapsed="false">
      <c r="A26" s="10" t="str">
        <f aca="false">_xlfn.CONCAT($A$1, ".", [1]CALC!A27)</f>
        <v>AR.AIAVG.23</v>
      </c>
      <c r="B26" s="23" t="str">
        <f aca="false">_xlfn.CONCAT([1]CALC!B27, ":", [1]CALC!C27)</f>
        <v>Educational Services:Worker</v>
      </c>
      <c r="C26" s="45" t="n">
        <f aca="false">[1]CALC!AA27</f>
        <v>54579</v>
      </c>
      <c r="D26" s="45" t="n">
        <f aca="false">[1]CALC!AG27</f>
        <v>51792</v>
      </c>
      <c r="E26" s="45" t="n">
        <f aca="false">[1]CALC!AM27</f>
        <v>47424</v>
      </c>
      <c r="F26" s="45" t="n">
        <f aca="false">[1]CALC!AS27</f>
        <v>55744</v>
      </c>
    </row>
    <row r="27" customFormat="false" ht="12.8" hidden="false" customHeight="false" outlineLevel="0" collapsed="false">
      <c r="A27" s="10" t="str">
        <f aca="false">_xlfn.CONCAT($A$1, ".", [1]CALC!A28)</f>
        <v>AR.AIAVG.24</v>
      </c>
      <c r="B27" s="23" t="str">
        <f aca="false">_xlfn.CONCAT([1]CALC!B28, ":", [1]CALC!C28)</f>
        <v>Educational Services:Support</v>
      </c>
      <c r="C27" s="45" t="n">
        <f aca="false">[1]CALC!AA28</f>
        <v>46384</v>
      </c>
      <c r="D27" s="45" t="n">
        <f aca="false">[1]CALC!AG28</f>
        <v>44096</v>
      </c>
      <c r="E27" s="45" t="n">
        <f aca="false">[1]CALC!AM28</f>
        <v>40352</v>
      </c>
      <c r="F27" s="45" t="n">
        <f aca="false">[1]CALC!AS28</f>
        <v>47424</v>
      </c>
    </row>
    <row r="28" customFormat="false" ht="12.8" hidden="false" customHeight="false" outlineLevel="0" collapsed="false">
      <c r="A28" s="10" t="str">
        <f aca="false">_xlfn.CONCAT($A$1, ".", [1]CALC!A29)</f>
        <v>AR.AIAVG.25</v>
      </c>
      <c r="B28" s="23" t="str">
        <f aca="false">_xlfn.CONCAT([1]CALC!B29, ":", [1]CALC!C29)</f>
        <v>Finance &amp; Insurance:Worker</v>
      </c>
      <c r="C28" s="45" t="n">
        <f aca="false">[1]CALC!AA29</f>
        <v>85280</v>
      </c>
      <c r="D28" s="45" t="n">
        <f aca="false">[1]CALC!AG29</f>
        <v>81120</v>
      </c>
      <c r="E28" s="45" t="n">
        <f aca="false">[1]CALC!AM29</f>
        <v>74256</v>
      </c>
      <c r="F28" s="45" t="n">
        <f aca="false">[1]CALC!AS29</f>
        <v>86944</v>
      </c>
    </row>
    <row r="29" customFormat="false" ht="12.8" hidden="false" customHeight="false" outlineLevel="0" collapsed="false">
      <c r="A29" s="10" t="str">
        <f aca="false">_xlfn.CONCAT($A$1, ".", [1]CALC!A30)</f>
        <v>AR.AIAVG.26</v>
      </c>
      <c r="B29" s="23" t="str">
        <f aca="false">_xlfn.CONCAT([1]CALC!B30, ":", [1]CALC!C30)</f>
        <v>Finance &amp; Insurance:Support</v>
      </c>
      <c r="C29" s="45" t="n">
        <f aca="false">[1]CALC!AA30</f>
        <v>72488</v>
      </c>
      <c r="D29" s="45" t="n">
        <f aca="false">[1]CALC!AG30</f>
        <v>68848</v>
      </c>
      <c r="E29" s="45" t="n">
        <f aca="false">[1]CALC!AM30</f>
        <v>63024</v>
      </c>
      <c r="F29" s="45" t="n">
        <f aca="false">[1]CALC!AS30</f>
        <v>73840</v>
      </c>
    </row>
    <row r="30" customFormat="false" ht="12.8" hidden="false" customHeight="false" outlineLevel="0" collapsed="false">
      <c r="A30" s="10" t="str">
        <f aca="false">_xlfn.CONCAT($A$1, ".", [1]CALC!A31)</f>
        <v>AR.AIAVG.27</v>
      </c>
      <c r="B30" s="23" t="str">
        <f aca="false">_xlfn.CONCAT([1]CALC!B31, ":", [1]CALC!C31)</f>
        <v>Media and Information Technology:Worker</v>
      </c>
      <c r="C30" s="45" t="n">
        <f aca="false">[1]CALC!AA31</f>
        <v>59717</v>
      </c>
      <c r="D30" s="45" t="n">
        <f aca="false">[1]CALC!AG31</f>
        <v>56864</v>
      </c>
      <c r="E30" s="45" t="n">
        <f aca="false">[1]CALC!AM31</f>
        <v>52000</v>
      </c>
      <c r="F30" s="45" t="n">
        <f aca="false">[1]CALC!AS31</f>
        <v>60944</v>
      </c>
    </row>
    <row r="31" customFormat="false" ht="12.8" hidden="false" customHeight="false" outlineLevel="0" collapsed="false">
      <c r="A31" s="10" t="str">
        <f aca="false">_xlfn.CONCAT($A$1, ".", [1]CALC!A32)</f>
        <v>AR.AIAVG.28</v>
      </c>
      <c r="B31" s="23" t="str">
        <f aca="false">_xlfn.CONCAT([1]CALC!B32, ":", [1]CALC!C32)</f>
        <v>Media and Information Technology:Support</v>
      </c>
      <c r="C31" s="45" t="n">
        <f aca="false">[1]CALC!AA32</f>
        <v>50752</v>
      </c>
      <c r="D31" s="45" t="n">
        <f aca="false">[1]CALC!AG32</f>
        <v>48256</v>
      </c>
      <c r="E31" s="45" t="n">
        <f aca="false">[1]CALC!AM32</f>
        <v>44100</v>
      </c>
      <c r="F31" s="45" t="n">
        <f aca="false">[1]CALC!AS32</f>
        <v>51792</v>
      </c>
    </row>
    <row r="32" customFormat="false" ht="12.8" hidden="false" customHeight="false" outlineLevel="0" collapsed="false">
      <c r="A32" s="10" t="str">
        <f aca="false">_xlfn.CONCAT($A$1, ".", [1]CALC!A33)</f>
        <v>AR.AIAVG.29</v>
      </c>
      <c r="B32" s="23" t="str">
        <f aca="false">_xlfn.CONCAT([1]CALC!B33, ":", [1]CALC!C33)</f>
        <v>Government:Worker</v>
      </c>
      <c r="C32" s="45" t="n">
        <f aca="false">[1]CALC!AA33</f>
        <v>51043</v>
      </c>
      <c r="D32" s="45" t="n">
        <f aca="false">[1]CALC!AG33</f>
        <v>48464</v>
      </c>
      <c r="E32" s="45" t="n">
        <f aca="false">[1]CALC!AM33</f>
        <v>44280</v>
      </c>
      <c r="F32" s="45" t="n">
        <f aca="false">[1]CALC!AS33</f>
        <v>52000</v>
      </c>
    </row>
    <row r="33" customFormat="false" ht="12.8" hidden="false" customHeight="false" outlineLevel="0" collapsed="false">
      <c r="A33" s="10" t="str">
        <f aca="false">_xlfn.CONCAT($A$1, ".", [1]CALC!A34)</f>
        <v>AR.AIAVG.30</v>
      </c>
      <c r="B33" s="23" t="str">
        <f aca="false">_xlfn.CONCAT([1]CALC!B34, ":", [1]CALC!C34)</f>
        <v>Government:Support</v>
      </c>
      <c r="C33" s="45" t="n">
        <f aca="false">[1]CALC!AA34</f>
        <v>43389</v>
      </c>
      <c r="D33" s="45" t="n">
        <f aca="false">[1]CALC!AG34</f>
        <v>41184</v>
      </c>
      <c r="E33" s="45" t="n">
        <f aca="false">[1]CALC!AM34</f>
        <v>37648</v>
      </c>
      <c r="F33" s="45" t="n">
        <f aca="false">[1]CALC!AS34</f>
        <v>44280</v>
      </c>
    </row>
    <row r="34" customFormat="false" ht="12.8" hidden="false" customHeight="false" outlineLevel="0" collapsed="false">
      <c r="A34" s="10" t="str">
        <f aca="false">_xlfn.CONCAT($A$1, ".", [1]CALC!A35)</f>
        <v>AR.AIAVG.31</v>
      </c>
      <c r="B34" s="23" t="str">
        <f aca="false">_xlfn.CONCAT([1]CALC!B35, ":", [1]CALC!C35)</f>
        <v>Self-Employed / Non-Employer:Worker</v>
      </c>
      <c r="C34" s="45" t="n">
        <f aca="false">[1]CALC!AA35</f>
        <v>78000</v>
      </c>
      <c r="D34" s="45" t="n">
        <f aca="false">[1]CALC!AG35</f>
        <v>74048</v>
      </c>
      <c r="E34" s="45" t="n">
        <f aca="false">[1]CALC!AM35</f>
        <v>67808</v>
      </c>
      <c r="F34" s="45" t="n">
        <f aca="false">[1]CALC!AS35</f>
        <v>79664</v>
      </c>
    </row>
    <row r="35" customFormat="false" ht="12.8" hidden="false" customHeight="false" outlineLevel="0" collapsed="false">
      <c r="A35" s="10" t="str">
        <f aca="false">_xlfn.CONCAT($A$1, ".", [1]CALC!A36)</f>
        <v>AR.AIAVG.32</v>
      </c>
      <c r="B35" s="23" t="str">
        <f aca="false">_xlfn.CONCAT([1]CALC!B36, ":", [1]CALC!C36)</f>
        <v>Self-Employed / Non-Employer:Support</v>
      </c>
      <c r="C35" s="45" t="n">
        <f aca="false">[1]CALC!AA36</f>
        <v>66310</v>
      </c>
      <c r="D35" s="45" t="n">
        <f aca="false">[1]CALC!AG36</f>
        <v>63024</v>
      </c>
      <c r="E35" s="45" t="n">
        <f aca="false">[1]CALC!AM36</f>
        <v>57616</v>
      </c>
      <c r="F35" s="45" t="n">
        <f aca="false">[1]CALC!AS36</f>
        <v>67600</v>
      </c>
    </row>
    <row r="36" customFormat="false" ht="12.8" hidden="false" customHeight="false" outlineLevel="0" collapsed="false">
      <c r="A36" s="10" t="str">
        <f aca="false">_xlfn.CONCAT($A$1, ".", [1]CALC!A37)</f>
        <v>AR.AIAVG.33</v>
      </c>
      <c r="B36" s="23" t="str">
        <f aca="false">_xlfn.CONCAT([1]CALC!B37, ":", [1]CALC!C37)</f>
        <v>Other Services:Worker</v>
      </c>
      <c r="C36" s="45" t="n">
        <f aca="false">[1]CALC!AA37</f>
        <v>31637</v>
      </c>
      <c r="D36" s="45" t="n">
        <f aca="false">[1]CALC!AG37</f>
        <v>30160</v>
      </c>
      <c r="E36" s="45" t="n">
        <f aca="false">[1]CALC!AM37</f>
        <v>26208</v>
      </c>
      <c r="F36" s="45" t="n">
        <f aca="false">[1]CALC!AS37</f>
        <v>32240</v>
      </c>
    </row>
    <row r="37" customFormat="false" ht="12.8" hidden="false" customHeight="false" outlineLevel="0" collapsed="false">
      <c r="A37" s="10" t="str">
        <f aca="false">_xlfn.CONCAT($A$1, ".", [1]CALC!A38)</f>
        <v>AR.AIAVG.34</v>
      </c>
      <c r="B37" s="23" t="str">
        <f aca="false">_xlfn.CONCAT([1]CALC!B38, ":", [1]CALC!C38)</f>
        <v>Other Services:Support</v>
      </c>
      <c r="C37" s="45" t="n">
        <f aca="false">[1]CALC!AA38</f>
        <v>26904</v>
      </c>
      <c r="D37" s="45" t="n">
        <f aca="false">[1]CALC!AG38</f>
        <v>25584</v>
      </c>
      <c r="E37" s="45" t="n">
        <f aca="false">[1]CALC!AM38</f>
        <v>22256</v>
      </c>
      <c r="F37" s="45" t="n">
        <f aca="false">[1]CALC!AS38</f>
        <v>27456</v>
      </c>
    </row>
    <row r="38" customFormat="false" ht="12.8" hidden="false" customHeight="false" outlineLevel="0" collapsed="false">
      <c r="B38" s="16"/>
      <c r="C38" s="44"/>
      <c r="D38" s="44"/>
      <c r="E38" s="44"/>
      <c r="F38" s="44"/>
    </row>
    <row r="39" customFormat="false" ht="12.8" hidden="false" customHeight="false" outlineLevel="0" collapsed="false">
      <c r="B39" s="16"/>
      <c r="C39" s="44"/>
      <c r="D39" s="44"/>
      <c r="E39" s="44"/>
      <c r="F39" s="44"/>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2" activeCellId="0" sqref="A42"/>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41.51"/>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12.8" hidden="false" customHeight="false" outlineLevel="0" collapsed="false">
      <c r="A1" s="3" t="s">
        <v>1147</v>
      </c>
      <c r="B1" s="14" t="s">
        <v>1148</v>
      </c>
      <c r="C1" s="15" t="s">
        <v>2</v>
      </c>
      <c r="D1" s="35" t="s">
        <v>1149</v>
      </c>
      <c r="AZ1" s="13"/>
      <c r="BA1" s="13"/>
      <c r="BB1" s="13"/>
      <c r="BC1" s="13"/>
    </row>
    <row r="2" customFormat="false" ht="46.25" hidden="false" customHeight="false" outlineLevel="0" collapsed="false">
      <c r="A2" s="22" t="s">
        <v>1128</v>
      </c>
      <c r="B2" s="21" t="s">
        <v>1129</v>
      </c>
      <c r="C2" s="46" t="str">
        <f aca="false">[1]CALC!AV3</f>
        <v>Federal Personal Income Tax Revenue ($  )</v>
      </c>
      <c r="D2" s="46" t="str">
        <f aca="false">[1]CALC!AW3</f>
        <v>Authorized Immigrant Federal Personal Income Tax Revenue (  $)</v>
      </c>
      <c r="E2" s="46" t="str">
        <f aca="false">[1]CALC!AX3</f>
        <v>Unauthorized Immigrant Federal Personal Income Tax Revenue ($  )</v>
      </c>
      <c r="F2" s="46" t="str">
        <f aca="false">[1]CALC!AY3</f>
        <v>American Federal Personal Income Tax Revenue (  $)</v>
      </c>
    </row>
    <row r="3" customFormat="false" ht="12.8" hidden="false" customHeight="false" outlineLevel="0" collapsed="false">
      <c r="A3" s="3" t="str">
        <f aca="false">_xlfn.CONCAT($A$1, ".", [1]CALC!A4)</f>
        <v>AR.FPITREV.0</v>
      </c>
      <c r="B3" s="37" t="str">
        <f aca="false">_xlfn.CONCAT([1]CALC!B4, ":", [1]CALC!C4)</f>
        <v>All Industries:All Roles</v>
      </c>
      <c r="C3" s="46" t="n">
        <f aca="false">[1]CALC!AV4</f>
        <v>1250000000</v>
      </c>
      <c r="D3" s="46" t="n">
        <f aca="false">[1]CALC!AW4</f>
        <v>45000000</v>
      </c>
      <c r="E3" s="46" t="n">
        <f aca="false">[1]CALC!AX4</f>
        <v>115000000</v>
      </c>
      <c r="F3" s="46" t="n">
        <f aca="false">[1]CALC!AY4</f>
        <v>1095000000</v>
      </c>
    </row>
    <row r="4" customFormat="false" ht="12.8" hidden="false" customHeight="false" outlineLevel="0" collapsed="false">
      <c r="A4" s="10" t="str">
        <f aca="false">_xlfn.CONCAT($A$1, ".", [1]CALC!A5)</f>
        <v>AR.FPITREV.1</v>
      </c>
      <c r="B4" s="23" t="str">
        <f aca="false">_xlfn.CONCAT([1]CALC!B5, ":", [1]CALC!C5)</f>
        <v>Agriculture:Worker</v>
      </c>
      <c r="C4" s="47" t="n">
        <f aca="false">[1]CALC!AV5</f>
        <v>1800000</v>
      </c>
      <c r="D4" s="47" t="n">
        <f aca="false">[1]CALC!AW5</f>
        <v>61000</v>
      </c>
      <c r="E4" s="47" t="n">
        <f aca="false">[1]CALC!AX5</f>
        <v>98000</v>
      </c>
      <c r="F4" s="47" t="n">
        <f aca="false">[1]CALC!AY5</f>
        <v>1641000</v>
      </c>
    </row>
    <row r="5" customFormat="false" ht="12.8" hidden="false" customHeight="false" outlineLevel="0" collapsed="false">
      <c r="A5" s="10" t="str">
        <f aca="false">_xlfn.CONCAT($A$1, ".", [1]CALC!A6)</f>
        <v>AR.FPITREV.2</v>
      </c>
      <c r="B5" s="23" t="str">
        <f aca="false">_xlfn.CONCAT([1]CALC!B6, ":", [1]CALC!C6)</f>
        <v>Agriculture:Support</v>
      </c>
      <c r="C5" s="47" t="n">
        <f aca="false">[1]CALC!AV6</f>
        <v>900000</v>
      </c>
      <c r="D5" s="47" t="n">
        <f aca="false">[1]CALC!AW6</f>
        <v>30500</v>
      </c>
      <c r="E5" s="47" t="n">
        <f aca="false">[1]CALC!AX6</f>
        <v>49000</v>
      </c>
      <c r="F5" s="47" t="n">
        <f aca="false">[1]CALC!AY6</f>
        <v>820500</v>
      </c>
    </row>
    <row r="6" customFormat="false" ht="12.8" hidden="false" customHeight="false" outlineLevel="0" collapsed="false">
      <c r="A6" s="10" t="str">
        <f aca="false">_xlfn.CONCAT($A$1, ".", [1]CALC!A7)</f>
        <v>AR.FPITREV.3</v>
      </c>
      <c r="B6" s="23" t="str">
        <f aca="false">_xlfn.CONCAT([1]CALC!B7, ":", [1]CALC!C7)</f>
        <v>Construction:Worker</v>
      </c>
      <c r="C6" s="47" t="n">
        <f aca="false">[1]CALC!AV7</f>
        <v>5000000</v>
      </c>
      <c r="D6" s="47" t="n">
        <f aca="false">[1]CALC!AW7</f>
        <v>170000</v>
      </c>
      <c r="E6" s="47" t="n">
        <f aca="false">[1]CALC!AX7</f>
        <v>90000</v>
      </c>
      <c r="F6" s="47" t="n">
        <f aca="false">[1]CALC!AY7</f>
        <v>4740000</v>
      </c>
    </row>
    <row r="7" customFormat="false" ht="12.8" hidden="false" customHeight="false" outlineLevel="0" collapsed="false">
      <c r="A7" s="10" t="str">
        <f aca="false">_xlfn.CONCAT($A$1, ".", [1]CALC!A8)</f>
        <v>AR.FPITREV.4</v>
      </c>
      <c r="B7" s="23" t="str">
        <f aca="false">_xlfn.CONCAT([1]CALC!B8, ":", [1]CALC!C8)</f>
        <v>Construction:Support</v>
      </c>
      <c r="C7" s="47" t="n">
        <f aca="false">[1]CALC!AV8</f>
        <v>2500000</v>
      </c>
      <c r="D7" s="47" t="n">
        <f aca="false">[1]CALC!AW8</f>
        <v>85000</v>
      </c>
      <c r="E7" s="47" t="n">
        <f aca="false">[1]CALC!AX8</f>
        <v>45000</v>
      </c>
      <c r="F7" s="47" t="n">
        <f aca="false">[1]CALC!AY8</f>
        <v>2370000</v>
      </c>
    </row>
    <row r="8" customFormat="false" ht="12.8" hidden="false" customHeight="false" outlineLevel="0" collapsed="false">
      <c r="A8" s="10" t="str">
        <f aca="false">_xlfn.CONCAT($A$1, ".", [1]CALC!A9)</f>
        <v>AR.FPITREV.5</v>
      </c>
      <c r="B8" s="23" t="str">
        <f aca="false">_xlfn.CONCAT([1]CALC!B9, ":", [1]CALC!C9)</f>
        <v>Hospitality:Worker</v>
      </c>
      <c r="C8" s="47" t="n">
        <f aca="false">[1]CALC!AV9</f>
        <v>36000000</v>
      </c>
      <c r="D8" s="47" t="n">
        <f aca="false">[1]CALC!AW9</f>
        <v>1224000</v>
      </c>
      <c r="E8" s="47" t="n">
        <f aca="false">[1]CALC!AX9</f>
        <v>648000</v>
      </c>
      <c r="F8" s="47" t="n">
        <f aca="false">[1]CALC!AY9</f>
        <v>34137600</v>
      </c>
    </row>
    <row r="9" customFormat="false" ht="12.8" hidden="false" customHeight="false" outlineLevel="0" collapsed="false">
      <c r="A9" s="10" t="str">
        <f aca="false">_xlfn.CONCAT($A$1, ".", [1]CALC!A10)</f>
        <v>AR.FPITREV.6</v>
      </c>
      <c r="B9" s="23" t="str">
        <f aca="false">_xlfn.CONCAT([1]CALC!B10, ":", [1]CALC!C10)</f>
        <v>Hospitality:Support</v>
      </c>
      <c r="C9" s="47" t="n">
        <f aca="false">[1]CALC!AV10</f>
        <v>18000000</v>
      </c>
      <c r="D9" s="47" t="n">
        <f aca="false">[1]CALC!AW10</f>
        <v>612000</v>
      </c>
      <c r="E9" s="47" t="n">
        <f aca="false">[1]CALC!AX10</f>
        <v>324000</v>
      </c>
      <c r="F9" s="47" t="n">
        <f aca="false">[1]CALC!AY10</f>
        <v>17068800</v>
      </c>
    </row>
    <row r="10" customFormat="false" ht="12.8" hidden="false" customHeight="false" outlineLevel="0" collapsed="false">
      <c r="A10" s="10" t="str">
        <f aca="false">_xlfn.CONCAT($A$1, ".", [1]CALC!A11)</f>
        <v>AR.FPITREV.7</v>
      </c>
      <c r="B10" s="23" t="str">
        <f aca="false">_xlfn.CONCAT([1]CALC!B11, ":", [1]CALC!C11)</f>
        <v>Cleaning &amp; Maintenance:Worker</v>
      </c>
      <c r="C10" s="47" t="n">
        <f aca="false">[1]CALC!AV11</f>
        <v>5200000</v>
      </c>
      <c r="D10" s="47" t="n">
        <f aca="false">[1]CALC!AW11</f>
        <v>177000</v>
      </c>
      <c r="E10" s="47" t="n">
        <f aca="false">[1]CALC!AX11</f>
        <v>93600</v>
      </c>
      <c r="F10" s="47" t="n">
        <f aca="false">[1]CALC!AY11</f>
        <v>4928400</v>
      </c>
    </row>
    <row r="11" customFormat="false" ht="12.8" hidden="false" customHeight="false" outlineLevel="0" collapsed="false">
      <c r="A11" s="10" t="str">
        <f aca="false">_xlfn.CONCAT($A$1, ".", [1]CALC!A12)</f>
        <v>AR.FPITREV.8</v>
      </c>
      <c r="B11" s="23" t="str">
        <f aca="false">_xlfn.CONCAT([1]CALC!B12, ":", [1]CALC!C12)</f>
        <v>Cleaning &amp; Maintenance:Support</v>
      </c>
      <c r="C11" s="47" t="n">
        <f aca="false">[1]CALC!AV12</f>
        <v>2600000</v>
      </c>
      <c r="D11" s="47" t="n">
        <f aca="false">[1]CALC!AW12</f>
        <v>88400</v>
      </c>
      <c r="E11" s="47" t="n">
        <f aca="false">[1]CALC!AX12</f>
        <v>46800</v>
      </c>
      <c r="F11" s="47" t="n">
        <f aca="false">[1]CALC!AY12</f>
        <v>2464200</v>
      </c>
    </row>
    <row r="12" customFormat="false" ht="12.8" hidden="false" customHeight="false" outlineLevel="0" collapsed="false">
      <c r="A12" s="10" t="str">
        <f aca="false">_xlfn.CONCAT($A$1, ".", [1]CALC!A13)</f>
        <v>AR.FPITREV.9</v>
      </c>
      <c r="B12" s="23" t="str">
        <f aca="false">_xlfn.CONCAT([1]CALC!B13, ":", [1]CALC!C13)</f>
        <v>Manufacturing:Worker</v>
      </c>
      <c r="C12" s="47" t="n">
        <f aca="false">[1]CALC!AV13</f>
        <v>69000000</v>
      </c>
      <c r="D12" s="47" t="n">
        <f aca="false">[1]CALC!AW13</f>
        <v>2346000</v>
      </c>
      <c r="E12" s="47" t="n">
        <f aca="false">[1]CALC!AX13</f>
        <v>1242000</v>
      </c>
      <c r="F12" s="47" t="n">
        <f aca="false">[1]CALC!AY13</f>
        <v>65418000</v>
      </c>
    </row>
    <row r="13" customFormat="false" ht="12.8" hidden="false" customHeight="false" outlineLevel="0" collapsed="false">
      <c r="A13" s="10" t="str">
        <f aca="false">_xlfn.CONCAT($A$1, ".", [1]CALC!A14)</f>
        <v>AR.FPITREV.10</v>
      </c>
      <c r="B13" s="23" t="str">
        <f aca="false">_xlfn.CONCAT([1]CALC!B14, ":", [1]CALC!C14)</f>
        <v>Manufacturing:Support</v>
      </c>
      <c r="C13" s="47" t="n">
        <f aca="false">[1]CALC!AV14</f>
        <v>34500000</v>
      </c>
      <c r="D13" s="47" t="n">
        <f aca="false">[1]CALC!AW14</f>
        <v>1173000</v>
      </c>
      <c r="E13" s="47" t="n">
        <f aca="false">[1]CALC!AX14</f>
        <v>621000</v>
      </c>
      <c r="F13" s="47" t="n">
        <f aca="false">[1]CALC!AY14</f>
        <v>32709000</v>
      </c>
    </row>
    <row r="14" customFormat="false" ht="12.8" hidden="false" customHeight="false" outlineLevel="0" collapsed="false">
      <c r="A14" s="10" t="str">
        <f aca="false">_xlfn.CONCAT($A$1, ".", [1]CALC!A15)</f>
        <v>AR.FPITREV.11</v>
      </c>
      <c r="B14" s="23" t="str">
        <f aca="false">_xlfn.CONCAT([1]CALC!B15, ":", [1]CALC!C15)</f>
        <v>Transportation &amp; Warehousing:Worker</v>
      </c>
      <c r="C14" s="47" t="n">
        <f aca="false">[1]CALC!AV15</f>
        <v>23000000</v>
      </c>
      <c r="D14" s="47" t="n">
        <f aca="false">[1]CALC!AW15</f>
        <v>782000</v>
      </c>
      <c r="E14" s="47" t="n">
        <f aca="false">[1]CALC!AX15</f>
        <v>414000</v>
      </c>
      <c r="F14" s="47" t="n">
        <f aca="false">[1]CALC!AY15</f>
        <v>21796000</v>
      </c>
    </row>
    <row r="15" customFormat="false" ht="12.8" hidden="false" customHeight="false" outlineLevel="0" collapsed="false">
      <c r="A15" s="10" t="str">
        <f aca="false">_xlfn.CONCAT($A$1, ".", [1]CALC!A16)</f>
        <v>AR.FPITREV.12</v>
      </c>
      <c r="B15" s="23" t="str">
        <f aca="false">_xlfn.CONCAT([1]CALC!B16, ":", [1]CALC!C16)</f>
        <v>Transportation &amp; Warehousing:Support</v>
      </c>
      <c r="C15" s="47" t="n">
        <f aca="false">[1]CALC!AV16</f>
        <v>11500000</v>
      </c>
      <c r="D15" s="47" t="n">
        <f aca="false">[1]CALC!AW16</f>
        <v>391000</v>
      </c>
      <c r="E15" s="47" t="n">
        <f aca="false">[1]CALC!AX16</f>
        <v>207000</v>
      </c>
      <c r="F15" s="47" t="n">
        <f aca="false">[1]CALC!AY16</f>
        <v>10898000</v>
      </c>
    </row>
    <row r="16" customFormat="false" ht="12.8" hidden="false" customHeight="false" outlineLevel="0" collapsed="false">
      <c r="A16" s="10" t="str">
        <f aca="false">_xlfn.CONCAT($A$1, ".", [1]CALC!A17)</f>
        <v>AR.FPITREV.13</v>
      </c>
      <c r="B16" s="23" t="str">
        <f aca="false">_xlfn.CONCAT([1]CALC!B17, ":", [1]CALC!C17)</f>
        <v>Retail Trade:Worker</v>
      </c>
      <c r="C16" s="47" t="n">
        <f aca="false">[1]CALC!AV17</f>
        <v>48000000</v>
      </c>
      <c r="D16" s="47" t="n">
        <f aca="false">[1]CALC!AW17</f>
        <v>1632000</v>
      </c>
      <c r="E16" s="47" t="n">
        <f aca="false">[1]CALC!AX17</f>
        <v>864000</v>
      </c>
      <c r="F16" s="47" t="n">
        <f aca="false">[1]CALC!AY17</f>
        <v>45528000</v>
      </c>
    </row>
    <row r="17" customFormat="false" ht="12.8" hidden="false" customHeight="false" outlineLevel="0" collapsed="false">
      <c r="A17" s="10" t="str">
        <f aca="false">_xlfn.CONCAT($A$1, ".", [1]CALC!A18)</f>
        <v>AR.FPITREV.14</v>
      </c>
      <c r="B17" s="23" t="str">
        <f aca="false">_xlfn.CONCAT([1]CALC!B18, ":", [1]CALC!C18)</f>
        <v>Retail Trade:Support</v>
      </c>
      <c r="C17" s="47" t="n">
        <f aca="false">[1]CALC!AV18</f>
        <v>24000000</v>
      </c>
      <c r="D17" s="47" t="n">
        <f aca="false">[1]CALC!AW18</f>
        <v>816000</v>
      </c>
      <c r="E17" s="47" t="n">
        <f aca="false">[1]CALC!AX18</f>
        <v>432000</v>
      </c>
      <c r="F17" s="47" t="n">
        <f aca="false">[1]CALC!AY18</f>
        <v>22764000</v>
      </c>
    </row>
    <row r="18" customFormat="false" ht="12.8" hidden="false" customHeight="false" outlineLevel="0" collapsed="false">
      <c r="A18" s="10" t="str">
        <f aca="false">_xlfn.CONCAT($A$1, ".", [1]CALC!A19)</f>
        <v>AR.FPITREV.15</v>
      </c>
      <c r="B18" s="23" t="str">
        <f aca="false">_xlfn.CONCAT([1]CALC!B19, ":", [1]CALC!C19)</f>
        <v>Landscaping / Groundskeeping:Worker</v>
      </c>
      <c r="C18" s="47" t="n">
        <f aca="false">[1]CALC!AV19</f>
        <v>3300000</v>
      </c>
      <c r="D18" s="47" t="n">
        <f aca="false">[1]CALC!AW19</f>
        <v>112200</v>
      </c>
      <c r="E18" s="47" t="n">
        <f aca="false">[1]CALC!AX19</f>
        <v>59400</v>
      </c>
      <c r="F18" s="47" t="n">
        <f aca="false">[1]CALC!AY19</f>
        <v>3132600</v>
      </c>
    </row>
    <row r="19" customFormat="false" ht="12.8" hidden="false" customHeight="false" outlineLevel="0" collapsed="false">
      <c r="A19" s="10" t="str">
        <f aca="false">_xlfn.CONCAT($A$1, ".", [1]CALC!A20)</f>
        <v>AR.FPITREV.16</v>
      </c>
      <c r="B19" s="23" t="str">
        <f aca="false">_xlfn.CONCAT([1]CALC!B20, ":", [1]CALC!C20)</f>
        <v>Landscaping / Groundskeeping:Support</v>
      </c>
      <c r="C19" s="47" t="n">
        <f aca="false">[1]CALC!AV20</f>
        <v>1650000</v>
      </c>
      <c r="D19" s="47" t="n">
        <f aca="false">[1]CALC!AW20</f>
        <v>56100</v>
      </c>
      <c r="E19" s="47" t="n">
        <f aca="false">[1]CALC!AX20</f>
        <v>29700</v>
      </c>
      <c r="F19" s="47" t="n">
        <f aca="false">[1]CALC!AY20</f>
        <v>1566300</v>
      </c>
    </row>
    <row r="20" customFormat="false" ht="12.8" hidden="false" customHeight="false" outlineLevel="0" collapsed="false">
      <c r="A20" s="10" t="str">
        <f aca="false">_xlfn.CONCAT($A$1, ".", [1]CALC!A21)</f>
        <v>AR.FPITREV.17</v>
      </c>
      <c r="B20" s="23" t="str">
        <f aca="false">_xlfn.CONCAT([1]CALC!B21, ":", [1]CALC!C21)</f>
        <v>Automotive &amp; Repair:Worker</v>
      </c>
      <c r="C20" s="47" t="n">
        <f aca="false">[1]CALC!AV21</f>
        <v>2700000</v>
      </c>
      <c r="D20" s="47" t="n">
        <f aca="false">[1]CALC!AW21</f>
        <v>91800</v>
      </c>
      <c r="E20" s="47" t="n">
        <f aca="false">[1]CALC!AX21</f>
        <v>48600</v>
      </c>
      <c r="F20" s="47" t="n">
        <f aca="false">[1]CALC!AY21</f>
        <v>2554200</v>
      </c>
    </row>
    <row r="21" customFormat="false" ht="12.8" hidden="false" customHeight="false" outlineLevel="0" collapsed="false">
      <c r="A21" s="10" t="str">
        <f aca="false">_xlfn.CONCAT($A$1, ".", [1]CALC!A22)</f>
        <v>AR.FPITREV.18</v>
      </c>
      <c r="B21" s="23" t="str">
        <f aca="false">_xlfn.CONCAT([1]CALC!B22, ":", [1]CALC!C22)</f>
        <v>Automotive &amp; Repair:Support</v>
      </c>
      <c r="C21" s="47" t="n">
        <f aca="false">[1]CALC!AV22</f>
        <v>1350000</v>
      </c>
      <c r="D21" s="47" t="n">
        <f aca="false">[1]CALC!AW22</f>
        <v>45900</v>
      </c>
      <c r="E21" s="47" t="n">
        <f aca="false">[1]CALC!AX22</f>
        <v>24300</v>
      </c>
      <c r="F21" s="47" t="n">
        <f aca="false">[1]CALC!AY22</f>
        <v>1277100</v>
      </c>
    </row>
    <row r="22" customFormat="false" ht="12.8" hidden="false" customHeight="false" outlineLevel="0" collapsed="false">
      <c r="A22" s="10" t="str">
        <f aca="false">_xlfn.CONCAT($A$1, ".", [1]CALC!A23)</f>
        <v>AR.FPITREV.19</v>
      </c>
      <c r="B22" s="23" t="str">
        <f aca="false">_xlfn.CONCAT([1]CALC!B23, ":", [1]CALC!C23)</f>
        <v>Healthcare &amp; Social Assistance:Worker</v>
      </c>
      <c r="C22" s="47" t="n">
        <f aca="false">[1]CALC!AV23</f>
        <v>104000000</v>
      </c>
      <c r="D22" s="47" t="n">
        <f aca="false">[1]CALC!AW23</f>
        <v>3536000</v>
      </c>
      <c r="E22" s="47" t="n">
        <f aca="false">[1]CALC!AX23</f>
        <v>1872000</v>
      </c>
      <c r="F22" s="47" t="n">
        <f aca="false">[1]CALC!AY23</f>
        <v>98566400</v>
      </c>
    </row>
    <row r="23" customFormat="false" ht="12.8" hidden="false" customHeight="false" outlineLevel="0" collapsed="false">
      <c r="A23" s="10" t="str">
        <f aca="false">_xlfn.CONCAT($A$1, ".", [1]CALC!A24)</f>
        <v>AR.FPITREV.20</v>
      </c>
      <c r="B23" s="23" t="str">
        <f aca="false">_xlfn.CONCAT([1]CALC!B24, ":", [1]CALC!C24)</f>
        <v>Healthcare &amp; Social Assistance:Support</v>
      </c>
      <c r="C23" s="47" t="n">
        <f aca="false">[1]CALC!AV24</f>
        <v>52000000</v>
      </c>
      <c r="D23" s="47" t="n">
        <f aca="false">[1]CALC!AW24</f>
        <v>1768000</v>
      </c>
      <c r="E23" s="47" t="n">
        <f aca="false">[1]CALC!AX24</f>
        <v>936000</v>
      </c>
      <c r="F23" s="47" t="n">
        <f aca="false">[1]CALC!AY24</f>
        <v>49283200</v>
      </c>
    </row>
    <row r="24" customFormat="false" ht="12.8" hidden="false" customHeight="false" outlineLevel="0" collapsed="false">
      <c r="A24" s="10" t="str">
        <f aca="false">_xlfn.CONCAT($A$1, ".", [1]CALC!A25)</f>
        <v>AR.FPITREV.21</v>
      </c>
      <c r="B24" s="23" t="str">
        <f aca="false">_xlfn.CONCAT([1]CALC!B25, ":", [1]CALC!C25)</f>
        <v>Professional Services:Worker</v>
      </c>
      <c r="C24" s="47" t="n">
        <f aca="false">[1]CALC!AV25</f>
        <v>66000000</v>
      </c>
      <c r="D24" s="47" t="n">
        <f aca="false">[1]CALC!AW25</f>
        <v>2244000</v>
      </c>
      <c r="E24" s="47" t="n">
        <f aca="false">[1]CALC!AX25</f>
        <v>1188000</v>
      </c>
      <c r="F24" s="47" t="n">
        <f aca="false">[1]CALC!AY25</f>
        <v>62598000</v>
      </c>
    </row>
    <row r="25" customFormat="false" ht="12.8" hidden="false" customHeight="false" outlineLevel="0" collapsed="false">
      <c r="A25" s="10" t="str">
        <f aca="false">_xlfn.CONCAT($A$1, ".", [1]CALC!A26)</f>
        <v>AR.FPITREV.22</v>
      </c>
      <c r="B25" s="23" t="str">
        <f aca="false">_xlfn.CONCAT([1]CALC!B26, ":", [1]CALC!C26)</f>
        <v>Professional Services:Support</v>
      </c>
      <c r="C25" s="47" t="n">
        <f aca="false">[1]CALC!AV26</f>
        <v>33000000</v>
      </c>
      <c r="D25" s="47" t="n">
        <f aca="false">[1]CALC!AW26</f>
        <v>1122000</v>
      </c>
      <c r="E25" s="47" t="n">
        <f aca="false">[1]CALC!AX26</f>
        <v>594000</v>
      </c>
      <c r="F25" s="47" t="n">
        <f aca="false">[1]CALC!AY26</f>
        <v>31299000</v>
      </c>
    </row>
    <row r="26" customFormat="false" ht="12.8" hidden="false" customHeight="false" outlineLevel="0" collapsed="false">
      <c r="A26" s="10" t="str">
        <f aca="false">_xlfn.CONCAT($A$1, ".", [1]CALC!A27)</f>
        <v>AR.FPITREV.23</v>
      </c>
      <c r="B26" s="23" t="str">
        <f aca="false">_xlfn.CONCAT([1]CALC!B27, ":", [1]CALC!C27)</f>
        <v>Educational Services:Worker</v>
      </c>
      <c r="C26" s="47" t="n">
        <f aca="false">[1]CALC!AV27</f>
        <v>42000000</v>
      </c>
      <c r="D26" s="47" t="n">
        <f aca="false">[1]CALC!AW27</f>
        <v>1428000</v>
      </c>
      <c r="E26" s="47" t="n">
        <f aca="false">[1]CALC!AX27</f>
        <v>756000</v>
      </c>
      <c r="F26" s="47" t="n">
        <f aca="false">[1]CALC!AY27</f>
        <v>39823200</v>
      </c>
    </row>
    <row r="27" customFormat="false" ht="12.8" hidden="false" customHeight="false" outlineLevel="0" collapsed="false">
      <c r="A27" s="10" t="str">
        <f aca="false">_xlfn.CONCAT($A$1, ".", [1]CALC!A28)</f>
        <v>AR.FPITREV.24</v>
      </c>
      <c r="B27" s="23" t="str">
        <f aca="false">_xlfn.CONCAT([1]CALC!B28, ":", [1]CALC!C28)</f>
        <v>Educational Services:Support</v>
      </c>
      <c r="C27" s="47" t="n">
        <f aca="false">[1]CALC!AV28</f>
        <v>21000000</v>
      </c>
      <c r="D27" s="47" t="n">
        <f aca="false">[1]CALC!AW28</f>
        <v>714000</v>
      </c>
      <c r="E27" s="47" t="n">
        <f aca="false">[1]CALC!AX28</f>
        <v>378000</v>
      </c>
      <c r="F27" s="47" t="n">
        <f aca="false">[1]CALC!AY28</f>
        <v>19911600</v>
      </c>
    </row>
    <row r="28" customFormat="false" ht="12.8" hidden="false" customHeight="false" outlineLevel="0" collapsed="false">
      <c r="A28" s="10" t="str">
        <f aca="false">_xlfn.CONCAT($A$1, ".", [1]CALC!A29)</f>
        <v>AR.FPITREV.25</v>
      </c>
      <c r="B28" s="23" t="str">
        <f aca="false">_xlfn.CONCAT([1]CALC!B29, ":", [1]CALC!C29)</f>
        <v>Finance &amp; Insurance:Worker</v>
      </c>
      <c r="C28" s="47" t="n">
        <f aca="false">[1]CALC!AV29</f>
        <v>30000000</v>
      </c>
      <c r="D28" s="47" t="n">
        <f aca="false">[1]CALC!AW29</f>
        <v>1020000</v>
      </c>
      <c r="E28" s="47" t="n">
        <f aca="false">[1]CALC!AX29</f>
        <v>540000</v>
      </c>
      <c r="F28" s="47" t="n">
        <f aca="false">[1]CALC!AY29</f>
        <v>28458000</v>
      </c>
    </row>
    <row r="29" customFormat="false" ht="12.8" hidden="false" customHeight="false" outlineLevel="0" collapsed="false">
      <c r="A29" s="10" t="str">
        <f aca="false">_xlfn.CONCAT($A$1, ".", [1]CALC!A30)</f>
        <v>AR.FPITREV.26</v>
      </c>
      <c r="B29" s="23" t="str">
        <f aca="false">_xlfn.CONCAT([1]CALC!B30, ":", [1]CALC!C30)</f>
        <v>Finance &amp; Insurance:Support</v>
      </c>
      <c r="C29" s="47" t="n">
        <f aca="false">[1]CALC!AV30</f>
        <v>15000000</v>
      </c>
      <c r="D29" s="47" t="n">
        <f aca="false">[1]CALC!AW30</f>
        <v>510000</v>
      </c>
      <c r="E29" s="47" t="n">
        <f aca="false">[1]CALC!AX30</f>
        <v>270000</v>
      </c>
      <c r="F29" s="47" t="n">
        <f aca="false">[1]CALC!AY30</f>
        <v>14229000</v>
      </c>
    </row>
    <row r="30" customFormat="false" ht="12.8" hidden="false" customHeight="false" outlineLevel="0" collapsed="false">
      <c r="A30" s="10" t="str">
        <f aca="false">_xlfn.CONCAT($A$1, ".", [1]CALC!A31)</f>
        <v>AR.FPITREV.27</v>
      </c>
      <c r="B30" s="23" t="str">
        <f aca="false">_xlfn.CONCAT([1]CALC!B31, ":", [1]CALC!C31)</f>
        <v>Media and Information Technology:Worker</v>
      </c>
      <c r="C30" s="47" t="n">
        <f aca="false">[1]CALC!AV31</f>
        <v>9000000</v>
      </c>
      <c r="D30" s="47" t="n">
        <f aca="false">[1]CALC!AW31</f>
        <v>306000</v>
      </c>
      <c r="E30" s="47" t="n">
        <f aca="false">[1]CALC!AX31</f>
        <v>162000</v>
      </c>
      <c r="F30" s="47" t="n">
        <f aca="false">[1]CALC!AY31</f>
        <v>8532000</v>
      </c>
    </row>
    <row r="31" customFormat="false" ht="12.8" hidden="false" customHeight="false" outlineLevel="0" collapsed="false">
      <c r="A31" s="10" t="str">
        <f aca="false">_xlfn.CONCAT($A$1, ".", [1]CALC!A32)</f>
        <v>AR.FPITREV.28</v>
      </c>
      <c r="B31" s="23" t="str">
        <f aca="false">_xlfn.CONCAT([1]CALC!B32, ":", [1]CALC!C32)</f>
        <v>Media and Information Technology:Support</v>
      </c>
      <c r="C31" s="47" t="n">
        <f aca="false">[1]CALC!AV32</f>
        <v>4500000</v>
      </c>
      <c r="D31" s="47" t="n">
        <f aca="false">[1]CALC!AW32</f>
        <v>153000</v>
      </c>
      <c r="E31" s="47" t="n">
        <f aca="false">[1]CALC!AX32</f>
        <v>81000</v>
      </c>
      <c r="F31" s="47" t="n">
        <f aca="false">[1]CALC!AY32</f>
        <v>4266000</v>
      </c>
    </row>
    <row r="32" customFormat="false" ht="12.8" hidden="false" customHeight="false" outlineLevel="0" collapsed="false">
      <c r="A32" s="10" t="str">
        <f aca="false">_xlfn.CONCAT($A$1, ".", [1]CALC!A33)</f>
        <v>AR.FPITREV.29</v>
      </c>
      <c r="B32" s="23" t="str">
        <f aca="false">_xlfn.CONCAT([1]CALC!B33, ":", [1]CALC!C33)</f>
        <v>Government:Worker</v>
      </c>
      <c r="C32" s="47" t="n">
        <f aca="false">[1]CALC!AV33</f>
        <v>120000000</v>
      </c>
      <c r="D32" s="47" t="n">
        <f aca="false">[1]CALC!AW33</f>
        <v>4080000</v>
      </c>
      <c r="E32" s="47" t="n">
        <f aca="false">[1]CALC!AX33</f>
        <v>2160000</v>
      </c>
      <c r="F32" s="47" t="n">
        <f aca="false">[1]CALC!AY33</f>
        <v>113520000</v>
      </c>
    </row>
    <row r="33" customFormat="false" ht="12.8" hidden="false" customHeight="false" outlineLevel="0" collapsed="false">
      <c r="A33" s="10" t="str">
        <f aca="false">_xlfn.CONCAT($A$1, ".", [1]CALC!A34)</f>
        <v>AR.FPITREV.30</v>
      </c>
      <c r="B33" s="23" t="str">
        <f aca="false">_xlfn.CONCAT([1]CALC!B34, ":", [1]CALC!C34)</f>
        <v>Government:Support</v>
      </c>
      <c r="C33" s="47" t="n">
        <f aca="false">[1]CALC!AV34</f>
        <v>60000000</v>
      </c>
      <c r="D33" s="47" t="n">
        <f aca="false">[1]CALC!AW34</f>
        <v>2040000</v>
      </c>
      <c r="E33" s="47" t="n">
        <f aca="false">[1]CALC!AX34</f>
        <v>1080000</v>
      </c>
      <c r="F33" s="47" t="n">
        <f aca="false">[1]CALC!AY34</f>
        <v>56760000</v>
      </c>
    </row>
    <row r="34" customFormat="false" ht="12.8" hidden="false" customHeight="false" outlineLevel="0" collapsed="false">
      <c r="A34" s="10" t="str">
        <f aca="false">_xlfn.CONCAT($A$1, ".", [1]CALC!A35)</f>
        <v>AR.FPITREV.31</v>
      </c>
      <c r="B34" s="23" t="str">
        <f aca="false">_xlfn.CONCAT([1]CALC!B35, ":", [1]CALC!C35)</f>
        <v>Self-Employed / Non-Employer:Worker</v>
      </c>
      <c r="C34" s="47" t="n">
        <f aca="false">[1]CALC!AV35</f>
        <v>5400000</v>
      </c>
      <c r="D34" s="47" t="n">
        <f aca="false">[1]CALC!AW35</f>
        <v>183600</v>
      </c>
      <c r="E34" s="47" t="n">
        <f aca="false">[1]CALC!AX35</f>
        <v>97200</v>
      </c>
      <c r="F34" s="47" t="n">
        <f aca="false">[1]CALC!AY35</f>
        <v>5122800</v>
      </c>
    </row>
    <row r="35" customFormat="false" ht="12.8" hidden="false" customHeight="false" outlineLevel="0" collapsed="false">
      <c r="A35" s="10" t="str">
        <f aca="false">_xlfn.CONCAT($A$1, ".", [1]CALC!A36)</f>
        <v>AR.FPITREV.32</v>
      </c>
      <c r="B35" s="23" t="str">
        <f aca="false">_xlfn.CONCAT([1]CALC!B36, ":", [1]CALC!C36)</f>
        <v>Self-Employed / Non-Employer:Support</v>
      </c>
      <c r="C35" s="47" t="n">
        <f aca="false">[1]CALC!AV36</f>
        <v>2700000</v>
      </c>
      <c r="D35" s="47" t="n">
        <f aca="false">[1]CALC!AW36</f>
        <v>91800</v>
      </c>
      <c r="E35" s="47" t="n">
        <f aca="false">[1]CALC!AX36</f>
        <v>48600</v>
      </c>
      <c r="F35" s="47" t="n">
        <f aca="false">[1]CALC!AY36</f>
        <v>2561400</v>
      </c>
    </row>
    <row r="36" customFormat="false" ht="12.8" hidden="false" customHeight="false" outlineLevel="0" collapsed="false">
      <c r="A36" s="10" t="str">
        <f aca="false">_xlfn.CONCAT($A$1, ".", [1]CALC!A37)</f>
        <v>AR.FPITREV.33</v>
      </c>
      <c r="B36" s="23" t="str">
        <f aca="false">_xlfn.CONCAT([1]CALC!B37, ":", [1]CALC!C37)</f>
        <v>Other Services:Worker</v>
      </c>
      <c r="C36" s="47" t="n">
        <f aca="false">[1]CALC!AV37</f>
        <v>3300000</v>
      </c>
      <c r="D36" s="47" t="n">
        <f aca="false">[1]CALC!AW37</f>
        <v>112200</v>
      </c>
      <c r="E36" s="47" t="n">
        <f aca="false">[1]CALC!AX37</f>
        <v>59400</v>
      </c>
      <c r="F36" s="47" t="n">
        <f aca="false">[1]CALC!AY37</f>
        <v>3127800</v>
      </c>
    </row>
    <row r="37" customFormat="false" ht="12.8" hidden="false" customHeight="false" outlineLevel="0" collapsed="false">
      <c r="A37" s="10" t="str">
        <f aca="false">_xlfn.CONCAT($A$1, ".", [1]CALC!A38)</f>
        <v>AR.FPITREV.34</v>
      </c>
      <c r="B37" s="23" t="str">
        <f aca="false">_xlfn.CONCAT([1]CALC!B38, ":", [1]CALC!C38)</f>
        <v>Other Services:Support</v>
      </c>
      <c r="C37" s="47" t="n">
        <f aca="false">[1]CALC!AV38</f>
        <v>1650000</v>
      </c>
      <c r="D37" s="47" t="n">
        <f aca="false">[1]CALC!AW38</f>
        <v>56100</v>
      </c>
      <c r="E37" s="47" t="n">
        <f aca="false">[1]CALC!AX38</f>
        <v>29700</v>
      </c>
      <c r="F37" s="47" t="n">
        <f aca="false">[1]CALC!AY38</f>
        <v>1563900</v>
      </c>
    </row>
    <row r="38" customFormat="false" ht="12.8" hidden="false" customHeight="false" outlineLevel="0" collapsed="false">
      <c r="A38" s="10"/>
      <c r="B38" s="16"/>
      <c r="C38" s="46"/>
      <c r="D38" s="46"/>
      <c r="E38" s="46"/>
      <c r="F38" s="4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3"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23.85" hidden="false" customHeight="false" outlineLevel="0" collapsed="false">
      <c r="A1" s="3" t="s">
        <v>1150</v>
      </c>
      <c r="B1" s="21" t="s">
        <v>1151</v>
      </c>
      <c r="C1" s="15" t="s">
        <v>2</v>
      </c>
      <c r="D1" s="35" t="s">
        <v>1152</v>
      </c>
      <c r="AZ1" s="13"/>
      <c r="BP1" s="13"/>
    </row>
    <row r="2" customFormat="false" ht="46.25" hidden="false" customHeight="false" outlineLevel="0" collapsed="false">
      <c r="A2" s="22" t="s">
        <v>1128</v>
      </c>
      <c r="B2" s="21" t="s">
        <v>1129</v>
      </c>
      <c r="C2" s="46" t="str">
        <f aca="false">[1]CALC!AV3</f>
        <v>Federal Personal Income Tax Revenue ($  )</v>
      </c>
      <c r="D2" s="46" t="str">
        <f aca="false">[1]CALC!AW3</f>
        <v>Authorized Immigrant Federal Personal Income Tax Revenue (  $)</v>
      </c>
      <c r="E2" s="46" t="str">
        <f aca="false">[1]CALC!AX3</f>
        <v>Unauthorized Immigrant Federal Personal Income Tax Revenue ($  )</v>
      </c>
      <c r="F2" s="46" t="str">
        <f aca="false">[1]CALC!AY3</f>
        <v>American Federal Personal Income Tax Revenue (  $)</v>
      </c>
    </row>
    <row r="3" customFormat="false" ht="12.8" hidden="false" customHeight="false" outlineLevel="0" collapsed="false">
      <c r="A3" s="3" t="str">
        <f aca="false">_xlfn.CONCAT($A$1, ".", [1]CALC!A4)</f>
        <v>AR.FPPTR.0</v>
      </c>
      <c r="B3" s="37" t="str">
        <f aca="false">_xlfn.CONCAT([1]CALC!B4, ":", [1]CALC!C4)</f>
        <v>All Industries:All Roles</v>
      </c>
      <c r="C3" s="46" t="n">
        <f aca="false">[1]CALC!AV4</f>
        <v>1250000000</v>
      </c>
      <c r="D3" s="46" t="n">
        <f aca="false">[1]CALC!AW4</f>
        <v>45000000</v>
      </c>
      <c r="E3" s="46" t="n">
        <f aca="false">[1]CALC!AX4</f>
        <v>115000000</v>
      </c>
      <c r="F3" s="46" t="n">
        <f aca="false">[1]CALC!AY4</f>
        <v>1095000000</v>
      </c>
    </row>
    <row r="4" customFormat="false" ht="12.8" hidden="false" customHeight="false" outlineLevel="0" collapsed="false">
      <c r="A4" s="10" t="str">
        <f aca="false">_xlfn.CONCAT($A$1, ".", [1]CALC!A5)</f>
        <v>AR.FPPTR.1</v>
      </c>
      <c r="B4" s="23" t="str">
        <f aca="false">_xlfn.CONCAT([1]CALC!B5, ":", [1]CALC!C5)</f>
        <v>Agriculture:Worker</v>
      </c>
      <c r="C4" s="47" t="n">
        <f aca="false">[1]CALC!AV5</f>
        <v>1800000</v>
      </c>
      <c r="D4" s="47" t="n">
        <f aca="false">[1]CALC!AW5</f>
        <v>61000</v>
      </c>
      <c r="E4" s="47" t="n">
        <f aca="false">[1]CALC!AX5</f>
        <v>98000</v>
      </c>
      <c r="F4" s="47" t="n">
        <f aca="false">[1]CALC!AY5</f>
        <v>1641000</v>
      </c>
    </row>
    <row r="5" customFormat="false" ht="12.8" hidden="false" customHeight="false" outlineLevel="0" collapsed="false">
      <c r="A5" s="10" t="str">
        <f aca="false">_xlfn.CONCAT($A$1, ".", [1]CALC!A6)</f>
        <v>AR.FPPTR.2</v>
      </c>
      <c r="B5" s="23" t="str">
        <f aca="false">_xlfn.CONCAT([1]CALC!B6, ":", [1]CALC!C6)</f>
        <v>Agriculture:Support</v>
      </c>
      <c r="C5" s="47" t="n">
        <f aca="false">[1]CALC!AV6</f>
        <v>900000</v>
      </c>
      <c r="D5" s="47" t="n">
        <f aca="false">[1]CALC!AW6</f>
        <v>30500</v>
      </c>
      <c r="E5" s="47" t="n">
        <f aca="false">[1]CALC!AX6</f>
        <v>49000</v>
      </c>
      <c r="F5" s="47" t="n">
        <f aca="false">[1]CALC!AY6</f>
        <v>820500</v>
      </c>
    </row>
    <row r="6" customFormat="false" ht="12.8" hidden="false" customHeight="false" outlineLevel="0" collapsed="false">
      <c r="A6" s="10" t="str">
        <f aca="false">_xlfn.CONCAT($A$1, ".", [1]CALC!A7)</f>
        <v>AR.FPPTR.3</v>
      </c>
      <c r="B6" s="23" t="str">
        <f aca="false">_xlfn.CONCAT([1]CALC!B7, ":", [1]CALC!C7)</f>
        <v>Construction:Worker</v>
      </c>
      <c r="C6" s="47" t="n">
        <f aca="false">[1]CALC!AV7</f>
        <v>5000000</v>
      </c>
      <c r="D6" s="47" t="n">
        <f aca="false">[1]CALC!AW7</f>
        <v>170000</v>
      </c>
      <c r="E6" s="47" t="n">
        <f aca="false">[1]CALC!AX7</f>
        <v>90000</v>
      </c>
      <c r="F6" s="47" t="n">
        <f aca="false">[1]CALC!AY7</f>
        <v>4740000</v>
      </c>
    </row>
    <row r="7" customFormat="false" ht="12.8" hidden="false" customHeight="false" outlineLevel="0" collapsed="false">
      <c r="A7" s="10" t="str">
        <f aca="false">_xlfn.CONCAT($A$1, ".", [1]CALC!A8)</f>
        <v>AR.FPPTR.4</v>
      </c>
      <c r="B7" s="23" t="str">
        <f aca="false">_xlfn.CONCAT([1]CALC!B8, ":", [1]CALC!C8)</f>
        <v>Construction:Support</v>
      </c>
      <c r="C7" s="47" t="n">
        <f aca="false">[1]CALC!AV8</f>
        <v>2500000</v>
      </c>
      <c r="D7" s="47" t="n">
        <f aca="false">[1]CALC!AW8</f>
        <v>85000</v>
      </c>
      <c r="E7" s="47" t="n">
        <f aca="false">[1]CALC!AX8</f>
        <v>45000</v>
      </c>
      <c r="F7" s="47" t="n">
        <f aca="false">[1]CALC!AY8</f>
        <v>2370000</v>
      </c>
    </row>
    <row r="8" customFormat="false" ht="12.8" hidden="false" customHeight="false" outlineLevel="0" collapsed="false">
      <c r="A8" s="10" t="str">
        <f aca="false">_xlfn.CONCAT($A$1, ".", [1]CALC!A9)</f>
        <v>AR.FPPTR.5</v>
      </c>
      <c r="B8" s="23" t="str">
        <f aca="false">_xlfn.CONCAT([1]CALC!B9, ":", [1]CALC!C9)</f>
        <v>Hospitality:Worker</v>
      </c>
      <c r="C8" s="47" t="n">
        <f aca="false">[1]CALC!AV9</f>
        <v>36000000</v>
      </c>
      <c r="D8" s="47" t="n">
        <f aca="false">[1]CALC!AW9</f>
        <v>1224000</v>
      </c>
      <c r="E8" s="47" t="n">
        <f aca="false">[1]CALC!AX9</f>
        <v>648000</v>
      </c>
      <c r="F8" s="47" t="n">
        <f aca="false">[1]CALC!AY9</f>
        <v>34137600</v>
      </c>
    </row>
    <row r="9" customFormat="false" ht="12.8" hidden="false" customHeight="false" outlineLevel="0" collapsed="false">
      <c r="A9" s="10" t="str">
        <f aca="false">_xlfn.CONCAT($A$1, ".", [1]CALC!A10)</f>
        <v>AR.FPPTR.6</v>
      </c>
      <c r="B9" s="23" t="str">
        <f aca="false">_xlfn.CONCAT([1]CALC!B10, ":", [1]CALC!C10)</f>
        <v>Hospitality:Support</v>
      </c>
      <c r="C9" s="47" t="n">
        <f aca="false">[1]CALC!AV10</f>
        <v>18000000</v>
      </c>
      <c r="D9" s="47" t="n">
        <f aca="false">[1]CALC!AW10</f>
        <v>612000</v>
      </c>
      <c r="E9" s="47" t="n">
        <f aca="false">[1]CALC!AX10</f>
        <v>324000</v>
      </c>
      <c r="F9" s="47" t="n">
        <f aca="false">[1]CALC!AY10</f>
        <v>17068800</v>
      </c>
    </row>
    <row r="10" customFormat="false" ht="12.8" hidden="false" customHeight="false" outlineLevel="0" collapsed="false">
      <c r="A10" s="10" t="str">
        <f aca="false">_xlfn.CONCAT($A$1, ".", [1]CALC!A11)</f>
        <v>AR.FPPTR.7</v>
      </c>
      <c r="B10" s="23" t="str">
        <f aca="false">_xlfn.CONCAT([1]CALC!B11, ":", [1]CALC!C11)</f>
        <v>Cleaning &amp; Maintenance:Worker</v>
      </c>
      <c r="C10" s="47" t="n">
        <f aca="false">[1]CALC!AV11</f>
        <v>5200000</v>
      </c>
      <c r="D10" s="47" t="n">
        <f aca="false">[1]CALC!AW11</f>
        <v>177000</v>
      </c>
      <c r="E10" s="47" t="n">
        <f aca="false">[1]CALC!AX11</f>
        <v>93600</v>
      </c>
      <c r="F10" s="47" t="n">
        <f aca="false">[1]CALC!AY11</f>
        <v>4928400</v>
      </c>
    </row>
    <row r="11" customFormat="false" ht="12.8" hidden="false" customHeight="false" outlineLevel="0" collapsed="false">
      <c r="A11" s="10" t="str">
        <f aca="false">_xlfn.CONCAT($A$1, ".", [1]CALC!A12)</f>
        <v>AR.FPPTR.8</v>
      </c>
      <c r="B11" s="23" t="str">
        <f aca="false">_xlfn.CONCAT([1]CALC!B12, ":", [1]CALC!C12)</f>
        <v>Cleaning &amp; Maintenance:Support</v>
      </c>
      <c r="C11" s="47" t="n">
        <f aca="false">[1]CALC!AV12</f>
        <v>2600000</v>
      </c>
      <c r="D11" s="47" t="n">
        <f aca="false">[1]CALC!AW12</f>
        <v>88400</v>
      </c>
      <c r="E11" s="47" t="n">
        <f aca="false">[1]CALC!AX12</f>
        <v>46800</v>
      </c>
      <c r="F11" s="47" t="n">
        <f aca="false">[1]CALC!AY12</f>
        <v>2464200</v>
      </c>
    </row>
    <row r="12" customFormat="false" ht="12.8" hidden="false" customHeight="false" outlineLevel="0" collapsed="false">
      <c r="A12" s="10" t="str">
        <f aca="false">_xlfn.CONCAT($A$1, ".", [1]CALC!A13)</f>
        <v>AR.FPPTR.9</v>
      </c>
      <c r="B12" s="23" t="str">
        <f aca="false">_xlfn.CONCAT([1]CALC!B13, ":", [1]CALC!C13)</f>
        <v>Manufacturing:Worker</v>
      </c>
      <c r="C12" s="47" t="n">
        <f aca="false">[1]CALC!AV13</f>
        <v>69000000</v>
      </c>
      <c r="D12" s="47" t="n">
        <f aca="false">[1]CALC!AW13</f>
        <v>2346000</v>
      </c>
      <c r="E12" s="47" t="n">
        <f aca="false">[1]CALC!AX13</f>
        <v>1242000</v>
      </c>
      <c r="F12" s="47" t="n">
        <f aca="false">[1]CALC!AY13</f>
        <v>65418000</v>
      </c>
    </row>
    <row r="13" customFormat="false" ht="12.8" hidden="false" customHeight="false" outlineLevel="0" collapsed="false">
      <c r="A13" s="10" t="str">
        <f aca="false">_xlfn.CONCAT($A$1, ".", [1]CALC!A14)</f>
        <v>AR.FPPTR.10</v>
      </c>
      <c r="B13" s="23" t="str">
        <f aca="false">_xlfn.CONCAT([1]CALC!B14, ":", [1]CALC!C14)</f>
        <v>Manufacturing:Support</v>
      </c>
      <c r="C13" s="47" t="n">
        <f aca="false">[1]CALC!AV14</f>
        <v>34500000</v>
      </c>
      <c r="D13" s="47" t="n">
        <f aca="false">[1]CALC!AW14</f>
        <v>1173000</v>
      </c>
      <c r="E13" s="47" t="n">
        <f aca="false">[1]CALC!AX14</f>
        <v>621000</v>
      </c>
      <c r="F13" s="47" t="n">
        <f aca="false">[1]CALC!AY14</f>
        <v>32709000</v>
      </c>
    </row>
    <row r="14" customFormat="false" ht="12.8" hidden="false" customHeight="false" outlineLevel="0" collapsed="false">
      <c r="A14" s="10" t="str">
        <f aca="false">_xlfn.CONCAT($A$1, ".", [1]CALC!A15)</f>
        <v>AR.FPPTR.11</v>
      </c>
      <c r="B14" s="23" t="str">
        <f aca="false">_xlfn.CONCAT([1]CALC!B15, ":", [1]CALC!C15)</f>
        <v>Transportation &amp; Warehousing:Worker</v>
      </c>
      <c r="C14" s="47" t="n">
        <f aca="false">[1]CALC!AV15</f>
        <v>23000000</v>
      </c>
      <c r="D14" s="47" t="n">
        <f aca="false">[1]CALC!AW15</f>
        <v>782000</v>
      </c>
      <c r="E14" s="47" t="n">
        <f aca="false">[1]CALC!AX15</f>
        <v>414000</v>
      </c>
      <c r="F14" s="47" t="n">
        <f aca="false">[1]CALC!AY15</f>
        <v>21796000</v>
      </c>
    </row>
    <row r="15" customFormat="false" ht="12.8" hidden="false" customHeight="false" outlineLevel="0" collapsed="false">
      <c r="A15" s="10" t="str">
        <f aca="false">_xlfn.CONCAT($A$1, ".", [1]CALC!A16)</f>
        <v>AR.FPPTR.12</v>
      </c>
      <c r="B15" s="23" t="str">
        <f aca="false">_xlfn.CONCAT([1]CALC!B16, ":", [1]CALC!C16)</f>
        <v>Transportation &amp; Warehousing:Support</v>
      </c>
      <c r="C15" s="47" t="n">
        <f aca="false">[1]CALC!AV16</f>
        <v>11500000</v>
      </c>
      <c r="D15" s="47" t="n">
        <f aca="false">[1]CALC!AW16</f>
        <v>391000</v>
      </c>
      <c r="E15" s="47" t="n">
        <f aca="false">[1]CALC!AX16</f>
        <v>207000</v>
      </c>
      <c r="F15" s="47" t="n">
        <f aca="false">[1]CALC!AY16</f>
        <v>10898000</v>
      </c>
    </row>
    <row r="16" customFormat="false" ht="12.8" hidden="false" customHeight="false" outlineLevel="0" collapsed="false">
      <c r="A16" s="10" t="str">
        <f aca="false">_xlfn.CONCAT($A$1, ".", [1]CALC!A17)</f>
        <v>AR.FPPTR.13</v>
      </c>
      <c r="B16" s="23" t="str">
        <f aca="false">_xlfn.CONCAT([1]CALC!B17, ":", [1]CALC!C17)</f>
        <v>Retail Trade:Worker</v>
      </c>
      <c r="C16" s="47" t="n">
        <f aca="false">[1]CALC!AV17</f>
        <v>48000000</v>
      </c>
      <c r="D16" s="47" t="n">
        <f aca="false">[1]CALC!AW17</f>
        <v>1632000</v>
      </c>
      <c r="E16" s="47" t="n">
        <f aca="false">[1]CALC!AX17</f>
        <v>864000</v>
      </c>
      <c r="F16" s="47" t="n">
        <f aca="false">[1]CALC!AY17</f>
        <v>45528000</v>
      </c>
    </row>
    <row r="17" customFormat="false" ht="12.8" hidden="false" customHeight="false" outlineLevel="0" collapsed="false">
      <c r="A17" s="10" t="str">
        <f aca="false">_xlfn.CONCAT($A$1, ".", [1]CALC!A18)</f>
        <v>AR.FPPTR.14</v>
      </c>
      <c r="B17" s="23" t="str">
        <f aca="false">_xlfn.CONCAT([1]CALC!B18, ":", [1]CALC!C18)</f>
        <v>Retail Trade:Support</v>
      </c>
      <c r="C17" s="47" t="n">
        <f aca="false">[1]CALC!AV18</f>
        <v>24000000</v>
      </c>
      <c r="D17" s="47" t="n">
        <f aca="false">[1]CALC!AW18</f>
        <v>816000</v>
      </c>
      <c r="E17" s="47" t="n">
        <f aca="false">[1]CALC!AX18</f>
        <v>432000</v>
      </c>
      <c r="F17" s="47" t="n">
        <f aca="false">[1]CALC!AY18</f>
        <v>22764000</v>
      </c>
    </row>
    <row r="18" customFormat="false" ht="12.8" hidden="false" customHeight="false" outlineLevel="0" collapsed="false">
      <c r="A18" s="10" t="str">
        <f aca="false">_xlfn.CONCAT($A$1, ".", [1]CALC!A19)</f>
        <v>AR.FPPTR.15</v>
      </c>
      <c r="B18" s="23" t="str">
        <f aca="false">_xlfn.CONCAT([1]CALC!B19, ":", [1]CALC!C19)</f>
        <v>Landscaping / Groundskeeping:Worker</v>
      </c>
      <c r="C18" s="47" t="n">
        <f aca="false">[1]CALC!AV19</f>
        <v>3300000</v>
      </c>
      <c r="D18" s="47" t="n">
        <f aca="false">[1]CALC!AW19</f>
        <v>112200</v>
      </c>
      <c r="E18" s="47" t="n">
        <f aca="false">[1]CALC!AX19</f>
        <v>59400</v>
      </c>
      <c r="F18" s="47" t="n">
        <f aca="false">[1]CALC!AY19</f>
        <v>3132600</v>
      </c>
    </row>
    <row r="19" customFormat="false" ht="12.8" hidden="false" customHeight="false" outlineLevel="0" collapsed="false">
      <c r="A19" s="10" t="str">
        <f aca="false">_xlfn.CONCAT($A$1, ".", [1]CALC!A20)</f>
        <v>AR.FPPTR.16</v>
      </c>
      <c r="B19" s="23" t="str">
        <f aca="false">_xlfn.CONCAT([1]CALC!B20, ":", [1]CALC!C20)</f>
        <v>Landscaping / Groundskeeping:Support</v>
      </c>
      <c r="C19" s="47" t="n">
        <f aca="false">[1]CALC!AV20</f>
        <v>1650000</v>
      </c>
      <c r="D19" s="47" t="n">
        <f aca="false">[1]CALC!AW20</f>
        <v>56100</v>
      </c>
      <c r="E19" s="47" t="n">
        <f aca="false">[1]CALC!AX20</f>
        <v>29700</v>
      </c>
      <c r="F19" s="47" t="n">
        <f aca="false">[1]CALC!AY20</f>
        <v>1566300</v>
      </c>
    </row>
    <row r="20" customFormat="false" ht="12.8" hidden="false" customHeight="false" outlineLevel="0" collapsed="false">
      <c r="A20" s="10" t="str">
        <f aca="false">_xlfn.CONCAT($A$1, ".", [1]CALC!A21)</f>
        <v>AR.FPPTR.17</v>
      </c>
      <c r="B20" s="23" t="str">
        <f aca="false">_xlfn.CONCAT([1]CALC!B21, ":", [1]CALC!C21)</f>
        <v>Automotive &amp; Repair:Worker</v>
      </c>
      <c r="C20" s="47" t="n">
        <f aca="false">[1]CALC!AV21</f>
        <v>2700000</v>
      </c>
      <c r="D20" s="47" t="n">
        <f aca="false">[1]CALC!AW21</f>
        <v>91800</v>
      </c>
      <c r="E20" s="47" t="n">
        <f aca="false">[1]CALC!AX21</f>
        <v>48600</v>
      </c>
      <c r="F20" s="47" t="n">
        <f aca="false">[1]CALC!AY21</f>
        <v>2554200</v>
      </c>
    </row>
    <row r="21" customFormat="false" ht="12.8" hidden="false" customHeight="false" outlineLevel="0" collapsed="false">
      <c r="A21" s="10" t="str">
        <f aca="false">_xlfn.CONCAT($A$1, ".", [1]CALC!A22)</f>
        <v>AR.FPPTR.18</v>
      </c>
      <c r="B21" s="23" t="str">
        <f aca="false">_xlfn.CONCAT([1]CALC!B22, ":", [1]CALC!C22)</f>
        <v>Automotive &amp; Repair:Support</v>
      </c>
      <c r="C21" s="47" t="n">
        <f aca="false">[1]CALC!AV22</f>
        <v>1350000</v>
      </c>
      <c r="D21" s="47" t="n">
        <f aca="false">[1]CALC!AW22</f>
        <v>45900</v>
      </c>
      <c r="E21" s="47" t="n">
        <f aca="false">[1]CALC!AX22</f>
        <v>24300</v>
      </c>
      <c r="F21" s="47" t="n">
        <f aca="false">[1]CALC!AY22</f>
        <v>1277100</v>
      </c>
    </row>
    <row r="22" customFormat="false" ht="12.8" hidden="false" customHeight="false" outlineLevel="0" collapsed="false">
      <c r="A22" s="10" t="str">
        <f aca="false">_xlfn.CONCAT($A$1, ".", [1]CALC!A23)</f>
        <v>AR.FPPTR.19</v>
      </c>
      <c r="B22" s="23" t="str">
        <f aca="false">_xlfn.CONCAT([1]CALC!B23, ":", [1]CALC!C23)</f>
        <v>Healthcare &amp; Social Assistance:Worker</v>
      </c>
      <c r="C22" s="47" t="n">
        <f aca="false">[1]CALC!AV23</f>
        <v>104000000</v>
      </c>
      <c r="D22" s="47" t="n">
        <f aca="false">[1]CALC!AW23</f>
        <v>3536000</v>
      </c>
      <c r="E22" s="47" t="n">
        <f aca="false">[1]CALC!AX23</f>
        <v>1872000</v>
      </c>
      <c r="F22" s="47" t="n">
        <f aca="false">[1]CALC!AY23</f>
        <v>98566400</v>
      </c>
    </row>
    <row r="23" customFormat="false" ht="12.8" hidden="false" customHeight="false" outlineLevel="0" collapsed="false">
      <c r="A23" s="10" t="str">
        <f aca="false">_xlfn.CONCAT($A$1, ".", [1]CALC!A24)</f>
        <v>AR.FPPTR.20</v>
      </c>
      <c r="B23" s="23" t="str">
        <f aca="false">_xlfn.CONCAT([1]CALC!B24, ":", [1]CALC!C24)</f>
        <v>Healthcare &amp; Social Assistance:Support</v>
      </c>
      <c r="C23" s="47" t="n">
        <f aca="false">[1]CALC!AV24</f>
        <v>52000000</v>
      </c>
      <c r="D23" s="47" t="n">
        <f aca="false">[1]CALC!AW24</f>
        <v>1768000</v>
      </c>
      <c r="E23" s="47" t="n">
        <f aca="false">[1]CALC!AX24</f>
        <v>936000</v>
      </c>
      <c r="F23" s="47" t="n">
        <f aca="false">[1]CALC!AY24</f>
        <v>49283200</v>
      </c>
    </row>
    <row r="24" customFormat="false" ht="12.8" hidden="false" customHeight="false" outlineLevel="0" collapsed="false">
      <c r="A24" s="10" t="str">
        <f aca="false">_xlfn.CONCAT($A$1, ".", [1]CALC!A25)</f>
        <v>AR.FPPTR.21</v>
      </c>
      <c r="B24" s="23" t="str">
        <f aca="false">_xlfn.CONCAT([1]CALC!B25, ":", [1]CALC!C25)</f>
        <v>Professional Services:Worker</v>
      </c>
      <c r="C24" s="47" t="n">
        <f aca="false">[1]CALC!AV25</f>
        <v>66000000</v>
      </c>
      <c r="D24" s="47" t="n">
        <f aca="false">[1]CALC!AW25</f>
        <v>2244000</v>
      </c>
      <c r="E24" s="47" t="n">
        <f aca="false">[1]CALC!AX25</f>
        <v>1188000</v>
      </c>
      <c r="F24" s="47" t="n">
        <f aca="false">[1]CALC!AY25</f>
        <v>62598000</v>
      </c>
    </row>
    <row r="25" customFormat="false" ht="12.8" hidden="false" customHeight="false" outlineLevel="0" collapsed="false">
      <c r="A25" s="10" t="str">
        <f aca="false">_xlfn.CONCAT($A$1, ".", [1]CALC!A26)</f>
        <v>AR.FPPTR.22</v>
      </c>
      <c r="B25" s="23" t="str">
        <f aca="false">_xlfn.CONCAT([1]CALC!B26, ":", [1]CALC!C26)</f>
        <v>Professional Services:Support</v>
      </c>
      <c r="C25" s="47" t="n">
        <f aca="false">[1]CALC!AV26</f>
        <v>33000000</v>
      </c>
      <c r="D25" s="47" t="n">
        <f aca="false">[1]CALC!AW26</f>
        <v>1122000</v>
      </c>
      <c r="E25" s="47" t="n">
        <f aca="false">[1]CALC!AX26</f>
        <v>594000</v>
      </c>
      <c r="F25" s="47" t="n">
        <f aca="false">[1]CALC!AY26</f>
        <v>31299000</v>
      </c>
    </row>
    <row r="26" customFormat="false" ht="12.8" hidden="false" customHeight="false" outlineLevel="0" collapsed="false">
      <c r="A26" s="10" t="str">
        <f aca="false">_xlfn.CONCAT($A$1, ".", [1]CALC!A27)</f>
        <v>AR.FPPTR.23</v>
      </c>
      <c r="B26" s="23" t="str">
        <f aca="false">_xlfn.CONCAT([1]CALC!B27, ":", [1]CALC!C27)</f>
        <v>Educational Services:Worker</v>
      </c>
      <c r="C26" s="47" t="n">
        <f aca="false">[1]CALC!AV27</f>
        <v>42000000</v>
      </c>
      <c r="D26" s="47" t="n">
        <f aca="false">[1]CALC!AW27</f>
        <v>1428000</v>
      </c>
      <c r="E26" s="47" t="n">
        <f aca="false">[1]CALC!AX27</f>
        <v>756000</v>
      </c>
      <c r="F26" s="47" t="n">
        <f aca="false">[1]CALC!AY27</f>
        <v>39823200</v>
      </c>
    </row>
    <row r="27" customFormat="false" ht="12.8" hidden="false" customHeight="false" outlineLevel="0" collapsed="false">
      <c r="A27" s="10" t="str">
        <f aca="false">_xlfn.CONCAT($A$1, ".", [1]CALC!A28)</f>
        <v>AR.FPPTR.24</v>
      </c>
      <c r="B27" s="23" t="str">
        <f aca="false">_xlfn.CONCAT([1]CALC!B28, ":", [1]CALC!C28)</f>
        <v>Educational Services:Support</v>
      </c>
      <c r="C27" s="47" t="n">
        <f aca="false">[1]CALC!AV28</f>
        <v>21000000</v>
      </c>
      <c r="D27" s="47" t="n">
        <f aca="false">[1]CALC!AW28</f>
        <v>714000</v>
      </c>
      <c r="E27" s="47" t="n">
        <f aca="false">[1]CALC!AX28</f>
        <v>378000</v>
      </c>
      <c r="F27" s="47" t="n">
        <f aca="false">[1]CALC!AY28</f>
        <v>19911600</v>
      </c>
    </row>
    <row r="28" customFormat="false" ht="12.8" hidden="false" customHeight="false" outlineLevel="0" collapsed="false">
      <c r="A28" s="10" t="str">
        <f aca="false">_xlfn.CONCAT($A$1, ".", [1]CALC!A29)</f>
        <v>AR.FPPTR.25</v>
      </c>
      <c r="B28" s="23" t="str">
        <f aca="false">_xlfn.CONCAT([1]CALC!B29, ":", [1]CALC!C29)</f>
        <v>Finance &amp; Insurance:Worker</v>
      </c>
      <c r="C28" s="47" t="n">
        <f aca="false">[1]CALC!AV29</f>
        <v>30000000</v>
      </c>
      <c r="D28" s="47" t="n">
        <f aca="false">[1]CALC!AW29</f>
        <v>1020000</v>
      </c>
      <c r="E28" s="47" t="n">
        <f aca="false">[1]CALC!AX29</f>
        <v>540000</v>
      </c>
      <c r="F28" s="47" t="n">
        <f aca="false">[1]CALC!AY29</f>
        <v>28458000</v>
      </c>
    </row>
    <row r="29" customFormat="false" ht="12.8" hidden="false" customHeight="false" outlineLevel="0" collapsed="false">
      <c r="A29" s="10" t="str">
        <f aca="false">_xlfn.CONCAT($A$1, ".", [1]CALC!A30)</f>
        <v>AR.FPPTR.26</v>
      </c>
      <c r="B29" s="23" t="str">
        <f aca="false">_xlfn.CONCAT([1]CALC!B30, ":", [1]CALC!C30)</f>
        <v>Finance &amp; Insurance:Support</v>
      </c>
      <c r="C29" s="47" t="n">
        <f aca="false">[1]CALC!AV30</f>
        <v>15000000</v>
      </c>
      <c r="D29" s="47" t="n">
        <f aca="false">[1]CALC!AW30</f>
        <v>510000</v>
      </c>
      <c r="E29" s="47" t="n">
        <f aca="false">[1]CALC!AX30</f>
        <v>270000</v>
      </c>
      <c r="F29" s="47" t="n">
        <f aca="false">[1]CALC!AY30</f>
        <v>14229000</v>
      </c>
    </row>
    <row r="30" customFormat="false" ht="12.8" hidden="false" customHeight="false" outlineLevel="0" collapsed="false">
      <c r="A30" s="10" t="str">
        <f aca="false">_xlfn.CONCAT($A$1, ".", [1]CALC!A31)</f>
        <v>AR.FPPTR.27</v>
      </c>
      <c r="B30" s="23" t="str">
        <f aca="false">_xlfn.CONCAT([1]CALC!B31, ":", [1]CALC!C31)</f>
        <v>Media and Information Technology:Worker</v>
      </c>
      <c r="C30" s="47" t="n">
        <f aca="false">[1]CALC!AV31</f>
        <v>9000000</v>
      </c>
      <c r="D30" s="47" t="n">
        <f aca="false">[1]CALC!AW31</f>
        <v>306000</v>
      </c>
      <c r="E30" s="47" t="n">
        <f aca="false">[1]CALC!AX31</f>
        <v>162000</v>
      </c>
      <c r="F30" s="47" t="n">
        <f aca="false">[1]CALC!AY31</f>
        <v>8532000</v>
      </c>
    </row>
    <row r="31" customFormat="false" ht="12.8" hidden="false" customHeight="false" outlineLevel="0" collapsed="false">
      <c r="A31" s="10" t="str">
        <f aca="false">_xlfn.CONCAT($A$1, ".", [1]CALC!A32)</f>
        <v>AR.FPPTR.28</v>
      </c>
      <c r="B31" s="23" t="str">
        <f aca="false">_xlfn.CONCAT([1]CALC!B32, ":", [1]CALC!C32)</f>
        <v>Media and Information Technology:Support</v>
      </c>
      <c r="C31" s="47" t="n">
        <f aca="false">[1]CALC!AV32</f>
        <v>4500000</v>
      </c>
      <c r="D31" s="47" t="n">
        <f aca="false">[1]CALC!AW32</f>
        <v>153000</v>
      </c>
      <c r="E31" s="47" t="n">
        <f aca="false">[1]CALC!AX32</f>
        <v>81000</v>
      </c>
      <c r="F31" s="47" t="n">
        <f aca="false">[1]CALC!AY32</f>
        <v>4266000</v>
      </c>
    </row>
    <row r="32" customFormat="false" ht="12.8" hidden="false" customHeight="false" outlineLevel="0" collapsed="false">
      <c r="A32" s="10" t="str">
        <f aca="false">_xlfn.CONCAT($A$1, ".", [1]CALC!A33)</f>
        <v>AR.FPPTR.29</v>
      </c>
      <c r="B32" s="23" t="str">
        <f aca="false">_xlfn.CONCAT([1]CALC!B33, ":", [1]CALC!C33)</f>
        <v>Government:Worker</v>
      </c>
      <c r="C32" s="47" t="n">
        <f aca="false">[1]CALC!AV33</f>
        <v>120000000</v>
      </c>
      <c r="D32" s="47" t="n">
        <f aca="false">[1]CALC!AW33</f>
        <v>4080000</v>
      </c>
      <c r="E32" s="47" t="n">
        <f aca="false">[1]CALC!AX33</f>
        <v>2160000</v>
      </c>
      <c r="F32" s="47" t="n">
        <f aca="false">[1]CALC!AY33</f>
        <v>113520000</v>
      </c>
    </row>
    <row r="33" customFormat="false" ht="12.8" hidden="false" customHeight="false" outlineLevel="0" collapsed="false">
      <c r="A33" s="10" t="str">
        <f aca="false">_xlfn.CONCAT($A$1, ".", [1]CALC!A34)</f>
        <v>AR.FPPTR.30</v>
      </c>
      <c r="B33" s="23" t="str">
        <f aca="false">_xlfn.CONCAT([1]CALC!B34, ":", [1]CALC!C34)</f>
        <v>Government:Support</v>
      </c>
      <c r="C33" s="47" t="n">
        <f aca="false">[1]CALC!AV34</f>
        <v>60000000</v>
      </c>
      <c r="D33" s="47" t="n">
        <f aca="false">[1]CALC!AW34</f>
        <v>2040000</v>
      </c>
      <c r="E33" s="47" t="n">
        <f aca="false">[1]CALC!AX34</f>
        <v>1080000</v>
      </c>
      <c r="F33" s="47" t="n">
        <f aca="false">[1]CALC!AY34</f>
        <v>56760000</v>
      </c>
    </row>
    <row r="34" customFormat="false" ht="12.8" hidden="false" customHeight="false" outlineLevel="0" collapsed="false">
      <c r="A34" s="10" t="str">
        <f aca="false">_xlfn.CONCAT($A$1, ".", [1]CALC!A35)</f>
        <v>AR.FPPTR.31</v>
      </c>
      <c r="B34" s="23" t="str">
        <f aca="false">_xlfn.CONCAT([1]CALC!B35, ":", [1]CALC!C35)</f>
        <v>Self-Employed / Non-Employer:Worker</v>
      </c>
      <c r="C34" s="47" t="n">
        <f aca="false">[1]CALC!AV35</f>
        <v>5400000</v>
      </c>
      <c r="D34" s="47" t="n">
        <f aca="false">[1]CALC!AW35</f>
        <v>183600</v>
      </c>
      <c r="E34" s="47" t="n">
        <f aca="false">[1]CALC!AX35</f>
        <v>97200</v>
      </c>
      <c r="F34" s="47" t="n">
        <f aca="false">[1]CALC!AY35</f>
        <v>5122800</v>
      </c>
    </row>
    <row r="35" customFormat="false" ht="12.8" hidden="false" customHeight="false" outlineLevel="0" collapsed="false">
      <c r="A35" s="10" t="str">
        <f aca="false">_xlfn.CONCAT($A$1, ".", [1]CALC!A36)</f>
        <v>AR.FPPTR.32</v>
      </c>
      <c r="B35" s="23" t="str">
        <f aca="false">_xlfn.CONCAT([1]CALC!B36, ":", [1]CALC!C36)</f>
        <v>Self-Employed / Non-Employer:Support</v>
      </c>
      <c r="C35" s="47" t="n">
        <f aca="false">[1]CALC!AV36</f>
        <v>2700000</v>
      </c>
      <c r="D35" s="47" t="n">
        <f aca="false">[1]CALC!AW36</f>
        <v>91800</v>
      </c>
      <c r="E35" s="47" t="n">
        <f aca="false">[1]CALC!AX36</f>
        <v>48600</v>
      </c>
      <c r="F35" s="47" t="n">
        <f aca="false">[1]CALC!AY36</f>
        <v>2561400</v>
      </c>
    </row>
    <row r="36" customFormat="false" ht="12.8" hidden="false" customHeight="false" outlineLevel="0" collapsed="false">
      <c r="A36" s="10" t="str">
        <f aca="false">_xlfn.CONCAT($A$1, ".", [1]CALC!A37)</f>
        <v>AR.FPPTR.33</v>
      </c>
      <c r="B36" s="23" t="str">
        <f aca="false">_xlfn.CONCAT([1]CALC!B37, ":", [1]CALC!C37)</f>
        <v>Other Services:Worker</v>
      </c>
      <c r="C36" s="47" t="n">
        <f aca="false">[1]CALC!AV37</f>
        <v>3300000</v>
      </c>
      <c r="D36" s="47" t="n">
        <f aca="false">[1]CALC!AW37</f>
        <v>112200</v>
      </c>
      <c r="E36" s="47" t="n">
        <f aca="false">[1]CALC!AX37</f>
        <v>59400</v>
      </c>
      <c r="F36" s="47" t="n">
        <f aca="false">[1]CALC!AY37</f>
        <v>3127800</v>
      </c>
    </row>
    <row r="37" customFormat="false" ht="12.8" hidden="false" customHeight="false" outlineLevel="0" collapsed="false">
      <c r="A37" s="10" t="str">
        <f aca="false">_xlfn.CONCAT($A$1, ".", [1]CALC!A38)</f>
        <v>AR.FPPTR.34</v>
      </c>
      <c r="B37" s="23" t="str">
        <f aca="false">_xlfn.CONCAT([1]CALC!B38, ":", [1]CALC!C38)</f>
        <v>Other Services:Support</v>
      </c>
      <c r="C37" s="47" t="n">
        <f aca="false">[1]CALC!AV38</f>
        <v>1650000</v>
      </c>
      <c r="D37" s="47" t="n">
        <f aca="false">[1]CALC!AW38</f>
        <v>56100</v>
      </c>
      <c r="E37" s="47" t="n">
        <f aca="false">[1]CALC!AX38</f>
        <v>29700</v>
      </c>
      <c r="F37" s="47" t="n">
        <f aca="false">[1]CALC!AY38</f>
        <v>1563900</v>
      </c>
    </row>
    <row r="38" customFormat="false" ht="12.8" hidden="false" customHeight="false" outlineLevel="0" collapsed="false">
      <c r="B38" s="16"/>
      <c r="C38" s="46"/>
      <c r="D38" s="46"/>
      <c r="E38" s="46"/>
      <c r="F38" s="4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3"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23.85" hidden="false" customHeight="false" outlineLevel="0" collapsed="false">
      <c r="A1" s="3" t="s">
        <v>1153</v>
      </c>
      <c r="B1" s="21" t="s">
        <v>1154</v>
      </c>
      <c r="C1" s="15" t="s">
        <v>2</v>
      </c>
      <c r="D1" s="35" t="s">
        <v>1155</v>
      </c>
      <c r="AZ1" s="13"/>
      <c r="BP1" s="13"/>
    </row>
    <row r="2" customFormat="false" ht="35.05" hidden="false" customHeight="false" outlineLevel="0" collapsed="false">
      <c r="A2" s="22" t="s">
        <v>1128</v>
      </c>
      <c r="B2" s="21" t="s">
        <v>1129</v>
      </c>
      <c r="C2" s="46" t="str">
        <f aca="false">[1]CALC!BD3</f>
        <v>EITC Credit Refund</v>
      </c>
      <c r="D2" s="46" t="str">
        <f aca="false">[1]CALC!BE3</f>
        <v>Authorized Immigrant EITC Credit Refund</v>
      </c>
      <c r="E2" s="46" t="str">
        <f aca="false">[1]CALC!BF3</f>
        <v>Unauthorized Immigrant EITC Credit Refund</v>
      </c>
      <c r="F2" s="46" t="str">
        <f aca="false">[1]CALC!BG3</f>
        <v>American Effective Tax EITC Credit Refund</v>
      </c>
    </row>
    <row r="3" customFormat="false" ht="12.8" hidden="false" customHeight="false" outlineLevel="0" collapsed="false">
      <c r="A3" s="3" t="str">
        <f aca="false">_xlfn.CONCAT($A$1, ".", [1]CALC!A4)</f>
        <v>AR.EITCREF.0</v>
      </c>
      <c r="B3" s="37" t="str">
        <f aca="false">_xlfn.CONCAT([1]CALC!B4, ":", [1]CALC!C4)</f>
        <v>All Industries:All Roles</v>
      </c>
      <c r="C3" s="46" t="n">
        <f aca="false">[1]CALC!BD4</f>
        <v>320000000</v>
      </c>
      <c r="D3" s="46" t="n">
        <f aca="false">[1]CALC!BE4</f>
        <v>90000000</v>
      </c>
      <c r="E3" s="46" t="n">
        <f aca="false">[1]CALC!BF4</f>
        <v>0</v>
      </c>
      <c r="F3" s="46" t="n">
        <f aca="false">[1]CALC!BG4</f>
        <v>230000000</v>
      </c>
    </row>
    <row r="4" customFormat="false" ht="12.8" hidden="false" customHeight="false" outlineLevel="0" collapsed="false">
      <c r="A4" s="10" t="str">
        <f aca="false">_xlfn.CONCAT($A$1, ".", [1]CALC!A5)</f>
        <v>AR.EITCREF.1</v>
      </c>
      <c r="B4" s="23" t="str">
        <f aca="false">_xlfn.CONCAT([1]CALC!B5, ":", [1]CALC!C5)</f>
        <v>Agriculture:Worker</v>
      </c>
      <c r="C4" s="47" t="n">
        <f aca="false">[1]CALC!BD5</f>
        <v>90000</v>
      </c>
      <c r="D4" s="47" t="n">
        <f aca="false">[1]CALC!BE5</f>
        <v>18000</v>
      </c>
      <c r="E4" s="47" t="n">
        <f aca="false">[1]CALC!BF5</f>
        <v>0</v>
      </c>
      <c r="F4" s="47" t="n">
        <f aca="false">[1]CALC!BG5</f>
        <v>72000</v>
      </c>
    </row>
    <row r="5" customFormat="false" ht="12.8" hidden="false" customHeight="false" outlineLevel="0" collapsed="false">
      <c r="A5" s="10" t="str">
        <f aca="false">_xlfn.CONCAT($A$1, ".", [1]CALC!A6)</f>
        <v>AR.EITCREF.2</v>
      </c>
      <c r="B5" s="23" t="str">
        <f aca="false">_xlfn.CONCAT([1]CALC!B6, ":", [1]CALC!C6)</f>
        <v>Agriculture:Support</v>
      </c>
      <c r="C5" s="47" t="n">
        <f aca="false">[1]CALC!BD6</f>
        <v>45000</v>
      </c>
      <c r="D5" s="47" t="n">
        <f aca="false">[1]CALC!BE6</f>
        <v>9000</v>
      </c>
      <c r="E5" s="47" t="n">
        <f aca="false">[1]CALC!BF6</f>
        <v>0</v>
      </c>
      <c r="F5" s="47" t="n">
        <f aca="false">[1]CALC!BG6</f>
        <v>36000</v>
      </c>
    </row>
    <row r="6" customFormat="false" ht="12.8" hidden="false" customHeight="false" outlineLevel="0" collapsed="false">
      <c r="A6" s="10" t="str">
        <f aca="false">_xlfn.CONCAT($A$1, ".", [1]CALC!A7)</f>
        <v>AR.EITCREF.3</v>
      </c>
      <c r="B6" s="23" t="str">
        <f aca="false">_xlfn.CONCAT([1]CALC!B7, ":", [1]CALC!C7)</f>
        <v>Construction:Worker</v>
      </c>
      <c r="C6" s="47" t="n">
        <f aca="false">[1]CALC!BD7</f>
        <v>500000</v>
      </c>
      <c r="D6" s="47" t="n">
        <f aca="false">[1]CALC!BE7</f>
        <v>100000</v>
      </c>
      <c r="E6" s="47" t="n">
        <f aca="false">[1]CALC!BF7</f>
        <v>0</v>
      </c>
      <c r="F6" s="47" t="n">
        <f aca="false">[1]CALC!BG7</f>
        <v>400000</v>
      </c>
    </row>
    <row r="7" customFormat="false" ht="12.8" hidden="false" customHeight="false" outlineLevel="0" collapsed="false">
      <c r="A7" s="10" t="str">
        <f aca="false">_xlfn.CONCAT($A$1, ".", [1]CALC!A8)</f>
        <v>AR.EITCREF.4</v>
      </c>
      <c r="B7" s="23" t="str">
        <f aca="false">_xlfn.CONCAT([1]CALC!B8, ":", [1]CALC!C8)</f>
        <v>Construction:Support</v>
      </c>
      <c r="C7" s="47" t="n">
        <f aca="false">[1]CALC!BD8</f>
        <v>250000</v>
      </c>
      <c r="D7" s="47" t="n">
        <f aca="false">[1]CALC!BE8</f>
        <v>50000</v>
      </c>
      <c r="E7" s="47" t="n">
        <f aca="false">[1]CALC!BF8</f>
        <v>0</v>
      </c>
      <c r="F7" s="47" t="n">
        <f aca="false">[1]CALC!BG8</f>
        <v>200000</v>
      </c>
    </row>
    <row r="8" customFormat="false" ht="12.8" hidden="false" customHeight="false" outlineLevel="0" collapsed="false">
      <c r="A8" s="10" t="str">
        <f aca="false">_xlfn.CONCAT($A$1, ".", [1]CALC!A9)</f>
        <v>AR.EITCREF.5</v>
      </c>
      <c r="B8" s="23" t="str">
        <f aca="false">_xlfn.CONCAT([1]CALC!B9, ":", [1]CALC!C9)</f>
        <v>Hospitality:Worker</v>
      </c>
      <c r="C8" s="47" t="n">
        <f aca="false">[1]CALC!BD9</f>
        <v>1800000</v>
      </c>
      <c r="D8" s="47" t="n">
        <f aca="false">[1]CALC!BE9</f>
        <v>360000</v>
      </c>
      <c r="E8" s="47" t="n">
        <f aca="false">[1]CALC!BF9</f>
        <v>0</v>
      </c>
      <c r="F8" s="47" t="n">
        <f aca="false">[1]CALC!BG9</f>
        <v>1440000</v>
      </c>
    </row>
    <row r="9" customFormat="false" ht="12.8" hidden="false" customHeight="false" outlineLevel="0" collapsed="false">
      <c r="A9" s="10" t="str">
        <f aca="false">_xlfn.CONCAT($A$1, ".", [1]CALC!A10)</f>
        <v>AR.EITCREF.6</v>
      </c>
      <c r="B9" s="23" t="str">
        <f aca="false">_xlfn.CONCAT([1]CALC!B10, ":", [1]CALC!C10)</f>
        <v>Hospitality:Support</v>
      </c>
      <c r="C9" s="47" t="n">
        <f aca="false">[1]CALC!BD10</f>
        <v>900000</v>
      </c>
      <c r="D9" s="47" t="n">
        <f aca="false">[1]CALC!BE10</f>
        <v>180000</v>
      </c>
      <c r="E9" s="47" t="n">
        <f aca="false">[1]CALC!BF10</f>
        <v>0</v>
      </c>
      <c r="F9" s="47" t="n">
        <f aca="false">[1]CALC!BG10</f>
        <v>720000</v>
      </c>
    </row>
    <row r="10" customFormat="false" ht="12.8" hidden="false" customHeight="false" outlineLevel="0" collapsed="false">
      <c r="A10" s="10" t="str">
        <f aca="false">_xlfn.CONCAT($A$1, ".", [1]CALC!A11)</f>
        <v>AR.EITCREF.7</v>
      </c>
      <c r="B10" s="23" t="str">
        <f aca="false">_xlfn.CONCAT([1]CALC!B11, ":", [1]CALC!C11)</f>
        <v>Cleaning &amp; Maintenance:Worker</v>
      </c>
      <c r="C10" s="47" t="n">
        <f aca="false">[1]CALC!BD11</f>
        <v>650000</v>
      </c>
      <c r="D10" s="47" t="n">
        <f aca="false">[1]CALC!BE11</f>
        <v>130000</v>
      </c>
      <c r="E10" s="47" t="n">
        <f aca="false">[1]CALC!BF11</f>
        <v>0</v>
      </c>
      <c r="F10" s="47" t="n">
        <f aca="false">[1]CALC!BG11</f>
        <v>520000</v>
      </c>
    </row>
    <row r="11" customFormat="false" ht="12.8" hidden="false" customHeight="false" outlineLevel="0" collapsed="false">
      <c r="A11" s="10" t="str">
        <f aca="false">_xlfn.CONCAT($A$1, ".", [1]CALC!A12)</f>
        <v>AR.EITCREF.8</v>
      </c>
      <c r="B11" s="23" t="str">
        <f aca="false">_xlfn.CONCAT([1]CALC!B12, ":", [1]CALC!C12)</f>
        <v>Cleaning &amp; Maintenance:Support</v>
      </c>
      <c r="C11" s="47" t="n">
        <f aca="false">[1]CALC!BD12</f>
        <v>325000</v>
      </c>
      <c r="D11" s="47" t="n">
        <f aca="false">[1]CALC!BE12</f>
        <v>65000</v>
      </c>
      <c r="E11" s="47" t="n">
        <f aca="false">[1]CALC!BF12</f>
        <v>0</v>
      </c>
      <c r="F11" s="47" t="n">
        <f aca="false">[1]CALC!BG12</f>
        <v>260000</v>
      </c>
    </row>
    <row r="12" customFormat="false" ht="12.8" hidden="false" customHeight="false" outlineLevel="0" collapsed="false">
      <c r="A12" s="10" t="str">
        <f aca="false">_xlfn.CONCAT($A$1, ".", [1]CALC!A13)</f>
        <v>AR.EITCREF.9</v>
      </c>
      <c r="B12" s="23" t="str">
        <f aca="false">_xlfn.CONCAT([1]CALC!B13, ":", [1]CALC!C13)</f>
        <v>Manufacturing:Worker</v>
      </c>
      <c r="C12" s="47" t="n">
        <f aca="false">[1]CALC!BD13</f>
        <v>2700000</v>
      </c>
      <c r="D12" s="47" t="n">
        <f aca="false">[1]CALC!BE13</f>
        <v>540000</v>
      </c>
      <c r="E12" s="47" t="n">
        <f aca="false">[1]CALC!BF13</f>
        <v>0</v>
      </c>
      <c r="F12" s="47" t="n">
        <f aca="false">[1]CALC!BG13</f>
        <v>2160000</v>
      </c>
    </row>
    <row r="13" customFormat="false" ht="12.8" hidden="false" customHeight="false" outlineLevel="0" collapsed="false">
      <c r="A13" s="10" t="str">
        <f aca="false">_xlfn.CONCAT($A$1, ".", [1]CALC!A14)</f>
        <v>AR.EITCREF.10</v>
      </c>
      <c r="B13" s="23" t="str">
        <f aca="false">_xlfn.CONCAT([1]CALC!B14, ":", [1]CALC!C14)</f>
        <v>Manufacturing:Support</v>
      </c>
      <c r="C13" s="47" t="n">
        <f aca="false">[1]CALC!BD14</f>
        <v>1350000</v>
      </c>
      <c r="D13" s="47" t="n">
        <f aca="false">[1]CALC!BE14</f>
        <v>270000</v>
      </c>
      <c r="E13" s="47" t="n">
        <f aca="false">[1]CALC!BF14</f>
        <v>0</v>
      </c>
      <c r="F13" s="47" t="n">
        <f aca="false">[1]CALC!BG14</f>
        <v>1080000</v>
      </c>
    </row>
    <row r="14" customFormat="false" ht="12.8" hidden="false" customHeight="false" outlineLevel="0" collapsed="false">
      <c r="A14" s="10" t="str">
        <f aca="false">_xlfn.CONCAT($A$1, ".", [1]CALC!A15)</f>
        <v>AR.EITCREF.11</v>
      </c>
      <c r="B14" s="23" t="str">
        <f aca="false">_xlfn.CONCAT([1]CALC!B15, ":", [1]CALC!C15)</f>
        <v>Transportation &amp; Warehousing:Worker</v>
      </c>
      <c r="C14" s="47" t="n">
        <f aca="false">[1]CALC!BD15</f>
        <v>900000</v>
      </c>
      <c r="D14" s="47" t="n">
        <f aca="false">[1]CALC!BE15</f>
        <v>180000</v>
      </c>
      <c r="E14" s="47" t="n">
        <f aca="false">[1]CALC!BF15</f>
        <v>0</v>
      </c>
      <c r="F14" s="47" t="n">
        <f aca="false">[1]CALC!BG15</f>
        <v>720000</v>
      </c>
    </row>
    <row r="15" customFormat="false" ht="12.8" hidden="false" customHeight="false" outlineLevel="0" collapsed="false">
      <c r="A15" s="10" t="str">
        <f aca="false">_xlfn.CONCAT($A$1, ".", [1]CALC!A16)</f>
        <v>AR.EITCREF.12</v>
      </c>
      <c r="B15" s="23" t="str">
        <f aca="false">_xlfn.CONCAT([1]CALC!B16, ":", [1]CALC!C16)</f>
        <v>Transportation &amp; Warehousing:Support</v>
      </c>
      <c r="C15" s="47" t="n">
        <f aca="false">[1]CALC!BD16</f>
        <v>450000</v>
      </c>
      <c r="D15" s="47" t="n">
        <f aca="false">[1]CALC!BE16</f>
        <v>90000</v>
      </c>
      <c r="E15" s="47" t="n">
        <f aca="false">[1]CALC!BF16</f>
        <v>0</v>
      </c>
      <c r="F15" s="47" t="n">
        <f aca="false">[1]CALC!BG16</f>
        <v>360000</v>
      </c>
    </row>
    <row r="16" customFormat="false" ht="12.8" hidden="false" customHeight="false" outlineLevel="0" collapsed="false">
      <c r="A16" s="10" t="str">
        <f aca="false">_xlfn.CONCAT($A$1, ".", [1]CALC!A17)</f>
        <v>AR.EITCREF.13</v>
      </c>
      <c r="B16" s="23" t="str">
        <f aca="false">_xlfn.CONCAT([1]CALC!B17, ":", [1]CALC!C17)</f>
        <v>Retail Trade:Worker</v>
      </c>
      <c r="C16" s="47" t="n">
        <f aca="false">[1]CALC!BD17</f>
        <v>2400000</v>
      </c>
      <c r="D16" s="47" t="n">
        <f aca="false">[1]CALC!BE17</f>
        <v>480000</v>
      </c>
      <c r="E16" s="47" t="n">
        <f aca="false">[1]CALC!BF17</f>
        <v>0</v>
      </c>
      <c r="F16" s="47" t="n">
        <f aca="false">[1]CALC!BG17</f>
        <v>1920000</v>
      </c>
    </row>
    <row r="17" customFormat="false" ht="12.8" hidden="false" customHeight="false" outlineLevel="0" collapsed="false">
      <c r="A17" s="10" t="str">
        <f aca="false">_xlfn.CONCAT($A$1, ".", [1]CALC!A18)</f>
        <v>AR.EITCREF.14</v>
      </c>
      <c r="B17" s="23" t="str">
        <f aca="false">_xlfn.CONCAT([1]CALC!B18, ":", [1]CALC!C18)</f>
        <v>Retail Trade:Support</v>
      </c>
      <c r="C17" s="47" t="n">
        <f aca="false">[1]CALC!BD18</f>
        <v>1200000</v>
      </c>
      <c r="D17" s="47" t="n">
        <f aca="false">[1]CALC!BE18</f>
        <v>240000</v>
      </c>
      <c r="E17" s="47" t="n">
        <f aca="false">[1]CALC!BF18</f>
        <v>0</v>
      </c>
      <c r="F17" s="47" t="n">
        <f aca="false">[1]CALC!BG18</f>
        <v>960000</v>
      </c>
    </row>
    <row r="18" customFormat="false" ht="12.8" hidden="false" customHeight="false" outlineLevel="0" collapsed="false">
      <c r="A18" s="10" t="str">
        <f aca="false">_xlfn.CONCAT($A$1, ".", [1]CALC!A19)</f>
        <v>AR.EITCREF.15</v>
      </c>
      <c r="B18" s="23" t="str">
        <f aca="false">_xlfn.CONCAT([1]CALC!B19, ":", [1]CALC!C19)</f>
        <v>Landscaping / Groundskeeping:Worker</v>
      </c>
      <c r="C18" s="47" t="n">
        <f aca="false">[1]CALC!BD19</f>
        <v>330000</v>
      </c>
      <c r="D18" s="47" t="n">
        <f aca="false">[1]CALC!BE19</f>
        <v>66000</v>
      </c>
      <c r="E18" s="47" t="n">
        <f aca="false">[1]CALC!BF19</f>
        <v>0</v>
      </c>
      <c r="F18" s="47" t="n">
        <f aca="false">[1]CALC!BG19</f>
        <v>264000</v>
      </c>
    </row>
    <row r="19" customFormat="false" ht="12.8" hidden="false" customHeight="false" outlineLevel="0" collapsed="false">
      <c r="A19" s="10" t="str">
        <f aca="false">_xlfn.CONCAT($A$1, ".", [1]CALC!A20)</f>
        <v>AR.EITCREF.16</v>
      </c>
      <c r="B19" s="23" t="str">
        <f aca="false">_xlfn.CONCAT([1]CALC!B20, ":", [1]CALC!C20)</f>
        <v>Landscaping / Groundskeeping:Support</v>
      </c>
      <c r="C19" s="47" t="n">
        <f aca="false">[1]CALC!BD20</f>
        <v>165000</v>
      </c>
      <c r="D19" s="47" t="n">
        <f aca="false">[1]CALC!BE20</f>
        <v>33000</v>
      </c>
      <c r="E19" s="47" t="n">
        <f aca="false">[1]CALC!BF20</f>
        <v>0</v>
      </c>
      <c r="F19" s="47" t="n">
        <f aca="false">[1]CALC!BG20</f>
        <v>132000</v>
      </c>
    </row>
    <row r="20" customFormat="false" ht="12.8" hidden="false" customHeight="false" outlineLevel="0" collapsed="false">
      <c r="A20" s="10" t="str">
        <f aca="false">_xlfn.CONCAT($A$1, ".", [1]CALC!A21)</f>
        <v>AR.EITCREF.17</v>
      </c>
      <c r="B20" s="23" t="str">
        <f aca="false">_xlfn.CONCAT([1]CALC!B21, ":", [1]CALC!C21)</f>
        <v>Automotive &amp; Repair:Worker</v>
      </c>
      <c r="C20" s="47" t="n">
        <f aca="false">[1]CALC!BD21</f>
        <v>270000</v>
      </c>
      <c r="D20" s="47" t="n">
        <f aca="false">[1]CALC!BE21</f>
        <v>54000</v>
      </c>
      <c r="E20" s="47" t="n">
        <f aca="false">[1]CALC!BF21</f>
        <v>0</v>
      </c>
      <c r="F20" s="47" t="n">
        <f aca="false">[1]CALC!BG21</f>
        <v>216000</v>
      </c>
    </row>
    <row r="21" customFormat="false" ht="12.8" hidden="false" customHeight="false" outlineLevel="0" collapsed="false">
      <c r="A21" s="10" t="str">
        <f aca="false">_xlfn.CONCAT($A$1, ".", [1]CALC!A22)</f>
        <v>AR.EITCREF.18</v>
      </c>
      <c r="B21" s="23" t="str">
        <f aca="false">_xlfn.CONCAT([1]CALC!B22, ":", [1]CALC!C22)</f>
        <v>Automotive &amp; Repair:Support</v>
      </c>
      <c r="C21" s="47" t="n">
        <f aca="false">[1]CALC!BD22</f>
        <v>135000</v>
      </c>
      <c r="D21" s="47" t="n">
        <f aca="false">[1]CALC!BE22</f>
        <v>27000</v>
      </c>
      <c r="E21" s="47" t="n">
        <f aca="false">[1]CALC!BF22</f>
        <v>0</v>
      </c>
      <c r="F21" s="47" t="n">
        <f aca="false">[1]CALC!BG22</f>
        <v>108000</v>
      </c>
    </row>
    <row r="22" customFormat="false" ht="12.8" hidden="false" customHeight="false" outlineLevel="0" collapsed="false">
      <c r="A22" s="10" t="str">
        <f aca="false">_xlfn.CONCAT($A$1, ".", [1]CALC!A23)</f>
        <v>AR.EITCREF.19</v>
      </c>
      <c r="B22" s="23" t="str">
        <f aca="false">_xlfn.CONCAT([1]CALC!B23, ":", [1]CALC!C23)</f>
        <v>Healthcare &amp; Social Assistance:Worker</v>
      </c>
      <c r="C22" s="47" t="n">
        <f aca="false">[1]CALC!BD23</f>
        <v>5200000</v>
      </c>
      <c r="D22" s="47" t="n">
        <f aca="false">[1]CALC!BE23</f>
        <v>1040000</v>
      </c>
      <c r="E22" s="47" t="n">
        <f aca="false">[1]CALC!BF23</f>
        <v>0</v>
      </c>
      <c r="F22" s="47" t="n">
        <f aca="false">[1]CALC!BG23</f>
        <v>4160000</v>
      </c>
    </row>
    <row r="23" customFormat="false" ht="12.8" hidden="false" customHeight="false" outlineLevel="0" collapsed="false">
      <c r="A23" s="10" t="str">
        <f aca="false">_xlfn.CONCAT($A$1, ".", [1]CALC!A24)</f>
        <v>AR.EITCREF.20</v>
      </c>
      <c r="B23" s="23" t="str">
        <f aca="false">_xlfn.CONCAT([1]CALC!B24, ":", [1]CALC!C24)</f>
        <v>Healthcare &amp; Social Assistance:Support</v>
      </c>
      <c r="C23" s="47" t="n">
        <f aca="false">[1]CALC!BD24</f>
        <v>2600000</v>
      </c>
      <c r="D23" s="47" t="n">
        <f aca="false">[1]CALC!BE24</f>
        <v>520000</v>
      </c>
      <c r="E23" s="47" t="n">
        <f aca="false">[1]CALC!BF24</f>
        <v>0</v>
      </c>
      <c r="F23" s="47" t="n">
        <f aca="false">[1]CALC!BG24</f>
        <v>2080000</v>
      </c>
    </row>
    <row r="24" customFormat="false" ht="12.8" hidden="false" customHeight="false" outlineLevel="0" collapsed="false">
      <c r="A24" s="10" t="str">
        <f aca="false">_xlfn.CONCAT($A$1, ".", [1]CALC!A25)</f>
        <v>AR.EITCREF.21</v>
      </c>
      <c r="B24" s="23" t="str">
        <f aca="false">_xlfn.CONCAT([1]CALC!B25, ":", [1]CALC!C25)</f>
        <v>Professional Services:Worker</v>
      </c>
      <c r="C24" s="47" t="n">
        <f aca="false">[1]CALC!BD25</f>
        <v>3300000</v>
      </c>
      <c r="D24" s="47" t="n">
        <f aca="false">[1]CALC!BE25</f>
        <v>660000</v>
      </c>
      <c r="E24" s="47" t="n">
        <f aca="false">[1]CALC!BF25</f>
        <v>0</v>
      </c>
      <c r="F24" s="47" t="n">
        <f aca="false">[1]CALC!BG25</f>
        <v>2640000</v>
      </c>
    </row>
    <row r="25" customFormat="false" ht="12.8" hidden="false" customHeight="false" outlineLevel="0" collapsed="false">
      <c r="A25" s="10" t="str">
        <f aca="false">_xlfn.CONCAT($A$1, ".", [1]CALC!A26)</f>
        <v>AR.EITCREF.22</v>
      </c>
      <c r="B25" s="23" t="str">
        <f aca="false">_xlfn.CONCAT([1]CALC!B26, ":", [1]CALC!C26)</f>
        <v>Professional Services:Support</v>
      </c>
      <c r="C25" s="47" t="n">
        <f aca="false">[1]CALC!BD26</f>
        <v>1650000</v>
      </c>
      <c r="D25" s="47" t="n">
        <f aca="false">[1]CALC!BE26</f>
        <v>330000</v>
      </c>
      <c r="E25" s="47" t="n">
        <f aca="false">[1]CALC!BF26</f>
        <v>0</v>
      </c>
      <c r="F25" s="47" t="n">
        <f aca="false">[1]CALC!BG26</f>
        <v>1320000</v>
      </c>
    </row>
    <row r="26" customFormat="false" ht="12.8" hidden="false" customHeight="false" outlineLevel="0" collapsed="false">
      <c r="A26" s="10" t="str">
        <f aca="false">_xlfn.CONCAT($A$1, ".", [1]CALC!A27)</f>
        <v>AR.EITCREF.23</v>
      </c>
      <c r="B26" s="23" t="str">
        <f aca="false">_xlfn.CONCAT([1]CALC!B27, ":", [1]CALC!C27)</f>
        <v>Educational Services:Worker</v>
      </c>
      <c r="C26" s="47" t="n">
        <f aca="false">[1]CALC!BD27</f>
        <v>2100000</v>
      </c>
      <c r="D26" s="47" t="n">
        <f aca="false">[1]CALC!BE27</f>
        <v>420000</v>
      </c>
      <c r="E26" s="47" t="n">
        <f aca="false">[1]CALC!BF27</f>
        <v>0</v>
      </c>
      <c r="F26" s="47" t="n">
        <f aca="false">[1]CALC!BG27</f>
        <v>1680000</v>
      </c>
    </row>
    <row r="27" customFormat="false" ht="12.8" hidden="false" customHeight="false" outlineLevel="0" collapsed="false">
      <c r="A27" s="10" t="str">
        <f aca="false">_xlfn.CONCAT($A$1, ".", [1]CALC!A28)</f>
        <v>AR.EITCREF.24</v>
      </c>
      <c r="B27" s="23" t="str">
        <f aca="false">_xlfn.CONCAT([1]CALC!B28, ":", [1]CALC!C28)</f>
        <v>Educational Services:Support</v>
      </c>
      <c r="C27" s="47" t="n">
        <f aca="false">[1]CALC!BD28</f>
        <v>1050000</v>
      </c>
      <c r="D27" s="47" t="n">
        <f aca="false">[1]CALC!BE28</f>
        <v>210000</v>
      </c>
      <c r="E27" s="47" t="n">
        <f aca="false">[1]CALC!BF28</f>
        <v>0</v>
      </c>
      <c r="F27" s="47" t="n">
        <f aca="false">[1]CALC!BG28</f>
        <v>840000</v>
      </c>
    </row>
    <row r="28" customFormat="false" ht="12.8" hidden="false" customHeight="false" outlineLevel="0" collapsed="false">
      <c r="A28" s="10" t="str">
        <f aca="false">_xlfn.CONCAT($A$1, ".", [1]CALC!A29)</f>
        <v>AR.EITCREF.25</v>
      </c>
      <c r="B28" s="23" t="str">
        <f aca="false">_xlfn.CONCAT([1]CALC!B29, ":", [1]CALC!C29)</f>
        <v>Finance &amp; Insurance:Worker</v>
      </c>
      <c r="C28" s="47" t="n">
        <f aca="false">[1]CALC!BD29</f>
        <v>1500000</v>
      </c>
      <c r="D28" s="47" t="n">
        <f aca="false">[1]CALC!BE29</f>
        <v>300000</v>
      </c>
      <c r="E28" s="47" t="n">
        <f aca="false">[1]CALC!BF29</f>
        <v>0</v>
      </c>
      <c r="F28" s="47" t="n">
        <f aca="false">[1]CALC!BG29</f>
        <v>1200000</v>
      </c>
    </row>
    <row r="29" customFormat="false" ht="12.8" hidden="false" customHeight="false" outlineLevel="0" collapsed="false">
      <c r="A29" s="10" t="str">
        <f aca="false">_xlfn.CONCAT($A$1, ".", [1]CALC!A30)</f>
        <v>AR.EITCREF.26</v>
      </c>
      <c r="B29" s="23" t="str">
        <f aca="false">_xlfn.CONCAT([1]CALC!B30, ":", [1]CALC!C30)</f>
        <v>Finance &amp; Insurance:Support</v>
      </c>
      <c r="C29" s="47" t="n">
        <f aca="false">[1]CALC!BD30</f>
        <v>750000</v>
      </c>
      <c r="D29" s="47" t="n">
        <f aca="false">[1]CALC!BE30</f>
        <v>150000</v>
      </c>
      <c r="E29" s="47" t="n">
        <f aca="false">[1]CALC!BF30</f>
        <v>0</v>
      </c>
      <c r="F29" s="47" t="n">
        <f aca="false">[1]CALC!BG30</f>
        <v>600000</v>
      </c>
    </row>
    <row r="30" customFormat="false" ht="12.8" hidden="false" customHeight="false" outlineLevel="0" collapsed="false">
      <c r="A30" s="10" t="str">
        <f aca="false">_xlfn.CONCAT($A$1, ".", [1]CALC!A31)</f>
        <v>AR.EITCREF.27</v>
      </c>
      <c r="B30" s="23" t="str">
        <f aca="false">_xlfn.CONCAT([1]CALC!B31, ":", [1]CALC!C31)</f>
        <v>Media and Information Technology:Worker</v>
      </c>
      <c r="C30" s="47" t="n">
        <f aca="false">[1]CALC!BD31</f>
        <v>450000</v>
      </c>
      <c r="D30" s="47" t="n">
        <f aca="false">[1]CALC!BE31</f>
        <v>90000</v>
      </c>
      <c r="E30" s="47" t="n">
        <f aca="false">[1]CALC!BF31</f>
        <v>0</v>
      </c>
      <c r="F30" s="47" t="n">
        <f aca="false">[1]CALC!BG31</f>
        <v>360000</v>
      </c>
    </row>
    <row r="31" customFormat="false" ht="12.8" hidden="false" customHeight="false" outlineLevel="0" collapsed="false">
      <c r="A31" s="10" t="str">
        <f aca="false">_xlfn.CONCAT($A$1, ".", [1]CALC!A32)</f>
        <v>AR.EITCREF.28</v>
      </c>
      <c r="B31" s="23" t="str">
        <f aca="false">_xlfn.CONCAT([1]CALC!B32, ":", [1]CALC!C32)</f>
        <v>Media and Information Technology:Support</v>
      </c>
      <c r="C31" s="47" t="n">
        <f aca="false">[1]CALC!BD32</f>
        <v>225000</v>
      </c>
      <c r="D31" s="47" t="n">
        <f aca="false">[1]CALC!BE32</f>
        <v>45000</v>
      </c>
      <c r="E31" s="47" t="n">
        <f aca="false">[1]CALC!BF32</f>
        <v>0</v>
      </c>
      <c r="F31" s="47" t="n">
        <f aca="false">[1]CALC!BG32</f>
        <v>180000</v>
      </c>
    </row>
    <row r="32" customFormat="false" ht="12.8" hidden="false" customHeight="false" outlineLevel="0" collapsed="false">
      <c r="A32" s="10" t="str">
        <f aca="false">_xlfn.CONCAT($A$1, ".", [1]CALC!A33)</f>
        <v>AR.EITCREF.29</v>
      </c>
      <c r="B32" s="23" t="str">
        <f aca="false">_xlfn.CONCAT([1]CALC!B33, ":", [1]CALC!C33)</f>
        <v>Government:Worker</v>
      </c>
      <c r="C32" s="47" t="n">
        <f aca="false">[1]CALC!BD33</f>
        <v>6000000</v>
      </c>
      <c r="D32" s="47" t="n">
        <f aca="false">[1]CALC!BE33</f>
        <v>1200000</v>
      </c>
      <c r="E32" s="47" t="n">
        <f aca="false">[1]CALC!BF33</f>
        <v>0</v>
      </c>
      <c r="F32" s="47" t="n">
        <f aca="false">[1]CALC!BG33</f>
        <v>4800000</v>
      </c>
    </row>
    <row r="33" customFormat="false" ht="12.8" hidden="false" customHeight="false" outlineLevel="0" collapsed="false">
      <c r="A33" s="10" t="str">
        <f aca="false">_xlfn.CONCAT($A$1, ".", [1]CALC!A34)</f>
        <v>AR.EITCREF.30</v>
      </c>
      <c r="B33" s="23" t="str">
        <f aca="false">_xlfn.CONCAT([1]CALC!B34, ":", [1]CALC!C34)</f>
        <v>Government:Support</v>
      </c>
      <c r="C33" s="47" t="n">
        <f aca="false">[1]CALC!BD34</f>
        <v>3000000</v>
      </c>
      <c r="D33" s="47" t="n">
        <f aca="false">[1]CALC!BE34</f>
        <v>600000</v>
      </c>
      <c r="E33" s="47" t="n">
        <f aca="false">[1]CALC!BF34</f>
        <v>0</v>
      </c>
      <c r="F33" s="47" t="n">
        <f aca="false">[1]CALC!BG34</f>
        <v>2400000</v>
      </c>
    </row>
    <row r="34" customFormat="false" ht="12.8" hidden="false" customHeight="false" outlineLevel="0" collapsed="false">
      <c r="A34" s="10" t="str">
        <f aca="false">_xlfn.CONCAT($A$1, ".", [1]CALC!A35)</f>
        <v>AR.EITCREF.31</v>
      </c>
      <c r="B34" s="23" t="str">
        <f aca="false">_xlfn.CONCAT([1]CALC!B35, ":", [1]CALC!C35)</f>
        <v>Self-Employed / Non-Employer:Worker</v>
      </c>
      <c r="C34" s="47" t="n">
        <f aca="false">[1]CALC!BD35</f>
        <v>2700000</v>
      </c>
      <c r="D34" s="47" t="n">
        <f aca="false">[1]CALC!BE35</f>
        <v>540000</v>
      </c>
      <c r="E34" s="47" t="n">
        <f aca="false">[1]CALC!BF35</f>
        <v>0</v>
      </c>
      <c r="F34" s="47" t="n">
        <f aca="false">[1]CALC!BG35</f>
        <v>2160000</v>
      </c>
    </row>
    <row r="35" customFormat="false" ht="12.8" hidden="false" customHeight="false" outlineLevel="0" collapsed="false">
      <c r="A35" s="10" t="str">
        <f aca="false">_xlfn.CONCAT($A$1, ".", [1]CALC!A36)</f>
        <v>AR.EITCREF.32</v>
      </c>
      <c r="B35" s="23" t="str">
        <f aca="false">_xlfn.CONCAT([1]CALC!B36, ":", [1]CALC!C36)</f>
        <v>Self-Employed / Non-Employer:Support</v>
      </c>
      <c r="C35" s="47" t="n">
        <f aca="false">[1]CALC!BD36</f>
        <v>1350000</v>
      </c>
      <c r="D35" s="47" t="n">
        <f aca="false">[1]CALC!BE36</f>
        <v>270000</v>
      </c>
      <c r="E35" s="47" t="n">
        <f aca="false">[1]CALC!BF36</f>
        <v>0</v>
      </c>
      <c r="F35" s="47" t="n">
        <f aca="false">[1]CALC!BG36</f>
        <v>1080000</v>
      </c>
    </row>
    <row r="36" customFormat="false" ht="12.8" hidden="false" customHeight="false" outlineLevel="0" collapsed="false">
      <c r="A36" s="10" t="str">
        <f aca="false">_xlfn.CONCAT($A$1, ".", [1]CALC!A37)</f>
        <v>AR.EITCREF.33</v>
      </c>
      <c r="B36" s="23" t="str">
        <f aca="false">_xlfn.CONCAT([1]CALC!B37, ":", [1]CALC!C37)</f>
        <v>Other Services:Worker</v>
      </c>
      <c r="C36" s="47" t="n">
        <f aca="false">[1]CALC!BD37</f>
        <v>1650000</v>
      </c>
      <c r="D36" s="47" t="n">
        <f aca="false">[1]CALC!BE37</f>
        <v>330000</v>
      </c>
      <c r="E36" s="47" t="n">
        <f aca="false">[1]CALC!BF37</f>
        <v>0</v>
      </c>
      <c r="F36" s="47" t="n">
        <f aca="false">[1]CALC!BG37</f>
        <v>1320000</v>
      </c>
    </row>
    <row r="37" customFormat="false" ht="12.8" hidden="false" customHeight="false" outlineLevel="0" collapsed="false">
      <c r="A37" s="10" t="str">
        <f aca="false">_xlfn.CONCAT($A$1, ".", [1]CALC!A38)</f>
        <v>AR.EITCREF.34</v>
      </c>
      <c r="B37" s="23" t="str">
        <f aca="false">_xlfn.CONCAT([1]CALC!B38, ":", [1]CALC!C38)</f>
        <v>Other Services:Support</v>
      </c>
      <c r="C37" s="47" t="n">
        <f aca="false">[1]CALC!BD38</f>
        <v>825000</v>
      </c>
      <c r="D37" s="47" t="n">
        <f aca="false">[1]CALC!BE38</f>
        <v>165000</v>
      </c>
      <c r="E37" s="47" t="n">
        <f aca="false">[1]CALC!BF38</f>
        <v>0</v>
      </c>
      <c r="F37" s="47" t="n">
        <f aca="false">[1]CALC!BG38</f>
        <v>660000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4" activeCellId="0" sqref="A44"/>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3"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23.85" hidden="false" customHeight="false" outlineLevel="0" collapsed="false">
      <c r="A1" s="3" t="s">
        <v>1156</v>
      </c>
      <c r="B1" s="21" t="s">
        <v>1157</v>
      </c>
      <c r="C1" s="15" t="s">
        <v>2</v>
      </c>
      <c r="D1" s="35" t="s">
        <v>1158</v>
      </c>
      <c r="AZ1" s="13"/>
      <c r="BP1" s="13"/>
    </row>
    <row r="2" customFormat="false" ht="35.05" hidden="false" customHeight="false" outlineLevel="0" collapsed="false">
      <c r="A2" s="22" t="s">
        <v>1128</v>
      </c>
      <c r="B2" s="21" t="s">
        <v>1129</v>
      </c>
      <c r="C2" s="46" t="str">
        <f aca="false">[1]CALC!BH3</f>
        <v>ACTC Credit Refund</v>
      </c>
      <c r="D2" s="46" t="str">
        <f aca="false">[1]CALC!BI3</f>
        <v>Authorized Immigrant ACTC Credit Refund</v>
      </c>
      <c r="E2" s="46" t="str">
        <f aca="false">[1]CALC!BJ3</f>
        <v>Unauthorized Immigrant ACTC Credit Refund</v>
      </c>
      <c r="F2" s="46" t="str">
        <f aca="false">[1]CALC!BK3</f>
        <v>American Effective Tax ACTC Credit Refund</v>
      </c>
    </row>
    <row r="3" customFormat="false" ht="12.8" hidden="false" customHeight="false" outlineLevel="0" collapsed="false">
      <c r="A3" s="3" t="str">
        <f aca="false">_xlfn.CONCAT($A$1, ".", [1]CALC!A4)</f>
        <v>AR.ACTCREF.0</v>
      </c>
      <c r="B3" s="37" t="str">
        <f aca="false">_xlfn.CONCAT([1]CALC!B4, ":", [1]CALC!C4)</f>
        <v>All Industries:All Roles</v>
      </c>
      <c r="C3" s="46" t="n">
        <f aca="false">[1]CALC!BH4</f>
        <v>160000000</v>
      </c>
      <c r="D3" s="46" t="n">
        <f aca="false">[1]CALC!BI4</f>
        <v>40000000</v>
      </c>
      <c r="E3" s="46" t="n">
        <f aca="false">[1]CALC!BJ4</f>
        <v>40000000</v>
      </c>
      <c r="F3" s="46" t="n">
        <f aca="false">[1]CALC!BK4</f>
        <v>120000000</v>
      </c>
    </row>
    <row r="4" customFormat="false" ht="12.8" hidden="false" customHeight="false" outlineLevel="0" collapsed="false">
      <c r="A4" s="10" t="str">
        <f aca="false">_xlfn.CONCAT($A$1, ".", [1]CALC!A5)</f>
        <v>AR.ACTCREF.1</v>
      </c>
      <c r="B4" s="23" t="str">
        <f aca="false">_xlfn.CONCAT([1]CALC!B5, ":", [1]CALC!C5)</f>
        <v>Agriculture:Worker</v>
      </c>
      <c r="C4" s="47" t="n">
        <f aca="false">[1]CALC!BH5</f>
        <v>45000</v>
      </c>
      <c r="D4" s="47" t="n">
        <f aca="false">[1]CALC!BI5</f>
        <v>9000</v>
      </c>
      <c r="E4" s="47" t="n">
        <f aca="false">[1]CALC!BJ5</f>
        <v>18000</v>
      </c>
      <c r="F4" s="47" t="n">
        <f aca="false">[1]CALC!BK5</f>
        <v>54000</v>
      </c>
    </row>
    <row r="5" customFormat="false" ht="12.8" hidden="false" customHeight="false" outlineLevel="0" collapsed="false">
      <c r="A5" s="10" t="str">
        <f aca="false">_xlfn.CONCAT($A$1, ".", [1]CALC!A6)</f>
        <v>AR.ACTCREF.2</v>
      </c>
      <c r="B5" s="23" t="str">
        <f aca="false">_xlfn.CONCAT([1]CALC!B6, ":", [1]CALC!C6)</f>
        <v>Agriculture:Support</v>
      </c>
      <c r="C5" s="47" t="n">
        <f aca="false">[1]CALC!BH6</f>
        <v>22500</v>
      </c>
      <c r="D5" s="47" t="n">
        <f aca="false">[1]CALC!BI6</f>
        <v>4500</v>
      </c>
      <c r="E5" s="47" t="n">
        <f aca="false">[1]CALC!BJ6</f>
        <v>9000</v>
      </c>
      <c r="F5" s="47" t="n">
        <f aca="false">[1]CALC!BK6</f>
        <v>27000</v>
      </c>
    </row>
    <row r="6" customFormat="false" ht="12.8" hidden="false" customHeight="false" outlineLevel="0" collapsed="false">
      <c r="A6" s="10" t="str">
        <f aca="false">_xlfn.CONCAT($A$1, ".", [1]CALC!A7)</f>
        <v>AR.ACTCREF.3</v>
      </c>
      <c r="B6" s="23" t="str">
        <f aca="false">_xlfn.CONCAT([1]CALC!B7, ":", [1]CALC!C7)</f>
        <v>Construction:Worker</v>
      </c>
      <c r="C6" s="47" t="n">
        <f aca="false">[1]CALC!BH7</f>
        <v>250000</v>
      </c>
      <c r="D6" s="47" t="n">
        <f aca="false">[1]CALC!BI7</f>
        <v>50000</v>
      </c>
      <c r="E6" s="47" t="n">
        <f aca="false">[1]CALC!BJ7</f>
        <v>50000</v>
      </c>
      <c r="F6" s="47" t="n">
        <f aca="false">[1]CALC!BK7</f>
        <v>150000</v>
      </c>
    </row>
    <row r="7" customFormat="false" ht="12.8" hidden="false" customHeight="false" outlineLevel="0" collapsed="false">
      <c r="A7" s="10" t="str">
        <f aca="false">_xlfn.CONCAT($A$1, ".", [1]CALC!A8)</f>
        <v>AR.ACTCREF.4</v>
      </c>
      <c r="B7" s="23" t="str">
        <f aca="false">_xlfn.CONCAT([1]CALC!B8, ":", [1]CALC!C8)</f>
        <v>Construction:Support</v>
      </c>
      <c r="C7" s="47" t="n">
        <f aca="false">[1]CALC!BH8</f>
        <v>125000</v>
      </c>
      <c r="D7" s="47" t="n">
        <f aca="false">[1]CALC!BI8</f>
        <v>25000</v>
      </c>
      <c r="E7" s="47" t="n">
        <f aca="false">[1]CALC!BJ8</f>
        <v>25000</v>
      </c>
      <c r="F7" s="47" t="n">
        <f aca="false">[1]CALC!BK8</f>
        <v>75000</v>
      </c>
    </row>
    <row r="8" customFormat="false" ht="12.8" hidden="false" customHeight="false" outlineLevel="0" collapsed="false">
      <c r="A8" s="10" t="str">
        <f aca="false">_xlfn.CONCAT($A$1, ".", [1]CALC!A9)</f>
        <v>AR.ACTCREF.5</v>
      </c>
      <c r="B8" s="23" t="str">
        <f aca="false">_xlfn.CONCAT([1]CALC!B9, ":", [1]CALC!C9)</f>
        <v>Hospitality:Worker</v>
      </c>
      <c r="C8" s="47" t="n">
        <f aca="false">[1]CALC!BH9</f>
        <v>900000</v>
      </c>
      <c r="D8" s="47" t="n">
        <f aca="false">[1]CALC!BI9</f>
        <v>180000</v>
      </c>
      <c r="E8" s="47" t="n">
        <f aca="false">[1]CALC!BJ9</f>
        <v>180000</v>
      </c>
      <c r="F8" s="47" t="n">
        <f aca="false">[1]CALC!BK9</f>
        <v>540000</v>
      </c>
    </row>
    <row r="9" customFormat="false" ht="12.8" hidden="false" customHeight="false" outlineLevel="0" collapsed="false">
      <c r="A9" s="10" t="str">
        <f aca="false">_xlfn.CONCAT($A$1, ".", [1]CALC!A10)</f>
        <v>AR.ACTCREF.6</v>
      </c>
      <c r="B9" s="23" t="str">
        <f aca="false">_xlfn.CONCAT([1]CALC!B10, ":", [1]CALC!C10)</f>
        <v>Hospitality:Support</v>
      </c>
      <c r="C9" s="47" t="n">
        <f aca="false">[1]CALC!BH10</f>
        <v>450000</v>
      </c>
      <c r="D9" s="47" t="n">
        <f aca="false">[1]CALC!BI10</f>
        <v>90000</v>
      </c>
      <c r="E9" s="47" t="n">
        <f aca="false">[1]CALC!BJ10</f>
        <v>90000</v>
      </c>
      <c r="F9" s="47" t="n">
        <f aca="false">[1]CALC!BK10</f>
        <v>270000</v>
      </c>
    </row>
    <row r="10" customFormat="false" ht="12.8" hidden="false" customHeight="false" outlineLevel="0" collapsed="false">
      <c r="A10" s="10" t="str">
        <f aca="false">_xlfn.CONCAT($A$1, ".", [1]CALC!A11)</f>
        <v>AR.ACTCREF.7</v>
      </c>
      <c r="B10" s="23" t="str">
        <f aca="false">_xlfn.CONCAT([1]CALC!B11, ":", [1]CALC!C11)</f>
        <v>Cleaning &amp; Maintenance:Worker</v>
      </c>
      <c r="C10" s="47" t="n">
        <f aca="false">[1]CALC!BH11</f>
        <v>325000</v>
      </c>
      <c r="D10" s="47" t="n">
        <f aca="false">[1]CALC!BI11</f>
        <v>65000</v>
      </c>
      <c r="E10" s="47" t="n">
        <f aca="false">[1]CALC!BJ11</f>
        <v>65000</v>
      </c>
      <c r="F10" s="47" t="n">
        <f aca="false">[1]CALC!BK11</f>
        <v>195000</v>
      </c>
    </row>
    <row r="11" customFormat="false" ht="12.8" hidden="false" customHeight="false" outlineLevel="0" collapsed="false">
      <c r="A11" s="10" t="str">
        <f aca="false">_xlfn.CONCAT($A$1, ".", [1]CALC!A12)</f>
        <v>AR.ACTCREF.8</v>
      </c>
      <c r="B11" s="23" t="str">
        <f aca="false">_xlfn.CONCAT([1]CALC!B12, ":", [1]CALC!C12)</f>
        <v>Cleaning &amp; Maintenance:Support</v>
      </c>
      <c r="C11" s="47" t="n">
        <f aca="false">[1]CALC!BH12</f>
        <v>162500</v>
      </c>
      <c r="D11" s="47" t="n">
        <f aca="false">[1]CALC!BI12</f>
        <v>32500</v>
      </c>
      <c r="E11" s="47" t="n">
        <f aca="false">[1]CALC!BJ12</f>
        <v>32500</v>
      </c>
      <c r="F11" s="47" t="n">
        <f aca="false">[1]CALC!BK12</f>
        <v>97500</v>
      </c>
    </row>
    <row r="12" customFormat="false" ht="12.8" hidden="false" customHeight="false" outlineLevel="0" collapsed="false">
      <c r="A12" s="10" t="str">
        <f aca="false">_xlfn.CONCAT($A$1, ".", [1]CALC!A13)</f>
        <v>AR.ACTCREF.9</v>
      </c>
      <c r="B12" s="23" t="str">
        <f aca="false">_xlfn.CONCAT([1]CALC!B13, ":", [1]CALC!C13)</f>
        <v>Manufacturing:Worker</v>
      </c>
      <c r="C12" s="47" t="n">
        <f aca="false">[1]CALC!BH13</f>
        <v>1350000</v>
      </c>
      <c r="D12" s="47" t="n">
        <f aca="false">[1]CALC!BI13</f>
        <v>270000</v>
      </c>
      <c r="E12" s="47" t="n">
        <f aca="false">[1]CALC!BJ13</f>
        <v>135000</v>
      </c>
      <c r="F12" s="47" t="n">
        <f aca="false">[1]CALC!BK13</f>
        <v>405000</v>
      </c>
    </row>
    <row r="13" customFormat="false" ht="12.8" hidden="false" customHeight="false" outlineLevel="0" collapsed="false">
      <c r="A13" s="10" t="str">
        <f aca="false">_xlfn.CONCAT($A$1, ".", [1]CALC!A14)</f>
        <v>AR.ACTCREF.10</v>
      </c>
      <c r="B13" s="23" t="str">
        <f aca="false">_xlfn.CONCAT([1]CALC!B14, ":", [1]CALC!C14)</f>
        <v>Manufacturing:Support</v>
      </c>
      <c r="C13" s="47" t="n">
        <f aca="false">[1]CALC!BH14</f>
        <v>675000</v>
      </c>
      <c r="D13" s="47" t="n">
        <f aca="false">[1]CALC!BI14</f>
        <v>135000</v>
      </c>
      <c r="E13" s="47" t="n">
        <f aca="false">[1]CALC!BJ14</f>
        <v>67500</v>
      </c>
      <c r="F13" s="47" t="n">
        <f aca="false">[1]CALC!BK14</f>
        <v>202500</v>
      </c>
    </row>
    <row r="14" customFormat="false" ht="12.8" hidden="false" customHeight="false" outlineLevel="0" collapsed="false">
      <c r="A14" s="10" t="str">
        <f aca="false">_xlfn.CONCAT($A$1, ".", [1]CALC!A15)</f>
        <v>AR.ACTCREF.11</v>
      </c>
      <c r="B14" s="23" t="str">
        <f aca="false">_xlfn.CONCAT([1]CALC!B15, ":", [1]CALC!C15)</f>
        <v>Transportation &amp; Warehousing:Worker</v>
      </c>
      <c r="C14" s="47" t="n">
        <f aca="false">[1]CALC!BH15</f>
        <v>450000</v>
      </c>
      <c r="D14" s="47" t="n">
        <f aca="false">[1]CALC!BI15</f>
        <v>90000</v>
      </c>
      <c r="E14" s="47" t="n">
        <f aca="false">[1]CALC!BJ15</f>
        <v>90000</v>
      </c>
      <c r="F14" s="47" t="n">
        <f aca="false">[1]CALC!BK15</f>
        <v>270000</v>
      </c>
    </row>
    <row r="15" customFormat="false" ht="12.8" hidden="false" customHeight="false" outlineLevel="0" collapsed="false">
      <c r="A15" s="10" t="str">
        <f aca="false">_xlfn.CONCAT($A$1, ".", [1]CALC!A16)</f>
        <v>AR.ACTCREF.12</v>
      </c>
      <c r="B15" s="23" t="str">
        <f aca="false">_xlfn.CONCAT([1]CALC!B16, ":", [1]CALC!C16)</f>
        <v>Transportation &amp; Warehousing:Support</v>
      </c>
      <c r="C15" s="47" t="n">
        <f aca="false">[1]CALC!BH16</f>
        <v>225000</v>
      </c>
      <c r="D15" s="47" t="n">
        <f aca="false">[1]CALC!BI16</f>
        <v>45000</v>
      </c>
      <c r="E15" s="47" t="n">
        <f aca="false">[1]CALC!BJ16</f>
        <v>45000</v>
      </c>
      <c r="F15" s="47" t="n">
        <f aca="false">[1]CALC!BK16</f>
        <v>135000</v>
      </c>
    </row>
    <row r="16" customFormat="false" ht="12.8" hidden="false" customHeight="false" outlineLevel="0" collapsed="false">
      <c r="A16" s="10" t="str">
        <f aca="false">_xlfn.CONCAT($A$1, ".", [1]CALC!A17)</f>
        <v>AR.ACTCREF.13</v>
      </c>
      <c r="B16" s="23" t="str">
        <f aca="false">_xlfn.CONCAT([1]CALC!B17, ":", [1]CALC!C17)</f>
        <v>Retail Trade:Worker</v>
      </c>
      <c r="C16" s="47" t="n">
        <f aca="false">[1]CALC!BH17</f>
        <v>1200000</v>
      </c>
      <c r="D16" s="47" t="n">
        <f aca="false">[1]CALC!BI17</f>
        <v>240000</v>
      </c>
      <c r="E16" s="47" t="n">
        <f aca="false">[1]CALC!BJ17</f>
        <v>240000</v>
      </c>
      <c r="F16" s="47" t="n">
        <f aca="false">[1]CALC!BK17</f>
        <v>720000</v>
      </c>
    </row>
    <row r="17" customFormat="false" ht="12.8" hidden="false" customHeight="false" outlineLevel="0" collapsed="false">
      <c r="A17" s="10" t="str">
        <f aca="false">_xlfn.CONCAT($A$1, ".", [1]CALC!A18)</f>
        <v>AR.ACTCREF.14</v>
      </c>
      <c r="B17" s="23" t="str">
        <f aca="false">_xlfn.CONCAT([1]CALC!B18, ":", [1]CALC!C18)</f>
        <v>Retail Trade:Support</v>
      </c>
      <c r="C17" s="47" t="n">
        <f aca="false">[1]CALC!BH18</f>
        <v>600000</v>
      </c>
      <c r="D17" s="47" t="n">
        <f aca="false">[1]CALC!BI18</f>
        <v>120000</v>
      </c>
      <c r="E17" s="47" t="n">
        <f aca="false">[1]CALC!BJ18</f>
        <v>120000</v>
      </c>
      <c r="F17" s="47" t="n">
        <f aca="false">[1]CALC!BK18</f>
        <v>360000</v>
      </c>
    </row>
    <row r="18" customFormat="false" ht="12.8" hidden="false" customHeight="false" outlineLevel="0" collapsed="false">
      <c r="A18" s="10" t="str">
        <f aca="false">_xlfn.CONCAT($A$1, ".", [1]CALC!A19)</f>
        <v>AR.ACTCREF.15</v>
      </c>
      <c r="B18" s="23" t="str">
        <f aca="false">_xlfn.CONCAT([1]CALC!B19, ":", [1]CALC!C19)</f>
        <v>Landscaping / Groundskeeping:Worker</v>
      </c>
      <c r="C18" s="47" t="n">
        <f aca="false">[1]CALC!BH19</f>
        <v>165000</v>
      </c>
      <c r="D18" s="47" t="n">
        <f aca="false">[1]CALC!BI19</f>
        <v>33000</v>
      </c>
      <c r="E18" s="47" t="n">
        <f aca="false">[1]CALC!BJ19</f>
        <v>33000</v>
      </c>
      <c r="F18" s="47" t="n">
        <f aca="false">[1]CALC!BK19</f>
        <v>99000</v>
      </c>
    </row>
    <row r="19" customFormat="false" ht="12.8" hidden="false" customHeight="false" outlineLevel="0" collapsed="false">
      <c r="A19" s="10" t="str">
        <f aca="false">_xlfn.CONCAT($A$1, ".", [1]CALC!A20)</f>
        <v>AR.ACTCREF.16</v>
      </c>
      <c r="B19" s="23" t="str">
        <f aca="false">_xlfn.CONCAT([1]CALC!B20, ":", [1]CALC!C20)</f>
        <v>Landscaping / Groundskeeping:Support</v>
      </c>
      <c r="C19" s="47" t="n">
        <f aca="false">[1]CALC!BH20</f>
        <v>82500</v>
      </c>
      <c r="D19" s="47" t="n">
        <f aca="false">[1]CALC!BI20</f>
        <v>16500</v>
      </c>
      <c r="E19" s="47" t="n">
        <f aca="false">[1]CALC!BJ20</f>
        <v>16500</v>
      </c>
      <c r="F19" s="47" t="n">
        <f aca="false">[1]CALC!BK20</f>
        <v>49500</v>
      </c>
    </row>
    <row r="20" customFormat="false" ht="12.8" hidden="false" customHeight="false" outlineLevel="0" collapsed="false">
      <c r="A20" s="10" t="str">
        <f aca="false">_xlfn.CONCAT($A$1, ".", [1]CALC!A21)</f>
        <v>AR.ACTCREF.17</v>
      </c>
      <c r="B20" s="23" t="str">
        <f aca="false">_xlfn.CONCAT([1]CALC!B21, ":", [1]CALC!C21)</f>
        <v>Automotive &amp; Repair:Worker</v>
      </c>
      <c r="C20" s="47" t="n">
        <f aca="false">[1]CALC!BH21</f>
        <v>135000</v>
      </c>
      <c r="D20" s="47" t="n">
        <f aca="false">[1]CALC!BI21</f>
        <v>27000</v>
      </c>
      <c r="E20" s="47" t="n">
        <f aca="false">[1]CALC!BJ21</f>
        <v>27000</v>
      </c>
      <c r="F20" s="47" t="n">
        <f aca="false">[1]CALC!BK21</f>
        <v>81000</v>
      </c>
    </row>
    <row r="21" customFormat="false" ht="12.8" hidden="false" customHeight="false" outlineLevel="0" collapsed="false">
      <c r="A21" s="10" t="str">
        <f aca="false">_xlfn.CONCAT($A$1, ".", [1]CALC!A22)</f>
        <v>AR.ACTCREF.18</v>
      </c>
      <c r="B21" s="23" t="str">
        <f aca="false">_xlfn.CONCAT([1]CALC!B22, ":", [1]CALC!C22)</f>
        <v>Automotive &amp; Repair:Support</v>
      </c>
      <c r="C21" s="47" t="n">
        <f aca="false">[1]CALC!BH22</f>
        <v>67500</v>
      </c>
      <c r="D21" s="47" t="n">
        <f aca="false">[1]CALC!BI22</f>
        <v>13500</v>
      </c>
      <c r="E21" s="47" t="n">
        <f aca="false">[1]CALC!BJ22</f>
        <v>13500</v>
      </c>
      <c r="F21" s="47" t="n">
        <f aca="false">[1]CALC!BK22</f>
        <v>40500</v>
      </c>
    </row>
    <row r="22" customFormat="false" ht="12.8" hidden="false" customHeight="false" outlineLevel="0" collapsed="false">
      <c r="A22" s="10" t="str">
        <f aca="false">_xlfn.CONCAT($A$1, ".", [1]CALC!A23)</f>
        <v>AR.ACTCREF.19</v>
      </c>
      <c r="B22" s="23" t="str">
        <f aca="false">_xlfn.CONCAT([1]CALC!B23, ":", [1]CALC!C23)</f>
        <v>Healthcare &amp; Social Assistance:Worker</v>
      </c>
      <c r="C22" s="47" t="n">
        <f aca="false">[1]CALC!BH23</f>
        <v>2600000</v>
      </c>
      <c r="D22" s="47" t="n">
        <f aca="false">[1]CALC!BI23</f>
        <v>520000</v>
      </c>
      <c r="E22" s="47" t="n">
        <f aca="false">[1]CALC!BJ23</f>
        <v>520000</v>
      </c>
      <c r="F22" s="47" t="n">
        <f aca="false">[1]CALC!BK23</f>
        <v>1560000</v>
      </c>
    </row>
    <row r="23" customFormat="false" ht="12.8" hidden="false" customHeight="false" outlineLevel="0" collapsed="false">
      <c r="A23" s="10" t="str">
        <f aca="false">_xlfn.CONCAT($A$1, ".", [1]CALC!A24)</f>
        <v>AR.ACTCREF.20</v>
      </c>
      <c r="B23" s="23" t="str">
        <f aca="false">_xlfn.CONCAT([1]CALC!B24, ":", [1]CALC!C24)</f>
        <v>Healthcare &amp; Social Assistance:Support</v>
      </c>
      <c r="C23" s="47" t="n">
        <f aca="false">[1]CALC!BH24</f>
        <v>1300000</v>
      </c>
      <c r="D23" s="47" t="n">
        <f aca="false">[1]CALC!BI24</f>
        <v>260000</v>
      </c>
      <c r="E23" s="47" t="n">
        <f aca="false">[1]CALC!BJ24</f>
        <v>260000</v>
      </c>
      <c r="F23" s="47" t="n">
        <f aca="false">[1]CALC!BK24</f>
        <v>780000</v>
      </c>
    </row>
    <row r="24" customFormat="false" ht="12.8" hidden="false" customHeight="false" outlineLevel="0" collapsed="false">
      <c r="A24" s="10" t="str">
        <f aca="false">_xlfn.CONCAT($A$1, ".", [1]CALC!A25)</f>
        <v>AR.ACTCREF.21</v>
      </c>
      <c r="B24" s="23" t="str">
        <f aca="false">_xlfn.CONCAT([1]CALC!B25, ":", [1]CALC!C25)</f>
        <v>Professional Services:Worker</v>
      </c>
      <c r="C24" s="47" t="n">
        <f aca="false">[1]CALC!BH25</f>
        <v>1650000</v>
      </c>
      <c r="D24" s="47" t="n">
        <f aca="false">[1]CALC!BI25</f>
        <v>330000</v>
      </c>
      <c r="E24" s="47" t="n">
        <f aca="false">[1]CALC!BJ25</f>
        <v>330000</v>
      </c>
      <c r="F24" s="47" t="n">
        <f aca="false">[1]CALC!BK25</f>
        <v>990000</v>
      </c>
    </row>
    <row r="25" customFormat="false" ht="12.8" hidden="false" customHeight="false" outlineLevel="0" collapsed="false">
      <c r="A25" s="10" t="str">
        <f aca="false">_xlfn.CONCAT($A$1, ".", [1]CALC!A26)</f>
        <v>AR.ACTCREF.22</v>
      </c>
      <c r="B25" s="23" t="str">
        <f aca="false">_xlfn.CONCAT([1]CALC!B26, ":", [1]CALC!C26)</f>
        <v>Professional Services:Support</v>
      </c>
      <c r="C25" s="47" t="n">
        <f aca="false">[1]CALC!BH26</f>
        <v>825000</v>
      </c>
      <c r="D25" s="47" t="n">
        <f aca="false">[1]CALC!BI26</f>
        <v>165000</v>
      </c>
      <c r="E25" s="47" t="n">
        <f aca="false">[1]CALC!BJ26</f>
        <v>165000</v>
      </c>
      <c r="F25" s="47" t="n">
        <f aca="false">[1]CALC!BK26</f>
        <v>495000</v>
      </c>
    </row>
    <row r="26" customFormat="false" ht="12.8" hidden="false" customHeight="false" outlineLevel="0" collapsed="false">
      <c r="A26" s="10" t="str">
        <f aca="false">_xlfn.CONCAT($A$1, ".", [1]CALC!A27)</f>
        <v>AR.ACTCREF.23</v>
      </c>
      <c r="B26" s="23" t="str">
        <f aca="false">_xlfn.CONCAT([1]CALC!B27, ":", [1]CALC!C27)</f>
        <v>Educational Services:Worker</v>
      </c>
      <c r="C26" s="47" t="n">
        <f aca="false">[1]CALC!BH27</f>
        <v>1050000</v>
      </c>
      <c r="D26" s="47" t="n">
        <f aca="false">[1]CALC!BI27</f>
        <v>210000</v>
      </c>
      <c r="E26" s="47" t="n">
        <f aca="false">[1]CALC!BJ27</f>
        <v>210000</v>
      </c>
      <c r="F26" s="47" t="n">
        <f aca="false">[1]CALC!BK27</f>
        <v>630000</v>
      </c>
    </row>
    <row r="27" customFormat="false" ht="12.8" hidden="false" customHeight="false" outlineLevel="0" collapsed="false">
      <c r="A27" s="10" t="str">
        <f aca="false">_xlfn.CONCAT($A$1, ".", [1]CALC!A28)</f>
        <v>AR.ACTCREF.24</v>
      </c>
      <c r="B27" s="23" t="str">
        <f aca="false">_xlfn.CONCAT([1]CALC!B28, ":", [1]CALC!C28)</f>
        <v>Educational Services:Support</v>
      </c>
      <c r="C27" s="47" t="n">
        <f aca="false">[1]CALC!BH28</f>
        <v>525000</v>
      </c>
      <c r="D27" s="47" t="n">
        <f aca="false">[1]CALC!BI28</f>
        <v>105000</v>
      </c>
      <c r="E27" s="47" t="n">
        <f aca="false">[1]CALC!BJ28</f>
        <v>105000</v>
      </c>
      <c r="F27" s="47" t="n">
        <f aca="false">[1]CALC!BK28</f>
        <v>315000</v>
      </c>
    </row>
    <row r="28" customFormat="false" ht="12.8" hidden="false" customHeight="false" outlineLevel="0" collapsed="false">
      <c r="A28" s="10" t="str">
        <f aca="false">_xlfn.CONCAT($A$1, ".", [1]CALC!A29)</f>
        <v>AR.ACTCREF.25</v>
      </c>
      <c r="B28" s="23" t="str">
        <f aca="false">_xlfn.CONCAT([1]CALC!B29, ":", [1]CALC!C29)</f>
        <v>Finance &amp; Insurance:Worker</v>
      </c>
      <c r="C28" s="47" t="n">
        <f aca="false">[1]CALC!BH29</f>
        <v>750000</v>
      </c>
      <c r="D28" s="47" t="n">
        <f aca="false">[1]CALC!BI29</f>
        <v>150000</v>
      </c>
      <c r="E28" s="47" t="n">
        <f aca="false">[1]CALC!BJ29</f>
        <v>150000</v>
      </c>
      <c r="F28" s="47" t="n">
        <f aca="false">[1]CALC!BK29</f>
        <v>450000</v>
      </c>
    </row>
    <row r="29" customFormat="false" ht="12.8" hidden="false" customHeight="false" outlineLevel="0" collapsed="false">
      <c r="A29" s="10" t="str">
        <f aca="false">_xlfn.CONCAT($A$1, ".", [1]CALC!A30)</f>
        <v>AR.ACTCREF.26</v>
      </c>
      <c r="B29" s="23" t="str">
        <f aca="false">_xlfn.CONCAT([1]CALC!B30, ":", [1]CALC!C30)</f>
        <v>Finance &amp; Insurance:Support</v>
      </c>
      <c r="C29" s="47" t="n">
        <f aca="false">[1]CALC!BH30</f>
        <v>375000</v>
      </c>
      <c r="D29" s="47" t="n">
        <f aca="false">[1]CALC!BI30</f>
        <v>75000</v>
      </c>
      <c r="E29" s="47" t="n">
        <f aca="false">[1]CALC!BJ30</f>
        <v>75000</v>
      </c>
      <c r="F29" s="47" t="n">
        <f aca="false">[1]CALC!BK30</f>
        <v>225000</v>
      </c>
    </row>
    <row r="30" customFormat="false" ht="12.8" hidden="false" customHeight="false" outlineLevel="0" collapsed="false">
      <c r="A30" s="10" t="str">
        <f aca="false">_xlfn.CONCAT($A$1, ".", [1]CALC!A31)</f>
        <v>AR.ACTCREF.27</v>
      </c>
      <c r="B30" s="23" t="str">
        <f aca="false">_xlfn.CONCAT([1]CALC!B31, ":", [1]CALC!C31)</f>
        <v>Media and Information Technology:Worker</v>
      </c>
      <c r="C30" s="47" t="n">
        <f aca="false">[1]CALC!BH31</f>
        <v>225000</v>
      </c>
      <c r="D30" s="47" t="n">
        <f aca="false">[1]CALC!BI31</f>
        <v>45000</v>
      </c>
      <c r="E30" s="47" t="n">
        <f aca="false">[1]CALC!BJ31</f>
        <v>45000</v>
      </c>
      <c r="F30" s="47" t="n">
        <f aca="false">[1]CALC!BK31</f>
        <v>135000</v>
      </c>
    </row>
    <row r="31" customFormat="false" ht="12.8" hidden="false" customHeight="false" outlineLevel="0" collapsed="false">
      <c r="A31" s="10" t="str">
        <f aca="false">_xlfn.CONCAT($A$1, ".", [1]CALC!A32)</f>
        <v>AR.ACTCREF.28</v>
      </c>
      <c r="B31" s="23" t="str">
        <f aca="false">_xlfn.CONCAT([1]CALC!B32, ":", [1]CALC!C32)</f>
        <v>Media and Information Technology:Support</v>
      </c>
      <c r="C31" s="47" t="n">
        <f aca="false">[1]CALC!BH32</f>
        <v>112500</v>
      </c>
      <c r="D31" s="47" t="n">
        <f aca="false">[1]CALC!BI32</f>
        <v>22500</v>
      </c>
      <c r="E31" s="47" t="n">
        <f aca="false">[1]CALC!BJ32</f>
        <v>22500</v>
      </c>
      <c r="F31" s="47" t="n">
        <f aca="false">[1]CALC!BK32</f>
        <v>67500</v>
      </c>
    </row>
    <row r="32" customFormat="false" ht="12.8" hidden="false" customHeight="false" outlineLevel="0" collapsed="false">
      <c r="A32" s="10" t="str">
        <f aca="false">_xlfn.CONCAT($A$1, ".", [1]CALC!A33)</f>
        <v>AR.ACTCREF.29</v>
      </c>
      <c r="B32" s="23" t="str">
        <f aca="false">_xlfn.CONCAT([1]CALC!B33, ":", [1]CALC!C33)</f>
        <v>Government:Worker</v>
      </c>
      <c r="C32" s="47" t="n">
        <f aca="false">[1]CALC!BH33</f>
        <v>3000000</v>
      </c>
      <c r="D32" s="47" t="n">
        <f aca="false">[1]CALC!BI33</f>
        <v>600000</v>
      </c>
      <c r="E32" s="47" t="n">
        <f aca="false">[1]CALC!BJ33</f>
        <v>600000</v>
      </c>
      <c r="F32" s="47" t="n">
        <f aca="false">[1]CALC!BK33</f>
        <v>1800000</v>
      </c>
    </row>
    <row r="33" customFormat="false" ht="12.8" hidden="false" customHeight="false" outlineLevel="0" collapsed="false">
      <c r="A33" s="10" t="str">
        <f aca="false">_xlfn.CONCAT($A$1, ".", [1]CALC!A34)</f>
        <v>AR.ACTCREF.30</v>
      </c>
      <c r="B33" s="23" t="str">
        <f aca="false">_xlfn.CONCAT([1]CALC!B34, ":", [1]CALC!C34)</f>
        <v>Government:Support</v>
      </c>
      <c r="C33" s="47" t="n">
        <f aca="false">[1]CALC!BH34</f>
        <v>1500000</v>
      </c>
      <c r="D33" s="47" t="n">
        <f aca="false">[1]CALC!BI34</f>
        <v>300000</v>
      </c>
      <c r="E33" s="47" t="n">
        <f aca="false">[1]CALC!BJ34</f>
        <v>300000</v>
      </c>
      <c r="F33" s="47" t="n">
        <f aca="false">[1]CALC!BK34</f>
        <v>900000</v>
      </c>
    </row>
    <row r="34" customFormat="false" ht="12.8" hidden="false" customHeight="false" outlineLevel="0" collapsed="false">
      <c r="A34" s="10" t="str">
        <f aca="false">_xlfn.CONCAT($A$1, ".", [1]CALC!A35)</f>
        <v>AR.ACTCREF.31</v>
      </c>
      <c r="B34" s="23" t="str">
        <f aca="false">_xlfn.CONCAT([1]CALC!B35, ":", [1]CALC!C35)</f>
        <v>Self-Employed / Non-Employer:Worker</v>
      </c>
      <c r="C34" s="47" t="n">
        <f aca="false">[1]CALC!BH35</f>
        <v>1350000</v>
      </c>
      <c r="D34" s="47" t="n">
        <f aca="false">[1]CALC!BI35</f>
        <v>270000</v>
      </c>
      <c r="E34" s="47" t="n">
        <f aca="false">[1]CALC!BJ35</f>
        <v>270000</v>
      </c>
      <c r="F34" s="47" t="n">
        <f aca="false">[1]CALC!BK35</f>
        <v>810000</v>
      </c>
    </row>
    <row r="35" customFormat="false" ht="12.8" hidden="false" customHeight="false" outlineLevel="0" collapsed="false">
      <c r="A35" s="10" t="str">
        <f aca="false">_xlfn.CONCAT($A$1, ".", [1]CALC!A36)</f>
        <v>AR.ACTCREF.32</v>
      </c>
      <c r="B35" s="23" t="str">
        <f aca="false">_xlfn.CONCAT([1]CALC!B36, ":", [1]CALC!C36)</f>
        <v>Self-Employed / Non-Employer:Support</v>
      </c>
      <c r="C35" s="47" t="n">
        <f aca="false">[1]CALC!BH36</f>
        <v>675000</v>
      </c>
      <c r="D35" s="47" t="n">
        <f aca="false">[1]CALC!BI36</f>
        <v>135000</v>
      </c>
      <c r="E35" s="47" t="n">
        <f aca="false">[1]CALC!BJ36</f>
        <v>135000</v>
      </c>
      <c r="F35" s="47" t="n">
        <f aca="false">[1]CALC!BK36</f>
        <v>405000</v>
      </c>
    </row>
    <row r="36" customFormat="false" ht="12.8" hidden="false" customHeight="false" outlineLevel="0" collapsed="false">
      <c r="A36" s="10" t="str">
        <f aca="false">_xlfn.CONCAT($A$1, ".", [1]CALC!A37)</f>
        <v>AR.ACTCREF.33</v>
      </c>
      <c r="B36" s="23" t="str">
        <f aca="false">_xlfn.CONCAT([1]CALC!B37, ":", [1]CALC!C37)</f>
        <v>Other Services:Worker</v>
      </c>
      <c r="C36" s="47" t="n">
        <f aca="false">[1]CALC!BH37</f>
        <v>825000</v>
      </c>
      <c r="D36" s="47" t="n">
        <f aca="false">[1]CALC!BI37</f>
        <v>165000</v>
      </c>
      <c r="E36" s="47" t="n">
        <f aca="false">[1]CALC!BJ37</f>
        <v>165000</v>
      </c>
      <c r="F36" s="47" t="n">
        <f aca="false">[1]CALC!BK37</f>
        <v>495000</v>
      </c>
    </row>
    <row r="37" customFormat="false" ht="12.8" hidden="false" customHeight="false" outlineLevel="0" collapsed="false">
      <c r="A37" s="10" t="str">
        <f aca="false">_xlfn.CONCAT($A$1, ".", [1]CALC!A38)</f>
        <v>AR.ACTCREF.34</v>
      </c>
      <c r="B37" s="23" t="str">
        <f aca="false">_xlfn.CONCAT([1]CALC!B38, ":", [1]CALC!C38)</f>
        <v>Other Services:Support</v>
      </c>
      <c r="C37" s="47" t="n">
        <f aca="false">[1]CALC!BH38</f>
        <v>412500</v>
      </c>
      <c r="D37" s="47" t="n">
        <f aca="false">[1]CALC!BI38</f>
        <v>82500</v>
      </c>
      <c r="E37" s="47" t="n">
        <f aca="false">[1]CALC!BJ38</f>
        <v>82500</v>
      </c>
      <c r="F37" s="47" t="n">
        <f aca="false">[1]CALC!BK38</f>
        <v>247500</v>
      </c>
    </row>
    <row r="38" customFormat="false" ht="12.8" hidden="false" customHeight="false" outlineLevel="0" collapsed="false">
      <c r="A38" s="10"/>
      <c r="B38" s="16"/>
      <c r="C38" s="46"/>
      <c r="D38" s="46"/>
      <c r="E38" s="46"/>
      <c r="F38" s="46"/>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37"/>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A38" activeCellId="0" sqref="A38"/>
    </sheetView>
  </sheetViews>
  <sheetFormatPr defaultColWidth="11.53515625" defaultRowHeight="12.8" customHeight="false" zeroHeight="false" outlineLevelRow="0" outlineLevelCol="0"/>
  <cols>
    <col collapsed="false" customWidth="true" hidden="false" outlineLevel="0" max="1" min="1" style="1" width="18.45"/>
    <col collapsed="false" customWidth="true" hidden="false" outlineLevel="0" max="2" min="2" style="13" width="36.9"/>
    <col collapsed="false" customWidth="true" hidden="false" outlineLevel="0" max="3" min="3" style="13" width="21.47"/>
    <col collapsed="false" customWidth="true" hidden="false" outlineLevel="0" max="34" min="4" style="13" width="16.84"/>
    <col collapsed="false" customWidth="true" hidden="false" outlineLevel="0" max="48" min="35" style="13" width="17.78"/>
    <col collapsed="false" customWidth="true" hidden="false" outlineLevel="0" max="51" min="49" style="13" width="15.48"/>
    <col collapsed="false" customWidth="true" hidden="false" outlineLevel="0" max="56" min="56" style="13" width="18.45"/>
    <col collapsed="false" customWidth="true" hidden="false" outlineLevel="0" max="59" min="57" style="13" width="16.14"/>
    <col collapsed="false" customWidth="true" hidden="false" outlineLevel="0" max="67" min="60" style="13" width="13.84"/>
  </cols>
  <sheetData>
    <row r="1" customFormat="false" ht="23.85" hidden="false" customHeight="false" outlineLevel="0" collapsed="false">
      <c r="A1" s="3" t="s">
        <v>1159</v>
      </c>
      <c r="B1" s="21" t="s">
        <v>1160</v>
      </c>
      <c r="C1" s="15" t="s">
        <v>2</v>
      </c>
      <c r="D1" s="16" t="s">
        <v>1161</v>
      </c>
      <c r="AZ1" s="13"/>
      <c r="BP1" s="13"/>
    </row>
    <row r="2" customFormat="false" ht="35.05" hidden="false" customHeight="false" outlineLevel="0" collapsed="false">
      <c r="A2" s="48" t="s">
        <v>1128</v>
      </c>
      <c r="B2" s="20" t="s">
        <v>1129</v>
      </c>
      <c r="C2" s="46" t="str">
        <f aca="false">[1]CALC!BL3</f>
        <v>AOTC Credit Refund</v>
      </c>
      <c r="D2" s="46" t="str">
        <f aca="false">[1]CALC!BM3</f>
        <v>Authorized Immigrant AOTC Credit Refund</v>
      </c>
      <c r="E2" s="46" t="str">
        <f aca="false">[1]CALC!BN3</f>
        <v>Unauthorized Immigrant AOTC Credit Refund</v>
      </c>
      <c r="F2" s="46" t="str">
        <f aca="false">[1]CALC!BO3</f>
        <v>American Effective Tax AOTC Credit Refund</v>
      </c>
    </row>
    <row r="3" customFormat="false" ht="12.8" hidden="false" customHeight="false" outlineLevel="0" collapsed="false">
      <c r="A3" s="10" t="str">
        <f aca="false">_xlfn.CONCAT($A$1, ".", [1]CALC!A4)</f>
        <v>AR.AOTCREF.0</v>
      </c>
      <c r="B3" s="23" t="str">
        <f aca="false">_xlfn.CONCAT([1]CALC!B4, ":", [1]CALC!C4)</f>
        <v>All Industries:All Roles</v>
      </c>
      <c r="C3" s="46" t="n">
        <f aca="false">[1]CALC!BL4</f>
        <v>80000000</v>
      </c>
      <c r="D3" s="46" t="n">
        <f aca="false">[1]CALC!BM4</f>
        <v>20000000</v>
      </c>
      <c r="E3" s="46" t="n">
        <f aca="false">[1]CALC!BN4</f>
        <v>20000000</v>
      </c>
      <c r="F3" s="46" t="n">
        <f aca="false">[1]CALC!BO4</f>
        <v>60000000</v>
      </c>
    </row>
    <row r="4" customFormat="false" ht="12.8" hidden="false" customHeight="false" outlineLevel="0" collapsed="false">
      <c r="A4" s="10" t="str">
        <f aca="false">_xlfn.CONCAT($A$1, ".", [1]CALC!A5)</f>
        <v>AR.AOTCREF.1</v>
      </c>
      <c r="B4" s="23" t="str">
        <f aca="false">_xlfn.CONCAT([1]CALC!B5, ":", [1]CALC!C5)</f>
        <v>Agriculture:Worker</v>
      </c>
      <c r="C4" s="46" t="n">
        <f aca="false">[1]CALC!BL5</f>
        <v>27000</v>
      </c>
      <c r="D4" s="46" t="n">
        <f aca="false">[1]CALC!BM5</f>
        <v>5400</v>
      </c>
      <c r="E4" s="46" t="n">
        <f aca="false">[1]CALC!BN5</f>
        <v>13500</v>
      </c>
      <c r="F4" s="46" t="n">
        <f aca="false">[1]CALC!BO5</f>
        <v>40500</v>
      </c>
    </row>
    <row r="5" customFormat="false" ht="12.8" hidden="false" customHeight="false" outlineLevel="0" collapsed="false">
      <c r="A5" s="10" t="str">
        <f aca="false">_xlfn.CONCAT($A$1, ".", [1]CALC!A6)</f>
        <v>AR.AOTCREF.2</v>
      </c>
      <c r="B5" s="23" t="str">
        <f aca="false">_xlfn.CONCAT([1]CALC!B6, ":", [1]CALC!C6)</f>
        <v>Agriculture:Support</v>
      </c>
      <c r="C5" s="46" t="n">
        <f aca="false">[1]CALC!BL6</f>
        <v>13500</v>
      </c>
      <c r="D5" s="46" t="n">
        <f aca="false">[1]CALC!BM6</f>
        <v>2700</v>
      </c>
      <c r="E5" s="46" t="n">
        <f aca="false">[1]CALC!BN6</f>
        <v>6750</v>
      </c>
      <c r="F5" s="46" t="n">
        <f aca="false">[1]CALC!BO6</f>
        <v>20250</v>
      </c>
    </row>
    <row r="6" customFormat="false" ht="12.8" hidden="false" customHeight="false" outlineLevel="0" collapsed="false">
      <c r="A6" s="10" t="str">
        <f aca="false">_xlfn.CONCAT($A$1, ".", [1]CALC!A7)</f>
        <v>AR.AOTCREF.3</v>
      </c>
      <c r="B6" s="23" t="str">
        <f aca="false">_xlfn.CONCAT([1]CALC!B7, ":", [1]CALC!C7)</f>
        <v>Construction:Worker</v>
      </c>
      <c r="C6" s="46" t="n">
        <f aca="false">[1]CALC!BL7</f>
        <v>75000</v>
      </c>
      <c r="D6" s="46" t="n">
        <f aca="false">[1]CALC!BM7</f>
        <v>15000</v>
      </c>
      <c r="E6" s="46" t="n">
        <f aca="false">[1]CALC!BN7</f>
        <v>37500</v>
      </c>
      <c r="F6" s="46" t="n">
        <f aca="false">[1]CALC!BO7</f>
        <v>112500</v>
      </c>
    </row>
    <row r="7" customFormat="false" ht="12.8" hidden="false" customHeight="false" outlineLevel="0" collapsed="false">
      <c r="A7" s="10" t="str">
        <f aca="false">_xlfn.CONCAT($A$1, ".", [1]CALC!A8)</f>
        <v>AR.AOTCREF.4</v>
      </c>
      <c r="B7" s="23" t="str">
        <f aca="false">_xlfn.CONCAT([1]CALC!B8, ":", [1]CALC!C8)</f>
        <v>Construction:Support</v>
      </c>
      <c r="C7" s="46" t="n">
        <f aca="false">[1]CALC!BL8</f>
        <v>37500</v>
      </c>
      <c r="D7" s="46" t="n">
        <f aca="false">[1]CALC!BM8</f>
        <v>7500</v>
      </c>
      <c r="E7" s="46" t="n">
        <f aca="false">[1]CALC!BN8</f>
        <v>18750</v>
      </c>
      <c r="F7" s="46" t="n">
        <f aca="false">[1]CALC!BO8</f>
        <v>56250</v>
      </c>
    </row>
    <row r="8" customFormat="false" ht="12.8" hidden="false" customHeight="false" outlineLevel="0" collapsed="false">
      <c r="A8" s="10" t="str">
        <f aca="false">_xlfn.CONCAT($A$1, ".", [1]CALC!A9)</f>
        <v>AR.AOTCREF.5</v>
      </c>
      <c r="B8" s="23" t="str">
        <f aca="false">_xlfn.CONCAT([1]CALC!B9, ":", [1]CALC!C9)</f>
        <v>Hospitality:Worker</v>
      </c>
      <c r="C8" s="46" t="n">
        <f aca="false">[1]CALC!BL9</f>
        <v>270000</v>
      </c>
      <c r="D8" s="46" t="n">
        <f aca="false">[1]CALC!BM9</f>
        <v>54000</v>
      </c>
      <c r="E8" s="46" t="n">
        <f aca="false">[1]CALC!BN9</f>
        <v>135000</v>
      </c>
      <c r="F8" s="46" t="n">
        <f aca="false">[1]CALC!BO9</f>
        <v>405000</v>
      </c>
    </row>
    <row r="9" customFormat="false" ht="12.8" hidden="false" customHeight="false" outlineLevel="0" collapsed="false">
      <c r="A9" s="10" t="str">
        <f aca="false">_xlfn.CONCAT($A$1, ".", [1]CALC!A10)</f>
        <v>AR.AOTCREF.6</v>
      </c>
      <c r="B9" s="23" t="str">
        <f aca="false">_xlfn.CONCAT([1]CALC!B10, ":", [1]CALC!C10)</f>
        <v>Hospitality:Support</v>
      </c>
      <c r="C9" s="46" t="n">
        <f aca="false">[1]CALC!BL10</f>
        <v>135000</v>
      </c>
      <c r="D9" s="46" t="n">
        <f aca="false">[1]CALC!BM10</f>
        <v>27000</v>
      </c>
      <c r="E9" s="46" t="n">
        <f aca="false">[1]CALC!BN10</f>
        <v>67500</v>
      </c>
      <c r="F9" s="46" t="n">
        <f aca="false">[1]CALC!BO10</f>
        <v>202500</v>
      </c>
    </row>
    <row r="10" customFormat="false" ht="12.8" hidden="false" customHeight="false" outlineLevel="0" collapsed="false">
      <c r="A10" s="10" t="str">
        <f aca="false">_xlfn.CONCAT($A$1, ".", [1]CALC!A11)</f>
        <v>AR.AOTCREF.7</v>
      </c>
      <c r="B10" s="23" t="str">
        <f aca="false">_xlfn.CONCAT([1]CALC!B11, ":", [1]CALC!C11)</f>
        <v>Cleaning &amp; Maintenance:Worker</v>
      </c>
      <c r="C10" s="46" t="n">
        <f aca="false">[1]CALC!BL11</f>
        <v>97500</v>
      </c>
      <c r="D10" s="46" t="n">
        <f aca="false">[1]CALC!BM11</f>
        <v>19500</v>
      </c>
      <c r="E10" s="46" t="n">
        <f aca="false">[1]CALC!BN11</f>
        <v>48750</v>
      </c>
      <c r="F10" s="46" t="n">
        <f aca="false">[1]CALC!BO11</f>
        <v>146250</v>
      </c>
    </row>
    <row r="11" customFormat="false" ht="12.8" hidden="false" customHeight="false" outlineLevel="0" collapsed="false">
      <c r="A11" s="10" t="str">
        <f aca="false">_xlfn.CONCAT($A$1, ".", [1]CALC!A12)</f>
        <v>AR.AOTCREF.8</v>
      </c>
      <c r="B11" s="23" t="str">
        <f aca="false">_xlfn.CONCAT([1]CALC!B12, ":", [1]CALC!C12)</f>
        <v>Cleaning &amp; Maintenance:Support</v>
      </c>
      <c r="C11" s="46" t="n">
        <f aca="false">[1]CALC!BL12</f>
        <v>48750</v>
      </c>
      <c r="D11" s="46" t="n">
        <f aca="false">[1]CALC!BM12</f>
        <v>9750</v>
      </c>
      <c r="E11" s="46" t="n">
        <f aca="false">[1]CALC!BN12</f>
        <v>24375</v>
      </c>
      <c r="F11" s="46" t="n">
        <f aca="false">[1]CALC!BO12</f>
        <v>73125</v>
      </c>
    </row>
    <row r="12" customFormat="false" ht="12.8" hidden="false" customHeight="false" outlineLevel="0" collapsed="false">
      <c r="A12" s="10" t="str">
        <f aca="false">_xlfn.CONCAT($A$1, ".", [1]CALC!A13)</f>
        <v>AR.AOTCREF.9</v>
      </c>
      <c r="B12" s="23" t="str">
        <f aca="false">_xlfn.CONCAT([1]CALC!B13, ":", [1]CALC!C13)</f>
        <v>Manufacturing:Worker</v>
      </c>
      <c r="C12" s="46" t="n">
        <f aca="false">[1]CALC!BL13</f>
        <v>675000</v>
      </c>
      <c r="D12" s="46" t="n">
        <f aca="false">[1]CALC!BM13</f>
        <v>135000</v>
      </c>
      <c r="E12" s="46" t="n">
        <f aca="false">[1]CALC!BN13</f>
        <v>337500</v>
      </c>
      <c r="F12" s="46" t="n">
        <f aca="false">[1]CALC!BO13</f>
        <v>1012500</v>
      </c>
    </row>
    <row r="13" customFormat="false" ht="12.8" hidden="false" customHeight="false" outlineLevel="0" collapsed="false">
      <c r="A13" s="10" t="str">
        <f aca="false">_xlfn.CONCAT($A$1, ".", [1]CALC!A14)</f>
        <v>AR.AOTCREF.10</v>
      </c>
      <c r="B13" s="23" t="str">
        <f aca="false">_xlfn.CONCAT([1]CALC!B14, ":", [1]CALC!C14)</f>
        <v>Manufacturing:Support</v>
      </c>
      <c r="C13" s="46" t="n">
        <f aca="false">[1]CALC!BL14</f>
        <v>337500</v>
      </c>
      <c r="D13" s="46" t="n">
        <f aca="false">[1]CALC!BM14</f>
        <v>67500</v>
      </c>
      <c r="E13" s="46" t="n">
        <f aca="false">[1]CALC!BN14</f>
        <v>168750</v>
      </c>
      <c r="F13" s="46" t="n">
        <f aca="false">[1]CALC!BO14</f>
        <v>506250</v>
      </c>
    </row>
    <row r="14" customFormat="false" ht="12.8" hidden="false" customHeight="false" outlineLevel="0" collapsed="false">
      <c r="A14" s="10" t="str">
        <f aca="false">_xlfn.CONCAT($A$1, ".", [1]CALC!A15)</f>
        <v>AR.AOTCREF.11</v>
      </c>
      <c r="B14" s="23" t="str">
        <f aca="false">_xlfn.CONCAT([1]CALC!B15, ":", [1]CALC!C15)</f>
        <v>Transportation &amp; Warehousing:Worker</v>
      </c>
      <c r="C14" s="46" t="n">
        <f aca="false">[1]CALC!BL15</f>
        <v>225000</v>
      </c>
      <c r="D14" s="46" t="n">
        <f aca="false">[1]CALC!BM15</f>
        <v>45000</v>
      </c>
      <c r="E14" s="46" t="n">
        <f aca="false">[1]CALC!BN15</f>
        <v>112500</v>
      </c>
      <c r="F14" s="46" t="n">
        <f aca="false">[1]CALC!BO15</f>
        <v>337500</v>
      </c>
    </row>
    <row r="15" customFormat="false" ht="12.8" hidden="false" customHeight="false" outlineLevel="0" collapsed="false">
      <c r="A15" s="10" t="str">
        <f aca="false">_xlfn.CONCAT($A$1, ".", [1]CALC!A16)</f>
        <v>AR.AOTCREF.12</v>
      </c>
      <c r="B15" s="23" t="str">
        <f aca="false">_xlfn.CONCAT([1]CALC!B16, ":", [1]CALC!C16)</f>
        <v>Transportation &amp; Warehousing:Support</v>
      </c>
      <c r="C15" s="46" t="n">
        <f aca="false">[1]CALC!BL16</f>
        <v>112500</v>
      </c>
      <c r="D15" s="46" t="n">
        <f aca="false">[1]CALC!BM16</f>
        <v>22500</v>
      </c>
      <c r="E15" s="46" t="n">
        <f aca="false">[1]CALC!BN16</f>
        <v>56250</v>
      </c>
      <c r="F15" s="46" t="n">
        <f aca="false">[1]CALC!BO16</f>
        <v>168750</v>
      </c>
    </row>
    <row r="16" customFormat="false" ht="12.8" hidden="false" customHeight="false" outlineLevel="0" collapsed="false">
      <c r="A16" s="10" t="str">
        <f aca="false">_xlfn.CONCAT($A$1, ".", [1]CALC!A17)</f>
        <v>AR.AOTCREF.13</v>
      </c>
      <c r="B16" s="23" t="str">
        <f aca="false">_xlfn.CONCAT([1]CALC!B17, ":", [1]CALC!C17)</f>
        <v>Retail Trade:Worker</v>
      </c>
      <c r="C16" s="46" t="n">
        <f aca="false">[1]CALC!BL17</f>
        <v>600000</v>
      </c>
      <c r="D16" s="46" t="n">
        <f aca="false">[1]CALC!BM17</f>
        <v>120000</v>
      </c>
      <c r="E16" s="46" t="n">
        <f aca="false">[1]CALC!BN17</f>
        <v>300000</v>
      </c>
      <c r="F16" s="46" t="n">
        <f aca="false">[1]CALC!BO17</f>
        <v>900000</v>
      </c>
    </row>
    <row r="17" customFormat="false" ht="12.8" hidden="false" customHeight="false" outlineLevel="0" collapsed="false">
      <c r="A17" s="10" t="str">
        <f aca="false">_xlfn.CONCAT($A$1, ".", [1]CALC!A18)</f>
        <v>AR.AOTCREF.14</v>
      </c>
      <c r="B17" s="23" t="str">
        <f aca="false">_xlfn.CONCAT([1]CALC!B18, ":", [1]CALC!C18)</f>
        <v>Retail Trade:Support</v>
      </c>
      <c r="C17" s="46" t="n">
        <f aca="false">[1]CALC!BL18</f>
        <v>300000</v>
      </c>
      <c r="D17" s="46" t="n">
        <f aca="false">[1]CALC!BM18</f>
        <v>60000</v>
      </c>
      <c r="E17" s="46" t="n">
        <f aca="false">[1]CALC!BN18</f>
        <v>150000</v>
      </c>
      <c r="F17" s="46" t="n">
        <f aca="false">[1]CALC!BO18</f>
        <v>450000</v>
      </c>
    </row>
    <row r="18" customFormat="false" ht="12.8" hidden="false" customHeight="false" outlineLevel="0" collapsed="false">
      <c r="A18" s="10" t="str">
        <f aca="false">_xlfn.CONCAT($A$1, ".", [1]CALC!A19)</f>
        <v>AR.AOTCREF.15</v>
      </c>
      <c r="B18" s="23" t="str">
        <f aca="false">_xlfn.CONCAT([1]CALC!B19, ":", [1]CALC!C19)</f>
        <v>Landscaping / Groundskeeping:Worker</v>
      </c>
      <c r="C18" s="46" t="n">
        <f aca="false">[1]CALC!BL19</f>
        <v>82500</v>
      </c>
      <c r="D18" s="46" t="n">
        <f aca="false">[1]CALC!BM19</f>
        <v>16500</v>
      </c>
      <c r="E18" s="46" t="n">
        <f aca="false">[1]CALC!BN19</f>
        <v>41250</v>
      </c>
      <c r="F18" s="46" t="n">
        <f aca="false">[1]CALC!BO19</f>
        <v>123750</v>
      </c>
    </row>
    <row r="19" customFormat="false" ht="12.8" hidden="false" customHeight="false" outlineLevel="0" collapsed="false">
      <c r="A19" s="10" t="str">
        <f aca="false">_xlfn.CONCAT($A$1, ".", [1]CALC!A20)</f>
        <v>AR.AOTCREF.16</v>
      </c>
      <c r="B19" s="23" t="str">
        <f aca="false">_xlfn.CONCAT([1]CALC!B20, ":", [1]CALC!C20)</f>
        <v>Landscaping / Groundskeeping:Support</v>
      </c>
      <c r="C19" s="46" t="n">
        <f aca="false">[1]CALC!BL20</f>
        <v>41250</v>
      </c>
      <c r="D19" s="46" t="n">
        <f aca="false">[1]CALC!BM20</f>
        <v>8250</v>
      </c>
      <c r="E19" s="46" t="n">
        <f aca="false">[1]CALC!BN20</f>
        <v>20625</v>
      </c>
      <c r="F19" s="46" t="n">
        <f aca="false">[1]CALC!BO20</f>
        <v>61875</v>
      </c>
    </row>
    <row r="20" customFormat="false" ht="12.8" hidden="false" customHeight="false" outlineLevel="0" collapsed="false">
      <c r="A20" s="10" t="str">
        <f aca="false">_xlfn.CONCAT($A$1, ".", [1]CALC!A21)</f>
        <v>AR.AOTCREF.17</v>
      </c>
      <c r="B20" s="23" t="str">
        <f aca="false">_xlfn.CONCAT([1]CALC!B21, ":", [1]CALC!C21)</f>
        <v>Automotive &amp; Repair:Worker</v>
      </c>
      <c r="C20" s="46" t="n">
        <f aca="false">[1]CALC!BL21</f>
        <v>67500</v>
      </c>
      <c r="D20" s="46" t="n">
        <f aca="false">[1]CALC!BM21</f>
        <v>13500</v>
      </c>
      <c r="E20" s="46" t="n">
        <f aca="false">[1]CALC!BN21</f>
        <v>33750</v>
      </c>
      <c r="F20" s="46" t="n">
        <f aca="false">[1]CALC!BO21</f>
        <v>101250</v>
      </c>
    </row>
    <row r="21" customFormat="false" ht="12.8" hidden="false" customHeight="false" outlineLevel="0" collapsed="false">
      <c r="A21" s="10" t="str">
        <f aca="false">_xlfn.CONCAT($A$1, ".", [1]CALC!A22)</f>
        <v>AR.AOTCREF.18</v>
      </c>
      <c r="B21" s="23" t="str">
        <f aca="false">_xlfn.CONCAT([1]CALC!B22, ":", [1]CALC!C22)</f>
        <v>Automotive &amp; Repair:Support</v>
      </c>
      <c r="C21" s="46" t="n">
        <f aca="false">[1]CALC!BL22</f>
        <v>33750</v>
      </c>
      <c r="D21" s="46" t="n">
        <f aca="false">[1]CALC!BM22</f>
        <v>6750</v>
      </c>
      <c r="E21" s="46" t="n">
        <f aca="false">[1]CALC!BN22</f>
        <v>16875</v>
      </c>
      <c r="F21" s="46" t="n">
        <f aca="false">[1]CALC!BO22</f>
        <v>50625</v>
      </c>
    </row>
    <row r="22" customFormat="false" ht="12.8" hidden="false" customHeight="false" outlineLevel="0" collapsed="false">
      <c r="A22" s="10" t="str">
        <f aca="false">_xlfn.CONCAT($A$1, ".", [1]CALC!A23)</f>
        <v>AR.AOTCREF.19</v>
      </c>
      <c r="B22" s="23" t="str">
        <f aca="false">_xlfn.CONCAT([1]CALC!B23, ":", [1]CALC!C23)</f>
        <v>Healthcare &amp; Social Assistance:Worker</v>
      </c>
      <c r="C22" s="46" t="n">
        <f aca="false">[1]CALC!BL23</f>
        <v>1300000</v>
      </c>
      <c r="D22" s="46" t="n">
        <f aca="false">[1]CALC!BM23</f>
        <v>260000</v>
      </c>
      <c r="E22" s="46" t="n">
        <f aca="false">[1]CALC!BN23</f>
        <v>650000</v>
      </c>
      <c r="F22" s="46" t="n">
        <f aca="false">[1]CALC!BO23</f>
        <v>1950000</v>
      </c>
    </row>
    <row r="23" customFormat="false" ht="12.8" hidden="false" customHeight="false" outlineLevel="0" collapsed="false">
      <c r="A23" s="10" t="str">
        <f aca="false">_xlfn.CONCAT($A$1, ".", [1]CALC!A24)</f>
        <v>AR.AOTCREF.20</v>
      </c>
      <c r="B23" s="23" t="str">
        <f aca="false">_xlfn.CONCAT([1]CALC!B24, ":", [1]CALC!C24)</f>
        <v>Healthcare &amp; Social Assistance:Support</v>
      </c>
      <c r="C23" s="46" t="n">
        <f aca="false">[1]CALC!BL24</f>
        <v>650000</v>
      </c>
      <c r="D23" s="46" t="n">
        <f aca="false">[1]CALC!BM24</f>
        <v>130000</v>
      </c>
      <c r="E23" s="46" t="n">
        <f aca="false">[1]CALC!BN24</f>
        <v>325000</v>
      </c>
      <c r="F23" s="46" t="n">
        <f aca="false">[1]CALC!BO24</f>
        <v>975000</v>
      </c>
    </row>
    <row r="24" customFormat="false" ht="12.8" hidden="false" customHeight="false" outlineLevel="0" collapsed="false">
      <c r="A24" s="10" t="str">
        <f aca="false">_xlfn.CONCAT($A$1, ".", [1]CALC!A25)</f>
        <v>AR.AOTCREF.21</v>
      </c>
      <c r="B24" s="23" t="str">
        <f aca="false">_xlfn.CONCAT([1]CALC!B25, ":", [1]CALC!C25)</f>
        <v>Professional Services:Worker</v>
      </c>
      <c r="C24" s="46" t="n">
        <f aca="false">[1]CALC!BL25</f>
        <v>825000</v>
      </c>
      <c r="D24" s="46" t="n">
        <f aca="false">[1]CALC!BM25</f>
        <v>165000</v>
      </c>
      <c r="E24" s="46" t="n">
        <f aca="false">[1]CALC!BN25</f>
        <v>412500</v>
      </c>
      <c r="F24" s="46" t="n">
        <f aca="false">[1]CALC!BO25</f>
        <v>1237500</v>
      </c>
    </row>
    <row r="25" customFormat="false" ht="12.8" hidden="false" customHeight="false" outlineLevel="0" collapsed="false">
      <c r="A25" s="10" t="str">
        <f aca="false">_xlfn.CONCAT($A$1, ".", [1]CALC!A26)</f>
        <v>AR.AOTCREF.22</v>
      </c>
      <c r="B25" s="23" t="str">
        <f aca="false">_xlfn.CONCAT([1]CALC!B26, ":", [1]CALC!C26)</f>
        <v>Professional Services:Support</v>
      </c>
      <c r="C25" s="46" t="n">
        <f aca="false">[1]CALC!BL26</f>
        <v>412500</v>
      </c>
      <c r="D25" s="46" t="n">
        <f aca="false">[1]CALC!BM26</f>
        <v>82500</v>
      </c>
      <c r="E25" s="46" t="n">
        <f aca="false">[1]CALC!BN26</f>
        <v>206250</v>
      </c>
      <c r="F25" s="46" t="n">
        <f aca="false">[1]CALC!BO26</f>
        <v>618750</v>
      </c>
    </row>
    <row r="26" customFormat="false" ht="12.8" hidden="false" customHeight="false" outlineLevel="0" collapsed="false">
      <c r="A26" s="10" t="str">
        <f aca="false">_xlfn.CONCAT($A$1, ".", [1]CALC!A27)</f>
        <v>AR.AOTCREF.23</v>
      </c>
      <c r="B26" s="23" t="str">
        <f aca="false">_xlfn.CONCAT([1]CALC!B27, ":", [1]CALC!C27)</f>
        <v>Educational Services:Worker</v>
      </c>
      <c r="C26" s="46" t="n">
        <f aca="false">[1]CALC!BL27</f>
        <v>525000</v>
      </c>
      <c r="D26" s="46" t="n">
        <f aca="false">[1]CALC!BM27</f>
        <v>105000</v>
      </c>
      <c r="E26" s="46" t="n">
        <f aca="false">[1]CALC!BN27</f>
        <v>262500</v>
      </c>
      <c r="F26" s="46" t="n">
        <f aca="false">[1]CALC!BO27</f>
        <v>787500</v>
      </c>
    </row>
    <row r="27" customFormat="false" ht="12.8" hidden="false" customHeight="false" outlineLevel="0" collapsed="false">
      <c r="A27" s="10" t="str">
        <f aca="false">_xlfn.CONCAT($A$1, ".", [1]CALC!A28)</f>
        <v>AR.AOTCREF.24</v>
      </c>
      <c r="B27" s="23" t="str">
        <f aca="false">_xlfn.CONCAT([1]CALC!B28, ":", [1]CALC!C28)</f>
        <v>Educational Services:Support</v>
      </c>
      <c r="C27" s="46" t="n">
        <f aca="false">[1]CALC!BL28</f>
        <v>262500</v>
      </c>
      <c r="D27" s="46" t="n">
        <f aca="false">[1]CALC!BM28</f>
        <v>52500</v>
      </c>
      <c r="E27" s="46" t="n">
        <f aca="false">[1]CALC!BN28</f>
        <v>131250</v>
      </c>
      <c r="F27" s="46" t="n">
        <f aca="false">[1]CALC!BO28</f>
        <v>393750</v>
      </c>
    </row>
    <row r="28" customFormat="false" ht="12.8" hidden="false" customHeight="false" outlineLevel="0" collapsed="false">
      <c r="A28" s="10" t="str">
        <f aca="false">_xlfn.CONCAT($A$1, ".", [1]CALC!A29)</f>
        <v>AR.AOTCREF.25</v>
      </c>
      <c r="B28" s="23" t="str">
        <f aca="false">_xlfn.CONCAT([1]CALC!B29, ":", [1]CALC!C29)</f>
        <v>Finance &amp; Insurance:Worker</v>
      </c>
      <c r="C28" s="46" t="n">
        <f aca="false">[1]CALC!BL29</f>
        <v>375000</v>
      </c>
      <c r="D28" s="46" t="n">
        <f aca="false">[1]CALC!BM29</f>
        <v>75000</v>
      </c>
      <c r="E28" s="46" t="n">
        <f aca="false">[1]CALC!BN29</f>
        <v>187500</v>
      </c>
      <c r="F28" s="46" t="n">
        <f aca="false">[1]CALC!BO29</f>
        <v>562500</v>
      </c>
    </row>
    <row r="29" customFormat="false" ht="12.8" hidden="false" customHeight="false" outlineLevel="0" collapsed="false">
      <c r="A29" s="10" t="str">
        <f aca="false">_xlfn.CONCAT($A$1, ".", [1]CALC!A30)</f>
        <v>AR.AOTCREF.26</v>
      </c>
      <c r="B29" s="23" t="str">
        <f aca="false">_xlfn.CONCAT([1]CALC!B30, ":", [1]CALC!C30)</f>
        <v>Finance &amp; Insurance:Support</v>
      </c>
      <c r="C29" s="46" t="n">
        <f aca="false">[1]CALC!BL30</f>
        <v>187500</v>
      </c>
      <c r="D29" s="46" t="n">
        <f aca="false">[1]CALC!BM30</f>
        <v>37500</v>
      </c>
      <c r="E29" s="46" t="n">
        <f aca="false">[1]CALC!BN30</f>
        <v>93750</v>
      </c>
      <c r="F29" s="46" t="n">
        <f aca="false">[1]CALC!BO30</f>
        <v>281250</v>
      </c>
    </row>
    <row r="30" customFormat="false" ht="12.8" hidden="false" customHeight="false" outlineLevel="0" collapsed="false">
      <c r="A30" s="10" t="str">
        <f aca="false">_xlfn.CONCAT($A$1, ".", [1]CALC!A31)</f>
        <v>AR.AOTCREF.27</v>
      </c>
      <c r="B30" s="23" t="str">
        <f aca="false">_xlfn.CONCAT([1]CALC!B31, ":", [1]CALC!C31)</f>
        <v>Media and Information Technology:Worker</v>
      </c>
      <c r="C30" s="46" t="n">
        <f aca="false">[1]CALC!BL31</f>
        <v>112500</v>
      </c>
      <c r="D30" s="46" t="n">
        <f aca="false">[1]CALC!BM31</f>
        <v>22500</v>
      </c>
      <c r="E30" s="46" t="n">
        <f aca="false">[1]CALC!BN31</f>
        <v>56250</v>
      </c>
      <c r="F30" s="46" t="n">
        <f aca="false">[1]CALC!BO31</f>
        <v>168750</v>
      </c>
    </row>
    <row r="31" customFormat="false" ht="12.8" hidden="false" customHeight="false" outlineLevel="0" collapsed="false">
      <c r="A31" s="10" t="str">
        <f aca="false">_xlfn.CONCAT($A$1, ".", [1]CALC!A32)</f>
        <v>AR.AOTCREF.28</v>
      </c>
      <c r="B31" s="23" t="str">
        <f aca="false">_xlfn.CONCAT([1]CALC!B32, ":", [1]CALC!C32)</f>
        <v>Media and Information Technology:Support</v>
      </c>
      <c r="C31" s="46" t="n">
        <f aca="false">[1]CALC!BL32</f>
        <v>56250</v>
      </c>
      <c r="D31" s="46" t="n">
        <f aca="false">[1]CALC!BM32</f>
        <v>11250</v>
      </c>
      <c r="E31" s="46" t="n">
        <f aca="false">[1]CALC!BN32</f>
        <v>28125</v>
      </c>
      <c r="F31" s="46" t="n">
        <f aca="false">[1]CALC!BO32</f>
        <v>84375</v>
      </c>
    </row>
    <row r="32" customFormat="false" ht="12.8" hidden="false" customHeight="false" outlineLevel="0" collapsed="false">
      <c r="A32" s="10" t="str">
        <f aca="false">_xlfn.CONCAT($A$1, ".", [1]CALC!A33)</f>
        <v>AR.AOTCREF.29</v>
      </c>
      <c r="B32" s="23" t="str">
        <f aca="false">_xlfn.CONCAT([1]CALC!B33, ":", [1]CALC!C33)</f>
        <v>Government:Worker</v>
      </c>
      <c r="C32" s="46" t="n">
        <f aca="false">[1]CALC!BL33</f>
        <v>1500000</v>
      </c>
      <c r="D32" s="46" t="n">
        <f aca="false">[1]CALC!BM33</f>
        <v>300000</v>
      </c>
      <c r="E32" s="46" t="n">
        <f aca="false">[1]CALC!BN33</f>
        <v>750000</v>
      </c>
      <c r="F32" s="46" t="n">
        <f aca="false">[1]CALC!BO33</f>
        <v>2250000</v>
      </c>
    </row>
    <row r="33" customFormat="false" ht="12.8" hidden="false" customHeight="false" outlineLevel="0" collapsed="false">
      <c r="A33" s="10" t="str">
        <f aca="false">_xlfn.CONCAT($A$1, ".", [1]CALC!A34)</f>
        <v>AR.AOTCREF.30</v>
      </c>
      <c r="B33" s="23" t="str">
        <f aca="false">_xlfn.CONCAT([1]CALC!B34, ":", [1]CALC!C34)</f>
        <v>Government:Support</v>
      </c>
      <c r="C33" s="46" t="n">
        <f aca="false">[1]CALC!BL34</f>
        <v>750000</v>
      </c>
      <c r="D33" s="46" t="n">
        <f aca="false">[1]CALC!BM34</f>
        <v>150000</v>
      </c>
      <c r="E33" s="46" t="n">
        <f aca="false">[1]CALC!BN34</f>
        <v>375000</v>
      </c>
      <c r="F33" s="46" t="n">
        <f aca="false">[1]CALC!BO34</f>
        <v>1125000</v>
      </c>
    </row>
    <row r="34" customFormat="false" ht="12.8" hidden="false" customHeight="false" outlineLevel="0" collapsed="false">
      <c r="A34" s="10" t="str">
        <f aca="false">_xlfn.CONCAT($A$1, ".", [1]CALC!A35)</f>
        <v>AR.AOTCREF.31</v>
      </c>
      <c r="B34" s="23" t="str">
        <f aca="false">_xlfn.CONCAT([1]CALC!B35, ":", [1]CALC!C35)</f>
        <v>Self-Employed / Non-Employer:Worker</v>
      </c>
      <c r="C34" s="46" t="n">
        <f aca="false">[1]CALC!BL35</f>
        <v>675000</v>
      </c>
      <c r="D34" s="46" t="n">
        <f aca="false">[1]CALC!BM35</f>
        <v>135000</v>
      </c>
      <c r="E34" s="46" t="n">
        <f aca="false">[1]CALC!BN35</f>
        <v>337500</v>
      </c>
      <c r="F34" s="46" t="n">
        <f aca="false">[1]CALC!BO35</f>
        <v>1012500</v>
      </c>
    </row>
    <row r="35" customFormat="false" ht="12.8" hidden="false" customHeight="false" outlineLevel="0" collapsed="false">
      <c r="A35" s="10" t="str">
        <f aca="false">_xlfn.CONCAT($A$1, ".", [1]CALC!A36)</f>
        <v>AR.AOTCREF.32</v>
      </c>
      <c r="B35" s="23" t="str">
        <f aca="false">_xlfn.CONCAT([1]CALC!B36, ":", [1]CALC!C36)</f>
        <v>Self-Employed / Non-Employer:Support</v>
      </c>
      <c r="C35" s="46" t="n">
        <f aca="false">[1]CALC!BL36</f>
        <v>337500</v>
      </c>
      <c r="D35" s="46" t="n">
        <f aca="false">[1]CALC!BM36</f>
        <v>67500</v>
      </c>
      <c r="E35" s="46" t="n">
        <f aca="false">[1]CALC!BN36</f>
        <v>168750</v>
      </c>
      <c r="F35" s="46" t="n">
        <f aca="false">[1]CALC!BO36</f>
        <v>506250</v>
      </c>
    </row>
    <row r="36" customFormat="false" ht="12.8" hidden="false" customHeight="false" outlineLevel="0" collapsed="false">
      <c r="A36" s="10" t="str">
        <f aca="false">_xlfn.CONCAT($A$1, ".", [1]CALC!A37)</f>
        <v>AR.AOTCREF.33</v>
      </c>
      <c r="B36" s="23" t="str">
        <f aca="false">_xlfn.CONCAT([1]CALC!B37, ":", [1]CALC!C37)</f>
        <v>Other Services:Worker</v>
      </c>
      <c r="C36" s="46" t="n">
        <f aca="false">[1]CALC!BL37</f>
        <v>412500</v>
      </c>
      <c r="D36" s="46" t="n">
        <f aca="false">[1]CALC!BM37</f>
        <v>82500</v>
      </c>
      <c r="E36" s="46" t="n">
        <f aca="false">[1]CALC!BN37</f>
        <v>206250</v>
      </c>
      <c r="F36" s="46" t="n">
        <f aca="false">[1]CALC!BO37</f>
        <v>618750</v>
      </c>
    </row>
    <row r="37" customFormat="false" ht="12.8" hidden="false" customHeight="false" outlineLevel="0" collapsed="false">
      <c r="A37" s="10" t="str">
        <f aca="false">_xlfn.CONCAT($A$1, ".", [1]CALC!A38)</f>
        <v>AR.AOTCREF.34</v>
      </c>
      <c r="B37" s="23" t="str">
        <f aca="false">_xlfn.CONCAT([1]CALC!B38, ":", [1]CALC!C38)</f>
        <v>Other Services:Support</v>
      </c>
      <c r="C37" s="46" t="n">
        <f aca="false">[1]CALC!BL38</f>
        <v>206250</v>
      </c>
      <c r="D37" s="46" t="n">
        <f aca="false">[1]CALC!BM38</f>
        <v>41250</v>
      </c>
      <c r="E37" s="46" t="n">
        <f aca="false">[1]CALC!BN38</f>
        <v>103125</v>
      </c>
      <c r="F37" s="46" t="n">
        <f aca="false">[1]CALC!BO38</f>
        <v>309375</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3426</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2026-02-06T14:44:29Z</dcterms:modified>
  <cp:revision>453</cp:revision>
  <dc:subject/>
  <dc:title/>
</cp:coreProperties>
</file>

<file path=docProps/custom.xml><?xml version="1.0" encoding="utf-8"?>
<Properties xmlns="http://schemas.openxmlformats.org/officeDocument/2006/custom-properties" xmlns:vt="http://schemas.openxmlformats.org/officeDocument/2006/docPropsVTypes"/>
</file>