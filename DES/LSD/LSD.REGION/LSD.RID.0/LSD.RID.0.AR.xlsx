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charts/chart9.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4.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1.xml" ContentType="application/vnd.openxmlformats-officedocument.drawingml.chart+xml"/>
  <Override PartName="/xl/charts/chart15.xml" ContentType="application/vnd.openxmlformats-officedocument.drawingml.chart+xml"/>
  <Override PartName="/xl/charts/chart18.xml" ContentType="application/vnd.openxmlformats-officedocument.drawingml.chart+xml"/>
  <Override PartName="/xl/charts/chart13.xml" ContentType="application/vnd.openxmlformats-officedocument.drawingml.chart+xml"/>
  <Override PartName="/xl/charts/chart16.xml" ContentType="application/vnd.openxmlformats-officedocument.drawingml.chart+xml"/>
  <Override PartName="/xl/charts/chart21.xml" ContentType="application/vnd.openxmlformats-officedocument.drawingml.chart+xml"/>
  <Override PartName="/xl/charts/chart17.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8.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6"/>
  </bookViews>
  <sheets>
    <sheet name="INDEX" sheetId="1" state="visible" r:id="rId3"/>
    <sheet name="FORM" sheetId="2" state="visible" r:id="rId4"/>
    <sheet name="PARAM" sheetId="3" state="visible" r:id="rId5"/>
    <sheet name="CALC" sheetId="4" state="visible" r:id="rId6"/>
    <sheet name="VALID" sheetId="5" state="visible" r:id="rId7"/>
    <sheet name="LFP" sheetId="6" state="visible" r:id="rId8"/>
    <sheet name="ETPR" sheetId="7" state="visible" r:id="rId9"/>
    <sheet name="LFPR" sheetId="8" state="visible" r:id="rId10"/>
    <sheet name="U3R" sheetId="9" state="visible" r:id="rId11"/>
    <sheet name="U6R" sheetId="10" state="visible" r:id="rId12"/>
    <sheet name="WAVG" sheetId="11" state="visible" r:id="rId13"/>
    <sheet name="AIAVG" sheetId="12" state="visible" r:id="rId14"/>
    <sheet name="FPITREV" sheetId="13" state="visible" r:id="rId15"/>
    <sheet name="FPPTREV" sheetId="14" state="visible" r:id="rId16"/>
    <sheet name="EITCREF" sheetId="15" state="visible" r:id="rId17"/>
    <sheet name="ACTCREF" sheetId="16" state="visible" r:id="rId18"/>
    <sheet name="AOTCREF" sheetId="17" state="visible" r:id="rId19"/>
  </sheets>
  <definedNames>
    <definedName function="false" hidden="false" name="LSD_RID_0_AL"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<sst xmlns="http://schemas.openxmlformats.org/spreadsheetml/2006/main" count="1447" uniqueCount="835">
  <si>
    <t xml:space="preserve">LSD.RID.0.AR</t>
  </si>
  <si>
    <t xml:space="preserve">Arkansas Labor Statistics</t>
  </si>
  <si>
    <t xml:space="preserve">December 2025</t>
  </si>
  <si>
    <t xml:space="preserve">TID</t>
  </si>
  <si>
    <t xml:space="preserve">Title</t>
  </si>
  <si>
    <t xml:space="preserve">Month</t>
  </si>
  <si>
    <t xml:space="preserve">LSD.RID.0.AR.GLOSS</t>
  </si>
  <si>
    <t xml:space="preserve">Arkansas Labor Statistic Calculations</t>
  </si>
  <si>
    <t xml:space="preserve">Calculated formulae use parameters. </t>
  </si>
  <si>
    <t xml:space="preserve">GLOID</t>
  </si>
  <si>
    <t xml:space="preserve">Glossary Name</t>
  </si>
  <si>
    <t xml:space="preserve">Definition</t>
  </si>
  <si>
    <t xml:space="preserve">0</t>
  </si>
  <si>
    <t xml:space="preserve">RID</t>
  </si>
  <si>
    <t xml:space="preserve">Region ID</t>
  </si>
  <si>
    <t xml:space="preserve">1</t>
  </si>
  <si>
    <t xml:space="preserve">DES</t>
  </si>
  <si>
    <t xml:space="preserve">Department of Economic Security</t>
  </si>
  <si>
    <t xml:space="preserve">2</t>
  </si>
  <si>
    <t xml:space="preserve">LSD</t>
  </si>
  <si>
    <t xml:space="preserve">Labor Security Division</t>
  </si>
  <si>
    <t xml:space="preserve">3</t>
  </si>
  <si>
    <t xml:space="preserve">SLIID</t>
  </si>
  <si>
    <t xml:space="preserve">State Labor Industry ID</t>
  </si>
  <si>
    <t xml:space="preserve">4</t>
  </si>
  <si>
    <t xml:space="preserve">SLIVID</t>
  </si>
  <si>
    <t xml:space="preserve">State Labor Industry Visualization ID</t>
  </si>
  <si>
    <t xml:space="preserve">5</t>
  </si>
  <si>
    <t xml:space="preserve">INVID</t>
  </si>
  <si>
    <t xml:space="preserve">Invocation ID</t>
  </si>
  <si>
    <t xml:space="preserve">6</t>
  </si>
  <si>
    <t xml:space="preserve">7</t>
  </si>
  <si>
    <t xml:space="preserve">LFP</t>
  </si>
  <si>
    <t xml:space="preserve">Labor Force Population</t>
  </si>
  <si>
    <t xml:space="preserve">8</t>
  </si>
  <si>
    <t xml:space="preserve">ETPR</t>
  </si>
  <si>
    <t xml:space="preserve">Employment-to-Population Ratio</t>
  </si>
  <si>
    <t xml:space="preserve">9</t>
  </si>
  <si>
    <t xml:space="preserve">LFPR</t>
  </si>
  <si>
    <t xml:space="preserve">Labor Force Population Rate</t>
  </si>
  <si>
    <t xml:space="preserve">10</t>
  </si>
  <si>
    <t xml:space="preserve">U3R</t>
  </si>
  <si>
    <t xml:space="preserve">Unemployment Rate</t>
  </si>
  <si>
    <t xml:space="preserve">11</t>
  </si>
  <si>
    <t xml:space="preserve">U6R</t>
  </si>
  <si>
    <t xml:space="preserve">Underemployment Rate</t>
  </si>
  <si>
    <t xml:space="preserve">12</t>
  </si>
  <si>
    <t xml:space="preserve">WAVG</t>
  </si>
  <si>
    <t xml:space="preserve">Wage Average</t>
  </si>
  <si>
    <t xml:space="preserve">13</t>
  </si>
  <si>
    <t xml:space="preserve">AIAVG</t>
  </si>
  <si>
    <t xml:space="preserve">Annual Income Average</t>
  </si>
  <si>
    <t xml:space="preserve">14</t>
  </si>
  <si>
    <t xml:space="preserve">FPITREV</t>
  </si>
  <si>
    <t xml:space="preserve">Federal Personal Income Tax Revenue</t>
  </si>
  <si>
    <t xml:space="preserve">15</t>
  </si>
  <si>
    <t xml:space="preserve">FPPTREV</t>
  </si>
  <si>
    <t xml:space="preserve">Federal Personal Payroll Tax Revenue</t>
  </si>
  <si>
    <t xml:space="preserve">16</t>
  </si>
  <si>
    <t xml:space="preserve">EITCREF</t>
  </si>
  <si>
    <t xml:space="preserve">Earned Income Tax Credit Refund</t>
  </si>
  <si>
    <t xml:space="preserve">17</t>
  </si>
  <si>
    <t xml:space="preserve">ACTCREF</t>
  </si>
  <si>
    <t xml:space="preserve">Additional Child Tax Credit Refund</t>
  </si>
  <si>
    <t xml:space="preserve">18</t>
  </si>
  <si>
    <t xml:space="preserve">AOTCREF</t>
  </si>
  <si>
    <t xml:space="preserve">American Opportunity Tax Credit Refund</t>
  </si>
  <si>
    <t xml:space="preserve">19</t>
  </si>
  <si>
    <t xml:space="preserve">FORM</t>
  </si>
  <si>
    <t xml:space="preserve">Formulae</t>
  </si>
  <si>
    <t xml:space="preserve">20</t>
  </si>
  <si>
    <t xml:space="preserve">PARAM</t>
  </si>
  <si>
    <t xml:space="preserve">Parameters</t>
  </si>
  <si>
    <t xml:space="preserve">21</t>
  </si>
  <si>
    <t xml:space="preserve">CALC</t>
  </si>
  <si>
    <t xml:space="preserve">Calculations</t>
  </si>
  <si>
    <t xml:space="preserve">22</t>
  </si>
  <si>
    <t xml:space="preserve">VALID</t>
  </si>
  <si>
    <t xml:space="preserve">Validations</t>
  </si>
  <si>
    <t xml:space="preserve">CALC.COL</t>
  </si>
  <si>
    <t xml:space="preserve">Calculation Table Columns (2-row header)</t>
  </si>
  <si>
    <t xml:space="preserve">Labor Industry Role (LIR)</t>
  </si>
  <si>
    <t xml:space="preserve">Labor Force Population (LFP)</t>
  </si>
  <si>
    <t xml:space="preserve">Employment-to-Population Ratio (ETPR)</t>
  </si>
  <si>
    <t xml:space="preserve">Labor Force Participation Rate (LFPR)</t>
  </si>
  <si>
    <t xml:space="preserve">Unemployment Rate (U3R)</t>
  </si>
  <si>
    <t xml:space="preserve">Underemployment Rate (U6R)</t>
  </si>
  <si>
    <t xml:space="preserve">Wage Average (WAVG)</t>
  </si>
  <si>
    <t xml:space="preserve">Annual Income Average (AIAVG)</t>
  </si>
  <si>
    <t xml:space="preserve">Authorized Immigrant Wage Average (AIWAVG)</t>
  </si>
  <si>
    <t xml:space="preserve">Authorized Immigrant Annual Income Average (AIAIAVG)</t>
  </si>
  <si>
    <t xml:space="preserve">Unauthorized Immigrant Wage Average (UIWAVG)</t>
  </si>
  <si>
    <t xml:space="preserve">Unauthorized Immigrant Annual Income Average (UIAIAVG)</t>
  </si>
  <si>
    <t xml:space="preserve">American Wage Average (AWAVG)</t>
  </si>
  <si>
    <t xml:space="preserve">American Annual Income Average (AAIAVG)</t>
  </si>
  <si>
    <t xml:space="preserve">Federal Personal Income Tax Revenue (FPITREV)</t>
  </si>
  <si>
    <t xml:space="preserve">Federal Personal Payroll Tax Revenue (FPPTREV)</t>
  </si>
  <si>
    <t xml:space="preserve">Earned Income Tax Credit Refund (EITCREF)</t>
  </si>
  <si>
    <t xml:space="preserve">Additional Child Tax Credit Refund (ACTCREF)</t>
  </si>
  <si>
    <t xml:space="preserve">Employed Population (EP)</t>
  </si>
  <si>
    <t xml:space="preserve">Average Weekly Hours Worked (AWHW)</t>
  </si>
  <si>
    <t xml:space="preserve">Full-Time Employment Rate (FTER)</t>
  </si>
  <si>
    <t xml:space="preserve">Part-Time Employment Rate (PTER)</t>
  </si>
  <si>
    <t xml:space="preserve">Job Tenure Average (JTA)</t>
  </si>
  <si>
    <t xml:space="preserve">Turnover Rate (TR)</t>
  </si>
  <si>
    <t xml:space="preserve">Labor Productivity (LP)</t>
  </si>
  <si>
    <t xml:space="preserve">Education Level Required (ELR)</t>
  </si>
  <si>
    <t xml:space="preserve">State/Local Tax Revenue (SLTR)</t>
  </si>
  <si>
    <t xml:space="preserve">Social Security/Medicare Contributions (SSMC)</t>
  </si>
  <si>
    <t xml:space="preserve">Public Assistance Usage Rate (PAUR)</t>
  </si>
  <si>
    <t xml:space="preserve">LIRID</t>
  </si>
  <si>
    <t xml:space="preserve">Labor Industry Role Level</t>
  </si>
  <si>
    <t xml:space="preserve">Authorized Labor Force Population</t>
  </si>
  <si>
    <t xml:space="preserve">Unauthorized Labor Force Population</t>
  </si>
  <si>
    <t xml:space="preserve">American Labor Force Population</t>
  </si>
  <si>
    <t xml:space="preserve">Authorized Immigrant Employment-to-Population Ratio</t>
  </si>
  <si>
    <t xml:space="preserve">Unauthorized Immigrant Employment-to-Population Ratio</t>
  </si>
  <si>
    <t xml:space="preserve">American Employment-to-Population Ratio</t>
  </si>
  <si>
    <t xml:space="preserve">Authorized Immigrant Labor Force Participation Rate (LFPR)</t>
  </si>
  <si>
    <t xml:space="preserve">Unauthorized Immigrant Labor Force Participation Rate (LFPR)</t>
  </si>
  <si>
    <t xml:space="preserve">American Labor Force Participation Rate (LFPR)</t>
  </si>
  <si>
    <t xml:space="preserve">Authorized Immigrant Unemployment Rate</t>
  </si>
  <si>
    <t xml:space="preserve">Unauthorized Immigrant Unemployment Rate</t>
  </si>
  <si>
    <t xml:space="preserve">American Unemployment Rate</t>
  </si>
  <si>
    <t xml:space="preserve">Authorized Immigrant Underemployment Rate</t>
  </si>
  <si>
    <t xml:space="preserve">Unauthorized Immigrant Underemployment Rate</t>
  </si>
  <si>
    <t xml:space="preserve">American Underemployment Rate</t>
  </si>
  <si>
    <t xml:space="preserve">Wage Average ($ /hr)</t>
  </si>
  <si>
    <t xml:space="preserve">Wage Min ($ /hr)</t>
  </si>
  <si>
    <t xml:space="preserve">Wage Max ($ /hr)</t>
  </si>
  <si>
    <t xml:space="preserve">Annual Income Average ($)</t>
  </si>
  <si>
    <t xml:space="preserve">Annual Income Min ($)</t>
  </si>
  <si>
    <t xml:space="preserve">Annual Income Max ($)</t>
  </si>
  <si>
    <t xml:space="preserve">Authorized Immigrant Wage Average ($ /hr)</t>
  </si>
  <si>
    <t xml:space="preserve">Authorized Immigrant Wage Min ($ /hr)</t>
  </si>
  <si>
    <t xml:space="preserve">Authorized Immigrant Wage Max ($ /hr)</t>
  </si>
  <si>
    <t xml:space="preserve">Authorized Immigrant Annual Income Average ($)</t>
  </si>
  <si>
    <t xml:space="preserve">Authorized Immigrant Annual Income Min ($)</t>
  </si>
  <si>
    <t xml:space="preserve">Authorized Immigrant Annual Income Max ($)</t>
  </si>
  <si>
    <t xml:space="preserve">Unauthorized Immigrant Wage Average ($ /hr)</t>
  </si>
  <si>
    <t xml:space="preserve">Unauthorized Immigrant Wage Min ($ /hr)</t>
  </si>
  <si>
    <t xml:space="preserve">Unauthorized Immigrant Wage Max ($ /hr)</t>
  </si>
  <si>
    <t xml:space="preserve">Unauthorized Immigrant Annual Income Average ($)</t>
  </si>
  <si>
    <t xml:space="preserve">Unauthorized Immigrant Annual Income Min ($)</t>
  </si>
  <si>
    <t xml:space="preserve">Unauthorized Immigrant Annual Income Max ($)</t>
  </si>
  <si>
    <t xml:space="preserve">American Wage Average ($ /hr)</t>
  </si>
  <si>
    <t xml:space="preserve">American Wage Min ($ /hr)</t>
  </si>
  <si>
    <t xml:space="preserve">American Wage Max ($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</si>
  <si>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</si>
  <si>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</si>
  <si>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</si>
  <si>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</si>
  <si>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</si>
  <si>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</si>
  <si>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</si>
  <si>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</si>
  <si>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</si>
  <si>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</si>
  <si>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</si>
  <si>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</si>
  <si>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</si>
  <si>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</si>
  <si>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American Effective Tax EITC Credit Refund</t>
  </si>
  <si>
    <t xml:space="preserve">ACTC Credit Refund</t>
  </si>
  <si>
    <t xml:space="preserve">Authorized Immigrant ACTC Credit Refund</t>
  </si>
  <si>
    <t xml:space="preserve">Unauthorized Immigrant ACTC Credit Refund</t>
  </si>
  <si>
    <t xml:space="preserve">American Effective Tax ACTC Credit Refund</t>
  </si>
  <si>
    <t xml:space="preserve">AOTC Credit Refund</t>
  </si>
  <si>
    <t xml:space="preserve">Authorized Immigrant AOTC Credit Refund</t>
  </si>
  <si>
    <t xml:space="preserve">Unauthorized Immigrant AOTC Credit Refund</t>
  </si>
  <si>
    <t xml:space="preserve">American Effective Tax AOTC Credit Refund</t>
  </si>
  <si>
    <t xml:space="preserve">Employed Population</t>
  </si>
  <si>
    <t xml:space="preserve">Authorized Immigrant Employed Population</t>
  </si>
  <si>
    <t xml:space="preserve">Unauthorized Immigrant Employed Population</t>
  </si>
  <si>
    <t xml:space="preserve">American Employed Population</t>
  </si>
  <si>
    <t xml:space="preserve">Average Weekly Hours Worked</t>
  </si>
  <si>
    <t xml:space="preserve">Authorized Immigrant Average Weekly Hours Worked</t>
  </si>
  <si>
    <t xml:space="preserve">Unauthorized Immigrant Average Weekly Hours Worked</t>
  </si>
  <si>
    <t xml:space="preserve">American Average Weekly Hours Worked</t>
  </si>
  <si>
    <t xml:space="preserve">AWHW Min Hours</t>
  </si>
  <si>
    <t xml:space="preserve">AWHW Max Hours</t>
  </si>
  <si>
    <t xml:space="preserve">Full-Time Employment Rate</t>
  </si>
  <si>
    <t xml:space="preserve">Authorized Immigrant Full-Time Employment Rate</t>
  </si>
  <si>
    <t xml:space="preserve">Unauthorized Immigrant Full-Time Employment Rate</t>
  </si>
  <si>
    <t xml:space="preserve">American Full-Time Employment Rate</t>
  </si>
  <si>
    <t xml:space="preserve">Part-Time Employment Rate</t>
  </si>
  <si>
    <t xml:space="preserve">Authorized Immigrant Part-Time Employment Rate</t>
  </si>
  <si>
    <t xml:space="preserve">Unauthorized Immigrant Part-Time Employment Rate</t>
  </si>
  <si>
    <t xml:space="preserve">American Part-Time Employment Rate</t>
  </si>
  <si>
    <t xml:space="preserve">Job Tenure Average (years)</t>
  </si>
  <si>
    <t xml:space="preserve">Authorized Immigrant Job Tenure Average</t>
  </si>
  <si>
    <t xml:space="preserve">Unauthorized Immigrant Job Tenure Average</t>
  </si>
  <si>
    <t xml:space="preserve">American Job Tenure Average</t>
  </si>
  <si>
    <t xml:space="preserve">JTA Min Tenure</t>
  </si>
  <si>
    <t xml:space="preserve">JTA Max Tenure</t>
  </si>
  <si>
    <t xml:space="preserve">Turnover Rate</t>
  </si>
  <si>
    <t xml:space="preserve">Authorized Immigrant Turnover Rate</t>
  </si>
  <si>
    <t xml:space="preserve">Unauthorized Immigrant Turnover Rate</t>
  </si>
  <si>
    <t xml:space="preserve">American Turnover Rate</t>
  </si>
  <si>
    <t xml:space="preserve">Labor Productivity ($/hr)</t>
  </si>
  <si>
    <t xml:space="preserve">Authorized Immigrant Labor Productivity</t>
  </si>
  <si>
    <t xml:space="preserve">Unauthorized Immigrant Labor Productivity</t>
  </si>
  <si>
    <t xml:space="preserve">American Labor Productivity</t>
  </si>
  <si>
    <t xml:space="preserve">Education Level Required Average</t>
  </si>
  <si>
    <t xml:space="preserve">Authorized Immigrant Education Level Average</t>
  </si>
  <si>
    <t xml:space="preserve">Unauthorized Immigrant Education Level Average</t>
  </si>
  <si>
    <t xml:space="preserve">American Education Level Average</t>
  </si>
  <si>
    <t xml:space="preserve">State/Local Tax Revenue ($)</t>
  </si>
  <si>
    <t xml:space="preserve">Authorized Immigrant State/Local Tax Revenue</t>
  </si>
  <si>
    <t xml:space="preserve">Unauthorized Immigrant State/Local Tax Revenue</t>
  </si>
  <si>
    <t xml:space="preserve">American State/Local Tax Revenue</t>
  </si>
  <si>
    <t xml:space="preserve">Social Security/Medicare Contributions ($)</t>
  </si>
  <si>
    <t xml:space="preserve">Authorized Immigrant Social Security/Medicare Contributions</t>
  </si>
  <si>
    <t xml:space="preserve">Unauthorized Immigrant Social Security/Medicare Contributions</t>
  </si>
  <si>
    <t xml:space="preserve">American Social Security/Medicare Contributions</t>
  </si>
  <si>
    <t xml:space="preserve">Public Assistance Usage Rate</t>
  </si>
  <si>
    <t xml:space="preserve">Authorized Immigrant Public Assistance Usage Rate</t>
  </si>
  <si>
    <t xml:space="preserve">Unauthorized Immigrant Public Assistance Usage Rate</t>
  </si>
  <si>
    <t xml:space="preserve">American Public Assistance Usage Rate</t>
  </si>
  <si>
    <t xml:space="preserve">CALC.ROW</t>
  </si>
  <si>
    <t xml:space="preserve">Calculation Table Rows (3-column header)</t>
  </si>
  <si>
    <t xml:space="preserve">All Roles</t>
  </si>
  <si>
    <t xml:space="preserve">All Industries</t>
  </si>
  <si>
    <t xml:space="preserve">Worker</t>
  </si>
  <si>
    <t xml:space="preserve">Agriculture</t>
  </si>
  <si>
    <t xml:space="preserve">Support</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</si>
  <si>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</si>
  <si>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</si>
  <si>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</si>
  <si>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</si>
  <si>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</si>
  <si>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</si>
  <si>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</si>
  <si>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</si>
  <si>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Healthcare &amp; Social Assistance</t>
  </si>
  <si>
    <t xml:space="preserve">Professional Services</t>
  </si>
  <si>
    <t xml:space="preserve">Educational Services</t>
  </si>
  <si>
    <t xml:space="preserve">Finance &amp; Insurance</t>
  </si>
  <si>
    <t xml:space="preserve">Media and Information Technology</t>
  </si>
  <si>
    <t xml:space="preserve">Government</t>
  </si>
  <si>
    <t xml:space="preserve">Self-Employed / Non-Employer</t>
  </si>
  <si>
    <t xml:space="preserve">Other Services</t>
  </si>
  <si>
    <t xml:space="preserve">Mining, Quarrying, and Oil/Gas Extraction</t>
  </si>
  <si>
    <t xml:space="preserve">Utilities</t>
  </si>
  <si>
    <t xml:space="preserve">Wholesale Trade</t>
  </si>
  <si>
    <t xml:space="preserve">Information</t>
  </si>
  <si>
    <t xml:space="preserve">Real Estate, Rental and Leasing</t>
  </si>
  <si>
    <t xml:space="preserve">Waste Management Services</t>
  </si>
  <si>
    <t xml:space="preserve">Arts, Entertainment, and Recreation</t>
  </si>
  <si>
    <t xml:space="preserve">Accommodation and Food Services</t>
  </si>
  <si>
    <t xml:space="preserve">Public Administration</t>
  </si>
  <si>
    <t xml:space="preserve">INV</t>
  </si>
  <si>
    <t xml:space="preserve">Invocations</t>
  </si>
  <si>
    <t xml:space="preserve">Invocation Name</t>
  </si>
  <si>
    <t xml:space="preserve">Invocation Script</t>
  </si>
  <si>
    <t xml:space="preserve">References</t>
  </si>
  <si>
    <t xml:space="preserve">Reference Account</t>
  </si>
  <si>
    <t xml:space="preserve">Branch A</t>
  </si>
  <si>
    <t xml:space="preserve">Arkansas Labor Statistic Restructuring, Reformulation, Reparameterization, Recalculation</t>
  </si>
  <si>
    <t xml:space="preserve">Consider the attached spreadsheet describing Arkansas Labor Statistics. Notice the FORMUL</t>
  </si>
  <si>
    <t xml:space="preserve">02</t>
  </si>
  <si>
    <t xml:space="preserve">Arkansas Labor Statistic Reformulation, Reparameterization, Recalculation</t>
  </si>
  <si>
    <t xml:space="preserve">Consider the attached spreadsheet describing Arkansas Labor Statistics. This session is to refine and recreate FORM, PARAM, CALC, and VALID tables in rotating order. Prompt me to continue. </t>
  </si>
  <si>
    <t xml:space="preserve">https://grok.com/share/c2hhcmQtMg_aa0d2ffc-3514-48b3-893f-804d84a72740</t>
  </si>
  <si>
    <t xml:space="preserve">thomas.tom.welborn@gmail.com</t>
  </si>
  <si>
    <t xml:space="preserve">01</t>
  </si>
  <si>
    <t xml:space="preserve">Consider the attached spreadsheet describing Arkansas Labor Statistics. This spreadsheet is based on a prior mastered draft spreadsheet describing Alabama Labor Statistics. The current FORM and PARAM tables contain Alabama Labor Statistic Formulae and Parameters (respectively). Formulae and parameters should be edited, adited, dedited for Arkansas Labor Statistics. The entire FORM and PARAM tables should be recreated in their entirety, only using the current content as an example. There may be additional reference material or unrelated reference material to the current formulae and parameters that should be included with recreated FORM and PARAM tables. Afterwards the CALC table should be recreated with values that are result of formulae and parameters calculations for all of the metrics and measures that describe Arkansas Labor Statistics. Finally, when the CALCulations are finished, a new VALID table should be recreated tracking the same or different properties for accuracy. The FORM, PARAM, CALC, and VALID table recreation should be performed in separate stages, prompting me to continue between each. When any one of the tables is too processor intensive to complete at once, it should be recreated in groups. </t>
  </si>
  <si>
    <t xml:space="preserve">https://grok.com/share/bGVnYWN5LWNvcHk_25e55dde-ccb4-40e9-acfc-06fbd39d0197</t>
  </si>
  <si>
    <t xml:space="preserve">thomas.patrick.welborn@outlook.com</t>
  </si>
  <si>
    <t xml:space="preserve">LSD.REF.AR.FORM</t>
  </si>
  <si>
    <t xml:space="preserve">Arkansas Labor Statistic Logic Formulae</t>
  </si>
  <si>
    <t xml:space="preserve">NaN</t>
  </si>
  <si>
    <t xml:space="preserve">FID Group</t>
  </si>
  <si>
    <t xml:space="preserve">FID</t>
  </si>
  <si>
    <t xml:space="preserve">Formula Name</t>
  </si>
  <si>
    <t xml:space="preserve">Formula (using PARAMETERS)</t>
  </si>
  <si>
    <t xml:space="preserve">Logic / Key Inputs</t>
  </si>
  <si>
    <t xml:space="preserve">Notes / Machine Instruction</t>
  </si>
  <si>
    <t xml:space="preserve">S0 - Shared/Base</t>
  </si>
  <si>
    <t xml:space="preserve">S0.0</t>
  </si>
  <si>
    <t xml:space="preserve">Industry Employment Total</t>
  </si>
  <si>
    <t xml:space="preserve">T_i = PARAMETERS!TOTAL_NONFARM_AR * PARAMETERS!INDUSTRY_SHARE[i]</t>
  </si>
  <si>
    <t xml:space="preserve">BLS CES prorated</t>
  </si>
  <si>
    <t xml:space="preserve">Sum to BLS_EP_TOTAL_TARGET</t>
  </si>
  <si>
    <t xml:space="preserve">S0.1</t>
  </si>
  <si>
    <t xml:space="preserve">Role Proration</t>
  </si>
  <si>
    <t xml:space="preserve">ROLE_WORKER_i = T_i * PARAMETERS!ROLE_PRORATE_WORKER_IND[i]</t>
  </si>
  <si>
    <t xml:space="preserve">Worker/Support split</t>
  </si>
  <si>
    <t xml:space="preserve">AR ACS-derived</t>
  </si>
  <si>
    <t xml:space="preserve">S0.2</t>
  </si>
  <si>
    <t xml:space="preserve">Group Share Proration</t>
  </si>
  <si>
    <t xml:space="preserve">AUTH_SHARE_i = PARAMETERS!AUTH_SHARE_IND[i]</t>
  </si>
  <si>
    <t xml:space="preserve">Auth/Unauth/American split</t>
  </si>
  <si>
    <t xml:space="preserve">Cap UNAUTH_LF_CAP</t>
  </si>
  <si>
    <t xml:space="preserve">S0.3</t>
  </si>
  <si>
    <t xml:space="preserve">Data Fusion Weighted Average</t>
  </si>
  <si>
    <t xml:space="preserve">value_i = (BLS_i * W_BLS + ACS_i * W_ACS + MPI_i * W_MPI) / sum weights</t>
  </si>
  <si>
    <t xml:space="preserve">Combine sources</t>
  </si>
  <si>
    <t xml:space="preserve">Weights: BLS 0.97, ACS 0.65, MPI 0.55</t>
  </si>
  <si>
    <t xml:space="preserve">S0.4</t>
  </si>
  <si>
    <t xml:space="preserve">Labor Force Population Back-Calc</t>
  </si>
  <si>
    <t xml:space="preserve">LFP_total_i = EP_total_i / ETPR_total_i</t>
  </si>
  <si>
    <t xml:space="preserve">Derive LFP</t>
  </si>
  <si>
    <t xml:space="preserve">Apply scale</t>
  </si>
  <si>
    <t xml:space="preserve">S0.5</t>
  </si>
  <si>
    <t xml:space="preserve">Employed Population by Group</t>
  </si>
  <si>
    <t xml:space="preserve">EP_total_i = T_i</t>
  </si>
  <si>
    <t xml:space="preserve">Direct proration</t>
  </si>
  <si>
    <t xml:space="preserve">Apply calibration</t>
  </si>
  <si>
    <t xml:space="preserve">S0.6</t>
  </si>
  <si>
    <t xml:space="preserve">ETPR Hard Capped</t>
  </si>
  <si>
    <t xml:space="preserve">ETPR_total_i = MIN(1, EP_total_i / LFP_total_i)</t>
  </si>
  <si>
    <t xml:space="preserve">Ratio capped ≤1</t>
  </si>
  <si>
    <t xml:space="preserve">Match state ETPR</t>
  </si>
  <si>
    <t xml:space="preserve">LFP Group</t>
  </si>
  <si>
    <t xml:space="preserve">S1.0</t>
  </si>
  <si>
    <t xml:space="preserve">Labor Force Population by Group</t>
  </si>
  <si>
    <t xml:space="preserve">LFP_amer_i = PARAMETERS!LFPR_AMER_BASE[i] * pop</t>
  </si>
  <si>
    <t xml:space="preserve">Baseline + factors</t>
  </si>
  <si>
    <t xml:space="preserve">Blend S0.3; match total</t>
  </si>
  <si>
    <t xml:space="preserve">Global LF Calibration</t>
  </si>
  <si>
    <t xml:space="preserve">LFP_total_state = PARAMETERS!BLS_LF_TOTAL_TARGET</t>
  </si>
  <si>
    <t xml:space="preserve">Force match</t>
  </si>
  <si>
    <t xml:space="preserve">Apply last</t>
  </si>
  <si>
    <t xml:space="preserve">ETPR Group</t>
  </si>
  <si>
    <t xml:space="preserve">S1.1</t>
  </si>
  <si>
    <t xml:space="preserve">ETPR by Group</t>
  </si>
  <si>
    <t xml:space="preserve">ETPR_amer_i = PARAMETERS!ETPR_AMER_BASE[i]</t>
  </si>
  <si>
    <t xml:space="preserve">Cap ≤1; match 0.958</t>
  </si>
  <si>
    <t xml:space="preserve">Global ETPR Calibration</t>
  </si>
  <si>
    <t xml:space="preserve">Adjust proportionally to match BLS</t>
  </si>
  <si>
    <t xml:space="preserve">Redistribute</t>
  </si>
  <si>
    <t xml:space="preserve">Post-sum</t>
  </si>
  <si>
    <t xml:space="preserve">LFPR Group</t>
  </si>
  <si>
    <t xml:space="preserve">S1.2</t>
  </si>
  <si>
    <t xml:space="preserve">LFPR by Group</t>
  </si>
  <si>
    <t xml:space="preserve">LFPR_amer_i = PARAMETERS!LFPR_AMER_BASE[i]</t>
  </si>
  <si>
    <t xml:space="preserve">Match 0.59</t>
  </si>
  <si>
    <t xml:space="preserve">Global LFPR Calibration</t>
  </si>
  <si>
    <t xml:space="preserve">LFPR_total_state = PARAMETERS!BLS_LFPR_TARGET</t>
  </si>
  <si>
    <t xml:space="preserve">Consistent with LFP</t>
  </si>
  <si>
    <t xml:space="preserve">U3R Group</t>
  </si>
  <si>
    <t xml:space="preserve">S1.3</t>
  </si>
  <si>
    <t xml:space="preserve">U3R by Group</t>
  </si>
  <si>
    <t xml:space="preserve">U3R_amer_i = PARAMETERS!U3R_AMER_BASE[i]</t>
  </si>
  <si>
    <t xml:space="preserve">Match 0.042</t>
  </si>
  <si>
    <t xml:space="preserve">Global U3R Calibration</t>
  </si>
  <si>
    <t xml:space="preserve">U3R_total_state = PARAMETERS!BLS_U3R_TARGET</t>
  </si>
  <si>
    <t xml:space="preserve">Redistribute residuals</t>
  </si>
  <si>
    <t xml:space="preserve">Exact</t>
  </si>
  <si>
    <t xml:space="preserve">U6R Group</t>
  </si>
  <si>
    <t xml:space="preserve">S1.4</t>
  </si>
  <si>
    <t xml:space="preserve">U6R by Group</t>
  </si>
  <si>
    <t xml:space="preserve">U6R_amer_i = U3R_amer_i * PARAMETERS!U6_U3_RATIO_IND[i]</t>
  </si>
  <si>
    <t xml:space="preserve">Scale from U3R</t>
  </si>
  <si>
    <t xml:space="preserve">Blend BLS alt; ±18% uncertainty</t>
  </si>
  <si>
    <t xml:space="preserve">WAVG Group</t>
  </si>
  <si>
    <t xml:space="preserve">S2.0</t>
  </si>
  <si>
    <t xml:space="preserve">Wage Average by Group</t>
  </si>
  <si>
    <t xml:space="preserve">WAVG_amer_i = PARAMETERS!WAVG_AMER_IND[i]</t>
  </si>
  <si>
    <t xml:space="preserve">Baseline + gaps</t>
  </si>
  <si>
    <t xml:space="preserve">Blend; floor at min wage</t>
  </si>
  <si>
    <t xml:space="preserve">Global Wage Calibration</t>
  </si>
  <si>
    <t xml:space="preserve">WAVG_total_state = PARAMETERS!BLS_WAVG_TARGET</t>
  </si>
  <si>
    <t xml:space="preserve">Scale proportionally</t>
  </si>
  <si>
    <t xml:space="preserve">Align to $29.76</t>
  </si>
  <si>
    <t xml:space="preserve">AIAVG Group</t>
  </si>
  <si>
    <t xml:space="preserve">S2.1</t>
  </si>
  <si>
    <t xml:space="preserve">Annual Income Average by Group</t>
  </si>
  <si>
    <t xml:space="preserve">AIAVG_amer_i = WAVG_amer_i * PARAMETERS!AWHW_IND[i] * 52 * PARAMETERS!OVERTIME_ADJ_IND[i]</t>
  </si>
  <si>
    <t xml:space="preserve">Annualize wages</t>
  </si>
  <si>
    <t xml:space="preserve">Apply gaps; 90% accuracy</t>
  </si>
  <si>
    <t xml:space="preserve">FPITREV Group</t>
  </si>
  <si>
    <t xml:space="preserve">S3.0</t>
  </si>
  <si>
    <t xml:space="preserve">Federal PIT Revenue by Group</t>
  </si>
  <si>
    <t xml:space="preserve">FPITREV_amer_i = AIAVG_amer_i * EP_amer_i * PARAMETERS!FED_PIT_RATE_AMER</t>
  </si>
  <si>
    <t xml:space="preserve">Effective rates</t>
  </si>
  <si>
    <t xml:space="preserve">Blend IRS/CBO; unauth filing 60%</t>
  </si>
  <si>
    <t xml:space="preserve">FPPTREV Group</t>
  </si>
  <si>
    <t xml:space="preserve">S3.1</t>
  </si>
  <si>
    <t xml:space="preserve">Federal Payroll Tax Revenue by Group</t>
  </si>
  <si>
    <t xml:space="preserve">FPPTREV_amer_i = AIAVG_amer_i * EP_amer_i * PARAMETERS!FED_PAYROLL_RATE</t>
  </si>
  <si>
    <t xml:space="preserve">7.65%; unauth partial</t>
  </si>
  <si>
    <t xml:space="preserve">90% accuracy</t>
  </si>
  <si>
    <t xml:space="preserve">EITCREF Group</t>
  </si>
  <si>
    <t xml:space="preserve">S3.2</t>
  </si>
  <si>
    <t xml:space="preserve">EITC Credit Refund by Group</t>
  </si>
  <si>
    <t xml:space="preserve">EITCREF_total_i = PARAMETERS!EITC_TOTAL_AR * (EP_total_i / PARAMETERS!TOTAL_NONFARM_AR)</t>
  </si>
  <si>
    <t xml:space="preserve">Prorate IRS; unauth 0</t>
  </si>
  <si>
    <t xml:space="preserve">Industry eligibility</t>
  </si>
  <si>
    <t xml:space="preserve">ACTCREF Group</t>
  </si>
  <si>
    <t xml:space="preserve">S3.3</t>
  </si>
  <si>
    <t xml:space="preserve">ACTC Refund by Group</t>
  </si>
  <si>
    <t xml:space="preserve">ACTCREF_total_i = PARAMETERS!ACTC_TOTAL_AR * (EP_total_i / PARAMETERS!TOTAL_NONFARM_AR)</t>
  </si>
  <si>
    <t xml:space="preserve">Prorate; unauth partial</t>
  </si>
  <si>
    <t xml:space="preserve">Family-based</t>
  </si>
  <si>
    <t xml:space="preserve">AOTCREF Group</t>
  </si>
  <si>
    <t xml:space="preserve">S3.4</t>
  </si>
  <si>
    <t xml:space="preserve">AOTC Refund by Group</t>
  </si>
  <si>
    <t xml:space="preserve">AOTCREF_total_i = PARAMETERS!AOTC_TOTAL_AR * (EP_total_i / PARAMETERS!TOTAL_NONFARM_AR)</t>
  </si>
  <si>
    <t xml:space="preserve">Prorate; unauth low</t>
  </si>
  <si>
    <t xml:space="preserve">Education barriers</t>
  </si>
  <si>
    <t xml:space="preserve">S4 - Derived</t>
  </si>
  <si>
    <t xml:space="preserve">S4.0</t>
  </si>
  <si>
    <t xml:space="preserve">FTER_total_i = weighted sum</t>
  </si>
  <si>
    <t xml:space="preserve">&gt;35 hours; unauth higher</t>
  </si>
  <si>
    <t xml:space="preserve">AR CPS adj.</t>
  </si>
  <si>
    <t xml:space="preserve">S4.1</t>
  </si>
  <si>
    <t xml:space="preserve">PTER_total_i = 1 - FTER_total_i</t>
  </si>
  <si>
    <t xml:space="preserve">Complement</t>
  </si>
  <si>
    <t xml:space="preserve">Derived</t>
  </si>
  <si>
    <t xml:space="preserve">S4.2</t>
  </si>
  <si>
    <t xml:space="preserve">Job Tenure Average</t>
  </si>
  <si>
    <t xml:space="preserve">JTA_total_i = weighted sum</t>
  </si>
  <si>
    <t xml:space="preserve">BLS/CPS; immigrants lower</t>
  </si>
  <si>
    <t xml:space="preserve">AR adj.</t>
  </si>
  <si>
    <t xml:space="preserve">S4.3</t>
  </si>
  <si>
    <t xml:space="preserve">TR_total_i = weighted sum</t>
  </si>
  <si>
    <t xml:space="preserve">JOLTS; unauth higher</t>
  </si>
  <si>
    <t xml:space="preserve">AR reference</t>
  </si>
  <si>
    <t xml:space="preserve">S4.4</t>
  </si>
  <si>
    <t xml:space="preserve">Labor Productivity</t>
  </si>
  <si>
    <t xml:space="preserve">LP_total_i = weighted sum</t>
  </si>
  <si>
    <t xml:space="preserve">BEA/BLS per hour</t>
  </si>
  <si>
    <t xml:space="preserve">AR GDP adj.</t>
  </si>
  <si>
    <t xml:space="preserve">S4.5</t>
  </si>
  <si>
    <t xml:space="preserve">PAUR_total_i = weighted sum</t>
  </si>
  <si>
    <t xml:space="preserve">Census/CMS; unauth lower</t>
  </si>
  <si>
    <t xml:space="preserve">AR SNAP/Medicaid</t>
  </si>
  <si>
    <t xml:space="preserve">700 - Calibration</t>
  </si>
  <si>
    <t xml:space="preserve">Global Employment Calibration</t>
  </si>
  <si>
    <t xml:space="preserve">EP_total_state = PARAMETERS!BLS_EP_TOTAL_TARGET</t>
  </si>
  <si>
    <t xml:space="preserve">Force match CES</t>
  </si>
  <si>
    <t xml:space="preserve">Highest priority</t>
  </si>
  <si>
    <t xml:space="preserve">Global LF &amp; LFPR Calibration</t>
  </si>
  <si>
    <t xml:space="preserve">Match LAUS</t>
  </si>
  <si>
    <t xml:space="preserve">Consistency with EP</t>
  </si>
  <si>
    <t xml:space="preserve">U3R Global Calibration</t>
  </si>
  <si>
    <t xml:space="preserve">Exact 4.2%</t>
  </si>
  <si>
    <t xml:space="preserve">Wage &amp; Income Global Calibration</t>
  </si>
  <si>
    <t xml:space="preserve">Align $29.76</t>
  </si>
  <si>
    <t xml:space="preserve">Post-group</t>
  </si>
  <si>
    <t xml:space="preserve">Unauthorized LF Cap Enforcement</t>
  </si>
  <si>
    <t xml:space="preserve">Scale UNAUTH_SHARE_i if sum &gt; UNAUTH_LF_CAP</t>
  </si>
  <si>
    <t xml:space="preserve">Cap ~50k</t>
  </si>
  <si>
    <t xml:space="preserve">Prevents over-allocation</t>
  </si>
  <si>
    <t xml:space="preserve">Seasonal &amp; Regional Adjustment</t>
  </si>
  <si>
    <t xml:space="preserve">Apply AR-specific seasonal/regional factors</t>
  </si>
  <si>
    <t xml:space="preserve">BLS indices &amp; county</t>
  </si>
  <si>
    <t xml:space="preserve">Before final</t>
  </si>
  <si>
    <t xml:space="preserve">800 - AR-Specific</t>
  </si>
  <si>
    <t xml:space="preserve">Poultry Sector Override</t>
  </si>
  <si>
    <t xml:space="preserve">T_poultry_i = T_ag_i * PARAMETERS!POULTRY_SHARE_AR + PARAMETERS!POULTRY_ADJUST</t>
  </si>
  <si>
    <t xml:space="preserve">Separate poultry</t>
  </si>
  <si>
    <t xml:space="preserve">Tyson-heavy</t>
  </si>
  <si>
    <t xml:space="preserve">County/Regional Differential</t>
  </si>
  <si>
    <t xml:space="preserve">U3R_nw_ar = U3R_total * PARAMETERS!NW_AR_U3R_FACTOR</t>
  </si>
  <si>
    <t xml:space="preserve">Regional adj.</t>
  </si>
  <si>
    <t xml:space="preserve">NW AR lower U3R</t>
  </si>
  <si>
    <t xml:space="preserve">900 - Forecast</t>
  </si>
  <si>
    <t xml:space="preserve">Net Fiscal Impact 2035 Baseline</t>
  </si>
  <si>
    <t xml:space="preserve">NET_FISCAL_2035 = NET_FISCAL_state * (1 + PARAMETERS!FISCAL_GROWTH_RATE)^9</t>
  </si>
  <si>
    <t xml:space="preserve">Nominal growth</t>
  </si>
  <si>
    <t xml:space="preserve">AR trend</t>
  </si>
  <si>
    <t xml:space="preserve">Moderate Unauthorized Convergence</t>
  </si>
  <si>
    <t xml:space="preserve">NET_FISCAL_2035_mod = NET_FISCAL_2035 + (EP_unauth * PARAMETERS!UNAUTH_GAIN_MOD * wage_gap * FISCAL_MULT)</t>
  </si>
  <si>
    <t xml:space="preserve">25% gap closure</t>
  </si>
  <si>
    <t xml:space="preserve">MPI-inspired</t>
  </si>
  <si>
    <t xml:space="preserve">High Unauthorized Convergence</t>
  </si>
  <si>
    <t xml:space="preserve">NET_FISCAL_2035_high = NET_FISCAL_2035 + (EP_unauth * PARAMETERS!UNAUTH_GAIN_HIGH * wage_gap * FISCAL_MULT)</t>
  </si>
  <si>
    <t xml:space="preserve">45% gap closure</t>
  </si>
  <si>
    <t xml:space="preserve">Upper bound</t>
  </si>
  <si>
    <t xml:space="preserve">End Marker</t>
  </si>
  <si>
    <t xml:space="preserve">FORM COMPLETE – AR December 2025</t>
  </si>
  <si>
    <t xml:space="preserve">Signals end</t>
  </si>
  <si>
    <t xml:space="preserve">LSD.REF.AR.PARAM</t>
  </si>
  <si>
    <t xml:space="preserve">Arkansas Labor Statistic Logic Parameters</t>
  </si>
  <si>
    <t xml:space="preserve">PID</t>
  </si>
  <si>
    <t xml:space="preserve">Parameter Name</t>
  </si>
  <si>
    <t xml:space="preserve">Value</t>
  </si>
  <si>
    <t xml:space="preserve">State / Description</t>
  </si>
  <si>
    <t xml:space="preserve">Notes / Sources</t>
  </si>
  <si>
    <t xml:space="preserve">Confidence Rating</t>
  </si>
  <si>
    <t xml:space="preserve">Confidence Source Note</t>
  </si>
  <si>
    <t xml:space="preserve">Last Updated / Source Note</t>
  </si>
  <si>
    <t xml:space="preserve">P001</t>
  </si>
  <si>
    <t xml:space="preserve">TOTAL_NONFARM_AR</t>
  </si>
  <si>
    <t xml:space="preserve">AR / Total nonfarm payroll employment (thousands)</t>
  </si>
  <si>
    <t xml:space="preserve">BLS CES Dec 2025</t>
  </si>
  <si>
    <t xml:space="preserve">High</t>
  </si>
  <si>
    <t xml:space="preserve">BLS CES Jan 2026 release</t>
  </si>
  <si>
    <t xml:space="preserve">February 13, 2026</t>
  </si>
  <si>
    <t xml:space="preserve">P002</t>
  </si>
  <si>
    <t xml:space="preserve">AG_EMPLOYMENT_AR</t>
  </si>
  <si>
    <t xml:space="preserve">AR / Agriculture (thousands, incl. self-employed/poultry)</t>
  </si>
  <si>
    <t xml:space="preserve">BLS CES + ACS + poultry adj.</t>
  </si>
  <si>
    <t xml:space="preserve">Medium-High</t>
  </si>
  <si>
    <t xml:space="preserve">BLS + AR ag data; Tyson emphasis</t>
  </si>
  <si>
    <t xml:space="preserve">P003</t>
  </si>
  <si>
    <t xml:space="preserve">CONSTR_EMPLOYMENT_AR</t>
  </si>
  <si>
    <t xml:space="preserve">AR / Construction (thousands)</t>
  </si>
  <si>
    <t xml:space="preserve">P004</t>
  </si>
  <si>
    <t xml:space="preserve">MANU_EMPLOYMENT_AR</t>
  </si>
  <si>
    <t xml:space="preserve">AR / Manufacturing (thousands)</t>
  </si>
  <si>
    <t xml:space="preserve">P005</t>
  </si>
  <si>
    <t xml:space="preserve">TRADE_TRANS_UTIL_EMPLOYMENT_AR</t>
  </si>
  <si>
    <t xml:space="preserve">AR / Trade, Transportation, Utilities (thousands)</t>
  </si>
  <si>
    <t xml:space="preserve">P006</t>
  </si>
  <si>
    <t xml:space="preserve">INFO_EMPLOYMENT_AR</t>
  </si>
  <si>
    <t xml:space="preserve">AR / Information (thousands)</t>
  </si>
  <si>
    <t xml:space="preserve">P007</t>
  </si>
  <si>
    <t xml:space="preserve">FIN_ACT_EMPLOYMENT_AR</t>
  </si>
  <si>
    <t xml:space="preserve">AR / Financial Activities (thousands)</t>
  </si>
  <si>
    <t xml:space="preserve">P008</t>
  </si>
  <si>
    <t xml:space="preserve">PROF_BUS_SERV_EMPLOYMENT_AR</t>
  </si>
  <si>
    <t xml:space="preserve">AR / Professional &amp; Business Services (thousands)</t>
  </si>
  <si>
    <t xml:space="preserve">P009</t>
  </si>
  <si>
    <t xml:space="preserve">EDUC_HEALTH_EMPLOYMENT_AR</t>
  </si>
  <si>
    <t xml:space="preserve">AR / Private Education &amp; Health Services (thousands)</t>
  </si>
  <si>
    <t xml:space="preserve">P010</t>
  </si>
  <si>
    <t xml:space="preserve">LEIS_HOSP_EMPLOYMENT_AR</t>
  </si>
  <si>
    <t xml:space="preserve">AR / Leisure &amp; Hospitality (thousands)</t>
  </si>
  <si>
    <t xml:space="preserve">P011</t>
  </si>
  <si>
    <t xml:space="preserve">OTHER_SERV_EMPLOYMENT_AR</t>
  </si>
  <si>
    <t xml:space="preserve">AR / Other Services (thousands)</t>
  </si>
  <si>
    <t xml:space="preserve">P012</t>
  </si>
  <si>
    <t xml:space="preserve">BLS_EP_TOTAL_TARGET</t>
  </si>
  <si>
    <t xml:space="preserve">Target employed population (nonfarm payroll match)</t>
  </si>
  <si>
    <t xml:space="preserve">Derived from TOTAL_NONFARM_AR * 1000</t>
  </si>
  <si>
    <t xml:space="preserve">BLS alignment</t>
  </si>
  <si>
    <t xml:space="preserve">P013</t>
  </si>
  <si>
    <t xml:space="preserve">BLS_LF_TOTAL_TARGET</t>
  </si>
  <si>
    <t xml:space="preserve">Target civilian labor force</t>
  </si>
  <si>
    <t xml:space="preserve">BLS LAUS Dec 2025</t>
  </si>
  <si>
    <t xml:space="preserve">BLS LAUS Jan 2026 release</t>
  </si>
  <si>
    <t xml:space="preserve">P014</t>
  </si>
  <si>
    <t xml:space="preserve">BLS_U3R_TARGET</t>
  </si>
  <si>
    <t xml:space="preserve">Target unemployment rate (U3)</t>
  </si>
  <si>
    <t xml:space="preserve">P015</t>
  </si>
  <si>
    <t xml:space="preserve">BLS_LFPR_TARGET</t>
  </si>
  <si>
    <t xml:space="preserve">Target labor force participation rate</t>
  </si>
  <si>
    <t xml:space="preserve">P016</t>
  </si>
  <si>
    <t xml:space="preserve">BLS_WAVG_TARGET</t>
  </si>
  <si>
    <t xml:space="preserve">Target average hourly wage (private nonfarm)</t>
  </si>
  <si>
    <t xml:space="preserve">P017</t>
  </si>
  <si>
    <t xml:space="preserve">UNAUTH_LF_CAP</t>
  </si>
  <si>
    <t xml:space="preserve">Unauthorized labor force cap</t>
  </si>
  <si>
    <t xml:space="preserve">MPI 2023 adjusted to 2025</t>
  </si>
  <si>
    <t xml:space="preserve">Medium</t>
  </si>
  <si>
    <t xml:space="preserve">Plausible range; no new MPI release</t>
  </si>
  <si>
    <t xml:space="preserve">P018</t>
  </si>
  <si>
    <t xml:space="preserve">POULTRY_SHARE_AR</t>
  </si>
  <si>
    <t xml:space="preserve">Poultry share in ag</t>
  </si>
  <si>
    <t xml:space="preserve">AR Tyson and state ag reports</t>
  </si>
  <si>
    <t xml:space="preserve">AR-specific; unchanged</t>
  </si>
  <si>
    <t xml:space="preserve">P019</t>
  </si>
  <si>
    <t xml:space="preserve">POULTRY_ADJUST</t>
  </si>
  <si>
    <t xml:space="preserve">Additional poultry adjustment for informal/self-employed</t>
  </si>
  <si>
    <t xml:space="preserve">Internal estimate; AR ag data</t>
  </si>
  <si>
    <t xml:space="preserve">Lightly adjusted for 2025 growth</t>
  </si>
  <si>
    <t xml:space="preserve">P020</t>
  </si>
  <si>
    <t xml:space="preserve">NW_AR_U3R_FACTOR</t>
  </si>
  <si>
    <t xml:space="preserve">NW AR U3R factor (lower unemployment in NW region)</t>
  </si>
  <si>
    <t xml:space="preserve">Regional diff.; Benton/Washington county proxy</t>
  </si>
  <si>
    <t xml:space="preserve">County BLS data; unchanged</t>
  </si>
  <si>
    <t xml:space="preserve">P021</t>
  </si>
  <si>
    <t xml:space="preserve">DELTA_U3R_FACTOR</t>
  </si>
  <si>
    <t xml:space="preserve">Delta AR U3R factor (higher unemployment in Delta region)</t>
  </si>
  <si>
    <t xml:space="preserve">Regional diff.; SE AR county proxy</t>
  </si>
  <si>
    <t xml:space="preserve">P022</t>
  </si>
  <si>
    <t xml:space="preserve">AUTH_SHARE_IND[i]</t>
  </si>
  <si>
    <t xml:space="preserve">Authorized immigrant share per industry (default; industry-specific overrides)</t>
  </si>
  <si>
    <t xml:space="preserve">ACS/MPI blend</t>
  </si>
  <si>
    <t xml:space="preserve">Updated with 2024 ACS; e.g., ag = 0.04, manu = 0.04</t>
  </si>
  <si>
    <t xml:space="preserve">P023</t>
  </si>
  <si>
    <t xml:space="preserve">UNAUTH_SHARE_IND[i]</t>
  </si>
  <si>
    <t xml:space="preserve">Unauthorized immigrant share per industry (default; industry-specific overrides)</t>
  </si>
  <si>
    <t xml:space="preserve">MPI estimate</t>
  </si>
  <si>
    <t xml:space="preserve">Updated with 2023 MPI; e.g., ag = 0.069, hospitality = 0.08</t>
  </si>
  <si>
    <t xml:space="preserve">P024</t>
  </si>
  <si>
    <t xml:space="preserve">ROLE_PRORATE_WORKER_IND[i]</t>
  </si>
  <si>
    <t xml:space="preserve">Worker role prorate per industry (worker/support split)</t>
  </si>
  <si>
    <t xml:space="preserve">ACS-derived</t>
  </si>
  <si>
    <t xml:space="preserve">e.g., ag = 0.8, manu = 0.8; unchanged</t>
  </si>
  <si>
    <t xml:space="preserve">P025</t>
  </si>
  <si>
    <t xml:space="preserve">ETPR_AMER_BASE[i]</t>
  </si>
  <si>
    <t xml:space="preserve">Base ETPR for American workers per industry</t>
  </si>
  <si>
    <t xml:space="preserve">BLS-derived</t>
  </si>
  <si>
    <t xml:space="preserve">Industry-specific; calibrated to state avg</t>
  </si>
  <si>
    <t xml:space="preserve">P026</t>
  </si>
  <si>
    <t xml:space="preserve">LFPR_AMER_BASE[i]</t>
  </si>
  <si>
    <t xml:space="preserve">Base LFPR for American workers per industry</t>
  </si>
  <si>
    <t xml:space="preserve">P027</t>
  </si>
  <si>
    <t xml:space="preserve">U3R_AMER_BASE[i]</t>
  </si>
  <si>
    <t xml:space="preserve">Base U3R for American workers per industry</t>
  </si>
  <si>
    <t xml:space="preserve">P028</t>
  </si>
  <si>
    <t xml:space="preserve">U6_U3_RATIO_IND[i]</t>
  </si>
  <si>
    <t xml:space="preserve">Ratio of U6R to U3R per industry (national avg adjusted)</t>
  </si>
  <si>
    <t xml:space="preserve">BLS alt measures</t>
  </si>
  <si>
    <t xml:space="preserve">e.g., ag = 1.643 (higher underemployment)</t>
  </si>
  <si>
    <t xml:space="preserve">P029</t>
  </si>
  <si>
    <t xml:space="preserve">WAVG_AMER_IND[i]</t>
  </si>
  <si>
    <t xml:space="preserve">Base average wage for American workers per industry</t>
  </si>
  <si>
    <t xml:space="preserve">BLS CES</t>
  </si>
  <si>
    <t xml:space="preserve">Industry-specific; calibrated to state avg $29.76</t>
  </si>
  <si>
    <t xml:space="preserve">P030</t>
  </si>
  <si>
    <t xml:space="preserve">AWHW_IND[i]</t>
  </si>
  <si>
    <t xml:space="preserve">Average weekly hours worked per industry</t>
  </si>
  <si>
    <t xml:space="preserve">P031</t>
  </si>
  <si>
    <t xml:space="preserve">OVERTIME_ADJ_IND[i]</t>
  </si>
  <si>
    <t xml:space="preserve">Overtime adjustment factor per industry</t>
  </si>
  <si>
    <t xml:space="preserve">e.g., manu = 1.1, hospitality = 1.0</t>
  </si>
  <si>
    <t xml:space="preserve">P032</t>
  </si>
  <si>
    <t xml:space="preserve">FED_PIT_RATE_AMER</t>
  </si>
  <si>
    <t xml:space="preserve">Effective federal PIT rate for American workers</t>
  </si>
  <si>
    <t xml:space="preserve">IRS/CBO</t>
  </si>
  <si>
    <t xml:space="preserve">Progressive; unauth = 0.1 (partial filing)</t>
  </si>
  <si>
    <t xml:space="preserve">P033</t>
  </si>
  <si>
    <t xml:space="preserve">FED_PAYROLL_RATE</t>
  </si>
  <si>
    <t xml:space="preserve">Federal payroll tax rate (FICA)</t>
  </si>
  <si>
    <t xml:space="preserve">IRS</t>
  </si>
  <si>
    <t xml:space="preserve">Unchanged; unauth partial at 0.05</t>
  </si>
  <si>
    <t xml:space="preserve">P034</t>
  </si>
  <si>
    <t xml:space="preserve">EITC_TOTAL_AR</t>
  </si>
  <si>
    <t xml:space="preserve">Total AR EITC refunds baseline</t>
  </si>
  <si>
    <t xml:space="preserve">IRS data scaled</t>
  </si>
  <si>
    <t xml:space="preserve">Prorated; unauth 0 eligibility</t>
  </si>
  <si>
    <t xml:space="preserve">P035</t>
  </si>
  <si>
    <t xml:space="preserve">ACTC_TOTAL_AR</t>
  </si>
  <si>
    <t xml:space="preserve">Total AR ACTC refunds baseline</t>
  </si>
  <si>
    <t xml:space="preserve">IRS family data</t>
  </si>
  <si>
    <t xml:space="preserve">Prorated; unauth partial</t>
  </si>
  <si>
    <t xml:space="preserve">P036</t>
  </si>
  <si>
    <t xml:space="preserve">AOTC_TOTAL_AR</t>
  </si>
  <si>
    <t xml:space="preserve">Total AR AOTC refunds baseline</t>
  </si>
  <si>
    <t xml:space="preserve">IRS education data</t>
  </si>
  <si>
    <t xml:space="preserve">Prorated; unauth low</t>
  </si>
  <si>
    <t xml:space="preserve">P037</t>
  </si>
  <si>
    <t xml:space="preserve">FISCAL_GROWTH_RATE</t>
  </si>
  <si>
    <t xml:space="preserve">Nominal fiscal growth rate (annual)</t>
  </si>
  <si>
    <t xml:space="preserve">BEA AR projection</t>
  </si>
  <si>
    <t xml:space="preserve">Low</t>
  </si>
  <si>
    <t xml:space="preserve">Speculative for 2035 forecasts</t>
  </si>
  <si>
    <t xml:space="preserve">P038</t>
  </si>
  <si>
    <t xml:space="preserve">UNAUTH_GAIN_MOD</t>
  </si>
  <si>
    <t xml:space="preserve">Moderate unauthorized wage convergence factor</t>
  </si>
  <si>
    <t xml:space="preserve">Scenario parameter</t>
  </si>
  <si>
    <t xml:space="preserve">P039</t>
  </si>
  <si>
    <t xml:space="preserve">UNAUTH_GAIN_HIGH</t>
  </si>
  <si>
    <t xml:space="preserve">High unauthorized wage convergence factor</t>
  </si>
  <si>
    <t xml:space="preserve">P040</t>
  </si>
  <si>
    <t xml:space="preserve">FISCAL_MULT</t>
  </si>
  <si>
    <t xml:space="preserve">Fiscal multiplier for labor impact</t>
  </si>
  <si>
    <t xml:space="preserve">ITEP estimate</t>
  </si>
  <si>
    <t xml:space="preserve">AR-specific adj.</t>
  </si>
  <si>
    <t xml:space="preserve">P041</t>
  </si>
  <si>
    <t xml:space="preserve">INDUSTRY_SHARE[i]</t>
  </si>
  <si>
    <t xml:space="preserve">Varies</t>
  </si>
  <si>
    <t xml:space="preserve">Industry share of nonfarm (e.g., manu = 0.118, trade = 0.2)</t>
  </si>
  <si>
    <t xml:space="preserve">Sum to 1</t>
  </si>
  <si>
    <t xml:space="preserve">P042</t>
  </si>
  <si>
    <t xml:space="preserve">SEASONAL_ADJ_DEC</t>
  </si>
  <si>
    <t xml:space="preserve">December seasonal adjustment (hospitality/ag boost)</t>
  </si>
  <si>
    <t xml:space="preserve">BLS indices</t>
  </si>
  <si>
    <t xml:space="preserve">AR-specific</t>
  </si>
  <si>
    <t xml:space="preserve">P043</t>
  </si>
  <si>
    <t xml:space="preserve">WAGE_GAP_AUTH</t>
  </si>
  <si>
    <t xml:space="preserve">Wage gap factor for authorized immigrants</t>
  </si>
  <si>
    <t xml:space="preserve">ACS</t>
  </si>
  <si>
    <t xml:space="preserve">Relative to American</t>
  </si>
  <si>
    <t xml:space="preserve">P044</t>
  </si>
  <si>
    <t xml:space="preserve">WAGE_GAP_UNAUTH</t>
  </si>
  <si>
    <t xml:space="preserve">Wage gap factor for unauthorized immigrants</t>
  </si>
  <si>
    <t xml:space="preserve">MPI</t>
  </si>
  <si>
    <t xml:space="preserve">P045</t>
  </si>
  <si>
    <t xml:space="preserve">STATE_LOCAL_TAX_RATE</t>
  </si>
  <si>
    <t xml:space="preserve">Effective state/local tax rate</t>
  </si>
  <si>
    <t xml:space="preserve">ITEP AR</t>
  </si>
  <si>
    <t xml:space="preserve">Applied to income</t>
  </si>
  <si>
    <t xml:space="preserve">P046</t>
  </si>
  <si>
    <t xml:space="preserve">SS_MEDICARE_RATE</t>
  </si>
  <si>
    <t xml:space="preserve">SS/Medicare contribution rate</t>
  </si>
  <si>
    <t xml:space="preserve">Matches payroll</t>
  </si>
  <si>
    <t xml:space="preserve">P047</t>
  </si>
  <si>
    <t xml:space="preserve">PAUR_AMER_BASE[i]</t>
  </si>
  <si>
    <t xml:space="preserve">Base public assistance usage rate for American workers per industry</t>
  </si>
  <si>
    <t xml:space="preserve">Census/CMS</t>
  </si>
  <si>
    <t xml:space="preserve">Industry-specific</t>
  </si>
  <si>
    <t xml:space="preserve">P048</t>
  </si>
  <si>
    <t xml:space="preserve">PAUR_AUTH_BASE[i]</t>
  </si>
  <si>
    <t xml:space="preserve">Base for authorized immigrants</t>
  </si>
  <si>
    <t xml:space="preserve">Lower due to eligibility</t>
  </si>
  <si>
    <t xml:space="preserve">P049</t>
  </si>
  <si>
    <t xml:space="preserve">PAUR_UNAUTH_BASE[i]</t>
  </si>
  <si>
    <t xml:space="preserve">Base for unauthorized immigrants</t>
  </si>
  <si>
    <t xml:space="preserve">Very low eligibility</t>
  </si>
  <si>
    <t xml:space="preserve">P050</t>
  </si>
  <si>
    <t xml:space="preserve">FTER_BASE_IND[i]</t>
  </si>
  <si>
    <t xml:space="preserve">Base full-time employment rate per industry</t>
  </si>
  <si>
    <t xml:space="preserve">BLS CPS</t>
  </si>
  <si>
    <t xml:space="preserve">P051</t>
  </si>
  <si>
    <t xml:space="preserve">JTA_BASE_IND[i]</t>
  </si>
  <si>
    <t xml:space="preserve">Base job tenure average per industry (years)</t>
  </si>
  <si>
    <t xml:space="preserve">BLS JOLTS</t>
  </si>
  <si>
    <t xml:space="preserve">Immigrants lower</t>
  </si>
  <si>
    <t xml:space="preserve">P052</t>
  </si>
  <si>
    <t xml:space="preserve">TR_BASE_IND[i]</t>
  </si>
  <si>
    <t xml:space="preserve">Base turnover rate per industry</t>
  </si>
  <si>
    <t xml:space="preserve">Unauthorized higher</t>
  </si>
  <si>
    <t xml:space="preserve">P053</t>
  </si>
  <si>
    <t xml:space="preserve">LP_BASE_IND[i]</t>
  </si>
  <si>
    <t xml:space="preserve">Base labor productivity per industry ($/hr)</t>
  </si>
  <si>
    <t xml:space="preserve">BEA/BLS</t>
  </si>
  <si>
    <t xml:space="preserve">P054</t>
  </si>
  <si>
    <t xml:space="preserve">ELR_BASE_IND[i]</t>
  </si>
  <si>
    <t xml:space="preserve">Base education level required per industry (1=HS, 2=Some College, 3=Bachelors, etc.)</t>
  </si>
  <si>
    <t xml:space="preserve">BLS OOH</t>
  </si>
  <si>
    <t xml:space="preserve">LSD.RID.0.AR.CALC</t>
  </si>
  <si>
    <t xml:space="preserve">LSD.RID.0.AR.VALID</t>
  </si>
  <si>
    <t xml:space="preserve">Arkansas Labor Statistic Calculation Validation</t>
  </si>
  <si>
    <t xml:space="preserve">Metric</t>
  </si>
  <si>
    <t xml:space="preserve">Calculated Value</t>
  </si>
  <si>
    <t xml:space="preserve">Public Value</t>
  </si>
  <si>
    <t xml:space="preserve">Source</t>
  </si>
  <si>
    <t xml:space="preserve">Validation Rating</t>
  </si>
  <si>
    <t xml:space="preserve">Notes/Improvement</t>
  </si>
  <si>
    <t xml:space="preserve">AR.VALID.0</t>
  </si>
  <si>
    <t xml:space="preserve">Labor Force Population (Total)</t>
  </si>
  <si>
    <t xml:space="preserve">Exact match to seasonally adjusted civilian labor force.</t>
  </si>
  <si>
    <t xml:space="preserve">AR.VALID.1</t>
  </si>
  <si>
    <t xml:space="preserve">~47000–55000</t>
  </si>
  <si>
    <t xml:space="preserve">MPI 2023 est. adjusted to 2025</t>
  </si>
  <si>
    <t xml:space="preserve">Reasonable cap; MPI ~47k employed, ~50k LF plausible for AR small unauthorized population.</t>
  </si>
  <si>
    <t xml:space="preserve">AR.VALID.2</t>
  </si>
  <si>
    <t xml:space="preserve">N/A</t>
  </si>
  <si>
    <t xml:space="preserve">Derived from shares</t>
  </si>
  <si>
    <t xml:space="preserve">Consistent with AUTH_SHARE.</t>
  </si>
  <si>
    <t xml:space="preserve">AR.VALID.3</t>
  </si>
  <si>
    <t xml:space="preserve">Employment-to-Population Ratio (Total)</t>
  </si>
  <si>
    <t xml:space="preserve">Exact after calibration.</t>
  </si>
  <si>
    <t xml:space="preserve">AR.VALID.4</t>
  </si>
  <si>
    <t xml:space="preserve">Labor Force Participation Rate (Total)</t>
  </si>
  <si>
    <t xml:space="preserve">BLS LAUS</t>
  </si>
  <si>
    <t xml:space="preserve">Exact match to record high.</t>
  </si>
  <si>
    <t xml:space="preserve">AR.VALID.5</t>
  </si>
  <si>
    <t xml:space="preserve">Exact match.</t>
  </si>
  <si>
    <t xml:space="preserve">AR.VALID.6</t>
  </si>
  <si>
    <t xml:space="preserve">Derived from U3R ratio</t>
  </si>
  <si>
    <t xml:space="preserve">Consistent with BLS alt measures.</t>
  </si>
  <si>
    <t xml:space="preserve">AR.VALID.7</t>
  </si>
  <si>
    <t xml:space="preserve">Average Hourly Wage (Total)</t>
  </si>
  <si>
    <t xml:space="preserve">Exact target.</t>
  </si>
  <si>
    <t xml:space="preserve">AR.VALID.8</t>
  </si>
  <si>
    <t xml:space="preserve">Annual Income Average (Total)</t>
  </si>
  <si>
    <t xml:space="preserve">Annualized consistent.</t>
  </si>
  <si>
    <t xml:space="preserve">AR.VALID.9</t>
  </si>
  <si>
    <t xml:space="preserve">Total Federal PIT Revenue</t>
  </si>
  <si>
    <t xml:space="preserve">Consistent with payroll/income.</t>
  </si>
  <si>
    <t xml:space="preserve">AR.VALID.10</t>
  </si>
  <si>
    <t xml:space="preserve">Total Payroll Tax Revenue</t>
  </si>
  <si>
    <t xml:space="preserve">Consistent.</t>
  </si>
  <si>
    <t xml:space="preserve">AR.VALID.11</t>
  </si>
  <si>
    <t xml:space="preserve">Total EITC Refunds</t>
  </si>
  <si>
    <t xml:space="preserve">~150M</t>
  </si>
  <si>
    <t xml:space="preserve">IRS proxy</t>
  </si>
  <si>
    <t xml:space="preserve">Prorated.</t>
  </si>
  <si>
    <t xml:space="preserve">AR.VALID.12</t>
  </si>
  <si>
    <t xml:space="preserve">Total ACTC Refunds</t>
  </si>
  <si>
    <t xml:space="preserve">~120M</t>
  </si>
  <si>
    <t xml:space="preserve">IRS family</t>
  </si>
  <si>
    <t xml:space="preserve">AR.VALID.13</t>
  </si>
  <si>
    <t xml:space="preserve">Total AOTC Refunds</t>
  </si>
  <si>
    <t xml:space="preserve">~80M</t>
  </si>
  <si>
    <t xml:space="preserve">IRS education</t>
  </si>
  <si>
    <t xml:space="preserve">Aligned.</t>
  </si>
  <si>
    <t xml:space="preserve">AR.VALID.14</t>
  </si>
  <si>
    <t xml:space="preserve">Net Fiscal Impact (labor-related, inferred)</t>
  </si>
  <si>
    <t xml:space="preserve">+1.8–2.2B</t>
  </si>
  <si>
    <t xml:space="preserve">ITEP/MPI</t>
  </si>
  <si>
    <t xml:space="preserve">Positive net; improve with AR-specific study.</t>
  </si>
  <si>
    <t xml:space="preserve">AR.VALID.15</t>
  </si>
  <si>
    <t xml:space="preserve">NPV per Capita 2035 (baseline forecast)</t>
  </si>
  <si>
    <t xml:space="preserve">~28000–32000</t>
  </si>
  <si>
    <t xml:space="preserve">BEA projection</t>
  </si>
  <si>
    <t xml:space="preserve">Speculative; growth assumptions.</t>
  </si>
  <si>
    <t xml:space="preserve">AR.VALID.16</t>
  </si>
  <si>
    <t xml:space="preserve">Unauthorized Income Convergence Factor (moderate)</t>
  </si>
  <si>
    <t xml:space="preserve">0.75–0.85</t>
  </si>
  <si>
    <t xml:space="preserve">MPI range</t>
  </si>
  <si>
    <t xml:space="preserve">Mid-range scenario.</t>
  </si>
  <si>
    <t xml:space="preserve">AR.VALID.17</t>
  </si>
  <si>
    <t xml:space="preserve">Manufacturing Employment</t>
  </si>
  <si>
    <t xml:space="preserve">AR.VALID.18</t>
  </si>
  <si>
    <t xml:space="preserve">Leisure &amp; Hospitality Employment</t>
  </si>
  <si>
    <t xml:space="preserve">AR.VALID.19</t>
  </si>
  <si>
    <t xml:space="preserve">Construction Employment</t>
  </si>
  <si>
    <t xml:space="preserve">LSD.RID.0.AR.LFP</t>
  </si>
  <si>
    <t xml:space="preserve">Arkansas Labor Force Population (LFP)</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</si>
  <si>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t>
    </r>
    <r>
      <rPr>
        <sz val="10"/>
        <rFont val="Arial"/>
        <family val="2"/>
        <charset val="1"/>
      </rPr>
      <t xml:space="preserve"> </t>
    </r>
    <r>
      <rPr>
        <b val="true"/>
        <sz val="10"/>
        <rFont val="Arial"/>
        <family val="2"/>
        <charset val="1"/>
      </rPr>
      <t xml:space="preserve">Labor Force Population</t>
    </r>
    <r>
      <rPr>
        <sz val="10"/>
        <rFont val="Arial"/>
        <family val="2"/>
        <charset val="1"/>
      </rPr>
      <t xml:space="preserve"> By </t>
    </r>
    <r>
      <rPr>
        <u val="single"/>
        <sz val="10"/>
        <rFont val="Arial"/>
        <family val="2"/>
        <charset val="1"/>
      </rPr>
      <t xml:space="preserve">Industrial Labor Role</t>
    </r>
  </si>
  <si>
    <t xml:space="preserve">LIRVID</t>
  </si>
  <si>
    <t xml:space="preserve">Industry: Role</t>
  </si>
  <si>
    <t xml:space="preserve">LSD.RID.0.AR.ETPR</t>
  </si>
  <si>
    <t xml:space="preserve">Arkansas Employment-to-Population Ratio (ETPR)</t>
  </si>
  <si>
    <r>
      <rPr>
        <i val="true"/>
        <sz val="10"/>
        <rFont val="Arial"/>
        <family val="2"/>
        <charset val="1"/>
      </rPr>
      <t xml:space="preserve">Authorized, Unauthorized, American Laborer </t>
    </r>
    <r>
      <rPr>
        <b val="true"/>
        <sz val="10"/>
        <rFont val="Arial"/>
        <family val="2"/>
        <charset val="1"/>
      </rPr>
      <t xml:space="preserve">Employment-to-Population Ratio</t>
    </r>
    <r>
      <rPr>
        <i val="true"/>
        <sz val="10"/>
        <rFont val="Arial"/>
        <family val="2"/>
        <charset val="1"/>
      </rPr>
      <t xml:space="preserve"> By </t>
    </r>
    <r>
      <rPr>
        <u val="single"/>
        <sz val="10"/>
        <rFont val="Arial"/>
        <family val="2"/>
        <charset val="1"/>
      </rPr>
      <t xml:space="preserve">Industrial Labor Role</t>
    </r>
  </si>
  <si>
    <t xml:space="preserve">LSD.RID.0.AR.LFPR</t>
  </si>
  <si>
    <t xml:space="preserve">Arkansas Labor Force Participation Rate (LFPR)</t>
  </si>
  <si>
    <t xml:space="preserve">Labor Force Participation Rate (ETPR)</t>
  </si>
  <si>
    <r>
      <rPr>
        <i val="true"/>
        <sz val="10"/>
        <rFont val="Arial"/>
        <family val="2"/>
        <charset val="1"/>
      </rPr>
      <t xml:space="preserve">Authorized, Unauthorized, American Laborer </t>
    </r>
    <r>
      <rPr>
        <b val="true"/>
        <sz val="10"/>
        <rFont val="Arial"/>
        <family val="2"/>
        <charset val="1"/>
      </rPr>
      <t xml:space="preserve">Labor Force Participation Rate</t>
    </r>
    <r>
      <rPr>
        <i val="true"/>
        <sz val="10"/>
        <rFont val="Arial"/>
        <family val="2"/>
        <charset val="1"/>
      </rPr>
      <t xml:space="preserve"> By </t>
    </r>
    <r>
      <rPr>
        <u val="single"/>
        <sz val="10"/>
        <rFont val="Arial"/>
        <family val="2"/>
        <charset val="1"/>
      </rPr>
      <t xml:space="preserve">Industrial Labor Role</t>
    </r>
  </si>
  <si>
    <t xml:space="preserve">LSD.RID.0.AR.U3R</t>
  </si>
  <si>
    <t xml:space="preserve">Arkansas Unemployment Rate (U3R)</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</si>
  <si>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Unemployment Rate </t>
    </r>
    <r>
      <rPr>
        <sz val="10"/>
        <rFont val="Arial"/>
        <family val="2"/>
        <charset val="1"/>
      </rPr>
      <t xml:space="preserve">By </t>
    </r>
    <r>
      <rPr>
        <u val="single"/>
        <sz val="10"/>
        <rFont val="Arial"/>
        <family val="2"/>
        <charset val="1"/>
      </rPr>
      <t xml:space="preserve">Industrial Labor Role</t>
    </r>
  </si>
  <si>
    <t xml:space="preserve">LSD.RID.0.AR.U6R</t>
  </si>
  <si>
    <t xml:space="preserve">Arkansas Underemployment Rate (U6R)</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</si>
  <si>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Underemployment Rate </t>
    </r>
    <r>
      <rPr>
        <sz val="10"/>
        <rFont val="Arial"/>
        <family val="2"/>
        <charset val="1"/>
      </rPr>
      <t xml:space="preserve">By </t>
    </r>
    <r>
      <rPr>
        <u val="single"/>
        <sz val="10"/>
        <rFont val="Arial"/>
        <family val="2"/>
        <charset val="1"/>
      </rPr>
      <t xml:space="preserve">Industrial Labor Role</t>
    </r>
  </si>
  <si>
    <t xml:space="preserve">LSD.RID.0.AR.WAVG</t>
  </si>
  <si>
    <t xml:space="preserve">Arkansas Wage Average (WAVG)</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</si>
  <si>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Wage Average </t>
    </r>
    <r>
      <rPr>
        <sz val="10"/>
        <rFont val="Arial"/>
        <family val="2"/>
        <charset val="1"/>
      </rPr>
      <t xml:space="preserve">By </t>
    </r>
    <r>
      <rPr>
        <u val="single"/>
        <sz val="10"/>
        <rFont val="Arial"/>
        <family val="2"/>
        <charset val="1"/>
      </rPr>
      <t xml:space="preserve">Industrial Labor Role</t>
    </r>
  </si>
  <si>
    <t xml:space="preserve">LSD.RID.0.AR.AIAVG</t>
  </si>
  <si>
    <t xml:space="preserve">Arkansas Annual Income Average (AIAVG)</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</si>
  <si>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Annual Income Average </t>
    </r>
    <r>
      <rPr>
        <sz val="10"/>
        <rFont val="Arial"/>
        <family val="2"/>
        <charset val="1"/>
      </rPr>
      <t xml:space="preserve">By </t>
    </r>
    <r>
      <rPr>
        <u val="single"/>
        <sz val="10"/>
        <rFont val="Arial"/>
        <family val="2"/>
        <charset val="1"/>
      </rPr>
      <t xml:space="preserve">Industrial Labor Role</t>
    </r>
  </si>
  <si>
    <t xml:space="preserve">LSD.RID.0.AR.FPITREV</t>
  </si>
  <si>
    <t xml:space="preserve">Arkansas Federal Personal Income Tax Revenue (FPITREV)</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</si>
  <si>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Personal Income Tax </t>
    </r>
    <r>
      <rPr>
        <sz val="10"/>
        <rFont val="Arial"/>
        <family val="2"/>
        <charset val="1"/>
      </rPr>
      <t xml:space="preserve">By </t>
    </r>
    <r>
      <rPr>
        <u val="single"/>
        <sz val="10"/>
        <rFont val="Arial"/>
        <family val="2"/>
        <charset val="1"/>
      </rPr>
      <t xml:space="preserve">Industrial Labor Role</t>
    </r>
  </si>
  <si>
    <t xml:space="preserve">LSD.RID.0.AR.FPPTR</t>
  </si>
  <si>
    <t xml:space="preserve">Arkansas Federal Personal Payrol Tax Revenue</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</si>
  <si>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Payroll Tax </t>
    </r>
    <r>
      <rPr>
        <sz val="10"/>
        <rFont val="Arial"/>
        <family val="2"/>
        <charset val="1"/>
      </rPr>
      <t xml:space="preserve">By </t>
    </r>
    <r>
      <rPr>
        <u val="single"/>
        <sz val="10"/>
        <rFont val="Arial"/>
        <family val="2"/>
        <charset val="1"/>
      </rPr>
      <t xml:space="preserve">Industrial Labor Role</t>
    </r>
  </si>
  <si>
    <t xml:space="preserve">LSD.RID.0.AR.EITCREF</t>
  </si>
  <si>
    <t xml:space="preserve">Arkansas Earned Income Tax Credit Refund</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</si>
  <si>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Earned Income Tax Credit </t>
    </r>
    <r>
      <rPr>
        <sz val="10"/>
        <rFont val="Arial"/>
        <family val="2"/>
        <charset val="1"/>
      </rPr>
      <t xml:space="preserve">By </t>
    </r>
    <r>
      <rPr>
        <u val="single"/>
        <sz val="10"/>
        <rFont val="Arial"/>
        <family val="2"/>
        <charset val="1"/>
      </rPr>
      <t xml:space="preserve">Industrial Labor Role</t>
    </r>
  </si>
  <si>
    <t xml:space="preserve">LSD.RID.0.AR.ACTCREF</t>
  </si>
  <si>
    <t xml:space="preserve">Arkansas Additional Child Tax Credit Refund</t>
  </si>
  <si>
    <r>
      <rPr>
        <i val="true"/>
        <sz val="10"/>
        <rFont val="Arial"/>
        <family val="2"/>
        <charset val="1"/>
      </rPr>
      <t xml:space="preserve">Authorized, Unauthorized, American Laborer </t>
    </r>
    <r>
      <rPr>
        <b val="true"/>
        <sz val="10"/>
        <rFont val="Arial"/>
        <family val="2"/>
        <charset val="1"/>
      </rPr>
      <t xml:space="preserve">Additional Child Tax Credit</t>
    </r>
    <r>
      <rPr>
        <i val="true"/>
        <sz val="10"/>
        <rFont val="Arial"/>
        <family val="2"/>
        <charset val="1"/>
      </rPr>
      <t xml:space="preserve"> By </t>
    </r>
    <r>
      <rPr>
        <u val="single"/>
        <sz val="10"/>
        <rFont val="Arial"/>
        <family val="2"/>
        <charset val="1"/>
      </rPr>
      <t xml:space="preserve">Industrial Labor Role</t>
    </r>
  </si>
  <si>
    <t xml:space="preserve">LSD.RID.0.AR.AOTCREF</t>
  </si>
  <si>
    <t xml:space="preserve">Arkansas American Opportunity Tax Credit Refund</t>
  </si>
  <si>
    <r>
      <rPr>
        <sz val="10"/>
        <rFont val="Arial"/>
        <family val="2"/>
        <charset val="1"/>
      </rPr>
      <t xml:space="preserve">Authorized, Unauthorized, American Laborer </t>
    </r>
    <r>
      <rPr>
        <b val="true"/>
        <sz val="10"/>
        <rFont val="Arial"/>
        <family val="2"/>
        <charset val="1"/>
      </rPr>
      <t xml:space="preserve">American Opportunity Tax Credit</t>
    </r>
    <r>
      <rPr>
        <sz val="10"/>
        <rFont val="Arial"/>
        <family val="2"/>
        <charset val="1"/>
      </rPr>
      <t xml:space="preserve"> By </t>
    </r>
    <r>
      <rPr>
        <i val="true"/>
        <sz val="10"/>
        <rFont val="Arial"/>
        <family val="2"/>
        <charset val="1"/>
      </rPr>
      <t xml:space="preserve">Industrial Labor Role</t>
    </r>
  </si>
</sst>
</file>

<file path=xl/styles.xml><?xml version="1.0" encoding="utf-8"?>
<styleSheet xmlns="http://schemas.openxmlformats.org/spreadsheetml/2006/main">
  <numFmts count="11">
    <numFmt numFmtId="164" formatCode="General"/>
    <numFmt numFmtId="165" formatCode="\$#,##0.00_);&quot;($&quot;#,##0.00\)"/>
    <numFmt numFmtId="166" formatCode="\$#,##0_);[RED]&quot;($&quot;#,##0\)"/>
    <numFmt numFmtId="167" formatCode="mm/dd/yy"/>
    <numFmt numFmtId="168" formatCode="#,##0"/>
    <numFmt numFmtId="169" formatCode="0.00%"/>
    <numFmt numFmtId="170" formatCode="[$$-409]#,##0;\-[$$-409]#,##0"/>
    <numFmt numFmtId="171" formatCode="[$$-409]#,##0.00;\-[$$-409]#,##0.00"/>
    <numFmt numFmtId="172" formatCode="@"/>
    <numFmt numFmtId="173" formatCode="[$$-409]#,##0.00;[RED]\-[$$-409]#,##0.00"/>
    <numFmt numFmtId="174" formatCode="[$$-409]#,##0;[RED]\-[$$-409]#,##0"/>
  </numFmts>
  <fonts count="20">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sz val="10"/>
      <name val="arial"/>
      <family val="2"/>
      <charset val="1"/>
    </font>
    <font>
      <b val="true"/>
      <sz val="10"/>
      <name val="arial"/>
      <family val="2"/>
      <charset val="1"/>
    </font>
    <font>
      <b val="true"/>
      <sz val="10"/>
      <name val="Arial"/>
      <family val="2"/>
      <charset val="1"/>
    </font>
    <font>
      <b val="true"/>
      <sz val="10"/>
      <name val="Times New Roman"/>
      <family val="1"/>
      <charset val="1"/>
    </font>
    <font>
      <sz val="10"/>
      <name val="Times New Roman"/>
      <family val="1"/>
      <charset val="1"/>
    </font>
    <font>
      <i val="true"/>
      <sz val="10"/>
      <name val="Arial"/>
      <family val="2"/>
      <charset val="1"/>
    </font>
    <font>
      <u val="single"/>
      <sz val="10"/>
      <name val="Arial"/>
      <family val="2"/>
      <charset val="1"/>
    </font>
    <font>
      <sz val="12"/>
      <color rgb="FF000000"/>
      <name val="Arial"/>
      <family val="2"/>
    </font>
    <font>
      <sz val="7"/>
      <color rgb="FF000000"/>
      <name val="Arial"/>
      <family val="2"/>
    </font>
    <font>
      <sz val="8"/>
      <color rgb="FF000000"/>
      <name val="Arial"/>
      <family val="2"/>
    </font>
    <font>
      <sz val="9"/>
      <color rgb="FF000000"/>
      <name val="Arial"/>
      <family val="2"/>
    </font>
    <font>
      <sz val="10"/>
      <color rgb="FF000000"/>
      <name val="Arial"/>
      <family val="2"/>
    </font>
    <font>
      <b val="true"/>
      <sz val="7"/>
      <color rgb="FFFFFFFF"/>
      <name val="Arial"/>
      <family val="2"/>
    </font>
    <font>
      <sz val="7"/>
      <color rgb="FFFFFFFF"/>
      <name val="Arial"/>
      <family val="2"/>
    </font>
  </fonts>
  <fills count="19">
    <fill>
      <patternFill patternType="none"/>
    </fill>
    <fill>
      <patternFill patternType="gray125"/>
    </fill>
    <fill>
      <patternFill patternType="solid">
        <fgColor rgb="FF333300"/>
        <bgColor rgb="FF333333"/>
      </patternFill>
    </fill>
    <fill>
      <patternFill patternType="solid">
        <fgColor rgb="FFFFCC00"/>
        <bgColor rgb="FFFFBF00"/>
      </patternFill>
    </fill>
    <fill>
      <patternFill patternType="solid">
        <fgColor rgb="FF666666"/>
        <bgColor rgb="FF6B5E9B"/>
      </patternFill>
    </fill>
    <fill>
      <patternFill patternType="solid">
        <fgColor rgb="FF999999"/>
        <bgColor rgb="FFB3B3B3"/>
      </patternFill>
    </fill>
    <fill>
      <patternFill patternType="solid">
        <fgColor rgb="FFFFFFFF"/>
        <bgColor rgb="FFFFFFCC"/>
      </patternFill>
    </fill>
    <fill>
      <patternFill patternType="solid">
        <fgColor rgb="FFFFFF00"/>
        <bgColor rgb="FFE6E905"/>
      </patternFill>
    </fill>
    <fill>
      <patternFill patternType="solid">
        <fgColor rgb="FF81D41A"/>
        <bgColor rgb="FFBBE33D"/>
      </patternFill>
    </fill>
    <fill>
      <patternFill patternType="solid">
        <fgColor rgb="FF00A933"/>
        <bgColor rgb="FF158466"/>
      </patternFill>
    </fill>
    <fill>
      <patternFill patternType="solid">
        <fgColor rgb="FF158466"/>
        <bgColor rgb="FF008080"/>
      </patternFill>
    </fill>
    <fill>
      <patternFill patternType="solid">
        <fgColor rgb="FF2A6099"/>
        <bgColor rgb="FF004586"/>
      </patternFill>
    </fill>
    <fill>
      <patternFill patternType="solid">
        <fgColor rgb="FF55308D"/>
        <bgColor rgb="FF8D1D75"/>
      </patternFill>
    </fill>
    <fill>
      <patternFill patternType="solid">
        <fgColor rgb="FF800080"/>
        <bgColor rgb="FF660066"/>
      </patternFill>
    </fill>
    <fill>
      <patternFill patternType="solid">
        <fgColor rgb="FFBF0041"/>
        <bgColor rgb="FFD62E4E"/>
      </patternFill>
    </fill>
    <fill>
      <patternFill patternType="solid">
        <fgColor rgb="FFFF0000"/>
        <bgColor rgb="FFBF0041"/>
      </patternFill>
    </fill>
    <fill>
      <patternFill patternType="solid">
        <fgColor rgb="FFFF4000"/>
        <bgColor rgb="FFFF420E"/>
      </patternFill>
    </fill>
    <fill>
      <patternFill patternType="solid">
        <fgColor rgb="FFFF8000"/>
        <bgColor rgb="FFEA7500"/>
      </patternFill>
    </fill>
    <fill>
      <patternFill patternType="solid">
        <fgColor rgb="FFFFBF00"/>
        <bgColor rgb="FFFFCC0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7" fontId="7"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8" fillId="5" borderId="0" xfId="0" applyFont="true" applyBorder="false" applyAlignment="true" applyProtection="true">
      <alignment horizontal="right" vertical="bottom" textRotation="0" wrapText="false" indent="0" shrinkToFit="false"/>
      <protection locked="true" hidden="false"/>
    </xf>
    <xf numFmtId="164" fontId="8" fillId="6" borderId="0" xfId="0" applyFont="true" applyBorder="false" applyAlignment="true" applyProtection="true">
      <alignment horizontal="right" vertical="bottom" textRotation="0" wrapText="false" indent="0" shrinkToFit="false"/>
      <protection locked="true" hidden="false"/>
    </xf>
    <xf numFmtId="164" fontId="8" fillId="7" borderId="0" xfId="0" applyFont="true" applyBorder="false" applyAlignment="true" applyProtection="true">
      <alignment horizontal="right" vertical="bottom" textRotation="0" wrapText="false" indent="0" shrinkToFit="false"/>
      <protection locked="true" hidden="false"/>
    </xf>
    <xf numFmtId="164" fontId="8" fillId="8" borderId="0" xfId="0" applyFont="true" applyBorder="false" applyAlignment="true" applyProtection="true">
      <alignment horizontal="right" vertical="bottom" textRotation="0" wrapText="false" indent="0" shrinkToFit="false"/>
      <protection locked="true" hidden="false"/>
    </xf>
    <xf numFmtId="164" fontId="8" fillId="9" borderId="0" xfId="0" applyFont="true" applyBorder="false" applyAlignment="true" applyProtection="true">
      <alignment horizontal="right" vertical="bottom" textRotation="0" wrapText="false" indent="0" shrinkToFit="false"/>
      <protection locked="true" hidden="false"/>
    </xf>
    <xf numFmtId="164" fontId="8" fillId="10" borderId="0" xfId="0" applyFont="true" applyBorder="false" applyAlignment="true" applyProtection="true">
      <alignment horizontal="right" vertical="bottom" textRotation="0" wrapText="false" indent="0" shrinkToFit="false"/>
      <protection locked="true" hidden="false"/>
    </xf>
    <xf numFmtId="164" fontId="8" fillId="11" borderId="0" xfId="0" applyFont="true" applyBorder="false" applyAlignment="true" applyProtection="true">
      <alignment horizontal="right" vertical="bottom" textRotation="0" wrapText="false" indent="0" shrinkToFit="false"/>
      <protection locked="true" hidden="false"/>
    </xf>
    <xf numFmtId="164" fontId="8" fillId="12" borderId="0" xfId="0" applyFont="true" applyBorder="false" applyAlignment="true" applyProtection="true">
      <alignment horizontal="right" vertical="bottom" textRotation="0" wrapText="false" indent="0" shrinkToFit="false"/>
      <protection locked="true" hidden="false"/>
    </xf>
    <xf numFmtId="164" fontId="8" fillId="13" borderId="0" xfId="0" applyFont="true" applyBorder="false" applyAlignment="true" applyProtection="true">
      <alignment horizontal="right" vertical="bottom" textRotation="0" wrapText="false" indent="0" shrinkToFit="false"/>
      <protection locked="true" hidden="false"/>
    </xf>
    <xf numFmtId="164" fontId="8" fillId="14" borderId="0" xfId="0" applyFont="true" applyBorder="false" applyAlignment="true" applyProtection="true">
      <alignment horizontal="right" vertical="bottom" textRotation="0" wrapText="false" indent="0" shrinkToFit="false"/>
      <protection locked="true" hidden="false"/>
    </xf>
    <xf numFmtId="164" fontId="8" fillId="15" borderId="0" xfId="0" applyFont="true" applyBorder="false" applyAlignment="true" applyProtection="true">
      <alignment horizontal="right" vertical="bottom" textRotation="0" wrapText="false" indent="0" shrinkToFit="false"/>
      <protection locked="true" hidden="false"/>
    </xf>
    <xf numFmtId="164" fontId="8" fillId="16" borderId="0" xfId="0" applyFont="true" applyBorder="false" applyAlignment="true" applyProtection="true">
      <alignment horizontal="right" vertical="bottom" textRotation="0" wrapText="false" indent="0" shrinkToFit="false"/>
      <protection locked="true" hidden="false"/>
    </xf>
    <xf numFmtId="164" fontId="8" fillId="17" borderId="0" xfId="0" applyFont="true" applyBorder="false" applyAlignment="true" applyProtection="true">
      <alignment horizontal="right" vertical="bottom" textRotation="0" wrapText="false" indent="0" shrinkToFit="false"/>
      <protection locked="true" hidden="false"/>
    </xf>
    <xf numFmtId="164" fontId="8" fillId="18"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tru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true" hidden="false"/>
    </xf>
    <xf numFmtId="168" fontId="8" fillId="0" borderId="0" xfId="0" applyFont="true" applyBorder="false" applyAlignment="true" applyProtection="true">
      <alignment horizontal="center" vertical="bottom" textRotation="0" wrapText="true" indent="0" shrinkToFit="false"/>
      <protection locked="true" hidden="false"/>
    </xf>
    <xf numFmtId="169" fontId="8" fillId="0" borderId="0" xfId="0" applyFont="true" applyBorder="false" applyAlignment="true" applyProtection="true">
      <alignment horizontal="general" vertical="bottom" textRotation="0" wrapText="true" indent="0" shrinkToFit="false"/>
      <protection locked="true" hidden="false"/>
    </xf>
    <xf numFmtId="169" fontId="9"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9" fontId="8" fillId="0" borderId="0" xfId="0" applyFont="true" applyBorder="false" applyAlignment="true" applyProtection="true">
      <alignment horizontal="center" vertical="bottom" textRotation="0" wrapText="true" indent="0" shrinkToFit="false"/>
      <protection locked="true" hidden="false"/>
    </xf>
    <xf numFmtId="170" fontId="8" fillId="0" borderId="0" xfId="0" applyFont="true" applyBorder="false" applyAlignment="true" applyProtection="true">
      <alignment horizontal="center" vertical="bottom" textRotation="0" wrapText="true" indent="0" shrinkToFit="false"/>
      <protection locked="true" hidden="false"/>
    </xf>
    <xf numFmtId="171" fontId="8"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center" vertical="bottom" textRotation="0" wrapText="true" indent="0" shrinkToFit="false"/>
      <protection locked="true" hidden="false"/>
    </xf>
    <xf numFmtId="173" fontId="8" fillId="0" borderId="0" xfId="0" applyFont="true" applyBorder="false" applyAlignment="true" applyProtection="true">
      <alignment horizontal="center" vertical="bottom" textRotation="0" wrapText="true" indent="0" shrinkToFit="false"/>
      <protection locked="true" hidden="false"/>
    </xf>
    <xf numFmtId="173" fontId="0" fillId="0" borderId="0" xfId="0" applyFont="true" applyBorder="false" applyAlignment="true" applyProtection="true">
      <alignment horizontal="center" vertical="bottom" textRotation="0" wrapText="true" indent="0" shrinkToFit="false"/>
      <protection locked="true" hidden="false"/>
    </xf>
    <xf numFmtId="174" fontId="8" fillId="0" borderId="0" xfId="0" applyFont="true" applyBorder="false" applyAlignment="true" applyProtection="true">
      <alignment horizontal="center" vertical="bottom" textRotation="0" wrapText="true" indent="0" shrinkToFit="false"/>
      <protection locked="true" hidden="false"/>
    </xf>
    <xf numFmtId="174" fontId="0" fillId="0" borderId="0" xfId="0" applyFont="true" applyBorder="false" applyAlignment="true" applyProtection="true">
      <alignment horizontal="center" vertical="bottom" textRotation="0" wrapText="true" indent="0" shrinkToFit="false"/>
      <protection locked="true" hidden="false"/>
    </xf>
    <xf numFmtId="170" fontId="0"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FF00"/>
      <rgbColor rgb="FFFF3838"/>
      <rgbColor rgb="FF00FFFF"/>
      <rgbColor rgb="FFFF420E"/>
      <rgbColor rgb="FF00A933"/>
      <rgbColor rgb="FF000080"/>
      <rgbColor rgb="FF579D1C"/>
      <rgbColor rgb="FF800080"/>
      <rgbColor rgb="FF158466"/>
      <rgbColor rgb="FFC0C0C0"/>
      <rgbColor rgb="FF666666"/>
      <rgbColor rgb="FF9999FF"/>
      <rgbColor rgb="FF8D1D75"/>
      <rgbColor rgb="FFFFFFCC"/>
      <rgbColor rgb="FFCCFFFF"/>
      <rgbColor rgb="FF660066"/>
      <rgbColor rgb="FFFF8000"/>
      <rgbColor rgb="FF2A6099"/>
      <rgbColor rgb="FFCCCCCC"/>
      <rgbColor rgb="FF000080"/>
      <rgbColor rgb="FFFF00FF"/>
      <rgbColor rgb="FFE6E905"/>
      <rgbColor rgb="FF00FFFF"/>
      <rgbColor rgb="FFBF0041"/>
      <rgbColor rgb="FF800000"/>
      <rgbColor rgb="FF008080"/>
      <rgbColor rgb="FF0000FF"/>
      <rgbColor rgb="FF00CCFF"/>
      <rgbColor rgb="FFCCFFFF"/>
      <rgbColor rgb="FFCCFFCC"/>
      <rgbColor rgb="FFBBE33D"/>
      <rgbColor rgb="FFB3B3B3"/>
      <rgbColor rgb="FFFFBF00"/>
      <rgbColor rgb="FFFF5429"/>
      <rgbColor rgb="FFFFD320"/>
      <rgbColor rgb="FF5983B0"/>
      <rgbColor rgb="FF3FAF46"/>
      <rgbColor rgb="FF81D41A"/>
      <rgbColor rgb="FFFFCC00"/>
      <rgbColor rgb="FFE8A202"/>
      <rgbColor rgb="FFEA7500"/>
      <rgbColor rgb="FF6B5E9B"/>
      <rgbColor rgb="FF999999"/>
      <rgbColor rgb="FF004586"/>
      <rgbColor rgb="FF50938A"/>
      <rgbColor rgb="FF003300"/>
      <rgbColor rgb="FF333300"/>
      <rgbColor rgb="FFFF4000"/>
      <rgbColor rgb="FFD62E4E"/>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Population</a:t>
            </a:r>
          </a:p>
        </c:rich>
      </c:tx>
      <c:layout>
        <c:manualLayout>
          <c:xMode val="edge"/>
          <c:yMode val="edge"/>
          <c:x val="0.275964040690797"/>
          <c:y val="0.010738387271563"/>
        </c:manualLayout>
      </c:layout>
      <c:overlay val="0"/>
      <c:spPr>
        <a:noFill/>
        <a:ln w="0">
          <a:noFill/>
        </a:ln>
      </c:spPr>
    </c:title>
    <c:autoTitleDeleted val="0"/>
    <c:plotArea>
      <c:layout>
        <c:manualLayout>
          <c:layoutTarget val="inner"/>
          <c:xMode val="edge"/>
          <c:yMode val="edge"/>
          <c:x val="0.299148332150461"/>
          <c:y val="0.0468696123343678"/>
          <c:w val="0.521409983439792"/>
          <c:h val="0.874144130830994"/>
        </c:manualLayout>
      </c:layout>
      <c:barChart>
        <c:barDir val="bar"/>
        <c:grouping val="clustered"/>
        <c:varyColors val="0"/>
        <c:ser>
          <c:idx val="0"/>
          <c:order val="0"/>
          <c:tx>
            <c:strRef>
              <c:f>LFP!$C$2</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LFP!$C$4:$C$29</c:f>
              <c:numCache>
                <c:formatCode>General</c:formatCode>
                <c:ptCount val="26"/>
                <c:pt idx="0">
                  <c:v>28319</c:v>
                </c:pt>
                <c:pt idx="1">
                  <c:v>7080</c:v>
                </c:pt>
                <c:pt idx="2">
                  <c:v>55363</c:v>
                </c:pt>
                <c:pt idx="3">
                  <c:v>13841</c:v>
                </c:pt>
                <c:pt idx="4">
                  <c:v>119700</c:v>
                </c:pt>
                <c:pt idx="5">
                  <c:v>29925</c:v>
                </c:pt>
                <c:pt idx="6">
                  <c:v>42500</c:v>
                </c:pt>
                <c:pt idx="7">
                  <c:v>10625</c:v>
                </c:pt>
                <c:pt idx="8">
                  <c:v>149040</c:v>
                </c:pt>
                <c:pt idx="9">
                  <c:v>37921</c:v>
                </c:pt>
                <c:pt idx="10">
                  <c:v>109556</c:v>
                </c:pt>
                <c:pt idx="11">
                  <c:v>36519</c:v>
                </c:pt>
                <c:pt idx="12">
                  <c:v>122703</c:v>
                </c:pt>
                <c:pt idx="13">
                  <c:v>52587</c:v>
                </c:pt>
                <c:pt idx="14">
                  <c:v>18625</c:v>
                </c:pt>
                <c:pt idx="15">
                  <c:v>3287</c:v>
                </c:pt>
                <c:pt idx="16">
                  <c:v>23372</c:v>
                </c:pt>
                <c:pt idx="17">
                  <c:v>5843</c:v>
                </c:pt>
                <c:pt idx="18">
                  <c:v>175290</c:v>
                </c:pt>
                <c:pt idx="19">
                  <c:v>43823</c:v>
                </c:pt>
                <c:pt idx="20">
                  <c:v>85000</c:v>
                </c:pt>
                <c:pt idx="21">
                  <c:v>21250</c:v>
                </c:pt>
                <c:pt idx="22">
                  <c:v>85000</c:v>
                </c:pt>
                <c:pt idx="23">
                  <c:v>21250</c:v>
                </c:pt>
                <c:pt idx="24">
                  <c:v>42500</c:v>
                </c:pt>
                <c:pt idx="25">
                  <c:v>10625</c:v>
                </c:pt>
              </c:numCache>
            </c:numRef>
          </c:val>
        </c:ser>
        <c:ser>
          <c:idx val="1"/>
          <c:order val="1"/>
          <c:tx>
            <c:strRef>
              <c:f>LFP!$D$2</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LFP!$D$4:$D$29</c:f>
              <c:numCache>
                <c:formatCode>General</c:formatCode>
                <c:ptCount val="26"/>
                <c:pt idx="0">
                  <c:v>1133</c:v>
                </c:pt>
                <c:pt idx="1">
                  <c:v>283</c:v>
                </c:pt>
                <c:pt idx="2">
                  <c:v>2215</c:v>
                </c:pt>
                <c:pt idx="3">
                  <c:v>554</c:v>
                </c:pt>
                <c:pt idx="4">
                  <c:v>4788</c:v>
                </c:pt>
                <c:pt idx="5">
                  <c:v>1197</c:v>
                </c:pt>
                <c:pt idx="6">
                  <c:v>1700</c:v>
                </c:pt>
                <c:pt idx="7">
                  <c:v>425</c:v>
                </c:pt>
                <c:pt idx="8">
                  <c:v>5962</c:v>
                </c:pt>
                <c:pt idx="9">
                  <c:v>1517</c:v>
                </c:pt>
                <c:pt idx="10">
                  <c:v>4382</c:v>
                </c:pt>
                <c:pt idx="11">
                  <c:v>1461</c:v>
                </c:pt>
                <c:pt idx="12">
                  <c:v>4908</c:v>
                </c:pt>
                <c:pt idx="13">
                  <c:v>2103</c:v>
                </c:pt>
                <c:pt idx="14">
                  <c:v>745</c:v>
                </c:pt>
                <c:pt idx="15">
                  <c:v>131</c:v>
                </c:pt>
                <c:pt idx="16">
                  <c:v>935</c:v>
                </c:pt>
                <c:pt idx="17">
                  <c:v>234</c:v>
                </c:pt>
                <c:pt idx="18">
                  <c:v>7012</c:v>
                </c:pt>
                <c:pt idx="19">
                  <c:v>1753</c:v>
                </c:pt>
                <c:pt idx="20">
                  <c:v>3400</c:v>
                </c:pt>
                <c:pt idx="21">
                  <c:v>850</c:v>
                </c:pt>
                <c:pt idx="22">
                  <c:v>3400</c:v>
                </c:pt>
                <c:pt idx="23">
                  <c:v>850</c:v>
                </c:pt>
                <c:pt idx="24">
                  <c:v>1700</c:v>
                </c:pt>
                <c:pt idx="25">
                  <c:v>425</c:v>
                </c:pt>
              </c:numCache>
            </c:numRef>
          </c:val>
        </c:ser>
        <c:ser>
          <c:idx val="2"/>
          <c:order val="2"/>
          <c:tx>
            <c:strRef>
              <c:f>LFP!$E$2</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LFP!$E$4:$E$29</c:f>
              <c:numCache>
                <c:formatCode>General</c:formatCode>
                <c:ptCount val="26"/>
                <c:pt idx="0">
                  <c:v>1962</c:v>
                </c:pt>
                <c:pt idx="1">
                  <c:v>491</c:v>
                </c:pt>
                <c:pt idx="2">
                  <c:v>5754</c:v>
                </c:pt>
                <c:pt idx="3">
                  <c:v>1439</c:v>
                </c:pt>
                <c:pt idx="4">
                  <c:v>9576</c:v>
                </c:pt>
                <c:pt idx="5">
                  <c:v>2394</c:v>
                </c:pt>
                <c:pt idx="6">
                  <c:v>4250</c:v>
                </c:pt>
                <c:pt idx="7">
                  <c:v>1063</c:v>
                </c:pt>
                <c:pt idx="8">
                  <c:v>11924</c:v>
                </c:pt>
                <c:pt idx="9">
                  <c:v>5309</c:v>
                </c:pt>
                <c:pt idx="10">
                  <c:v>10956</c:v>
                </c:pt>
                <c:pt idx="11">
                  <c:v>3652</c:v>
                </c:pt>
                <c:pt idx="12">
                  <c:v>9816</c:v>
                </c:pt>
                <c:pt idx="13">
                  <c:v>4207</c:v>
                </c:pt>
                <c:pt idx="14">
                  <c:v>2794</c:v>
                </c:pt>
                <c:pt idx="15">
                  <c:v>493</c:v>
                </c:pt>
                <c:pt idx="16">
                  <c:v>2805</c:v>
                </c:pt>
                <c:pt idx="17">
                  <c:v>701</c:v>
                </c:pt>
                <c:pt idx="18">
                  <c:v>8765</c:v>
                </c:pt>
                <c:pt idx="19">
                  <c:v>2191</c:v>
                </c:pt>
                <c:pt idx="20">
                  <c:v>6800</c:v>
                </c:pt>
                <c:pt idx="21">
                  <c:v>1700</c:v>
                </c:pt>
                <c:pt idx="22">
                  <c:v>6800</c:v>
                </c:pt>
                <c:pt idx="23">
                  <c:v>1700</c:v>
                </c:pt>
                <c:pt idx="24">
                  <c:v>3400</c:v>
                </c:pt>
                <c:pt idx="25">
                  <c:v>850</c:v>
                </c:pt>
              </c:numCache>
            </c:numRef>
          </c:val>
        </c:ser>
        <c:ser>
          <c:idx val="3"/>
          <c:order val="3"/>
          <c:tx>
            <c:strRef>
              <c:f>LFP!$F$2</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LFP!$F$4:$F$29</c:f>
              <c:numCache>
                <c:formatCode>General</c:formatCode>
                <c:ptCount val="26"/>
                <c:pt idx="0">
                  <c:v>23788</c:v>
                </c:pt>
                <c:pt idx="1">
                  <c:v>5947</c:v>
                </c:pt>
                <c:pt idx="2">
                  <c:v>43183</c:v>
                </c:pt>
                <c:pt idx="3">
                  <c:v>10796</c:v>
                </c:pt>
                <c:pt idx="4">
                  <c:v>99336</c:v>
                </c:pt>
                <c:pt idx="5">
                  <c:v>24834</c:v>
                </c:pt>
                <c:pt idx="6">
                  <c:v>36550</c:v>
                </c:pt>
                <c:pt idx="7">
                  <c:v>9138</c:v>
                </c:pt>
                <c:pt idx="8">
                  <c:v>131154</c:v>
                </c:pt>
                <c:pt idx="9">
                  <c:v>31095</c:v>
                </c:pt>
                <c:pt idx="10">
                  <c:v>94218</c:v>
                </c:pt>
                <c:pt idx="11">
                  <c:v>31406</c:v>
                </c:pt>
                <c:pt idx="12">
                  <c:v>107979</c:v>
                </c:pt>
                <c:pt idx="13">
                  <c:v>46277</c:v>
                </c:pt>
                <c:pt idx="14">
                  <c:v>15086</c:v>
                </c:pt>
                <c:pt idx="15">
                  <c:v>2662</c:v>
                </c:pt>
                <c:pt idx="16">
                  <c:v>19633</c:v>
                </c:pt>
                <c:pt idx="17">
                  <c:v>4908</c:v>
                </c:pt>
                <c:pt idx="18">
                  <c:v>159514</c:v>
                </c:pt>
                <c:pt idx="19">
                  <c:v>39879</c:v>
                </c:pt>
                <c:pt idx="20">
                  <c:v>74800</c:v>
                </c:pt>
                <c:pt idx="21">
                  <c:v>18700</c:v>
                </c:pt>
                <c:pt idx="22">
                  <c:v>74800</c:v>
                </c:pt>
                <c:pt idx="23">
                  <c:v>18700</c:v>
                </c:pt>
                <c:pt idx="24">
                  <c:v>37400</c:v>
                </c:pt>
                <c:pt idx="25">
                  <c:v>9350</c:v>
                </c:pt>
              </c:numCache>
            </c:numRef>
          </c:val>
        </c:ser>
        <c:gapWidth val="100"/>
        <c:overlap val="0"/>
        <c:axId val="526666"/>
        <c:axId val="74602822"/>
      </c:barChart>
      <c:catAx>
        <c:axId val="52666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2276735136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4602822"/>
        <c:crosses val="autoZero"/>
        <c:auto val="1"/>
        <c:lblAlgn val="ctr"/>
        <c:lblOffset val="100"/>
        <c:noMultiLvlLbl val="0"/>
      </c:catAx>
      <c:valAx>
        <c:axId val="7460282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0604841889441"/>
              <c:y val="0.96933648588739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26666"/>
        <c:crosses val="max"/>
        <c:crossBetween val="midCat"/>
      </c:valAx>
      <c:spPr>
        <a:noFill/>
        <a:ln w="0">
          <a:solidFill>
            <a:srgbClr val="b3b3b3"/>
          </a:solidFill>
        </a:ln>
      </c:spPr>
    </c:plotArea>
    <c:legend>
      <c:legendPos val="r"/>
      <c:layout>
        <c:manualLayout>
          <c:xMode val="edge"/>
          <c:yMode val="edge"/>
          <c:x val="0.85476687817759"/>
          <c:y val="0.0768719375569399"/>
          <c:w val="0.119777707709286"/>
          <c:h val="0.111764995567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Population</a:t>
            </a:r>
          </a:p>
        </c:rich>
      </c:tx>
      <c:layout>
        <c:manualLayout>
          <c:xMode val="edge"/>
          <c:yMode val="edge"/>
          <c:x val="0.275964040690797"/>
          <c:y val="0.010738387271563"/>
        </c:manualLayout>
      </c:layout>
      <c:overlay val="0"/>
      <c:spPr>
        <a:noFill/>
        <a:ln w="0">
          <a:noFill/>
        </a:ln>
      </c:spPr>
    </c:title>
    <c:autoTitleDeleted val="0"/>
    <c:plotArea>
      <c:layout>
        <c:manualLayout>
          <c:layoutTarget val="inner"/>
          <c:xMode val="edge"/>
          <c:yMode val="edge"/>
          <c:x val="0.299148332150461"/>
          <c:y val="0.0468696123343678"/>
          <c:w val="0.521409983439792"/>
          <c:h val="0.874144130830994"/>
        </c:manualLayout>
      </c:layout>
      <c:barChart>
        <c:barDir val="bar"/>
        <c:grouping val="clustered"/>
        <c:varyColors val="0"/>
        <c:ser>
          <c:idx val="0"/>
          <c:order val="0"/>
          <c:tx>
            <c:strRef>
              <c:f>LFP!$C$2</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LFP!$C$30:$C$55</c:f>
              <c:numCache>
                <c:formatCode>General</c:formatCode>
                <c:ptCount val="26"/>
                <c:pt idx="0">
                  <c:v>21250</c:v>
                </c:pt>
                <c:pt idx="1">
                  <c:v>5312</c:v>
                </c:pt>
                <c:pt idx="2">
                  <c:v>85000</c:v>
                </c:pt>
                <c:pt idx="3">
                  <c:v>21250</c:v>
                </c:pt>
                <c:pt idx="4">
                  <c:v>85000</c:v>
                </c:pt>
                <c:pt idx="5">
                  <c:v>212500</c:v>
                </c:pt>
                <c:pt idx="6">
                  <c:v>17000</c:v>
                </c:pt>
                <c:pt idx="7">
                  <c:v>68000</c:v>
                </c:pt>
                <c:pt idx="8">
                  <c:v>8500</c:v>
                </c:pt>
                <c:pt idx="9">
                  <c:v>21250</c:v>
                </c:pt>
                <c:pt idx="10">
                  <c:v>4250</c:v>
                </c:pt>
                <c:pt idx="11">
                  <c:v>17000</c:v>
                </c:pt>
                <c:pt idx="12">
                  <c:v>21250</c:v>
                </c:pt>
                <c:pt idx="13">
                  <c:v>85000</c:v>
                </c:pt>
                <c:pt idx="14">
                  <c:v>4250</c:v>
                </c:pt>
                <c:pt idx="15">
                  <c:v>17000</c:v>
                </c:pt>
                <c:pt idx="16">
                  <c:v>8500</c:v>
                </c:pt>
                <c:pt idx="17">
                  <c:v>34000</c:v>
                </c:pt>
                <c:pt idx="18">
                  <c:v>4250</c:v>
                </c:pt>
                <c:pt idx="19">
                  <c:v>17000</c:v>
                </c:pt>
                <c:pt idx="20">
                  <c:v>10625</c:v>
                </c:pt>
                <c:pt idx="21">
                  <c:v>42500</c:v>
                </c:pt>
                <c:pt idx="22">
                  <c:v>31875</c:v>
                </c:pt>
                <c:pt idx="23">
                  <c:v>127500</c:v>
                </c:pt>
                <c:pt idx="24">
                  <c:v>21250</c:v>
                </c:pt>
                <c:pt idx="25">
                  <c:v>85000</c:v>
                </c:pt>
              </c:numCache>
            </c:numRef>
          </c:val>
        </c:ser>
        <c:ser>
          <c:idx val="1"/>
          <c:order val="1"/>
          <c:tx>
            <c:strRef>
              <c:f>LFP!$D$2</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LFP!$D$30:$D$55</c:f>
              <c:numCache>
                <c:formatCode>General</c:formatCode>
                <c:ptCount val="26"/>
                <c:pt idx="0">
                  <c:v>850</c:v>
                </c:pt>
                <c:pt idx="1">
                  <c:v>212</c:v>
                </c:pt>
                <c:pt idx="2">
                  <c:v>3400</c:v>
                </c:pt>
                <c:pt idx="3">
                  <c:v>850</c:v>
                </c:pt>
                <c:pt idx="4">
                  <c:v>3400</c:v>
                </c:pt>
                <c:pt idx="5">
                  <c:v>8500</c:v>
                </c:pt>
                <c:pt idx="6">
                  <c:v>680</c:v>
                </c:pt>
                <c:pt idx="7">
                  <c:v>2720</c:v>
                </c:pt>
                <c:pt idx="8">
                  <c:v>340</c:v>
                </c:pt>
                <c:pt idx="9">
                  <c:v>850</c:v>
                </c:pt>
                <c:pt idx="10">
                  <c:v>170</c:v>
                </c:pt>
                <c:pt idx="11">
                  <c:v>680</c:v>
                </c:pt>
                <c:pt idx="12">
                  <c:v>850</c:v>
                </c:pt>
                <c:pt idx="13">
                  <c:v>3400</c:v>
                </c:pt>
                <c:pt idx="14">
                  <c:v>170</c:v>
                </c:pt>
                <c:pt idx="15">
                  <c:v>680</c:v>
                </c:pt>
                <c:pt idx="16">
                  <c:v>340</c:v>
                </c:pt>
                <c:pt idx="17">
                  <c:v>1360</c:v>
                </c:pt>
                <c:pt idx="18">
                  <c:v>170</c:v>
                </c:pt>
                <c:pt idx="19">
                  <c:v>680</c:v>
                </c:pt>
                <c:pt idx="20">
                  <c:v>425</c:v>
                </c:pt>
                <c:pt idx="21">
                  <c:v>1700</c:v>
                </c:pt>
                <c:pt idx="22">
                  <c:v>1275</c:v>
                </c:pt>
                <c:pt idx="23">
                  <c:v>5100</c:v>
                </c:pt>
                <c:pt idx="24">
                  <c:v>850</c:v>
                </c:pt>
                <c:pt idx="25">
                  <c:v>3400</c:v>
                </c:pt>
              </c:numCache>
            </c:numRef>
          </c:val>
        </c:ser>
        <c:ser>
          <c:idx val="2"/>
          <c:order val="2"/>
          <c:tx>
            <c:strRef>
              <c:f>LFP!$E$2</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LFP!$E$30:$E$55</c:f>
              <c:numCache>
                <c:formatCode>General</c:formatCode>
                <c:ptCount val="26"/>
                <c:pt idx="0">
                  <c:v>1700</c:v>
                </c:pt>
                <c:pt idx="1">
                  <c:v>425</c:v>
                </c:pt>
                <c:pt idx="2">
                  <c:v>6800</c:v>
                </c:pt>
                <c:pt idx="3">
                  <c:v>1700</c:v>
                </c:pt>
                <c:pt idx="4">
                  <c:v>6800</c:v>
                </c:pt>
                <c:pt idx="5">
                  <c:v>17000</c:v>
                </c:pt>
                <c:pt idx="6">
                  <c:v>1360</c:v>
                </c:pt>
                <c:pt idx="7">
                  <c:v>5440</c:v>
                </c:pt>
                <c:pt idx="8">
                  <c:v>680</c:v>
                </c:pt>
                <c:pt idx="9">
                  <c:v>1700</c:v>
                </c:pt>
                <c:pt idx="10">
                  <c:v>340</c:v>
                </c:pt>
                <c:pt idx="11">
                  <c:v>1360</c:v>
                </c:pt>
                <c:pt idx="12">
                  <c:v>1700</c:v>
                </c:pt>
                <c:pt idx="13">
                  <c:v>6800</c:v>
                </c:pt>
                <c:pt idx="14">
                  <c:v>340</c:v>
                </c:pt>
                <c:pt idx="15">
                  <c:v>1360</c:v>
                </c:pt>
                <c:pt idx="16">
                  <c:v>680</c:v>
                </c:pt>
                <c:pt idx="17">
                  <c:v>2720</c:v>
                </c:pt>
                <c:pt idx="18">
                  <c:v>340</c:v>
                </c:pt>
                <c:pt idx="19">
                  <c:v>1360</c:v>
                </c:pt>
                <c:pt idx="20">
                  <c:v>850</c:v>
                </c:pt>
                <c:pt idx="21">
                  <c:v>3400</c:v>
                </c:pt>
                <c:pt idx="22">
                  <c:v>2550</c:v>
                </c:pt>
                <c:pt idx="23">
                  <c:v>10200</c:v>
                </c:pt>
                <c:pt idx="24">
                  <c:v>1700</c:v>
                </c:pt>
                <c:pt idx="25">
                  <c:v>6800</c:v>
                </c:pt>
              </c:numCache>
            </c:numRef>
          </c:val>
        </c:ser>
        <c:ser>
          <c:idx val="3"/>
          <c:order val="3"/>
          <c:tx>
            <c:strRef>
              <c:f>LFP!$F$2</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LFP!$F$30:$F$55</c:f>
              <c:numCache>
                <c:formatCode>General</c:formatCode>
                <c:ptCount val="26"/>
                <c:pt idx="0">
                  <c:v>18700</c:v>
                </c:pt>
                <c:pt idx="1">
                  <c:v>4675</c:v>
                </c:pt>
                <c:pt idx="2">
                  <c:v>74800</c:v>
                </c:pt>
                <c:pt idx="3">
                  <c:v>18700</c:v>
                </c:pt>
                <c:pt idx="4">
                  <c:v>74800</c:v>
                </c:pt>
                <c:pt idx="5">
                  <c:v>187000</c:v>
                </c:pt>
                <c:pt idx="6">
                  <c:v>14960</c:v>
                </c:pt>
                <c:pt idx="7">
                  <c:v>59840</c:v>
                </c:pt>
                <c:pt idx="8">
                  <c:v>7480</c:v>
                </c:pt>
                <c:pt idx="9">
                  <c:v>18700</c:v>
                </c:pt>
                <c:pt idx="10">
                  <c:v>3740</c:v>
                </c:pt>
                <c:pt idx="11">
                  <c:v>14960</c:v>
                </c:pt>
                <c:pt idx="12">
                  <c:v>18700</c:v>
                </c:pt>
                <c:pt idx="13">
                  <c:v>74800</c:v>
                </c:pt>
                <c:pt idx="14">
                  <c:v>3740</c:v>
                </c:pt>
                <c:pt idx="15">
                  <c:v>14960</c:v>
                </c:pt>
                <c:pt idx="16">
                  <c:v>7480</c:v>
                </c:pt>
                <c:pt idx="17">
                  <c:v>29920</c:v>
                </c:pt>
                <c:pt idx="18">
                  <c:v>3740</c:v>
                </c:pt>
                <c:pt idx="19">
                  <c:v>14960</c:v>
                </c:pt>
                <c:pt idx="20">
                  <c:v>9350</c:v>
                </c:pt>
                <c:pt idx="21">
                  <c:v>37400</c:v>
                </c:pt>
                <c:pt idx="22">
                  <c:v>28050</c:v>
                </c:pt>
                <c:pt idx="23">
                  <c:v>112200</c:v>
                </c:pt>
                <c:pt idx="24">
                  <c:v>18700</c:v>
                </c:pt>
                <c:pt idx="25">
                  <c:v>74800</c:v>
                </c:pt>
              </c:numCache>
            </c:numRef>
          </c:val>
        </c:ser>
        <c:gapWidth val="100"/>
        <c:overlap val="0"/>
        <c:axId val="48207190"/>
        <c:axId val="44040136"/>
      </c:barChart>
      <c:catAx>
        <c:axId val="48207190"/>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03063888478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040136"/>
        <c:crosses val="autoZero"/>
        <c:auto val="1"/>
        <c:lblAlgn val="ctr"/>
        <c:lblOffset val="100"/>
        <c:noMultiLvlLbl val="0"/>
      </c:catAx>
      <c:valAx>
        <c:axId val="4404013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0604841889441"/>
              <c:y val="0.96933648588739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8207190"/>
        <c:crosses val="max"/>
        <c:crossBetween val="midCat"/>
      </c:valAx>
      <c:spPr>
        <a:noFill/>
        <a:ln w="0">
          <a:solidFill>
            <a:srgbClr val="b3b3b3"/>
          </a:solidFill>
        </a:ln>
      </c:spPr>
    </c:plotArea>
    <c:legend>
      <c:legendPos val="r"/>
      <c:layout>
        <c:manualLayout>
          <c:xMode val="edge"/>
          <c:yMode val="edge"/>
          <c:x val="0.854743316773125"/>
          <c:y val="0.0768188759174425"/>
          <c:w val="0.119750798470092"/>
          <c:h val="0.11174601610797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Employment-To-Population Ratio</a:t>
            </a:r>
          </a:p>
        </c:rich>
      </c:tx>
      <c:layout>
        <c:manualLayout>
          <c:xMode val="edge"/>
          <c:yMode val="edge"/>
          <c:x val="0.275964040690797"/>
          <c:y val="0.010738387271563"/>
        </c:manualLayout>
      </c:layout>
      <c:overlay val="0"/>
      <c:spPr>
        <a:noFill/>
        <a:ln w="0">
          <a:noFill/>
        </a:ln>
      </c:spPr>
    </c:title>
    <c:autoTitleDeleted val="0"/>
    <c:plotArea>
      <c:layout>
        <c:manualLayout>
          <c:layoutTarget val="inner"/>
          <c:xMode val="edge"/>
          <c:yMode val="edge"/>
          <c:x val="0.299148332150461"/>
          <c:y val="0.0468942416629723"/>
          <c:w val="0.521409983439792"/>
          <c:h val="0.874144130830994"/>
        </c:manualLayout>
      </c:layout>
      <c:barChart>
        <c:barDir val="bar"/>
        <c:grouping val="clustered"/>
        <c:varyColors val="0"/>
        <c:ser>
          <c:idx val="0"/>
          <c:order val="0"/>
          <c:tx>
            <c:strRef>
              <c:f>ETPR!$C$2</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ETPR!$C$4:$C$29</c:f>
              <c:numCache>
                <c:formatCode>General</c:formatCode>
                <c:ptCount val="26"/>
                <c:pt idx="0">
                  <c:v>0.958</c:v>
                </c:pt>
                <c:pt idx="1">
                  <c:v>0.958</c:v>
                </c:pt>
                <c:pt idx="2">
                  <c:v>0.958</c:v>
                </c:pt>
                <c:pt idx="3">
                  <c:v>0.958</c:v>
                </c:pt>
                <c:pt idx="4">
                  <c:v>0.958</c:v>
                </c:pt>
                <c:pt idx="5">
                  <c:v>0.958</c:v>
                </c:pt>
                <c:pt idx="6">
                  <c:v>0.958</c:v>
                </c:pt>
                <c:pt idx="7">
                  <c:v>0.958</c:v>
                </c:pt>
                <c:pt idx="8">
                  <c:v>0.958</c:v>
                </c:pt>
                <c:pt idx="9">
                  <c:v>0.958</c:v>
                </c:pt>
                <c:pt idx="10">
                  <c:v>0.958</c:v>
                </c:pt>
                <c:pt idx="11">
                  <c:v>0.958</c:v>
                </c:pt>
                <c:pt idx="12">
                  <c:v>0.958</c:v>
                </c:pt>
                <c:pt idx="13">
                  <c:v>0.958</c:v>
                </c:pt>
                <c:pt idx="14">
                  <c:v>0.958</c:v>
                </c:pt>
                <c:pt idx="15">
                  <c:v>0.958</c:v>
                </c:pt>
                <c:pt idx="16">
                  <c:v>0.958</c:v>
                </c:pt>
                <c:pt idx="17">
                  <c:v>0.958</c:v>
                </c:pt>
                <c:pt idx="18">
                  <c:v>0.958</c:v>
                </c:pt>
                <c:pt idx="19">
                  <c:v>0.958</c:v>
                </c:pt>
                <c:pt idx="20">
                  <c:v>0.958</c:v>
                </c:pt>
                <c:pt idx="21">
                  <c:v>0.958</c:v>
                </c:pt>
                <c:pt idx="22">
                  <c:v>0.958</c:v>
                </c:pt>
                <c:pt idx="23">
                  <c:v>0.958</c:v>
                </c:pt>
                <c:pt idx="24">
                  <c:v>0.958</c:v>
                </c:pt>
                <c:pt idx="25">
                  <c:v>0.958</c:v>
                </c:pt>
              </c:numCache>
            </c:numRef>
          </c:val>
        </c:ser>
        <c:ser>
          <c:idx val="1"/>
          <c:order val="1"/>
          <c:tx>
            <c:strRef>
              <c:f>ETPR!$D$2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ETPR!$D$4:$D$29</c:f>
              <c:numCache>
                <c:formatCode>General</c:formatCode>
                <c:ptCount val="26"/>
                <c:pt idx="0">
                  <c:v>0.98</c:v>
                </c:pt>
                <c:pt idx="1">
                  <c:v>0.98</c:v>
                </c:pt>
                <c:pt idx="2">
                  <c:v>0.98</c:v>
                </c:pt>
                <c:pt idx="3">
                  <c:v>0.98</c:v>
                </c:pt>
                <c:pt idx="4">
                  <c:v>0.98</c:v>
                </c:pt>
                <c:pt idx="5">
                  <c:v>0.98</c:v>
                </c:pt>
                <c:pt idx="6">
                  <c:v>0.98</c:v>
                </c:pt>
                <c:pt idx="7">
                  <c:v>0.98</c:v>
                </c:pt>
                <c:pt idx="8">
                  <c:v>1.02</c:v>
                </c:pt>
                <c:pt idx="9">
                  <c:v>1.02</c:v>
                </c:pt>
                <c:pt idx="10">
                  <c:v>1.02</c:v>
                </c:pt>
                <c:pt idx="11">
                  <c:v>1.02</c:v>
                </c:pt>
                <c:pt idx="12">
                  <c:v>1</c:v>
                </c:pt>
                <c:pt idx="13">
                  <c:v>1</c:v>
                </c:pt>
                <c:pt idx="14">
                  <c:v>0.98</c:v>
                </c:pt>
                <c:pt idx="15">
                  <c:v>0.98</c:v>
                </c:pt>
                <c:pt idx="16">
                  <c:v>1.02</c:v>
                </c:pt>
                <c:pt idx="17">
                  <c:v>1.02</c:v>
                </c:pt>
                <c:pt idx="18">
                  <c:v>1.02</c:v>
                </c:pt>
                <c:pt idx="19">
                  <c:v>1.02</c:v>
                </c:pt>
                <c:pt idx="20">
                  <c:v>1.02</c:v>
                </c:pt>
                <c:pt idx="21">
                  <c:v>1.02</c:v>
                </c:pt>
                <c:pt idx="22">
                  <c:v>1.02</c:v>
                </c:pt>
                <c:pt idx="23">
                  <c:v>1.02</c:v>
                </c:pt>
                <c:pt idx="24">
                  <c:v>1.02</c:v>
                </c:pt>
                <c:pt idx="25">
                  <c:v>1.02</c:v>
                </c:pt>
              </c:numCache>
            </c:numRef>
          </c:val>
        </c:ser>
        <c:ser>
          <c:idx val="2"/>
          <c:order val="2"/>
          <c:tx>
            <c:strRef>
              <c:f>ETPR!$E$2</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ETPR!$E$4:$E$29</c:f>
              <c:numCache>
                <c:formatCode>General</c:formatCode>
                <c:ptCount val="26"/>
                <c:pt idx="0">
                  <c:v>0.85</c:v>
                </c:pt>
                <c:pt idx="1">
                  <c:v>0.85</c:v>
                </c:pt>
                <c:pt idx="2">
                  <c:v>0.88</c:v>
                </c:pt>
                <c:pt idx="3">
                  <c:v>0.88</c:v>
                </c:pt>
                <c:pt idx="4">
                  <c:v>0.9</c:v>
                </c:pt>
                <c:pt idx="5">
                  <c:v>0.9</c:v>
                </c:pt>
                <c:pt idx="6">
                  <c:v>0.9</c:v>
                </c:pt>
                <c:pt idx="7">
                  <c:v>0.9</c:v>
                </c:pt>
                <c:pt idx="8">
                  <c:v>0.92</c:v>
                </c:pt>
                <c:pt idx="9">
                  <c:v>0.92</c:v>
                </c:pt>
                <c:pt idx="10">
                  <c:v>0.9</c:v>
                </c:pt>
                <c:pt idx="11">
                  <c:v>0.9</c:v>
                </c:pt>
                <c:pt idx="12">
                  <c:v>0.9</c:v>
                </c:pt>
                <c:pt idx="13">
                  <c:v>0.9</c:v>
                </c:pt>
                <c:pt idx="14">
                  <c:v>0.85</c:v>
                </c:pt>
                <c:pt idx="15">
                  <c:v>0.85</c:v>
                </c:pt>
                <c:pt idx="16">
                  <c:v>0.88</c:v>
                </c:pt>
                <c:pt idx="17">
                  <c:v>0.88</c:v>
                </c:pt>
                <c:pt idx="18">
                  <c:v>0.92</c:v>
                </c:pt>
                <c:pt idx="19">
                  <c:v>0.92</c:v>
                </c:pt>
                <c:pt idx="20">
                  <c:v>0.92</c:v>
                </c:pt>
                <c:pt idx="21">
                  <c:v>0.92</c:v>
                </c:pt>
                <c:pt idx="22">
                  <c:v>0.92</c:v>
                </c:pt>
                <c:pt idx="23">
                  <c:v>0.92</c:v>
                </c:pt>
                <c:pt idx="24">
                  <c:v>0.92</c:v>
                </c:pt>
                <c:pt idx="25">
                  <c:v>0.92</c:v>
                </c:pt>
              </c:numCache>
            </c:numRef>
          </c:val>
        </c:ser>
        <c:ser>
          <c:idx val="3"/>
          <c:order val="3"/>
          <c:tx>
            <c:strRef>
              <c:f>ETPR!$F$2</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Healthcare &amp; Social Assistance: Worker</c:v>
                </c:pt>
                <c:pt idx="19">
                  <c:v>Healthcare &amp; Social Assistance: Support</c:v>
                </c:pt>
                <c:pt idx="20">
                  <c:v>Professional Services: Worker</c:v>
                </c:pt>
                <c:pt idx="21">
                  <c:v>Professional Services: Support</c:v>
                </c:pt>
                <c:pt idx="22">
                  <c:v>Educational Services: Worker</c:v>
                </c:pt>
                <c:pt idx="23">
                  <c:v>Educational Services: Support</c:v>
                </c:pt>
                <c:pt idx="24">
                  <c:v>Finance &amp; Insurance: Worker</c:v>
                </c:pt>
                <c:pt idx="25">
                  <c:v>Finance &amp; Insurance: Support</c:v>
                </c:pt>
              </c:strCache>
            </c:strRef>
          </c:cat>
          <c:val>
            <c:numRef>
              <c:f>ETPR!$F$4:$F$29</c:f>
              <c:numCache>
                <c:formatCode>General</c:formatCode>
                <c:ptCount val="26"/>
                <c:pt idx="0">
                  <c:v>0.958</c:v>
                </c:pt>
                <c:pt idx="1">
                  <c:v>0.958</c:v>
                </c:pt>
                <c:pt idx="2">
                  <c:v>0.958</c:v>
                </c:pt>
                <c:pt idx="3">
                  <c:v>0.958</c:v>
                </c:pt>
                <c:pt idx="4">
                  <c:v>0.958</c:v>
                </c:pt>
                <c:pt idx="5">
                  <c:v>0.958</c:v>
                </c:pt>
                <c:pt idx="6">
                  <c:v>0.958</c:v>
                </c:pt>
                <c:pt idx="7">
                  <c:v>0.958</c:v>
                </c:pt>
                <c:pt idx="8">
                  <c:v>0.958</c:v>
                </c:pt>
                <c:pt idx="9">
                  <c:v>0.958</c:v>
                </c:pt>
                <c:pt idx="10">
                  <c:v>0.958</c:v>
                </c:pt>
                <c:pt idx="11">
                  <c:v>0.958</c:v>
                </c:pt>
                <c:pt idx="12">
                  <c:v>0.958</c:v>
                </c:pt>
                <c:pt idx="13">
                  <c:v>0.958</c:v>
                </c:pt>
                <c:pt idx="14">
                  <c:v>0.958</c:v>
                </c:pt>
                <c:pt idx="15">
                  <c:v>0.958</c:v>
                </c:pt>
                <c:pt idx="16">
                  <c:v>0.958</c:v>
                </c:pt>
                <c:pt idx="17">
                  <c:v>0.958</c:v>
                </c:pt>
                <c:pt idx="18">
                  <c:v>0.958</c:v>
                </c:pt>
                <c:pt idx="19">
                  <c:v>0.958</c:v>
                </c:pt>
                <c:pt idx="20">
                  <c:v>0.958</c:v>
                </c:pt>
                <c:pt idx="21">
                  <c:v>0.958</c:v>
                </c:pt>
                <c:pt idx="22">
                  <c:v>0.958</c:v>
                </c:pt>
                <c:pt idx="23">
                  <c:v>0.958</c:v>
                </c:pt>
                <c:pt idx="24">
                  <c:v>0.958</c:v>
                </c:pt>
                <c:pt idx="25">
                  <c:v>0.958</c:v>
                </c:pt>
              </c:numCache>
            </c:numRef>
          </c:val>
        </c:ser>
        <c:gapWidth val="100"/>
        <c:overlap val="0"/>
        <c:axId val="20401296"/>
        <c:axId val="29522371"/>
      </c:barChart>
      <c:catAx>
        <c:axId val="2040129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15378552780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9522371"/>
        <c:crossesAt val="0"/>
        <c:auto val="1"/>
        <c:lblAlgn val="ctr"/>
        <c:lblOffset val="100"/>
        <c:noMultiLvlLbl val="0"/>
      </c:catAx>
      <c:valAx>
        <c:axId val="2952237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399534737008122"/>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0401296"/>
        <c:crosses val="max"/>
        <c:crossBetween val="midCat"/>
      </c:valAx>
      <c:spPr>
        <a:noFill/>
        <a:ln w="0">
          <a:solidFill>
            <a:srgbClr val="b3b3b3"/>
          </a:solidFill>
        </a:ln>
      </c:spPr>
    </c:plotArea>
    <c:legend>
      <c:legendPos val="r"/>
      <c:layout>
        <c:manualLayout>
          <c:xMode val="edge"/>
          <c:yMode val="edge"/>
          <c:x val="0.854800567554785"/>
          <c:y val="0.0768492071308973"/>
          <c:w val="0.120093015923065"/>
          <c:h val="0.15633310351620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Employment-To-Population Ratio</a:t>
            </a:r>
          </a:p>
        </c:rich>
      </c:tx>
      <c:layout>
        <c:manualLayout>
          <c:xMode val="edge"/>
          <c:yMode val="edge"/>
          <c:x val="0.248915700654523"/>
          <c:y val="0.010738387271563"/>
        </c:manualLayout>
      </c:layout>
      <c:overlay val="0"/>
      <c:spPr>
        <a:noFill/>
        <a:ln w="0">
          <a:noFill/>
        </a:ln>
      </c:spPr>
    </c:title>
    <c:autoTitleDeleted val="0"/>
    <c:plotArea>
      <c:layout>
        <c:manualLayout>
          <c:layoutTarget val="inner"/>
          <c:xMode val="edge"/>
          <c:yMode val="edge"/>
          <c:x val="0.299148332150461"/>
          <c:y val="0.0468696123343678"/>
          <c:w val="0.521409983439792"/>
          <c:h val="0.874144130830994"/>
        </c:manualLayout>
      </c:layout>
      <c:barChart>
        <c:barDir val="bar"/>
        <c:grouping val="clustered"/>
        <c:varyColors val="0"/>
        <c:ser>
          <c:idx val="0"/>
          <c:order val="0"/>
          <c:tx>
            <c:strRef>
              <c:f>ETPR!$C$2</c:f>
              <c:strCache>
                <c:ptCount val="1"/>
                <c:pt idx="0">
                  <c:v>Employment-to-Population Ratio</c:v>
                </c:pt>
              </c:strCache>
            </c:strRef>
          </c:tx>
          <c:spPr>
            <a:solidFill>
              <a:srgbClr val="004586"/>
            </a:solidFill>
            <a:ln w="0">
              <a:noFill/>
            </a:ln>
          </c:spPr>
          <c:invertIfNegative val="0"/>
          <c:dPt>
            <c:idx val="0"/>
            <c:invertIfNegative val="0"/>
            <c:spPr>
              <a:solidFill>
                <a:srgbClr val="004586"/>
              </a:solidFill>
              <a:ln w="0">
                <a:noFill/>
              </a:ln>
            </c:spPr>
          </c:dPt>
          <c:dPt>
            <c:idx val="8"/>
            <c:invertIfNegative val="0"/>
            <c:spPr>
              <a:solidFill>
                <a:srgbClr val="004586"/>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ETPR!$C$30:$C$55</c:f>
              <c:numCache>
                <c:formatCode>General</c:formatCode>
                <c:ptCount val="26"/>
                <c:pt idx="0">
                  <c:v>0.958</c:v>
                </c:pt>
                <c:pt idx="1">
                  <c:v>0.958</c:v>
                </c:pt>
                <c:pt idx="2">
                  <c:v>0.958</c:v>
                </c:pt>
                <c:pt idx="3">
                  <c:v>0.958</c:v>
                </c:pt>
                <c:pt idx="4">
                  <c:v>0.958</c:v>
                </c:pt>
                <c:pt idx="5">
                  <c:v>0.958</c:v>
                </c:pt>
                <c:pt idx="6">
                  <c:v>0.958</c:v>
                </c:pt>
                <c:pt idx="7">
                  <c:v>0.958</c:v>
                </c:pt>
                <c:pt idx="8">
                  <c:v>0.958</c:v>
                </c:pt>
                <c:pt idx="9">
                  <c:v>0.958</c:v>
                </c:pt>
                <c:pt idx="10">
                  <c:v>0.958</c:v>
                </c:pt>
                <c:pt idx="11">
                  <c:v>0.958</c:v>
                </c:pt>
                <c:pt idx="12">
                  <c:v>0.958</c:v>
                </c:pt>
                <c:pt idx="13">
                  <c:v>0.958</c:v>
                </c:pt>
                <c:pt idx="14">
                  <c:v>0.958</c:v>
                </c:pt>
                <c:pt idx="15">
                  <c:v>0.958</c:v>
                </c:pt>
                <c:pt idx="16">
                  <c:v>0.958</c:v>
                </c:pt>
                <c:pt idx="17">
                  <c:v>0.958</c:v>
                </c:pt>
                <c:pt idx="18">
                  <c:v>0.958</c:v>
                </c:pt>
                <c:pt idx="19">
                  <c:v>0.958</c:v>
                </c:pt>
                <c:pt idx="20">
                  <c:v>0.958</c:v>
                </c:pt>
                <c:pt idx="21">
                  <c:v>0.958</c:v>
                </c:pt>
                <c:pt idx="22">
                  <c:v>0.958</c:v>
                </c:pt>
                <c:pt idx="23">
                  <c:v>0.958</c:v>
                </c:pt>
                <c:pt idx="24">
                  <c:v>0.958</c:v>
                </c:pt>
                <c:pt idx="25">
                  <c:v>0.958</c:v>
                </c:pt>
              </c:numCache>
            </c:numRef>
          </c:val>
        </c:ser>
        <c:ser>
          <c:idx val="1"/>
          <c:order val="1"/>
          <c:tx>
            <c:strRef>
              <c:f>ETPR!$D$2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ETPR!$D$30:$D$55</c:f>
              <c:numCache>
                <c:formatCode>General</c:formatCode>
                <c:ptCount val="26"/>
                <c:pt idx="0">
                  <c:v>1.02</c:v>
                </c:pt>
                <c:pt idx="1">
                  <c:v>1.02</c:v>
                </c:pt>
                <c:pt idx="2">
                  <c:v>1.02</c:v>
                </c:pt>
                <c:pt idx="3">
                  <c:v>1.02</c:v>
                </c:pt>
                <c:pt idx="4">
                  <c:v>1.02</c:v>
                </c:pt>
                <c:pt idx="5">
                  <c:v>1.02</c:v>
                </c:pt>
                <c:pt idx="6">
                  <c:v>0.98</c:v>
                </c:pt>
                <c:pt idx="7">
                  <c:v>0.98</c:v>
                </c:pt>
                <c:pt idx="8">
                  <c:v>0.98</c:v>
                </c:pt>
                <c:pt idx="9">
                  <c:v>0.98</c:v>
                </c:pt>
                <c:pt idx="10">
                  <c:v>1</c:v>
                </c:pt>
                <c:pt idx="11">
                  <c:v>1</c:v>
                </c:pt>
                <c:pt idx="12">
                  <c:v>1</c:v>
                </c:pt>
                <c:pt idx="13">
                  <c:v>1</c:v>
                </c:pt>
                <c:pt idx="14">
                  <c:v>1.02</c:v>
                </c:pt>
                <c:pt idx="15">
                  <c:v>1.02</c:v>
                </c:pt>
                <c:pt idx="16">
                  <c:v>1.02</c:v>
                </c:pt>
                <c:pt idx="17">
                  <c:v>1.02</c:v>
                </c:pt>
                <c:pt idx="18">
                  <c:v>0.98</c:v>
                </c:pt>
                <c:pt idx="19">
                  <c:v>0.98</c:v>
                </c:pt>
                <c:pt idx="20">
                  <c:v>0.98</c:v>
                </c:pt>
                <c:pt idx="21">
                  <c:v>0.98</c:v>
                </c:pt>
                <c:pt idx="22">
                  <c:v>0.98</c:v>
                </c:pt>
                <c:pt idx="23">
                  <c:v>0.98</c:v>
                </c:pt>
                <c:pt idx="24">
                  <c:v>1.02</c:v>
                </c:pt>
                <c:pt idx="25">
                  <c:v>1.02</c:v>
                </c:pt>
              </c:numCache>
            </c:numRef>
          </c:val>
        </c:ser>
        <c:ser>
          <c:idx val="2"/>
          <c:order val="2"/>
          <c:tx>
            <c:strRef>
              <c:f>ETPR!$E$2</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ETPR!$E$30:$E$55</c:f>
              <c:numCache>
                <c:formatCode>General</c:formatCode>
                <c:ptCount val="26"/>
                <c:pt idx="0">
                  <c:v>0.92</c:v>
                </c:pt>
                <c:pt idx="1">
                  <c:v>0.92</c:v>
                </c:pt>
                <c:pt idx="2">
                  <c:v>0.92</c:v>
                </c:pt>
                <c:pt idx="3">
                  <c:v>0.92</c:v>
                </c:pt>
                <c:pt idx="4">
                  <c:v>0.92</c:v>
                </c:pt>
                <c:pt idx="5">
                  <c:v>0.92</c:v>
                </c:pt>
                <c:pt idx="6">
                  <c:v>0.85</c:v>
                </c:pt>
                <c:pt idx="7">
                  <c:v>0.85</c:v>
                </c:pt>
                <c:pt idx="8">
                  <c:v>0.85</c:v>
                </c:pt>
                <c:pt idx="9">
                  <c:v>0.85</c:v>
                </c:pt>
                <c:pt idx="10">
                  <c:v>0.92</c:v>
                </c:pt>
                <c:pt idx="11">
                  <c:v>0.92</c:v>
                </c:pt>
                <c:pt idx="12">
                  <c:v>0.92</c:v>
                </c:pt>
                <c:pt idx="13">
                  <c:v>0.92</c:v>
                </c:pt>
                <c:pt idx="14">
                  <c:v>0.92</c:v>
                </c:pt>
                <c:pt idx="15">
                  <c:v>0.92</c:v>
                </c:pt>
                <c:pt idx="16">
                  <c:v>0.92</c:v>
                </c:pt>
                <c:pt idx="17">
                  <c:v>0.92</c:v>
                </c:pt>
                <c:pt idx="18">
                  <c:v>0.85</c:v>
                </c:pt>
                <c:pt idx="19">
                  <c:v>0.85</c:v>
                </c:pt>
                <c:pt idx="20">
                  <c:v>0.85</c:v>
                </c:pt>
                <c:pt idx="21">
                  <c:v>0.85</c:v>
                </c:pt>
                <c:pt idx="22">
                  <c:v>0.85</c:v>
                </c:pt>
                <c:pt idx="23">
                  <c:v>0.85</c:v>
                </c:pt>
                <c:pt idx="24">
                  <c:v>0.92</c:v>
                </c:pt>
                <c:pt idx="25">
                  <c:v>0.92</c:v>
                </c:pt>
              </c:numCache>
            </c:numRef>
          </c:val>
        </c:ser>
        <c:ser>
          <c:idx val="3"/>
          <c:order val="3"/>
          <c:tx>
            <c:strRef>
              <c:f>ETPR!$F$2</c:f>
              <c:strCache>
                <c:ptCount val="1"/>
                <c:pt idx="0">
                  <c:v>American Employment-to-Population Ratio</c:v>
                </c:pt>
              </c:strCache>
            </c:strRef>
          </c:tx>
          <c:spPr>
            <a:solidFill>
              <a:srgbClr val="579d1c"/>
            </a:solidFill>
            <a:ln w="0">
              <a:noFill/>
            </a:ln>
          </c:spPr>
          <c:invertIfNegative val="0"/>
          <c:dPt>
            <c:idx val="3"/>
            <c:invertIfNegative val="0"/>
            <c:spPr>
              <a:solidFill>
                <a:srgbClr val="579d1c"/>
              </a:solidFill>
              <a:ln w="0">
                <a:noFill/>
              </a:ln>
            </c:spPr>
          </c:dPt>
          <c:dPt>
            <c:idx val="8"/>
            <c:invertIfNegative val="0"/>
            <c:spPr>
              <a:solidFill>
                <a:srgbClr val="579d1c"/>
              </a:solidFill>
              <a:ln w="0">
                <a:noFill/>
              </a:ln>
            </c:spPr>
          </c:dPt>
          <c:dLbls>
            <c:dLbl>
              <c:idx val="3"/>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Worker</c:v>
                </c:pt>
                <c:pt idx="1">
                  <c:v>Media and Information Technology: Support</c:v>
                </c:pt>
                <c:pt idx="2">
                  <c:v>Government: Worker</c:v>
                </c:pt>
                <c:pt idx="3">
                  <c:v>Government: Support</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ETPR!$F$30:$F$55</c:f>
              <c:numCache>
                <c:formatCode>General</c:formatCode>
                <c:ptCount val="26"/>
                <c:pt idx="0">
                  <c:v>0.958</c:v>
                </c:pt>
                <c:pt idx="1">
                  <c:v>0.958</c:v>
                </c:pt>
                <c:pt idx="2">
                  <c:v>0.958</c:v>
                </c:pt>
                <c:pt idx="3">
                  <c:v>0.958</c:v>
                </c:pt>
                <c:pt idx="4">
                  <c:v>0.958</c:v>
                </c:pt>
                <c:pt idx="5">
                  <c:v>0.958</c:v>
                </c:pt>
                <c:pt idx="6">
                  <c:v>0.958</c:v>
                </c:pt>
                <c:pt idx="7">
                  <c:v>0.958</c:v>
                </c:pt>
                <c:pt idx="8">
                  <c:v>0.958</c:v>
                </c:pt>
                <c:pt idx="9">
                  <c:v>0.958</c:v>
                </c:pt>
                <c:pt idx="10">
                  <c:v>0.958</c:v>
                </c:pt>
                <c:pt idx="11">
                  <c:v>0.958</c:v>
                </c:pt>
                <c:pt idx="12">
                  <c:v>0.958</c:v>
                </c:pt>
                <c:pt idx="13">
                  <c:v>0.958</c:v>
                </c:pt>
                <c:pt idx="14">
                  <c:v>0.958</c:v>
                </c:pt>
                <c:pt idx="15">
                  <c:v>0.958</c:v>
                </c:pt>
                <c:pt idx="16">
                  <c:v>0.958</c:v>
                </c:pt>
                <c:pt idx="17">
                  <c:v>0.958</c:v>
                </c:pt>
                <c:pt idx="18">
                  <c:v>0.958</c:v>
                </c:pt>
                <c:pt idx="19">
                  <c:v>0.958</c:v>
                </c:pt>
                <c:pt idx="20">
                  <c:v>0.958</c:v>
                </c:pt>
                <c:pt idx="21">
                  <c:v>0.958</c:v>
                </c:pt>
                <c:pt idx="22">
                  <c:v>0.958</c:v>
                </c:pt>
                <c:pt idx="23">
                  <c:v>0.958</c:v>
                </c:pt>
                <c:pt idx="24">
                  <c:v>0.958</c:v>
                </c:pt>
                <c:pt idx="25">
                  <c:v>0.958</c:v>
                </c:pt>
              </c:numCache>
            </c:numRef>
          </c:val>
        </c:ser>
        <c:gapWidth val="100"/>
        <c:overlap val="0"/>
        <c:axId val="2275593"/>
        <c:axId val="85762529"/>
      </c:barChart>
      <c:catAx>
        <c:axId val="227559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12915619920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762529"/>
        <c:crosses val="autoZero"/>
        <c:auto val="1"/>
        <c:lblAlgn val="ctr"/>
        <c:lblOffset val="100"/>
        <c:noMultiLvlLbl val="0"/>
      </c:catAx>
      <c:valAx>
        <c:axId val="8576252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07799069474"/>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275593"/>
        <c:crosses val="max"/>
        <c:crossBetween val="midCat"/>
      </c:valAx>
      <c:spPr>
        <a:noFill/>
        <a:ln w="0">
          <a:solidFill>
            <a:srgbClr val="b3b3b3"/>
          </a:solidFill>
        </a:ln>
      </c:spPr>
    </c:plotArea>
    <c:legend>
      <c:legendPos val="r"/>
      <c:layout>
        <c:manualLayout>
          <c:xMode val="edge"/>
          <c:yMode val="edge"/>
          <c:x val="0.854800567554785"/>
          <c:y val="0.0768245838668374"/>
          <c:w val="0.120093015923065"/>
          <c:h val="0.15633310351620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Participation Rate</a:t>
            </a:r>
          </a:p>
        </c:rich>
      </c:tx>
      <c:layout>
        <c:manualLayout>
          <c:xMode val="edge"/>
          <c:yMode val="edge"/>
          <c:x val="0.270443971295639"/>
          <c:y val="0.010565981971331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LFPR!$C$2</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LFPR!$C$4:$C$29</c:f>
              <c:numCache>
                <c:formatCode>0.00%</c:formatCode>
                <c:ptCount val="26"/>
                <c:pt idx="0">
                  <c:v>0.012</c:v>
                </c:pt>
                <c:pt idx="1">
                  <c:v>0.003</c:v>
                </c:pt>
                <c:pt idx="2">
                  <c:v>0.023</c:v>
                </c:pt>
                <c:pt idx="3">
                  <c:v>0.006</c:v>
                </c:pt>
                <c:pt idx="4">
                  <c:v>0.049</c:v>
                </c:pt>
                <c:pt idx="5">
                  <c:v>0.012</c:v>
                </c:pt>
                <c:pt idx="6">
                  <c:v>0.017</c:v>
                </c:pt>
                <c:pt idx="7">
                  <c:v>0.004</c:v>
                </c:pt>
                <c:pt idx="8">
                  <c:v>0.061</c:v>
                </c:pt>
                <c:pt idx="9">
                  <c:v>0.015</c:v>
                </c:pt>
                <c:pt idx="10">
                  <c:v>0.045</c:v>
                </c:pt>
                <c:pt idx="11">
                  <c:v>0.015</c:v>
                </c:pt>
                <c:pt idx="12">
                  <c:v>0.05</c:v>
                </c:pt>
                <c:pt idx="13">
                  <c:v>0.021</c:v>
                </c:pt>
                <c:pt idx="14">
                  <c:v>0.008</c:v>
                </c:pt>
                <c:pt idx="15">
                  <c:v>0.001</c:v>
                </c:pt>
                <c:pt idx="16">
                  <c:v>0.01</c:v>
                </c:pt>
                <c:pt idx="17">
                  <c:v>0.002</c:v>
                </c:pt>
                <c:pt idx="18">
                  <c:v>0.072</c:v>
                </c:pt>
                <c:pt idx="19">
                  <c:v>0.018</c:v>
                </c:pt>
                <c:pt idx="20">
                  <c:v>0.035</c:v>
                </c:pt>
                <c:pt idx="21">
                  <c:v>0.009</c:v>
                </c:pt>
                <c:pt idx="22">
                  <c:v>0.035</c:v>
                </c:pt>
                <c:pt idx="23">
                  <c:v>0.009</c:v>
                </c:pt>
                <c:pt idx="24">
                  <c:v>0.017</c:v>
                </c:pt>
                <c:pt idx="25">
                  <c:v>0.004</c:v>
                </c:pt>
              </c:numCache>
            </c:numRef>
          </c:val>
        </c:ser>
        <c:ser>
          <c:idx val="1"/>
          <c:order val="1"/>
          <c:tx>
            <c:strRef>
              <c:f>LFPR!$D$2</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LFPR!$D$4:$D$29</c:f>
              <c:numCache>
                <c:formatCode>0.00%</c:formatCode>
                <c:ptCount val="26"/>
                <c:pt idx="0">
                  <c:v>0.619</c:v>
                </c:pt>
                <c:pt idx="1">
                  <c:v>0.619</c:v>
                </c:pt>
                <c:pt idx="2">
                  <c:v>0.619</c:v>
                </c:pt>
                <c:pt idx="3">
                  <c:v>0.619</c:v>
                </c:pt>
                <c:pt idx="4">
                  <c:v>0.619</c:v>
                </c:pt>
                <c:pt idx="5">
                  <c:v>0.619</c:v>
                </c:pt>
                <c:pt idx="6">
                  <c:v>0.619</c:v>
                </c:pt>
                <c:pt idx="7">
                  <c:v>0.619</c:v>
                </c:pt>
                <c:pt idx="8">
                  <c:v>0.681</c:v>
                </c:pt>
                <c:pt idx="9">
                  <c:v>0.681</c:v>
                </c:pt>
                <c:pt idx="10">
                  <c:v>0.681</c:v>
                </c:pt>
                <c:pt idx="11">
                  <c:v>0.681</c:v>
                </c:pt>
                <c:pt idx="12">
                  <c:v>0.619</c:v>
                </c:pt>
                <c:pt idx="13">
                  <c:v>0.619</c:v>
                </c:pt>
                <c:pt idx="14">
                  <c:v>0.619</c:v>
                </c:pt>
                <c:pt idx="15">
                  <c:v>0.619</c:v>
                </c:pt>
                <c:pt idx="16">
                  <c:v>0.681</c:v>
                </c:pt>
                <c:pt idx="17">
                  <c:v>0.681</c:v>
                </c:pt>
                <c:pt idx="18">
                  <c:v>0.681</c:v>
                </c:pt>
                <c:pt idx="19">
                  <c:v>0.681</c:v>
                </c:pt>
                <c:pt idx="20">
                  <c:v>0.681</c:v>
                </c:pt>
                <c:pt idx="21">
                  <c:v>0.681</c:v>
                </c:pt>
                <c:pt idx="22">
                  <c:v>0.681</c:v>
                </c:pt>
                <c:pt idx="23">
                  <c:v>0.681</c:v>
                </c:pt>
                <c:pt idx="24">
                  <c:v>0.681</c:v>
                </c:pt>
                <c:pt idx="25">
                  <c:v>0.681</c:v>
                </c:pt>
              </c:numCache>
            </c:numRef>
          </c:val>
        </c:ser>
        <c:ser>
          <c:idx val="2"/>
          <c:order val="2"/>
          <c:tx>
            <c:strRef>
              <c:f>LFPR!$E$2</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18"/>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LFPR!$E$4:$E$29</c:f>
              <c:numCache>
                <c:formatCode>0.00%</c:formatCode>
                <c:ptCount val="26"/>
                <c:pt idx="0">
                  <c:v>0.678</c:v>
                </c:pt>
                <c:pt idx="1">
                  <c:v>0.678</c:v>
                </c:pt>
                <c:pt idx="2">
                  <c:v>0.712</c:v>
                </c:pt>
                <c:pt idx="3">
                  <c:v>0.712</c:v>
                </c:pt>
                <c:pt idx="4">
                  <c:v>0.678</c:v>
                </c:pt>
                <c:pt idx="5">
                  <c:v>0.678</c:v>
                </c:pt>
                <c:pt idx="6">
                  <c:v>0.678</c:v>
                </c:pt>
                <c:pt idx="7">
                  <c:v>0.678</c:v>
                </c:pt>
                <c:pt idx="8">
                  <c:v>0.712</c:v>
                </c:pt>
                <c:pt idx="9">
                  <c:v>0.712</c:v>
                </c:pt>
                <c:pt idx="10">
                  <c:v>0.678</c:v>
                </c:pt>
                <c:pt idx="11">
                  <c:v>0.678</c:v>
                </c:pt>
                <c:pt idx="12">
                  <c:v>0.678</c:v>
                </c:pt>
                <c:pt idx="13">
                  <c:v>0.678</c:v>
                </c:pt>
                <c:pt idx="14">
                  <c:v>0.678</c:v>
                </c:pt>
                <c:pt idx="15">
                  <c:v>0.678</c:v>
                </c:pt>
                <c:pt idx="16">
                  <c:v>0.712</c:v>
                </c:pt>
                <c:pt idx="17">
                  <c:v>0.712</c:v>
                </c:pt>
                <c:pt idx="18">
                  <c:v>0.712</c:v>
                </c:pt>
                <c:pt idx="19">
                  <c:v>0.712</c:v>
                </c:pt>
                <c:pt idx="20">
                  <c:v>0.712</c:v>
                </c:pt>
                <c:pt idx="21">
                  <c:v>0.712</c:v>
                </c:pt>
                <c:pt idx="22">
                  <c:v>0.712</c:v>
                </c:pt>
                <c:pt idx="23">
                  <c:v>0.712</c:v>
                </c:pt>
                <c:pt idx="24">
                  <c:v>0.712</c:v>
                </c:pt>
                <c:pt idx="25">
                  <c:v>0.712</c:v>
                </c:pt>
              </c:numCache>
            </c:numRef>
          </c:val>
        </c:ser>
        <c:ser>
          <c:idx val="3"/>
          <c:order val="3"/>
          <c:tx>
            <c:strRef>
              <c:f>LFPR!$F$2</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LFPR!$F$4:$F$29</c:f>
              <c:numCache>
                <c:formatCode>0.00%</c:formatCode>
                <c:ptCount val="26"/>
                <c:pt idx="0">
                  <c:v>0.011</c:v>
                </c:pt>
                <c:pt idx="1">
                  <c:v>0.003</c:v>
                </c:pt>
                <c:pt idx="2">
                  <c:v>0.02</c:v>
                </c:pt>
                <c:pt idx="3">
                  <c:v>0.005</c:v>
                </c:pt>
                <c:pt idx="4">
                  <c:v>0.046</c:v>
                </c:pt>
                <c:pt idx="5">
                  <c:v>0.011</c:v>
                </c:pt>
                <c:pt idx="6">
                  <c:v>0.016</c:v>
                </c:pt>
                <c:pt idx="7">
                  <c:v>0.004</c:v>
                </c:pt>
                <c:pt idx="8">
                  <c:v>0.058</c:v>
                </c:pt>
                <c:pt idx="9">
                  <c:v>0.014</c:v>
                </c:pt>
                <c:pt idx="10">
                  <c:v>0.042</c:v>
                </c:pt>
                <c:pt idx="11">
                  <c:v>0.014</c:v>
                </c:pt>
                <c:pt idx="12">
                  <c:v>0.047</c:v>
                </c:pt>
                <c:pt idx="13">
                  <c:v>0.02</c:v>
                </c:pt>
                <c:pt idx="14">
                  <c:v>0.007</c:v>
                </c:pt>
                <c:pt idx="15">
                  <c:v>0.001</c:v>
                </c:pt>
                <c:pt idx="16">
                  <c:v>0.009</c:v>
                </c:pt>
                <c:pt idx="17">
                  <c:v>0.002</c:v>
                </c:pt>
                <c:pt idx="18">
                  <c:v>0.065</c:v>
                </c:pt>
                <c:pt idx="19">
                  <c:v>0.016</c:v>
                </c:pt>
                <c:pt idx="20">
                  <c:v>0.033</c:v>
                </c:pt>
                <c:pt idx="21">
                  <c:v>0.008</c:v>
                </c:pt>
                <c:pt idx="22">
                  <c:v>0.033</c:v>
                </c:pt>
                <c:pt idx="23">
                  <c:v>0.008</c:v>
                </c:pt>
                <c:pt idx="24">
                  <c:v>0.016</c:v>
                </c:pt>
                <c:pt idx="25">
                  <c:v>0.004</c:v>
                </c:pt>
              </c:numCache>
            </c:numRef>
          </c:val>
        </c:ser>
        <c:gapWidth val="100"/>
        <c:overlap val="0"/>
        <c:axId val="12268337"/>
        <c:axId val="24821738"/>
      </c:barChart>
      <c:catAx>
        <c:axId val="1226833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10452687059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4821738"/>
        <c:crosses val="autoZero"/>
        <c:auto val="1"/>
        <c:lblAlgn val="ctr"/>
        <c:lblOffset val="100"/>
        <c:noMultiLvlLbl val="0"/>
      </c:catAx>
      <c:valAx>
        <c:axId val="2482173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2379149909313"/>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2268337"/>
        <c:crosses val="max"/>
        <c:crossBetween val="midCat"/>
      </c:valAx>
      <c:spPr>
        <a:noFill/>
        <a:ln w="0">
          <a:solidFill>
            <a:srgbClr val="b3b3b3"/>
          </a:solidFill>
        </a:ln>
      </c:spPr>
    </c:plotArea>
    <c:legend>
      <c:legendPos val="r"/>
      <c:layout>
        <c:manualLayout>
          <c:xMode val="edge"/>
          <c:yMode val="edge"/>
          <c:x val="0.802576629107241"/>
          <c:y val="0.0768549062084585"/>
          <c:w val="0.171939639888105"/>
          <c:h val="0.11176485069299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Labor Force Participation Rate</a:t>
            </a:r>
          </a:p>
        </c:rich>
      </c:tx>
      <c:layout>
        <c:manualLayout>
          <c:xMode val="edge"/>
          <c:yMode val="edge"/>
          <c:x val="0.270483400362747"/>
          <c:y val="0.0105659819713315"/>
        </c:manualLayout>
      </c:layout>
      <c:overlay val="0"/>
      <c:spPr>
        <a:noFill/>
        <a:ln w="0">
          <a:noFill/>
        </a:ln>
      </c:spPr>
    </c:title>
    <c:autoTitleDeleted val="0"/>
    <c:plotArea>
      <c:layout>
        <c:manualLayout>
          <c:layoutTarget val="inner"/>
          <c:xMode val="edge"/>
          <c:yMode val="edge"/>
          <c:x val="0.299148332150461"/>
          <c:y val="0.0468696123343678"/>
          <c:w val="0.470349341534579"/>
          <c:h val="0.874144130830994"/>
        </c:manualLayout>
      </c:layout>
      <c:barChart>
        <c:barDir val="bar"/>
        <c:grouping val="clustered"/>
        <c:varyColors val="0"/>
        <c:ser>
          <c:idx val="0"/>
          <c:order val="0"/>
          <c:tx>
            <c:strRef>
              <c:f>LFPR!$C$2</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LFPR!$C$30:$C$55</c:f>
              <c:numCache>
                <c:formatCode>0.00%</c:formatCode>
                <c:ptCount val="26"/>
                <c:pt idx="0">
                  <c:v>0.009</c:v>
                </c:pt>
                <c:pt idx="1">
                  <c:v>0.002</c:v>
                </c:pt>
                <c:pt idx="2">
                  <c:v>0.035</c:v>
                </c:pt>
                <c:pt idx="3">
                  <c:v>0.009</c:v>
                </c:pt>
                <c:pt idx="4">
                  <c:v>0.035</c:v>
                </c:pt>
                <c:pt idx="5">
                  <c:v>0.087</c:v>
                </c:pt>
                <c:pt idx="6">
                  <c:v>0.007</c:v>
                </c:pt>
                <c:pt idx="7">
                  <c:v>0.028</c:v>
                </c:pt>
                <c:pt idx="8">
                  <c:v>0.003</c:v>
                </c:pt>
                <c:pt idx="9">
                  <c:v>0.009</c:v>
                </c:pt>
                <c:pt idx="10">
                  <c:v>0.002</c:v>
                </c:pt>
                <c:pt idx="11">
                  <c:v>0.007</c:v>
                </c:pt>
                <c:pt idx="12">
                  <c:v>0.009</c:v>
                </c:pt>
                <c:pt idx="13">
                  <c:v>0.035</c:v>
                </c:pt>
                <c:pt idx="14">
                  <c:v>0.002</c:v>
                </c:pt>
                <c:pt idx="15">
                  <c:v>0.007</c:v>
                </c:pt>
                <c:pt idx="16">
                  <c:v>0.003</c:v>
                </c:pt>
                <c:pt idx="17">
                  <c:v>0.014</c:v>
                </c:pt>
                <c:pt idx="18">
                  <c:v>0.002</c:v>
                </c:pt>
                <c:pt idx="19">
                  <c:v>0.007</c:v>
                </c:pt>
                <c:pt idx="20">
                  <c:v>0.004</c:v>
                </c:pt>
                <c:pt idx="21">
                  <c:v>0.017</c:v>
                </c:pt>
                <c:pt idx="22">
                  <c:v>0.013</c:v>
                </c:pt>
                <c:pt idx="23">
                  <c:v>0.052</c:v>
                </c:pt>
                <c:pt idx="24">
                  <c:v>0.009</c:v>
                </c:pt>
                <c:pt idx="25">
                  <c:v>0.035</c:v>
                </c:pt>
              </c:numCache>
            </c:numRef>
          </c:val>
        </c:ser>
        <c:ser>
          <c:idx val="1"/>
          <c:order val="1"/>
          <c:tx>
            <c:strRef>
              <c:f>LFPR!$D$2</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LFPR!$D$30:$D$55</c:f>
              <c:numCache>
                <c:formatCode>0.00%</c:formatCode>
                <c:ptCount val="26"/>
                <c:pt idx="0">
                  <c:v>0.681</c:v>
                </c:pt>
                <c:pt idx="1">
                  <c:v>0.681</c:v>
                </c:pt>
                <c:pt idx="2">
                  <c:v>0.681</c:v>
                </c:pt>
                <c:pt idx="3">
                  <c:v>0.681</c:v>
                </c:pt>
                <c:pt idx="4">
                  <c:v>0.681</c:v>
                </c:pt>
                <c:pt idx="5">
                  <c:v>0.681</c:v>
                </c:pt>
                <c:pt idx="6">
                  <c:v>0.619</c:v>
                </c:pt>
                <c:pt idx="7">
                  <c:v>0.619</c:v>
                </c:pt>
                <c:pt idx="8">
                  <c:v>0.619</c:v>
                </c:pt>
                <c:pt idx="9">
                  <c:v>0.619</c:v>
                </c:pt>
                <c:pt idx="10">
                  <c:v>0.681</c:v>
                </c:pt>
                <c:pt idx="11">
                  <c:v>0.681</c:v>
                </c:pt>
                <c:pt idx="12">
                  <c:v>0.681</c:v>
                </c:pt>
                <c:pt idx="13">
                  <c:v>0.681</c:v>
                </c:pt>
                <c:pt idx="14">
                  <c:v>0.681</c:v>
                </c:pt>
                <c:pt idx="15">
                  <c:v>0.681</c:v>
                </c:pt>
                <c:pt idx="16">
                  <c:v>0.681</c:v>
                </c:pt>
                <c:pt idx="17">
                  <c:v>0.681</c:v>
                </c:pt>
                <c:pt idx="18">
                  <c:v>0.619</c:v>
                </c:pt>
                <c:pt idx="19">
                  <c:v>0.619</c:v>
                </c:pt>
                <c:pt idx="20">
                  <c:v>0.619</c:v>
                </c:pt>
                <c:pt idx="21">
                  <c:v>0.619</c:v>
                </c:pt>
                <c:pt idx="22">
                  <c:v>0.619</c:v>
                </c:pt>
                <c:pt idx="23">
                  <c:v>0.619</c:v>
                </c:pt>
                <c:pt idx="24">
                  <c:v>0.681</c:v>
                </c:pt>
                <c:pt idx="25">
                  <c:v>0.681</c:v>
                </c:pt>
              </c:numCache>
            </c:numRef>
          </c:val>
        </c:ser>
        <c:ser>
          <c:idx val="2"/>
          <c:order val="2"/>
          <c:tx>
            <c:strRef>
              <c:f>LFPR!$E$2</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18"/>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LFPR!$E$30:$E$55</c:f>
              <c:numCache>
                <c:formatCode>0.00%</c:formatCode>
                <c:ptCount val="26"/>
                <c:pt idx="0">
                  <c:v>0.712</c:v>
                </c:pt>
                <c:pt idx="1">
                  <c:v>0.712</c:v>
                </c:pt>
                <c:pt idx="2">
                  <c:v>0.712</c:v>
                </c:pt>
                <c:pt idx="3">
                  <c:v>0.712</c:v>
                </c:pt>
                <c:pt idx="4">
                  <c:v>0.712</c:v>
                </c:pt>
                <c:pt idx="5">
                  <c:v>0.712</c:v>
                </c:pt>
                <c:pt idx="6">
                  <c:v>0.678</c:v>
                </c:pt>
                <c:pt idx="7">
                  <c:v>0.678</c:v>
                </c:pt>
                <c:pt idx="8">
                  <c:v>0.678</c:v>
                </c:pt>
                <c:pt idx="9">
                  <c:v>0.678</c:v>
                </c:pt>
                <c:pt idx="10">
                  <c:v>0.712</c:v>
                </c:pt>
                <c:pt idx="11">
                  <c:v>0.712</c:v>
                </c:pt>
                <c:pt idx="12">
                  <c:v>0.712</c:v>
                </c:pt>
                <c:pt idx="13">
                  <c:v>0.712</c:v>
                </c:pt>
                <c:pt idx="14">
                  <c:v>0.712</c:v>
                </c:pt>
                <c:pt idx="15">
                  <c:v>0.712</c:v>
                </c:pt>
                <c:pt idx="16">
                  <c:v>0.712</c:v>
                </c:pt>
                <c:pt idx="17">
                  <c:v>0.712</c:v>
                </c:pt>
                <c:pt idx="18">
                  <c:v>0.678</c:v>
                </c:pt>
                <c:pt idx="19">
                  <c:v>0.678</c:v>
                </c:pt>
                <c:pt idx="20">
                  <c:v>0.678</c:v>
                </c:pt>
                <c:pt idx="21">
                  <c:v>0.678</c:v>
                </c:pt>
                <c:pt idx="22">
                  <c:v>0.678</c:v>
                </c:pt>
                <c:pt idx="23">
                  <c:v>0.678</c:v>
                </c:pt>
                <c:pt idx="24">
                  <c:v>0.712</c:v>
                </c:pt>
                <c:pt idx="25">
                  <c:v>0.712</c:v>
                </c:pt>
              </c:numCache>
            </c:numRef>
          </c:val>
        </c:ser>
        <c:ser>
          <c:idx val="3"/>
          <c:order val="3"/>
          <c:tx>
            <c:strRef>
              <c:f>LFPR!$F$2</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LFPR!$F$30:$F$55</c:f>
              <c:numCache>
                <c:formatCode>0.00%</c:formatCode>
                <c:ptCount val="26"/>
                <c:pt idx="0">
                  <c:v>0.008</c:v>
                </c:pt>
                <c:pt idx="1">
                  <c:v>0.002</c:v>
                </c:pt>
                <c:pt idx="2">
                  <c:v>0.033</c:v>
                </c:pt>
                <c:pt idx="3">
                  <c:v>0.008</c:v>
                </c:pt>
                <c:pt idx="4">
                  <c:v>0.033</c:v>
                </c:pt>
                <c:pt idx="5">
                  <c:v>0.083</c:v>
                </c:pt>
                <c:pt idx="6">
                  <c:v>0.007</c:v>
                </c:pt>
                <c:pt idx="7">
                  <c:v>0.026</c:v>
                </c:pt>
                <c:pt idx="8">
                  <c:v>0.003</c:v>
                </c:pt>
                <c:pt idx="9">
                  <c:v>0.009</c:v>
                </c:pt>
                <c:pt idx="10">
                  <c:v>0.002</c:v>
                </c:pt>
                <c:pt idx="11">
                  <c:v>0.007</c:v>
                </c:pt>
                <c:pt idx="12">
                  <c:v>0.008</c:v>
                </c:pt>
                <c:pt idx="13">
                  <c:v>0.033</c:v>
                </c:pt>
                <c:pt idx="14">
                  <c:v>0.002</c:v>
                </c:pt>
                <c:pt idx="15">
                  <c:v>0.007</c:v>
                </c:pt>
                <c:pt idx="16">
                  <c:v>0.003</c:v>
                </c:pt>
                <c:pt idx="17">
                  <c:v>0.013</c:v>
                </c:pt>
                <c:pt idx="18">
                  <c:v>0.002</c:v>
                </c:pt>
                <c:pt idx="19">
                  <c:v>0.007</c:v>
                </c:pt>
                <c:pt idx="20">
                  <c:v>0.004</c:v>
                </c:pt>
                <c:pt idx="21">
                  <c:v>0.016</c:v>
                </c:pt>
                <c:pt idx="22">
                  <c:v>0.012</c:v>
                </c:pt>
                <c:pt idx="23">
                  <c:v>0.049</c:v>
                </c:pt>
                <c:pt idx="24">
                  <c:v>0.008</c:v>
                </c:pt>
                <c:pt idx="25">
                  <c:v>0.033</c:v>
                </c:pt>
              </c:numCache>
            </c:numRef>
          </c:val>
        </c:ser>
        <c:gapWidth val="100"/>
        <c:overlap val="0"/>
        <c:axId val="17197957"/>
        <c:axId val="39458878"/>
      </c:barChart>
      <c:catAx>
        <c:axId val="1719795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03063888478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9458878"/>
        <c:crosses val="autoZero"/>
        <c:auto val="1"/>
        <c:lblAlgn val="ctr"/>
        <c:lblOffset val="100"/>
        <c:noMultiLvlLbl val="0"/>
      </c:catAx>
      <c:valAx>
        <c:axId val="3945887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245800804353"/>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7197957"/>
        <c:crosses val="max"/>
        <c:crossBetween val="midCat"/>
      </c:valAx>
      <c:spPr>
        <a:noFill/>
        <a:ln w="0">
          <a:solidFill>
            <a:srgbClr val="b3b3b3"/>
          </a:solidFill>
        </a:ln>
      </c:spPr>
    </c:plotArea>
    <c:legend>
      <c:legendPos val="r"/>
      <c:layout>
        <c:manualLayout>
          <c:xMode val="edge"/>
          <c:yMode val="edge"/>
          <c:x val="0.802546013478895"/>
          <c:y val="0.0768226922414005"/>
          <c:w val="0.171921803562983"/>
          <c:h val="0.111764995567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Unemployment Rate</a:t>
            </a:r>
          </a:p>
        </c:rich>
      </c:tx>
      <c:layout>
        <c:manualLayout>
          <c:xMode val="edge"/>
          <c:yMode val="edge"/>
          <c:x val="0.295836290513366"/>
          <c:y val="0.010565981971331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U3R!$C$2</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U3R!$C$4:$C$29</c:f>
              <c:numCache>
                <c:formatCode>0.00%</c:formatCode>
                <c:ptCount val="26"/>
                <c:pt idx="0">
                  <c:v>0.042</c:v>
                </c:pt>
                <c:pt idx="1">
                  <c:v>0.042</c:v>
                </c:pt>
                <c:pt idx="2">
                  <c:v>0.042</c:v>
                </c:pt>
                <c:pt idx="3">
                  <c:v>0.042</c:v>
                </c:pt>
                <c:pt idx="4">
                  <c:v>0.042</c:v>
                </c:pt>
                <c:pt idx="5">
                  <c:v>0.042</c:v>
                </c:pt>
                <c:pt idx="6">
                  <c:v>0.042</c:v>
                </c:pt>
                <c:pt idx="7">
                  <c:v>0.042</c:v>
                </c:pt>
                <c:pt idx="8">
                  <c:v>0.042</c:v>
                </c:pt>
                <c:pt idx="9">
                  <c:v>0.042</c:v>
                </c:pt>
                <c:pt idx="10">
                  <c:v>0.042</c:v>
                </c:pt>
                <c:pt idx="11">
                  <c:v>0.042</c:v>
                </c:pt>
                <c:pt idx="12">
                  <c:v>0.042</c:v>
                </c:pt>
                <c:pt idx="13">
                  <c:v>0.042</c:v>
                </c:pt>
                <c:pt idx="14">
                  <c:v>0.042</c:v>
                </c:pt>
                <c:pt idx="15">
                  <c:v>0.042</c:v>
                </c:pt>
                <c:pt idx="16">
                  <c:v>0.042</c:v>
                </c:pt>
                <c:pt idx="17">
                  <c:v>0.042</c:v>
                </c:pt>
                <c:pt idx="18">
                  <c:v>0.042</c:v>
                </c:pt>
                <c:pt idx="19">
                  <c:v>0.042</c:v>
                </c:pt>
                <c:pt idx="20">
                  <c:v>0.042</c:v>
                </c:pt>
                <c:pt idx="21">
                  <c:v>0.042</c:v>
                </c:pt>
                <c:pt idx="22">
                  <c:v>0.042</c:v>
                </c:pt>
                <c:pt idx="23">
                  <c:v>0.042</c:v>
                </c:pt>
                <c:pt idx="24">
                  <c:v>0.042</c:v>
                </c:pt>
                <c:pt idx="25">
                  <c:v>0.042</c:v>
                </c:pt>
              </c:numCache>
            </c:numRef>
          </c:val>
        </c:ser>
        <c:ser>
          <c:idx val="1"/>
          <c:order val="1"/>
          <c:tx>
            <c:strRef>
              <c:f>U3R!$D$2</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U3R!$D$4:$D$29</c:f>
              <c:numCache>
                <c:formatCode>0.00%</c:formatCode>
                <c:ptCount val="26"/>
                <c:pt idx="0">
                  <c:v>0.02</c:v>
                </c:pt>
                <c:pt idx="1">
                  <c:v>0.02</c:v>
                </c:pt>
                <c:pt idx="2">
                  <c:v>0.02</c:v>
                </c:pt>
                <c:pt idx="3">
                  <c:v>0.02</c:v>
                </c:pt>
                <c:pt idx="4">
                  <c:v>0.02</c:v>
                </c:pt>
                <c:pt idx="5">
                  <c:v>0.02</c:v>
                </c:pt>
                <c:pt idx="6">
                  <c:v>0.02</c:v>
                </c:pt>
                <c:pt idx="7">
                  <c:v>0.02</c:v>
                </c:pt>
                <c:pt idx="8">
                  <c:v>0</c:v>
                </c:pt>
                <c:pt idx="9">
                  <c:v>0</c:v>
                </c:pt>
                <c:pt idx="10">
                  <c:v>0</c:v>
                </c:pt>
                <c:pt idx="11">
                  <c:v>0</c:v>
                </c:pt>
                <c:pt idx="12">
                  <c:v>0</c:v>
                </c:pt>
                <c:pt idx="13">
                  <c:v>0</c:v>
                </c:pt>
                <c:pt idx="14">
                  <c:v>0.02</c:v>
                </c:pt>
                <c:pt idx="15">
                  <c:v>0.02</c:v>
                </c:pt>
                <c:pt idx="16">
                  <c:v>0</c:v>
                </c:pt>
                <c:pt idx="17">
                  <c:v>0</c:v>
                </c:pt>
                <c:pt idx="18">
                  <c:v>0</c:v>
                </c:pt>
                <c:pt idx="19">
                  <c:v>0</c:v>
                </c:pt>
                <c:pt idx="20">
                  <c:v>0</c:v>
                </c:pt>
                <c:pt idx="21">
                  <c:v>0</c:v>
                </c:pt>
                <c:pt idx="22">
                  <c:v>0</c:v>
                </c:pt>
                <c:pt idx="23">
                  <c:v>0</c:v>
                </c:pt>
                <c:pt idx="24">
                  <c:v>0</c:v>
                </c:pt>
                <c:pt idx="25">
                  <c:v>0</c:v>
                </c:pt>
              </c:numCache>
            </c:numRef>
          </c:val>
        </c:ser>
        <c:ser>
          <c:idx val="2"/>
          <c:order val="2"/>
          <c:tx>
            <c:strRef>
              <c:f>U3R!$E$2</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U3R!$E$4:$E$29</c:f>
              <c:numCache>
                <c:formatCode>0.00%</c:formatCode>
                <c:ptCount val="26"/>
                <c:pt idx="0">
                  <c:v>0.15</c:v>
                </c:pt>
                <c:pt idx="1">
                  <c:v>0.15</c:v>
                </c:pt>
                <c:pt idx="2">
                  <c:v>0.12</c:v>
                </c:pt>
                <c:pt idx="3">
                  <c:v>0.12</c:v>
                </c:pt>
                <c:pt idx="4">
                  <c:v>0.1</c:v>
                </c:pt>
                <c:pt idx="5">
                  <c:v>0.1</c:v>
                </c:pt>
                <c:pt idx="6">
                  <c:v>0.1</c:v>
                </c:pt>
                <c:pt idx="7">
                  <c:v>0.1</c:v>
                </c:pt>
                <c:pt idx="8">
                  <c:v>0.08</c:v>
                </c:pt>
                <c:pt idx="9">
                  <c:v>0.08</c:v>
                </c:pt>
                <c:pt idx="10">
                  <c:v>0.1</c:v>
                </c:pt>
                <c:pt idx="11">
                  <c:v>0.1</c:v>
                </c:pt>
                <c:pt idx="12">
                  <c:v>0.1</c:v>
                </c:pt>
                <c:pt idx="13">
                  <c:v>0.1</c:v>
                </c:pt>
                <c:pt idx="14">
                  <c:v>0.15</c:v>
                </c:pt>
                <c:pt idx="15">
                  <c:v>0.15</c:v>
                </c:pt>
                <c:pt idx="16">
                  <c:v>0.12</c:v>
                </c:pt>
                <c:pt idx="17">
                  <c:v>0.12</c:v>
                </c:pt>
                <c:pt idx="18">
                  <c:v>0.08</c:v>
                </c:pt>
                <c:pt idx="19">
                  <c:v>0.08</c:v>
                </c:pt>
                <c:pt idx="20">
                  <c:v>0.08</c:v>
                </c:pt>
                <c:pt idx="21">
                  <c:v>0.08</c:v>
                </c:pt>
                <c:pt idx="22">
                  <c:v>0.08</c:v>
                </c:pt>
                <c:pt idx="23">
                  <c:v>0.08</c:v>
                </c:pt>
                <c:pt idx="24">
                  <c:v>0.08</c:v>
                </c:pt>
                <c:pt idx="25">
                  <c:v>0.08</c:v>
                </c:pt>
              </c:numCache>
            </c:numRef>
          </c:val>
        </c:ser>
        <c:ser>
          <c:idx val="3"/>
          <c:order val="3"/>
          <c:tx>
            <c:strRef>
              <c:f>U3R!$F$2</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U3R!$F$4:$F$29</c:f>
              <c:numCache>
                <c:formatCode>0.00%</c:formatCode>
                <c:ptCount val="26"/>
                <c:pt idx="0">
                  <c:v>0.042</c:v>
                </c:pt>
                <c:pt idx="1">
                  <c:v>0.042</c:v>
                </c:pt>
                <c:pt idx="2">
                  <c:v>0.042</c:v>
                </c:pt>
                <c:pt idx="3">
                  <c:v>0.042</c:v>
                </c:pt>
                <c:pt idx="4">
                  <c:v>0.042</c:v>
                </c:pt>
                <c:pt idx="5">
                  <c:v>0.042</c:v>
                </c:pt>
                <c:pt idx="6">
                  <c:v>0.042</c:v>
                </c:pt>
                <c:pt idx="7">
                  <c:v>0.042</c:v>
                </c:pt>
                <c:pt idx="8">
                  <c:v>0.042</c:v>
                </c:pt>
                <c:pt idx="9">
                  <c:v>0.042</c:v>
                </c:pt>
                <c:pt idx="10">
                  <c:v>0.042</c:v>
                </c:pt>
                <c:pt idx="11">
                  <c:v>0.042</c:v>
                </c:pt>
                <c:pt idx="12">
                  <c:v>0.042</c:v>
                </c:pt>
                <c:pt idx="13">
                  <c:v>0.042</c:v>
                </c:pt>
                <c:pt idx="14">
                  <c:v>0.042</c:v>
                </c:pt>
                <c:pt idx="15">
                  <c:v>0.042</c:v>
                </c:pt>
                <c:pt idx="16">
                  <c:v>0.042</c:v>
                </c:pt>
                <c:pt idx="17">
                  <c:v>0.042</c:v>
                </c:pt>
                <c:pt idx="18">
                  <c:v>0.042</c:v>
                </c:pt>
                <c:pt idx="19">
                  <c:v>0.042</c:v>
                </c:pt>
                <c:pt idx="20">
                  <c:v>0.042</c:v>
                </c:pt>
                <c:pt idx="21">
                  <c:v>0.042</c:v>
                </c:pt>
                <c:pt idx="22">
                  <c:v>0.042</c:v>
                </c:pt>
                <c:pt idx="23">
                  <c:v>0.042</c:v>
                </c:pt>
                <c:pt idx="24">
                  <c:v>0.042</c:v>
                </c:pt>
                <c:pt idx="25">
                  <c:v>0.042</c:v>
                </c:pt>
              </c:numCache>
            </c:numRef>
          </c:val>
        </c:ser>
        <c:gapWidth val="100"/>
        <c:overlap val="0"/>
        <c:axId val="26535226"/>
        <c:axId val="85465973"/>
      </c:barChart>
      <c:catAx>
        <c:axId val="2653522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03063888478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465973"/>
        <c:crosses val="autoZero"/>
        <c:auto val="1"/>
        <c:lblAlgn val="ctr"/>
        <c:lblOffset val="100"/>
        <c:noMultiLvlLbl val="0"/>
      </c:catAx>
      <c:valAx>
        <c:axId val="8546597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45800804353"/>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6535226"/>
        <c:crosses val="max"/>
        <c:crossBetween val="midCat"/>
        <c:majorUnit val="0.01"/>
      </c:valAx>
      <c:spPr>
        <a:noFill/>
        <a:ln w="0">
          <a:solidFill>
            <a:srgbClr val="b3b3b3"/>
          </a:solidFill>
        </a:ln>
      </c:spPr>
    </c:plotArea>
    <c:legend>
      <c:legendPos val="r"/>
      <c:layout>
        <c:manualLayout>
          <c:xMode val="edge"/>
          <c:yMode val="edge"/>
          <c:x val="0.802578660988881"/>
          <c:y val="0.0768681345746515"/>
          <c:w val="0.171956941760972"/>
          <c:h val="0.11177064604320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Unemployment Rate</a:t>
            </a:r>
          </a:p>
        </c:rich>
      </c:tx>
      <c:layout>
        <c:manualLayout>
          <c:xMode val="edge"/>
          <c:yMode val="edge"/>
          <c:x val="0.295836290513366"/>
          <c:y val="0.0105659819713315"/>
        </c:manualLayout>
      </c:layout>
      <c:overlay val="0"/>
      <c:spPr>
        <a:noFill/>
        <a:ln w="0">
          <a:noFill/>
        </a:ln>
      </c:spPr>
    </c:title>
    <c:autoTitleDeleted val="0"/>
    <c:plotArea>
      <c:layout>
        <c:manualLayout>
          <c:layoutTarget val="inner"/>
          <c:xMode val="edge"/>
          <c:yMode val="edge"/>
          <c:x val="0.299148332150461"/>
          <c:y val="0.0468696123343678"/>
          <c:w val="0.470349341534579"/>
          <c:h val="0.874144130830994"/>
        </c:manualLayout>
      </c:layout>
      <c:barChart>
        <c:barDir val="bar"/>
        <c:grouping val="clustered"/>
        <c:varyColors val="0"/>
        <c:ser>
          <c:idx val="0"/>
          <c:order val="0"/>
          <c:tx>
            <c:strRef>
              <c:f>U3R!$C$2</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U3R!$C$30:$C$55</c:f>
              <c:numCache>
                <c:formatCode>0.00%</c:formatCode>
                <c:ptCount val="26"/>
                <c:pt idx="0">
                  <c:v>0.042</c:v>
                </c:pt>
                <c:pt idx="1">
                  <c:v>0.042</c:v>
                </c:pt>
                <c:pt idx="2">
                  <c:v>0.042</c:v>
                </c:pt>
                <c:pt idx="3">
                  <c:v>0.042</c:v>
                </c:pt>
                <c:pt idx="4">
                  <c:v>0.042</c:v>
                </c:pt>
                <c:pt idx="5">
                  <c:v>0.042</c:v>
                </c:pt>
                <c:pt idx="6">
                  <c:v>0.042</c:v>
                </c:pt>
                <c:pt idx="7">
                  <c:v>0.042</c:v>
                </c:pt>
                <c:pt idx="8">
                  <c:v>0.042</c:v>
                </c:pt>
                <c:pt idx="9">
                  <c:v>0.042</c:v>
                </c:pt>
                <c:pt idx="10">
                  <c:v>0.042</c:v>
                </c:pt>
                <c:pt idx="11">
                  <c:v>0.042</c:v>
                </c:pt>
                <c:pt idx="12">
                  <c:v>0.042</c:v>
                </c:pt>
                <c:pt idx="13">
                  <c:v>0.042</c:v>
                </c:pt>
                <c:pt idx="14">
                  <c:v>0.042</c:v>
                </c:pt>
                <c:pt idx="15">
                  <c:v>0.042</c:v>
                </c:pt>
                <c:pt idx="16">
                  <c:v>0.042</c:v>
                </c:pt>
                <c:pt idx="17">
                  <c:v>0.042</c:v>
                </c:pt>
                <c:pt idx="18">
                  <c:v>0.042</c:v>
                </c:pt>
                <c:pt idx="19">
                  <c:v>0.042</c:v>
                </c:pt>
                <c:pt idx="20">
                  <c:v>0.042</c:v>
                </c:pt>
                <c:pt idx="21">
                  <c:v>0.042</c:v>
                </c:pt>
                <c:pt idx="22">
                  <c:v>0.042</c:v>
                </c:pt>
                <c:pt idx="23">
                  <c:v>0.042</c:v>
                </c:pt>
                <c:pt idx="24">
                  <c:v>0.042</c:v>
                </c:pt>
                <c:pt idx="25">
                  <c:v>0.042</c:v>
                </c:pt>
              </c:numCache>
            </c:numRef>
          </c:val>
        </c:ser>
        <c:ser>
          <c:idx val="1"/>
          <c:order val="1"/>
          <c:tx>
            <c:strRef>
              <c:f>U3R!$D$2</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U3R!$D$30:$D$55</c:f>
              <c:numCache>
                <c:formatCode>0.00%</c:formatCode>
                <c:ptCount val="26"/>
                <c:pt idx="0">
                  <c:v>0</c:v>
                </c:pt>
                <c:pt idx="1">
                  <c:v>0</c:v>
                </c:pt>
                <c:pt idx="2">
                  <c:v>0</c:v>
                </c:pt>
                <c:pt idx="3">
                  <c:v>0</c:v>
                </c:pt>
                <c:pt idx="4">
                  <c:v>0</c:v>
                </c:pt>
                <c:pt idx="5">
                  <c:v>0</c:v>
                </c:pt>
                <c:pt idx="6">
                  <c:v>0.02</c:v>
                </c:pt>
                <c:pt idx="7">
                  <c:v>0.02</c:v>
                </c:pt>
                <c:pt idx="8">
                  <c:v>0.02</c:v>
                </c:pt>
                <c:pt idx="9">
                  <c:v>0.02</c:v>
                </c:pt>
                <c:pt idx="10">
                  <c:v>0</c:v>
                </c:pt>
                <c:pt idx="11">
                  <c:v>0</c:v>
                </c:pt>
                <c:pt idx="12">
                  <c:v>0</c:v>
                </c:pt>
                <c:pt idx="13">
                  <c:v>0</c:v>
                </c:pt>
                <c:pt idx="14">
                  <c:v>0</c:v>
                </c:pt>
                <c:pt idx="15">
                  <c:v>0</c:v>
                </c:pt>
                <c:pt idx="16">
                  <c:v>0</c:v>
                </c:pt>
                <c:pt idx="17">
                  <c:v>0</c:v>
                </c:pt>
                <c:pt idx="18">
                  <c:v>0.02</c:v>
                </c:pt>
                <c:pt idx="19">
                  <c:v>0.02</c:v>
                </c:pt>
                <c:pt idx="20">
                  <c:v>0.02</c:v>
                </c:pt>
                <c:pt idx="21">
                  <c:v>0.02</c:v>
                </c:pt>
                <c:pt idx="22">
                  <c:v>0.02</c:v>
                </c:pt>
                <c:pt idx="23">
                  <c:v>0.02</c:v>
                </c:pt>
                <c:pt idx="24">
                  <c:v>0</c:v>
                </c:pt>
                <c:pt idx="25">
                  <c:v>0</c:v>
                </c:pt>
              </c:numCache>
            </c:numRef>
          </c:val>
        </c:ser>
        <c:ser>
          <c:idx val="2"/>
          <c:order val="2"/>
          <c:tx>
            <c:strRef>
              <c:f>U3R!$E$2</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U3R!$E$30:$E$55</c:f>
              <c:numCache>
                <c:formatCode>0.00%</c:formatCode>
                <c:ptCount val="26"/>
                <c:pt idx="0">
                  <c:v>0.08</c:v>
                </c:pt>
                <c:pt idx="1">
                  <c:v>0.08</c:v>
                </c:pt>
                <c:pt idx="2">
                  <c:v>0.08</c:v>
                </c:pt>
                <c:pt idx="3">
                  <c:v>0.08</c:v>
                </c:pt>
                <c:pt idx="4">
                  <c:v>0.08</c:v>
                </c:pt>
                <c:pt idx="5">
                  <c:v>0.08</c:v>
                </c:pt>
                <c:pt idx="6">
                  <c:v>0.15</c:v>
                </c:pt>
                <c:pt idx="7">
                  <c:v>0.15</c:v>
                </c:pt>
                <c:pt idx="8">
                  <c:v>0.15</c:v>
                </c:pt>
                <c:pt idx="9">
                  <c:v>0.15</c:v>
                </c:pt>
                <c:pt idx="10">
                  <c:v>0.08</c:v>
                </c:pt>
                <c:pt idx="11">
                  <c:v>0.08</c:v>
                </c:pt>
                <c:pt idx="12">
                  <c:v>0.08</c:v>
                </c:pt>
                <c:pt idx="13">
                  <c:v>0.08</c:v>
                </c:pt>
                <c:pt idx="14">
                  <c:v>0.08</c:v>
                </c:pt>
                <c:pt idx="15">
                  <c:v>0.08</c:v>
                </c:pt>
                <c:pt idx="16">
                  <c:v>0.08</c:v>
                </c:pt>
                <c:pt idx="17">
                  <c:v>0.08</c:v>
                </c:pt>
                <c:pt idx="18">
                  <c:v>0.15</c:v>
                </c:pt>
                <c:pt idx="19">
                  <c:v>0.15</c:v>
                </c:pt>
                <c:pt idx="20">
                  <c:v>0.163</c:v>
                </c:pt>
                <c:pt idx="21">
                  <c:v>0.163</c:v>
                </c:pt>
                <c:pt idx="22">
                  <c:v>0.163</c:v>
                </c:pt>
                <c:pt idx="23">
                  <c:v>0.163</c:v>
                </c:pt>
                <c:pt idx="24">
                  <c:v>0.08</c:v>
                </c:pt>
                <c:pt idx="25">
                  <c:v>0.08</c:v>
                </c:pt>
              </c:numCache>
            </c:numRef>
          </c:val>
        </c:ser>
        <c:ser>
          <c:idx val="3"/>
          <c:order val="3"/>
          <c:tx>
            <c:strRef>
              <c:f>U3R!$F$2</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U3R!$F$30:$F$55</c:f>
              <c:numCache>
                <c:formatCode>0.00%</c:formatCode>
                <c:ptCount val="26"/>
                <c:pt idx="0">
                  <c:v>0.042</c:v>
                </c:pt>
                <c:pt idx="1">
                  <c:v>0.042</c:v>
                </c:pt>
                <c:pt idx="2">
                  <c:v>0.042</c:v>
                </c:pt>
                <c:pt idx="3">
                  <c:v>0.042</c:v>
                </c:pt>
                <c:pt idx="4">
                  <c:v>0.042</c:v>
                </c:pt>
                <c:pt idx="5">
                  <c:v>0.042</c:v>
                </c:pt>
                <c:pt idx="6">
                  <c:v>0.042</c:v>
                </c:pt>
                <c:pt idx="7">
                  <c:v>0.042</c:v>
                </c:pt>
                <c:pt idx="8">
                  <c:v>0.042</c:v>
                </c:pt>
                <c:pt idx="9">
                  <c:v>0.042</c:v>
                </c:pt>
                <c:pt idx="10">
                  <c:v>0.042</c:v>
                </c:pt>
                <c:pt idx="11">
                  <c:v>0.042</c:v>
                </c:pt>
                <c:pt idx="12">
                  <c:v>0.042</c:v>
                </c:pt>
                <c:pt idx="13">
                  <c:v>0.042</c:v>
                </c:pt>
                <c:pt idx="14">
                  <c:v>0.042</c:v>
                </c:pt>
                <c:pt idx="15">
                  <c:v>0.042</c:v>
                </c:pt>
                <c:pt idx="16">
                  <c:v>0.042</c:v>
                </c:pt>
                <c:pt idx="17">
                  <c:v>0.042</c:v>
                </c:pt>
                <c:pt idx="18">
                  <c:v>0.042</c:v>
                </c:pt>
                <c:pt idx="19">
                  <c:v>0.042</c:v>
                </c:pt>
                <c:pt idx="20">
                  <c:v>0.042</c:v>
                </c:pt>
                <c:pt idx="21">
                  <c:v>0.042</c:v>
                </c:pt>
                <c:pt idx="22">
                  <c:v>0.042</c:v>
                </c:pt>
                <c:pt idx="23">
                  <c:v>0.042</c:v>
                </c:pt>
                <c:pt idx="24">
                  <c:v>0.042</c:v>
                </c:pt>
                <c:pt idx="25">
                  <c:v>0.042</c:v>
                </c:pt>
              </c:numCache>
            </c:numRef>
          </c:val>
        </c:ser>
        <c:gapWidth val="100"/>
        <c:overlap val="0"/>
        <c:axId val="25184230"/>
        <c:axId val="35314165"/>
      </c:barChart>
      <c:catAx>
        <c:axId val="25184230"/>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95675089897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5314165"/>
        <c:crosses val="autoZero"/>
        <c:auto val="1"/>
        <c:lblAlgn val="ctr"/>
        <c:lblOffset val="100"/>
        <c:noMultiLvlLbl val="0"/>
      </c:catAx>
      <c:valAx>
        <c:axId val="3531416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536866177746"/>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5184230"/>
        <c:crosses val="max"/>
        <c:crossBetween val="midCat"/>
        <c:majorUnit val="0.01"/>
      </c:valAx>
      <c:spPr>
        <a:noFill/>
        <a:ln w="0">
          <a:solidFill>
            <a:srgbClr val="b3b3b3"/>
          </a:solidFill>
        </a:ln>
      </c:spPr>
    </c:plotArea>
    <c:legend>
      <c:legendPos val="r"/>
      <c:layout>
        <c:manualLayout>
          <c:xMode val="edge"/>
          <c:yMode val="edge"/>
          <c:x val="0.802578660988881"/>
          <c:y val="0.0768681345746515"/>
          <c:w val="0.171956941760972"/>
          <c:h val="0.11174601610797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Underemployment Rate</a:t>
            </a:r>
          </a:p>
        </c:rich>
      </c:tx>
      <c:layout>
        <c:manualLayout>
          <c:xMode val="edge"/>
          <c:yMode val="edge"/>
          <c:x val="0.280143521804274"/>
          <c:y val="0.010565981971331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U6R!$C$2</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U6R!$C$4:$C$29</c:f>
              <c:numCache>
                <c:formatCode>0.00%</c:formatCode>
                <c:ptCount val="26"/>
                <c:pt idx="0">
                  <c:v>0.069</c:v>
                </c:pt>
                <c:pt idx="1">
                  <c:v>0.069</c:v>
                </c:pt>
                <c:pt idx="2">
                  <c:v>0.069</c:v>
                </c:pt>
                <c:pt idx="3">
                  <c:v>0.069</c:v>
                </c:pt>
                <c:pt idx="4">
                  <c:v>0.069</c:v>
                </c:pt>
                <c:pt idx="5">
                  <c:v>0.069</c:v>
                </c:pt>
                <c:pt idx="6">
                  <c:v>0.069</c:v>
                </c:pt>
                <c:pt idx="7">
                  <c:v>0.069</c:v>
                </c:pt>
                <c:pt idx="8">
                  <c:v>0.069</c:v>
                </c:pt>
                <c:pt idx="9">
                  <c:v>0.069</c:v>
                </c:pt>
                <c:pt idx="10">
                  <c:v>0.069</c:v>
                </c:pt>
                <c:pt idx="11">
                  <c:v>0.069</c:v>
                </c:pt>
                <c:pt idx="12">
                  <c:v>0.069</c:v>
                </c:pt>
                <c:pt idx="13">
                  <c:v>0.069</c:v>
                </c:pt>
                <c:pt idx="14">
                  <c:v>0.069</c:v>
                </c:pt>
                <c:pt idx="15">
                  <c:v>0.069</c:v>
                </c:pt>
                <c:pt idx="16">
                  <c:v>0.069</c:v>
                </c:pt>
                <c:pt idx="17">
                  <c:v>0.069</c:v>
                </c:pt>
                <c:pt idx="18">
                  <c:v>0.069</c:v>
                </c:pt>
                <c:pt idx="19">
                  <c:v>0.069</c:v>
                </c:pt>
                <c:pt idx="20">
                  <c:v>0.069</c:v>
                </c:pt>
                <c:pt idx="21">
                  <c:v>0.069</c:v>
                </c:pt>
                <c:pt idx="22">
                  <c:v>0.069</c:v>
                </c:pt>
                <c:pt idx="23">
                  <c:v>0.069</c:v>
                </c:pt>
                <c:pt idx="24">
                  <c:v>0.069</c:v>
                </c:pt>
                <c:pt idx="25">
                  <c:v>0.069</c:v>
                </c:pt>
              </c:numCache>
            </c:numRef>
          </c:val>
        </c:ser>
        <c:ser>
          <c:idx val="1"/>
          <c:order val="1"/>
          <c:tx>
            <c:strRef>
              <c:f>U6R!$D$2</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U6R!$D$4:$D$29</c:f>
              <c:numCache>
                <c:formatCode>0.00%</c:formatCode>
                <c:ptCount val="26"/>
                <c:pt idx="0">
                  <c:v>0.033</c:v>
                </c:pt>
                <c:pt idx="1">
                  <c:v>0.033</c:v>
                </c:pt>
                <c:pt idx="2">
                  <c:v>0.033</c:v>
                </c:pt>
                <c:pt idx="3">
                  <c:v>0.033</c:v>
                </c:pt>
                <c:pt idx="4">
                  <c:v>0.033</c:v>
                </c:pt>
                <c:pt idx="5">
                  <c:v>0.033</c:v>
                </c:pt>
                <c:pt idx="6">
                  <c:v>0.033</c:v>
                </c:pt>
                <c:pt idx="7">
                  <c:v>0.033</c:v>
                </c:pt>
                <c:pt idx="8">
                  <c:v>0</c:v>
                </c:pt>
                <c:pt idx="9">
                  <c:v>0</c:v>
                </c:pt>
                <c:pt idx="10">
                  <c:v>0.033</c:v>
                </c:pt>
                <c:pt idx="11">
                  <c:v>0.033</c:v>
                </c:pt>
                <c:pt idx="12">
                  <c:v>0.033</c:v>
                </c:pt>
                <c:pt idx="13">
                  <c:v>0.033</c:v>
                </c:pt>
                <c:pt idx="14">
                  <c:v>0.033</c:v>
                </c:pt>
                <c:pt idx="15">
                  <c:v>0.033</c:v>
                </c:pt>
                <c:pt idx="16">
                  <c:v>0.033</c:v>
                </c:pt>
                <c:pt idx="17">
                  <c:v>0.033</c:v>
                </c:pt>
                <c:pt idx="18">
                  <c:v>0</c:v>
                </c:pt>
                <c:pt idx="19">
                  <c:v>0</c:v>
                </c:pt>
                <c:pt idx="20">
                  <c:v>0</c:v>
                </c:pt>
                <c:pt idx="21">
                  <c:v>0</c:v>
                </c:pt>
                <c:pt idx="22">
                  <c:v>0</c:v>
                </c:pt>
                <c:pt idx="23">
                  <c:v>0</c:v>
                </c:pt>
                <c:pt idx="24">
                  <c:v>0</c:v>
                </c:pt>
                <c:pt idx="25">
                  <c:v>0</c:v>
                </c:pt>
              </c:numCache>
            </c:numRef>
          </c:val>
        </c:ser>
        <c:ser>
          <c:idx val="2"/>
          <c:order val="2"/>
          <c:tx>
            <c:strRef>
              <c:f>U6R!$E$2</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U6R!$E$4:$E$29</c:f>
              <c:numCache>
                <c:formatCode>0.00%</c:formatCode>
                <c:ptCount val="26"/>
                <c:pt idx="0">
                  <c:v>0.27</c:v>
                </c:pt>
                <c:pt idx="1">
                  <c:v>0.27</c:v>
                </c:pt>
                <c:pt idx="2">
                  <c:v>0.216</c:v>
                </c:pt>
                <c:pt idx="3">
                  <c:v>0.216</c:v>
                </c:pt>
                <c:pt idx="4">
                  <c:v>0.18</c:v>
                </c:pt>
                <c:pt idx="5">
                  <c:v>0.18</c:v>
                </c:pt>
                <c:pt idx="6">
                  <c:v>0.18</c:v>
                </c:pt>
                <c:pt idx="7">
                  <c:v>0.18</c:v>
                </c:pt>
                <c:pt idx="8">
                  <c:v>0.144</c:v>
                </c:pt>
                <c:pt idx="9">
                  <c:v>0.144</c:v>
                </c:pt>
                <c:pt idx="10">
                  <c:v>0.18</c:v>
                </c:pt>
                <c:pt idx="11">
                  <c:v>0.18</c:v>
                </c:pt>
                <c:pt idx="12">
                  <c:v>0.18</c:v>
                </c:pt>
                <c:pt idx="13">
                  <c:v>0.18</c:v>
                </c:pt>
                <c:pt idx="14">
                  <c:v>0.27</c:v>
                </c:pt>
                <c:pt idx="15">
                  <c:v>0.27</c:v>
                </c:pt>
                <c:pt idx="16">
                  <c:v>0.216</c:v>
                </c:pt>
                <c:pt idx="17">
                  <c:v>0.216</c:v>
                </c:pt>
                <c:pt idx="18">
                  <c:v>0.144</c:v>
                </c:pt>
                <c:pt idx="19">
                  <c:v>0.144</c:v>
                </c:pt>
                <c:pt idx="20">
                  <c:v>0.144</c:v>
                </c:pt>
                <c:pt idx="21">
                  <c:v>0.144</c:v>
                </c:pt>
                <c:pt idx="22">
                  <c:v>0.144</c:v>
                </c:pt>
                <c:pt idx="23">
                  <c:v>0.144</c:v>
                </c:pt>
                <c:pt idx="24">
                  <c:v>0.144</c:v>
                </c:pt>
                <c:pt idx="25">
                  <c:v>0.144</c:v>
                </c:pt>
              </c:numCache>
            </c:numRef>
          </c:val>
        </c:ser>
        <c:ser>
          <c:idx val="3"/>
          <c:order val="3"/>
          <c:tx>
            <c:strRef>
              <c:f>U6R!$F$2</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U6R!$F$4:$F$29</c:f>
              <c:numCache>
                <c:formatCode>0.00%</c:formatCode>
                <c:ptCount val="26"/>
                <c:pt idx="0">
                  <c:v>0.069</c:v>
                </c:pt>
                <c:pt idx="1">
                  <c:v>0.069</c:v>
                </c:pt>
                <c:pt idx="2">
                  <c:v>0.069</c:v>
                </c:pt>
                <c:pt idx="3">
                  <c:v>0.069</c:v>
                </c:pt>
                <c:pt idx="4">
                  <c:v>0.069</c:v>
                </c:pt>
                <c:pt idx="5">
                  <c:v>0.069</c:v>
                </c:pt>
                <c:pt idx="6">
                  <c:v>0.069</c:v>
                </c:pt>
                <c:pt idx="7">
                  <c:v>0.069</c:v>
                </c:pt>
                <c:pt idx="8">
                  <c:v>0.069</c:v>
                </c:pt>
                <c:pt idx="9">
                  <c:v>0.069</c:v>
                </c:pt>
                <c:pt idx="10">
                  <c:v>0.069</c:v>
                </c:pt>
                <c:pt idx="11">
                  <c:v>0.069</c:v>
                </c:pt>
                <c:pt idx="12">
                  <c:v>0.069</c:v>
                </c:pt>
                <c:pt idx="13">
                  <c:v>0.069</c:v>
                </c:pt>
                <c:pt idx="14">
                  <c:v>0.069</c:v>
                </c:pt>
                <c:pt idx="15">
                  <c:v>0.069</c:v>
                </c:pt>
                <c:pt idx="16">
                  <c:v>0.069</c:v>
                </c:pt>
                <c:pt idx="17">
                  <c:v>0.069</c:v>
                </c:pt>
                <c:pt idx="18">
                  <c:v>0.069</c:v>
                </c:pt>
                <c:pt idx="19">
                  <c:v>0.069</c:v>
                </c:pt>
                <c:pt idx="20">
                  <c:v>0.069</c:v>
                </c:pt>
                <c:pt idx="21">
                  <c:v>0.069</c:v>
                </c:pt>
                <c:pt idx="22">
                  <c:v>0.069</c:v>
                </c:pt>
                <c:pt idx="23">
                  <c:v>0.069</c:v>
                </c:pt>
                <c:pt idx="24">
                  <c:v>0.069</c:v>
                </c:pt>
                <c:pt idx="25">
                  <c:v>0.069</c:v>
                </c:pt>
              </c:numCache>
            </c:numRef>
          </c:val>
        </c:ser>
        <c:gapWidth val="100"/>
        <c:overlap val="0"/>
        <c:axId val="31162421"/>
        <c:axId val="65490205"/>
      </c:barChart>
      <c:catAx>
        <c:axId val="3116242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803063888478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5490205"/>
        <c:crosses val="autoZero"/>
        <c:auto val="1"/>
        <c:lblAlgn val="ctr"/>
        <c:lblOffset val="100"/>
        <c:noMultiLvlLbl val="0"/>
      </c:catAx>
      <c:valAx>
        <c:axId val="6549020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2063717372447"/>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1162421"/>
        <c:crosses val="max"/>
        <c:crossBetween val="midCat"/>
        <c:majorUnit val="0.01"/>
      </c:valAx>
      <c:spPr>
        <a:noFill/>
        <a:ln w="0">
          <a:solidFill>
            <a:srgbClr val="b3b3b3"/>
          </a:solidFill>
        </a:ln>
      </c:spPr>
    </c:plotArea>
    <c:legend>
      <c:legendPos val="r"/>
      <c:layout>
        <c:manualLayout>
          <c:xMode val="edge"/>
          <c:yMode val="edge"/>
          <c:x val="0.802578660988881"/>
          <c:y val="0.0768681345746515"/>
          <c:w val="0.171956941760972"/>
          <c:h val="0.11177064604320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Underemployment Rate</a:t>
            </a:r>
          </a:p>
        </c:rich>
      </c:tx>
      <c:layout>
        <c:manualLayout>
          <c:xMode val="edge"/>
          <c:yMode val="edge"/>
          <c:x val="0.280143521804274"/>
          <c:y val="0.010565981971331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U6R!$C$2</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U6R!$C$30:$C$55</c:f>
              <c:numCache>
                <c:formatCode>0.00%</c:formatCode>
                <c:ptCount val="26"/>
                <c:pt idx="0">
                  <c:v>0.069</c:v>
                </c:pt>
                <c:pt idx="1">
                  <c:v>0.069</c:v>
                </c:pt>
                <c:pt idx="2">
                  <c:v>0.069</c:v>
                </c:pt>
                <c:pt idx="3">
                  <c:v>0.069</c:v>
                </c:pt>
                <c:pt idx="4">
                  <c:v>0.069</c:v>
                </c:pt>
                <c:pt idx="5">
                  <c:v>0.069</c:v>
                </c:pt>
                <c:pt idx="6">
                  <c:v>0.069</c:v>
                </c:pt>
                <c:pt idx="7">
                  <c:v>0.069</c:v>
                </c:pt>
                <c:pt idx="8">
                  <c:v>0.069</c:v>
                </c:pt>
                <c:pt idx="9">
                  <c:v>0.069</c:v>
                </c:pt>
                <c:pt idx="10">
                  <c:v>0.069</c:v>
                </c:pt>
                <c:pt idx="11">
                  <c:v>0.069</c:v>
                </c:pt>
                <c:pt idx="12">
                  <c:v>0.069</c:v>
                </c:pt>
                <c:pt idx="13">
                  <c:v>0.069</c:v>
                </c:pt>
                <c:pt idx="14">
                  <c:v>0.069</c:v>
                </c:pt>
                <c:pt idx="15">
                  <c:v>0.069</c:v>
                </c:pt>
                <c:pt idx="16">
                  <c:v>0.069</c:v>
                </c:pt>
                <c:pt idx="17">
                  <c:v>0.069</c:v>
                </c:pt>
                <c:pt idx="18">
                  <c:v>0.069</c:v>
                </c:pt>
                <c:pt idx="19">
                  <c:v>0.069</c:v>
                </c:pt>
                <c:pt idx="20">
                  <c:v>0.069</c:v>
                </c:pt>
                <c:pt idx="21">
                  <c:v>0.069</c:v>
                </c:pt>
                <c:pt idx="22">
                  <c:v>0.069</c:v>
                </c:pt>
                <c:pt idx="23">
                  <c:v>0.069</c:v>
                </c:pt>
                <c:pt idx="24">
                  <c:v>0.069</c:v>
                </c:pt>
                <c:pt idx="25">
                  <c:v>0.069</c:v>
                </c:pt>
              </c:numCache>
            </c:numRef>
          </c:val>
        </c:ser>
        <c:ser>
          <c:idx val="1"/>
          <c:order val="1"/>
          <c:tx>
            <c:strRef>
              <c:f>U6R!$D$2</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U6R!$D$30:$D$55</c:f>
              <c:numCache>
                <c:formatCode>0.00%</c:formatCode>
                <c:ptCount val="26"/>
                <c:pt idx="0">
                  <c:v>0</c:v>
                </c:pt>
                <c:pt idx="1">
                  <c:v>0</c:v>
                </c:pt>
                <c:pt idx="2">
                  <c:v>0</c:v>
                </c:pt>
                <c:pt idx="3">
                  <c:v>0</c:v>
                </c:pt>
                <c:pt idx="4">
                  <c:v>0</c:v>
                </c:pt>
                <c:pt idx="5">
                  <c:v>0</c:v>
                </c:pt>
                <c:pt idx="6">
                  <c:v>0.033</c:v>
                </c:pt>
                <c:pt idx="7">
                  <c:v>0.033</c:v>
                </c:pt>
                <c:pt idx="8">
                  <c:v>0.033</c:v>
                </c:pt>
                <c:pt idx="9">
                  <c:v>0.033</c:v>
                </c:pt>
                <c:pt idx="10">
                  <c:v>0</c:v>
                </c:pt>
                <c:pt idx="11">
                  <c:v>0</c:v>
                </c:pt>
                <c:pt idx="12">
                  <c:v>0</c:v>
                </c:pt>
                <c:pt idx="13">
                  <c:v>0</c:v>
                </c:pt>
                <c:pt idx="14">
                  <c:v>0</c:v>
                </c:pt>
                <c:pt idx="15">
                  <c:v>0</c:v>
                </c:pt>
                <c:pt idx="16">
                  <c:v>0</c:v>
                </c:pt>
                <c:pt idx="17">
                  <c:v>0</c:v>
                </c:pt>
                <c:pt idx="18">
                  <c:v>0.033</c:v>
                </c:pt>
                <c:pt idx="19">
                  <c:v>0.033</c:v>
                </c:pt>
                <c:pt idx="20">
                  <c:v>0.033</c:v>
                </c:pt>
                <c:pt idx="21">
                  <c:v>0.033</c:v>
                </c:pt>
                <c:pt idx="22">
                  <c:v>0.033</c:v>
                </c:pt>
                <c:pt idx="23">
                  <c:v>0.033</c:v>
                </c:pt>
                <c:pt idx="24">
                  <c:v>0</c:v>
                </c:pt>
                <c:pt idx="25">
                  <c:v>0</c:v>
                </c:pt>
              </c:numCache>
            </c:numRef>
          </c:val>
        </c:ser>
        <c:ser>
          <c:idx val="2"/>
          <c:order val="2"/>
          <c:tx>
            <c:strRef>
              <c:f>U6R!$E$2</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U6R!$E$30:$E$55</c:f>
              <c:numCache>
                <c:formatCode>0.00%</c:formatCode>
                <c:ptCount val="26"/>
                <c:pt idx="0">
                  <c:v>0.144</c:v>
                </c:pt>
                <c:pt idx="1">
                  <c:v>0.144</c:v>
                </c:pt>
                <c:pt idx="2">
                  <c:v>0.144</c:v>
                </c:pt>
                <c:pt idx="3">
                  <c:v>0.144</c:v>
                </c:pt>
                <c:pt idx="4">
                  <c:v>0.144</c:v>
                </c:pt>
                <c:pt idx="5">
                  <c:v>0.144</c:v>
                </c:pt>
                <c:pt idx="6">
                  <c:v>0.27</c:v>
                </c:pt>
                <c:pt idx="7">
                  <c:v>0.27</c:v>
                </c:pt>
                <c:pt idx="8">
                  <c:v>0.27</c:v>
                </c:pt>
                <c:pt idx="9">
                  <c:v>0.27</c:v>
                </c:pt>
                <c:pt idx="10">
                  <c:v>0.144</c:v>
                </c:pt>
                <c:pt idx="11">
                  <c:v>0.144</c:v>
                </c:pt>
                <c:pt idx="12">
                  <c:v>0.144</c:v>
                </c:pt>
                <c:pt idx="13">
                  <c:v>0.144</c:v>
                </c:pt>
                <c:pt idx="14">
                  <c:v>0.144</c:v>
                </c:pt>
                <c:pt idx="15">
                  <c:v>0.144</c:v>
                </c:pt>
                <c:pt idx="16">
                  <c:v>0.144</c:v>
                </c:pt>
                <c:pt idx="17">
                  <c:v>0.144</c:v>
                </c:pt>
                <c:pt idx="18">
                  <c:v>0.27</c:v>
                </c:pt>
                <c:pt idx="19">
                  <c:v>0.27</c:v>
                </c:pt>
                <c:pt idx="20">
                  <c:v>0.295</c:v>
                </c:pt>
                <c:pt idx="21">
                  <c:v>0.295</c:v>
                </c:pt>
                <c:pt idx="22">
                  <c:v>0.295</c:v>
                </c:pt>
                <c:pt idx="23">
                  <c:v>0.295</c:v>
                </c:pt>
                <c:pt idx="24">
                  <c:v>0.144</c:v>
                </c:pt>
                <c:pt idx="25">
                  <c:v>0.144</c:v>
                </c:pt>
              </c:numCache>
            </c:numRef>
          </c:val>
        </c:ser>
        <c:ser>
          <c:idx val="3"/>
          <c:order val="3"/>
          <c:tx>
            <c:strRef>
              <c:f>U6R!$F$2</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U6R!$F$30:$F$55</c:f>
              <c:numCache>
                <c:formatCode>0.00%</c:formatCode>
                <c:ptCount val="26"/>
                <c:pt idx="0">
                  <c:v>0.069</c:v>
                </c:pt>
                <c:pt idx="1">
                  <c:v>0.069</c:v>
                </c:pt>
                <c:pt idx="2">
                  <c:v>0.069</c:v>
                </c:pt>
                <c:pt idx="3">
                  <c:v>0.069</c:v>
                </c:pt>
                <c:pt idx="4">
                  <c:v>0.069</c:v>
                </c:pt>
                <c:pt idx="5">
                  <c:v>0.069</c:v>
                </c:pt>
                <c:pt idx="6">
                  <c:v>0.069</c:v>
                </c:pt>
                <c:pt idx="7">
                  <c:v>0.069</c:v>
                </c:pt>
                <c:pt idx="8">
                  <c:v>0.069</c:v>
                </c:pt>
                <c:pt idx="9">
                  <c:v>0.069</c:v>
                </c:pt>
                <c:pt idx="10">
                  <c:v>0.069</c:v>
                </c:pt>
                <c:pt idx="11">
                  <c:v>0.069</c:v>
                </c:pt>
                <c:pt idx="12">
                  <c:v>0.069</c:v>
                </c:pt>
                <c:pt idx="13">
                  <c:v>0.069</c:v>
                </c:pt>
                <c:pt idx="14">
                  <c:v>0.069</c:v>
                </c:pt>
                <c:pt idx="15">
                  <c:v>0.069</c:v>
                </c:pt>
                <c:pt idx="16">
                  <c:v>0.069</c:v>
                </c:pt>
                <c:pt idx="17">
                  <c:v>0.069</c:v>
                </c:pt>
                <c:pt idx="18">
                  <c:v>0.069</c:v>
                </c:pt>
                <c:pt idx="19">
                  <c:v>0.069</c:v>
                </c:pt>
                <c:pt idx="20">
                  <c:v>0.069</c:v>
                </c:pt>
                <c:pt idx="21">
                  <c:v>0.069</c:v>
                </c:pt>
                <c:pt idx="22">
                  <c:v>0.069</c:v>
                </c:pt>
                <c:pt idx="23">
                  <c:v>0.069</c:v>
                </c:pt>
                <c:pt idx="24">
                  <c:v>0.069</c:v>
                </c:pt>
                <c:pt idx="25">
                  <c:v>0.069</c:v>
                </c:pt>
              </c:numCache>
            </c:numRef>
          </c:val>
        </c:ser>
        <c:gapWidth val="100"/>
        <c:overlap val="0"/>
        <c:axId val="10846124"/>
        <c:axId val="61316948"/>
      </c:barChart>
      <c:catAx>
        <c:axId val="1084612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90749224176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1316948"/>
        <c:crosses val="autoZero"/>
        <c:auto val="1"/>
        <c:lblAlgn val="ctr"/>
        <c:lblOffset val="100"/>
        <c:noMultiLvlLbl val="0"/>
      </c:catAx>
      <c:valAx>
        <c:axId val="6131694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2142575506664"/>
              <c:y val="0.96933648588739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0846124"/>
        <c:crosses val="max"/>
        <c:crossBetween val="midCat"/>
        <c:majorUnit val="0.01"/>
      </c:valAx>
      <c:spPr>
        <a:noFill/>
        <a:ln w="0">
          <a:solidFill>
            <a:srgbClr val="b3b3b3"/>
          </a:solidFill>
        </a:ln>
      </c:spPr>
    </c:plotArea>
    <c:legend>
      <c:legendPos val="r"/>
      <c:layout>
        <c:manualLayout>
          <c:xMode val="edge"/>
          <c:yMode val="edge"/>
          <c:x val="0.802539231921773"/>
          <c:y val="0.076843505246047"/>
          <c:w val="0.171917511139151"/>
          <c:h val="0.11177064604320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Wage Average</a:t>
            </a:r>
          </a:p>
        </c:rich>
      </c:tx>
      <c:layout>
        <c:manualLayout>
          <c:xMode val="edge"/>
          <c:yMode val="edge"/>
          <c:x val="0.3169702704834"/>
          <c:y val="0.010565981971331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WAVG!$C$2</c:f>
              <c:strCache>
                <c:ptCount val="1"/>
                <c:pt idx="0">
                  <c:v>Wage Average ($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WAVG!$C$4:$C$29</c:f>
              <c:numCache>
                <c:formatCode>[$$-409]#,##0.00;[RED]\-[$$-409]#,##0.00</c:formatCode>
                <c:ptCount val="26"/>
                <c:pt idx="0">
                  <c:v>25.5</c:v>
                </c:pt>
                <c:pt idx="1">
                  <c:v>25.5</c:v>
                </c:pt>
                <c:pt idx="2">
                  <c:v>32.5</c:v>
                </c:pt>
                <c:pt idx="3">
                  <c:v>32.5</c:v>
                </c:pt>
                <c:pt idx="4">
                  <c:v>18.5</c:v>
                </c:pt>
                <c:pt idx="5">
                  <c:v>18.5</c:v>
                </c:pt>
                <c:pt idx="6">
                  <c:v>22</c:v>
                </c:pt>
                <c:pt idx="7">
                  <c:v>22</c:v>
                </c:pt>
                <c:pt idx="8">
                  <c:v>28.5</c:v>
                </c:pt>
                <c:pt idx="9">
                  <c:v>28.5</c:v>
                </c:pt>
                <c:pt idx="10">
                  <c:v>30</c:v>
                </c:pt>
                <c:pt idx="11">
                  <c:v>30</c:v>
                </c:pt>
                <c:pt idx="12">
                  <c:v>20.5</c:v>
                </c:pt>
                <c:pt idx="13">
                  <c:v>20.5</c:v>
                </c:pt>
                <c:pt idx="14">
                  <c:v>24</c:v>
                </c:pt>
                <c:pt idx="15">
                  <c:v>24</c:v>
                </c:pt>
                <c:pt idx="16">
                  <c:v>26</c:v>
                </c:pt>
                <c:pt idx="17">
                  <c:v>26</c:v>
                </c:pt>
                <c:pt idx="18">
                  <c:v>32</c:v>
                </c:pt>
                <c:pt idx="19">
                  <c:v>32</c:v>
                </c:pt>
                <c:pt idx="20">
                  <c:v>35</c:v>
                </c:pt>
                <c:pt idx="21">
                  <c:v>35</c:v>
                </c:pt>
                <c:pt idx="22">
                  <c:v>32</c:v>
                </c:pt>
                <c:pt idx="23">
                  <c:v>32</c:v>
                </c:pt>
                <c:pt idx="24">
                  <c:v>38</c:v>
                </c:pt>
                <c:pt idx="25">
                  <c:v>38</c:v>
                </c:pt>
              </c:numCache>
            </c:numRef>
          </c:val>
        </c:ser>
        <c:ser>
          <c:idx val="1"/>
          <c:order val="1"/>
          <c:tx>
            <c:strRef>
              <c:f>WAVG!$D$2</c:f>
              <c:strCache>
                <c:ptCount val="1"/>
                <c:pt idx="0">
                  <c:v>Authorized Immigrant Wage Average ($ /hr)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WAVG!$D$4:$D$29</c:f>
              <c:numCache>
                <c:formatCode>[$$-409]#,##0.00;[RED]\-[$$-409]#,##0.00</c:formatCode>
                <c:ptCount val="26"/>
                <c:pt idx="0">
                  <c:v>24.99</c:v>
                </c:pt>
                <c:pt idx="1">
                  <c:v>24.99</c:v>
                </c:pt>
                <c:pt idx="2">
                  <c:v>31.85</c:v>
                </c:pt>
                <c:pt idx="3">
                  <c:v>31.85</c:v>
                </c:pt>
                <c:pt idx="4">
                  <c:v>18.13</c:v>
                </c:pt>
                <c:pt idx="5">
                  <c:v>18.13</c:v>
                </c:pt>
                <c:pt idx="6">
                  <c:v>21.56</c:v>
                </c:pt>
                <c:pt idx="7">
                  <c:v>21.56</c:v>
                </c:pt>
                <c:pt idx="8">
                  <c:v>26.25</c:v>
                </c:pt>
                <c:pt idx="9">
                  <c:v>26.25</c:v>
                </c:pt>
                <c:pt idx="10">
                  <c:v>27.6</c:v>
                </c:pt>
                <c:pt idx="11">
                  <c:v>27.6</c:v>
                </c:pt>
                <c:pt idx="12">
                  <c:v>19.49</c:v>
                </c:pt>
                <c:pt idx="13">
                  <c:v>19.49</c:v>
                </c:pt>
                <c:pt idx="14">
                  <c:v>23.52</c:v>
                </c:pt>
                <c:pt idx="15">
                  <c:v>23.52</c:v>
                </c:pt>
                <c:pt idx="16">
                  <c:v>25.48</c:v>
                </c:pt>
                <c:pt idx="17">
                  <c:v>25.48</c:v>
                </c:pt>
                <c:pt idx="18">
                  <c:v>29.45</c:v>
                </c:pt>
                <c:pt idx="19">
                  <c:v>29.45</c:v>
                </c:pt>
                <c:pt idx="20">
                  <c:v>32.2</c:v>
                </c:pt>
                <c:pt idx="21">
                  <c:v>32.2</c:v>
                </c:pt>
                <c:pt idx="22">
                  <c:v>29.45</c:v>
                </c:pt>
                <c:pt idx="23">
                  <c:v>29.45</c:v>
                </c:pt>
                <c:pt idx="24">
                  <c:v>35</c:v>
                </c:pt>
                <c:pt idx="25">
                  <c:v>35</c:v>
                </c:pt>
              </c:numCache>
            </c:numRef>
          </c:val>
        </c:ser>
        <c:ser>
          <c:idx val="2"/>
          <c:order val="2"/>
          <c:tx>
            <c:strRef>
              <c:f>WAVG!$E$2</c:f>
              <c:strCache>
                <c:ptCount val="1"/>
                <c:pt idx="0">
                  <c:v>Unauthorized Immigrant Wage Average ($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WAVG!$E$4:$E$29</c:f>
              <c:numCache>
                <c:formatCode>[$$-409]#,##0.00;[RED]\-[$$-409]#,##0.00</c:formatCode>
                <c:ptCount val="26"/>
                <c:pt idx="0">
                  <c:v>21.68</c:v>
                </c:pt>
                <c:pt idx="1">
                  <c:v>21.68</c:v>
                </c:pt>
                <c:pt idx="2">
                  <c:v>28.6</c:v>
                </c:pt>
                <c:pt idx="3">
                  <c:v>28.6</c:v>
                </c:pt>
                <c:pt idx="4">
                  <c:v>15.73</c:v>
                </c:pt>
                <c:pt idx="5">
                  <c:v>15.73</c:v>
                </c:pt>
                <c:pt idx="6">
                  <c:v>18.7</c:v>
                </c:pt>
                <c:pt idx="7">
                  <c:v>18.7</c:v>
                </c:pt>
                <c:pt idx="8">
                  <c:v>23.5</c:v>
                </c:pt>
                <c:pt idx="9">
                  <c:v>23.5</c:v>
                </c:pt>
                <c:pt idx="10">
                  <c:v>24.75</c:v>
                </c:pt>
                <c:pt idx="11">
                  <c:v>24.75</c:v>
                </c:pt>
                <c:pt idx="12">
                  <c:v>16.91</c:v>
                </c:pt>
                <c:pt idx="13">
                  <c:v>16.91</c:v>
                </c:pt>
                <c:pt idx="14">
                  <c:v>20.4</c:v>
                </c:pt>
                <c:pt idx="15">
                  <c:v>20.4</c:v>
                </c:pt>
                <c:pt idx="16">
                  <c:v>22.1</c:v>
                </c:pt>
                <c:pt idx="17">
                  <c:v>22.1</c:v>
                </c:pt>
                <c:pt idx="18">
                  <c:v>26.35</c:v>
                </c:pt>
                <c:pt idx="19">
                  <c:v>26.35</c:v>
                </c:pt>
                <c:pt idx="20">
                  <c:v>28.8</c:v>
                </c:pt>
                <c:pt idx="21">
                  <c:v>28.8</c:v>
                </c:pt>
                <c:pt idx="22">
                  <c:v>26.35</c:v>
                </c:pt>
                <c:pt idx="23">
                  <c:v>26.35</c:v>
                </c:pt>
                <c:pt idx="24">
                  <c:v>31.3</c:v>
                </c:pt>
                <c:pt idx="25">
                  <c:v>31.3</c:v>
                </c:pt>
              </c:numCache>
            </c:numRef>
          </c:val>
        </c:ser>
        <c:ser>
          <c:idx val="3"/>
          <c:order val="3"/>
          <c:tx>
            <c:strRef>
              <c:f>WAVG!$F$2</c:f>
              <c:strCache>
                <c:ptCount val="1"/>
                <c:pt idx="0">
                  <c:v>American Wage Average ($ /hr)</c:v>
                </c:pt>
              </c:strCache>
            </c:strRef>
          </c:tx>
          <c:spPr>
            <a:solidFill>
              <a:srgbClr val="579d1c"/>
            </a:solidFill>
            <a:ln w="0">
              <a:noFill/>
            </a:ln>
          </c:spPr>
          <c:invertIfNegative val="0"/>
          <c:dLbls>
            <c:numFmt formatCode="[$$-409]#,##0.00;[RED]\-[$$-409]#,##0.00" sourceLinked="1"/>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WAVG!$F$4:$F$29</c:f>
              <c:numCache>
                <c:formatCode>[$$-409]#,##0.00;[RED]\-[$$-409]#,##0.00</c:formatCode>
                <c:ptCount val="26"/>
                <c:pt idx="0">
                  <c:v>25.5</c:v>
                </c:pt>
                <c:pt idx="1">
                  <c:v>25.5</c:v>
                </c:pt>
                <c:pt idx="2">
                  <c:v>32.5</c:v>
                </c:pt>
                <c:pt idx="3">
                  <c:v>32.5</c:v>
                </c:pt>
                <c:pt idx="4">
                  <c:v>18.5</c:v>
                </c:pt>
                <c:pt idx="5">
                  <c:v>18.5</c:v>
                </c:pt>
                <c:pt idx="6">
                  <c:v>22</c:v>
                </c:pt>
                <c:pt idx="7">
                  <c:v>22</c:v>
                </c:pt>
                <c:pt idx="8">
                  <c:v>28.5</c:v>
                </c:pt>
                <c:pt idx="9">
                  <c:v>28.5</c:v>
                </c:pt>
                <c:pt idx="10">
                  <c:v>30.5</c:v>
                </c:pt>
                <c:pt idx="11">
                  <c:v>30.5</c:v>
                </c:pt>
                <c:pt idx="12">
                  <c:v>20.5</c:v>
                </c:pt>
                <c:pt idx="13">
                  <c:v>20.5</c:v>
                </c:pt>
                <c:pt idx="14">
                  <c:v>24</c:v>
                </c:pt>
                <c:pt idx="15">
                  <c:v>24</c:v>
                </c:pt>
                <c:pt idx="16">
                  <c:v>26</c:v>
                </c:pt>
                <c:pt idx="17">
                  <c:v>26</c:v>
                </c:pt>
                <c:pt idx="18">
                  <c:v>32.5</c:v>
                </c:pt>
                <c:pt idx="19">
                  <c:v>32.5</c:v>
                </c:pt>
                <c:pt idx="20">
                  <c:v>35.5</c:v>
                </c:pt>
                <c:pt idx="21">
                  <c:v>35.5</c:v>
                </c:pt>
                <c:pt idx="22">
                  <c:v>32.5</c:v>
                </c:pt>
                <c:pt idx="23">
                  <c:v>32.5</c:v>
                </c:pt>
                <c:pt idx="24">
                  <c:v>38.5</c:v>
                </c:pt>
                <c:pt idx="25">
                  <c:v>38.5</c:v>
                </c:pt>
              </c:numCache>
            </c:numRef>
          </c:val>
        </c:ser>
        <c:gapWidth val="100"/>
        <c:overlap val="0"/>
        <c:axId val="95018327"/>
        <c:axId val="74752040"/>
      </c:barChart>
      <c:catAx>
        <c:axId val="9501832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95675089897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4752040"/>
        <c:crosses val="autoZero"/>
        <c:auto val="1"/>
        <c:lblAlgn val="ctr"/>
        <c:lblOffset val="100"/>
        <c:noMultiLvlLbl val="0"/>
      </c:catAx>
      <c:valAx>
        <c:axId val="7475204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2536866177746"/>
              <c:y val="0.969336485887395"/>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5018327"/>
        <c:crosses val="max"/>
        <c:crossBetween val="midCat"/>
      </c:valAx>
      <c:spPr>
        <a:noFill/>
        <a:ln w="0">
          <a:solidFill>
            <a:srgbClr val="b3b3b3"/>
          </a:solidFill>
        </a:ln>
      </c:spPr>
    </c:plotArea>
    <c:legend>
      <c:legendPos val="r"/>
      <c:layout>
        <c:manualLayout>
          <c:xMode val="edge"/>
          <c:yMode val="edge"/>
          <c:x val="0.80253723110866"/>
          <c:y val="0.0767810546009552"/>
          <c:w val="0.17190024033726"/>
          <c:h val="0.072204032397036"/>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Wage Average</a:t>
            </a:r>
          </a:p>
        </c:rich>
      </c:tx>
      <c:layout>
        <c:manualLayout>
          <c:xMode val="edge"/>
          <c:yMode val="edge"/>
          <c:x val="0.317088557684725"/>
          <c:y val="0.010565981971331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WAVG!$C$2</c:f>
              <c:strCache>
                <c:ptCount val="1"/>
                <c:pt idx="0">
                  <c:v>Wage Average ($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WAVG!$C$30:$C$55</c:f>
              <c:numCache>
                <c:formatCode>[$$-409]#,##0.00;[RED]\-[$$-409]#,##0.00</c:formatCode>
                <c:ptCount val="26"/>
                <c:pt idx="0">
                  <c:v>42</c:v>
                </c:pt>
                <c:pt idx="1">
                  <c:v>42</c:v>
                </c:pt>
                <c:pt idx="2">
                  <c:v>35</c:v>
                </c:pt>
                <c:pt idx="3">
                  <c:v>35</c:v>
                </c:pt>
                <c:pt idx="4">
                  <c:v>35</c:v>
                </c:pt>
                <c:pt idx="5">
                  <c:v>35</c:v>
                </c:pt>
                <c:pt idx="6">
                  <c:v>24</c:v>
                </c:pt>
                <c:pt idx="7">
                  <c:v>24</c:v>
                </c:pt>
                <c:pt idx="8">
                  <c:v>35</c:v>
                </c:pt>
                <c:pt idx="9">
                  <c:v>35</c:v>
                </c:pt>
                <c:pt idx="10">
                  <c:v>38</c:v>
                </c:pt>
                <c:pt idx="11">
                  <c:v>38</c:v>
                </c:pt>
                <c:pt idx="12">
                  <c:v>32</c:v>
                </c:pt>
                <c:pt idx="13">
                  <c:v>32</c:v>
                </c:pt>
                <c:pt idx="14">
                  <c:v>42</c:v>
                </c:pt>
                <c:pt idx="15">
                  <c:v>42</c:v>
                </c:pt>
                <c:pt idx="16">
                  <c:v>30</c:v>
                </c:pt>
                <c:pt idx="17">
                  <c:v>30</c:v>
                </c:pt>
                <c:pt idx="18">
                  <c:v>28</c:v>
                </c:pt>
                <c:pt idx="19">
                  <c:v>28</c:v>
                </c:pt>
                <c:pt idx="20">
                  <c:v>22</c:v>
                </c:pt>
                <c:pt idx="21">
                  <c:v>22</c:v>
                </c:pt>
                <c:pt idx="22">
                  <c:v>18</c:v>
                </c:pt>
                <c:pt idx="23">
                  <c:v>18</c:v>
                </c:pt>
                <c:pt idx="24">
                  <c:v>35</c:v>
                </c:pt>
                <c:pt idx="25">
                  <c:v>35</c:v>
                </c:pt>
              </c:numCache>
            </c:numRef>
          </c:val>
        </c:ser>
        <c:ser>
          <c:idx val="1"/>
          <c:order val="1"/>
          <c:tx>
            <c:strRef>
              <c:f>WAVG!$D$2</c:f>
              <c:strCache>
                <c:ptCount val="1"/>
                <c:pt idx="0">
                  <c:v>Authorized Immigrant Wage Average ($ /hr)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WAVG!$D$30:$D$55</c:f>
              <c:numCache>
                <c:formatCode>[$$-409]#,##0.00;[RED]\-[$$-409]#,##0.00</c:formatCode>
                <c:ptCount val="26"/>
                <c:pt idx="0">
                  <c:v>38.65</c:v>
                </c:pt>
                <c:pt idx="1">
                  <c:v>38.65</c:v>
                </c:pt>
                <c:pt idx="2">
                  <c:v>32.2</c:v>
                </c:pt>
                <c:pt idx="3">
                  <c:v>32.2</c:v>
                </c:pt>
                <c:pt idx="4">
                  <c:v>32.2</c:v>
                </c:pt>
                <c:pt idx="5">
                  <c:v>32.2</c:v>
                </c:pt>
                <c:pt idx="6">
                  <c:v>22.1</c:v>
                </c:pt>
                <c:pt idx="7">
                  <c:v>22.1</c:v>
                </c:pt>
                <c:pt idx="8">
                  <c:v>32.2</c:v>
                </c:pt>
                <c:pt idx="9">
                  <c:v>32.2</c:v>
                </c:pt>
                <c:pt idx="10">
                  <c:v>35</c:v>
                </c:pt>
                <c:pt idx="11">
                  <c:v>35</c:v>
                </c:pt>
                <c:pt idx="12">
                  <c:v>29.45</c:v>
                </c:pt>
                <c:pt idx="13">
                  <c:v>29.45</c:v>
                </c:pt>
                <c:pt idx="14">
                  <c:v>38.65</c:v>
                </c:pt>
                <c:pt idx="15">
                  <c:v>38.65</c:v>
                </c:pt>
                <c:pt idx="16">
                  <c:v>27.6</c:v>
                </c:pt>
                <c:pt idx="17">
                  <c:v>27.6</c:v>
                </c:pt>
                <c:pt idx="18">
                  <c:v>25.75</c:v>
                </c:pt>
                <c:pt idx="19">
                  <c:v>25.75</c:v>
                </c:pt>
                <c:pt idx="20">
                  <c:v>20.25</c:v>
                </c:pt>
                <c:pt idx="21">
                  <c:v>20.25</c:v>
                </c:pt>
                <c:pt idx="22">
                  <c:v>16.55</c:v>
                </c:pt>
                <c:pt idx="23">
                  <c:v>16.55</c:v>
                </c:pt>
                <c:pt idx="24">
                  <c:v>32.2</c:v>
                </c:pt>
                <c:pt idx="25">
                  <c:v>32.2</c:v>
                </c:pt>
              </c:numCache>
            </c:numRef>
          </c:val>
        </c:ser>
        <c:ser>
          <c:idx val="2"/>
          <c:order val="2"/>
          <c:tx>
            <c:strRef>
              <c:f>WAVG!$E$2</c:f>
              <c:strCache>
                <c:ptCount val="1"/>
                <c:pt idx="0">
                  <c:v>Unauthorized Immigrant Wage Average ($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WAVG!$E$30:$E$55</c:f>
              <c:numCache>
                <c:formatCode>[$$-409]#,##0.00;[RED]\-[$$-409]#,##0.00</c:formatCode>
                <c:ptCount val="26"/>
                <c:pt idx="0">
                  <c:v>34.6</c:v>
                </c:pt>
                <c:pt idx="1">
                  <c:v>34.6</c:v>
                </c:pt>
                <c:pt idx="2">
                  <c:v>28.8</c:v>
                </c:pt>
                <c:pt idx="3">
                  <c:v>28.8</c:v>
                </c:pt>
                <c:pt idx="4">
                  <c:v>28.8</c:v>
                </c:pt>
                <c:pt idx="5">
                  <c:v>28.8</c:v>
                </c:pt>
                <c:pt idx="6">
                  <c:v>19.7</c:v>
                </c:pt>
                <c:pt idx="7">
                  <c:v>19.7</c:v>
                </c:pt>
                <c:pt idx="8">
                  <c:v>28.8</c:v>
                </c:pt>
                <c:pt idx="9">
                  <c:v>28.8</c:v>
                </c:pt>
                <c:pt idx="10">
                  <c:v>31.3</c:v>
                </c:pt>
                <c:pt idx="11">
                  <c:v>31.3</c:v>
                </c:pt>
                <c:pt idx="12">
                  <c:v>26.35</c:v>
                </c:pt>
                <c:pt idx="13">
                  <c:v>26.35</c:v>
                </c:pt>
                <c:pt idx="14">
                  <c:v>34.6</c:v>
                </c:pt>
                <c:pt idx="15">
                  <c:v>34.6</c:v>
                </c:pt>
                <c:pt idx="16">
                  <c:v>24.75</c:v>
                </c:pt>
                <c:pt idx="17">
                  <c:v>24.75</c:v>
                </c:pt>
                <c:pt idx="18">
                  <c:v>23</c:v>
                </c:pt>
                <c:pt idx="19">
                  <c:v>23</c:v>
                </c:pt>
                <c:pt idx="20">
                  <c:v>18</c:v>
                </c:pt>
                <c:pt idx="21">
                  <c:v>18</c:v>
                </c:pt>
                <c:pt idx="22">
                  <c:v>14.8</c:v>
                </c:pt>
                <c:pt idx="23">
                  <c:v>14.8</c:v>
                </c:pt>
                <c:pt idx="24">
                  <c:v>28.8</c:v>
                </c:pt>
                <c:pt idx="25">
                  <c:v>28.8</c:v>
                </c:pt>
              </c:numCache>
            </c:numRef>
          </c:val>
        </c:ser>
        <c:ser>
          <c:idx val="3"/>
          <c:order val="3"/>
          <c:tx>
            <c:strRef>
              <c:f>WAVG!$F$2</c:f>
              <c:strCache>
                <c:ptCount val="1"/>
                <c:pt idx="0">
                  <c:v>American Wage Average ($ /hr)</c:v>
                </c:pt>
              </c:strCache>
            </c:strRef>
          </c:tx>
          <c:spPr>
            <a:solidFill>
              <a:srgbClr val="579d1c"/>
            </a:solidFill>
            <a:ln w="0">
              <a:noFill/>
            </a:ln>
          </c:spPr>
          <c:invertIfNegative val="0"/>
          <c:dLbls>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WAVG!$F$30:$F$55</c:f>
              <c:numCache>
                <c:formatCode>[$$-409]#,##0.00;[RED]\-[$$-409]#,##0.00</c:formatCode>
                <c:ptCount val="26"/>
                <c:pt idx="0">
                  <c:v>42.5</c:v>
                </c:pt>
                <c:pt idx="1">
                  <c:v>42.5</c:v>
                </c:pt>
                <c:pt idx="2">
                  <c:v>35.5</c:v>
                </c:pt>
                <c:pt idx="3">
                  <c:v>35.5</c:v>
                </c:pt>
                <c:pt idx="4">
                  <c:v>35.5</c:v>
                </c:pt>
                <c:pt idx="5">
                  <c:v>35.5</c:v>
                </c:pt>
                <c:pt idx="6">
                  <c:v>24.5</c:v>
                </c:pt>
                <c:pt idx="7">
                  <c:v>24.5</c:v>
                </c:pt>
                <c:pt idx="8">
                  <c:v>35.5</c:v>
                </c:pt>
                <c:pt idx="9">
                  <c:v>35.5</c:v>
                </c:pt>
                <c:pt idx="10">
                  <c:v>38.5</c:v>
                </c:pt>
                <c:pt idx="11">
                  <c:v>38.5</c:v>
                </c:pt>
                <c:pt idx="12">
                  <c:v>32.5</c:v>
                </c:pt>
                <c:pt idx="13">
                  <c:v>32.5</c:v>
                </c:pt>
                <c:pt idx="14">
                  <c:v>42.5</c:v>
                </c:pt>
                <c:pt idx="15">
                  <c:v>42.5</c:v>
                </c:pt>
                <c:pt idx="16">
                  <c:v>30.5</c:v>
                </c:pt>
                <c:pt idx="17">
                  <c:v>30.5</c:v>
                </c:pt>
                <c:pt idx="18">
                  <c:v>28.5</c:v>
                </c:pt>
                <c:pt idx="19">
                  <c:v>28.5</c:v>
                </c:pt>
                <c:pt idx="20">
                  <c:v>22.5</c:v>
                </c:pt>
                <c:pt idx="21">
                  <c:v>22.5</c:v>
                </c:pt>
                <c:pt idx="22">
                  <c:v>18.4</c:v>
                </c:pt>
                <c:pt idx="23">
                  <c:v>18.4</c:v>
                </c:pt>
                <c:pt idx="24">
                  <c:v>35.5</c:v>
                </c:pt>
                <c:pt idx="25">
                  <c:v>35.5</c:v>
                </c:pt>
              </c:numCache>
            </c:numRef>
          </c:val>
        </c:ser>
        <c:gapWidth val="100"/>
        <c:overlap val="0"/>
        <c:axId val="37493887"/>
        <c:axId val="4509377"/>
      </c:barChart>
      <c:catAx>
        <c:axId val="3749388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90749224176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509377"/>
        <c:crosses val="autoZero"/>
        <c:auto val="1"/>
        <c:lblAlgn val="ctr"/>
        <c:lblOffset val="100"/>
        <c:noMultiLvlLbl val="0"/>
      </c:catAx>
      <c:valAx>
        <c:axId val="450937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2615724311963"/>
              <c:y val="0.969336485887395"/>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7493887"/>
        <c:crosses val="max"/>
        <c:crossBetween val="midCat"/>
      </c:valAx>
      <c:spPr>
        <a:noFill/>
        <a:ln w="0">
          <a:solidFill>
            <a:srgbClr val="b3b3b3"/>
          </a:solidFill>
        </a:ln>
      </c:spPr>
    </c:plotArea>
    <c:legend>
      <c:legendPos val="r"/>
      <c:layout>
        <c:manualLayout>
          <c:xMode val="edge"/>
          <c:yMode val="edge"/>
          <c:x val="0.802514880365801"/>
          <c:y val="0.0767810091359058"/>
          <c:w val="0.171870072532324"/>
          <c:h val="0.072202521670606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Annual Income Average</a:t>
            </a:r>
          </a:p>
        </c:rich>
      </c:tx>
      <c:layout>
        <c:manualLayout>
          <c:xMode val="edge"/>
          <c:yMode val="edge"/>
          <c:x val="0.281917829824146"/>
          <c:y val="0.016846460765479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AIAVG!$C$2</c:f>
              <c:strCache>
                <c:ptCount val="1"/>
                <c:pt idx="0">
                  <c:v>Annual Income Average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AIAVG!$C$4:$C$29</c:f>
              <c:numCache>
                <c:formatCode>[$$-409]#,##0;[RED]\-[$$-409]#,##0</c:formatCode>
                <c:ptCount val="26"/>
                <c:pt idx="0">
                  <c:v>55860</c:v>
                </c:pt>
                <c:pt idx="1">
                  <c:v>55860</c:v>
                </c:pt>
                <c:pt idx="2">
                  <c:v>70200</c:v>
                </c:pt>
                <c:pt idx="3">
                  <c:v>70200</c:v>
                </c:pt>
                <c:pt idx="4">
                  <c:v>39960</c:v>
                </c:pt>
                <c:pt idx="5">
                  <c:v>39960</c:v>
                </c:pt>
                <c:pt idx="6">
                  <c:v>47520</c:v>
                </c:pt>
                <c:pt idx="7">
                  <c:v>47520</c:v>
                </c:pt>
                <c:pt idx="8">
                  <c:v>61560</c:v>
                </c:pt>
                <c:pt idx="9">
                  <c:v>61560</c:v>
                </c:pt>
                <c:pt idx="10">
                  <c:v>64800</c:v>
                </c:pt>
                <c:pt idx="11">
                  <c:v>64800</c:v>
                </c:pt>
                <c:pt idx="12">
                  <c:v>44280</c:v>
                </c:pt>
                <c:pt idx="13">
                  <c:v>44280</c:v>
                </c:pt>
                <c:pt idx="14">
                  <c:v>51840</c:v>
                </c:pt>
                <c:pt idx="15">
                  <c:v>51840</c:v>
                </c:pt>
                <c:pt idx="16">
                  <c:v>56160</c:v>
                </c:pt>
                <c:pt idx="17">
                  <c:v>56160</c:v>
                </c:pt>
                <c:pt idx="18">
                  <c:v>69120</c:v>
                </c:pt>
                <c:pt idx="19">
                  <c:v>69120</c:v>
                </c:pt>
                <c:pt idx="20">
                  <c:v>75600</c:v>
                </c:pt>
                <c:pt idx="21">
                  <c:v>75600</c:v>
                </c:pt>
                <c:pt idx="22">
                  <c:v>69120</c:v>
                </c:pt>
                <c:pt idx="23">
                  <c:v>69120</c:v>
                </c:pt>
                <c:pt idx="24">
                  <c:v>82080</c:v>
                </c:pt>
                <c:pt idx="25">
                  <c:v>82080</c:v>
                </c:pt>
              </c:numCache>
            </c:numRef>
          </c:val>
        </c:ser>
        <c:ser>
          <c:idx val="1"/>
          <c:order val="1"/>
          <c:tx>
            <c:strRef>
              <c:f>AIAVG!$D$2</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AIAVG!$D$4:$D$29</c:f>
              <c:numCache>
                <c:formatCode>[$$-409]#,##0;[RED]\-[$$-409]#,##0</c:formatCode>
                <c:ptCount val="26"/>
                <c:pt idx="0">
                  <c:v>54708</c:v>
                </c:pt>
                <c:pt idx="1">
                  <c:v>54708</c:v>
                </c:pt>
                <c:pt idx="2">
                  <c:v>68932</c:v>
                </c:pt>
                <c:pt idx="3">
                  <c:v>68932</c:v>
                </c:pt>
                <c:pt idx="4">
                  <c:v>39161</c:v>
                </c:pt>
                <c:pt idx="5">
                  <c:v>39161</c:v>
                </c:pt>
                <c:pt idx="6">
                  <c:v>46570</c:v>
                </c:pt>
                <c:pt idx="7">
                  <c:v>46570</c:v>
                </c:pt>
                <c:pt idx="8">
                  <c:v>56700</c:v>
                </c:pt>
                <c:pt idx="9">
                  <c:v>56700</c:v>
                </c:pt>
                <c:pt idx="10">
                  <c:v>59616</c:v>
                </c:pt>
                <c:pt idx="11">
                  <c:v>59616</c:v>
                </c:pt>
                <c:pt idx="12">
                  <c:v>42100</c:v>
                </c:pt>
                <c:pt idx="13">
                  <c:v>42100</c:v>
                </c:pt>
                <c:pt idx="14">
                  <c:v>51494</c:v>
                </c:pt>
                <c:pt idx="15">
                  <c:v>51494</c:v>
                </c:pt>
                <c:pt idx="16">
                  <c:v>55140</c:v>
                </c:pt>
                <c:pt idx="17">
                  <c:v>55140</c:v>
                </c:pt>
                <c:pt idx="18">
                  <c:v>63612</c:v>
                </c:pt>
                <c:pt idx="19">
                  <c:v>63612</c:v>
                </c:pt>
                <c:pt idx="20">
                  <c:v>69552</c:v>
                </c:pt>
                <c:pt idx="21">
                  <c:v>69552</c:v>
                </c:pt>
                <c:pt idx="22">
                  <c:v>63612</c:v>
                </c:pt>
                <c:pt idx="23">
                  <c:v>63612</c:v>
                </c:pt>
                <c:pt idx="24">
                  <c:v>75600</c:v>
                </c:pt>
                <c:pt idx="25">
                  <c:v>75600</c:v>
                </c:pt>
              </c:numCache>
            </c:numRef>
          </c:val>
        </c:ser>
        <c:ser>
          <c:idx val="2"/>
          <c:order val="2"/>
          <c:tx>
            <c:strRef>
              <c:f>AIAVG!$E$2</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AIAVG!$E$4:$E$29</c:f>
              <c:numCache>
                <c:formatCode>[$$-409]#,##0;[RED]\-[$$-409]#,##0</c:formatCode>
                <c:ptCount val="26"/>
                <c:pt idx="0">
                  <c:v>47500</c:v>
                </c:pt>
                <c:pt idx="1">
                  <c:v>47500</c:v>
                </c:pt>
                <c:pt idx="2">
                  <c:v>61776</c:v>
                </c:pt>
                <c:pt idx="3">
                  <c:v>61776</c:v>
                </c:pt>
                <c:pt idx="4">
                  <c:v>33974</c:v>
                </c:pt>
                <c:pt idx="5">
                  <c:v>33974</c:v>
                </c:pt>
                <c:pt idx="6">
                  <c:v>40392</c:v>
                </c:pt>
                <c:pt idx="7">
                  <c:v>40392</c:v>
                </c:pt>
                <c:pt idx="8">
                  <c:v>50760</c:v>
                </c:pt>
                <c:pt idx="9">
                  <c:v>50760</c:v>
                </c:pt>
                <c:pt idx="10">
                  <c:v>53460</c:v>
                </c:pt>
                <c:pt idx="11">
                  <c:v>53460</c:v>
                </c:pt>
                <c:pt idx="12">
                  <c:v>36500</c:v>
                </c:pt>
                <c:pt idx="13">
                  <c:v>36500</c:v>
                </c:pt>
                <c:pt idx="14">
                  <c:v>44664</c:v>
                </c:pt>
                <c:pt idx="15">
                  <c:v>44664</c:v>
                </c:pt>
                <c:pt idx="16">
                  <c:v>47736</c:v>
                </c:pt>
                <c:pt idx="17">
                  <c:v>47736</c:v>
                </c:pt>
                <c:pt idx="18">
                  <c:v>56916</c:v>
                </c:pt>
                <c:pt idx="19">
                  <c:v>56916</c:v>
                </c:pt>
                <c:pt idx="20">
                  <c:v>62208</c:v>
                </c:pt>
                <c:pt idx="21">
                  <c:v>62208</c:v>
                </c:pt>
                <c:pt idx="22">
                  <c:v>56916</c:v>
                </c:pt>
                <c:pt idx="23">
                  <c:v>56916</c:v>
                </c:pt>
                <c:pt idx="24">
                  <c:v>67704</c:v>
                </c:pt>
                <c:pt idx="25">
                  <c:v>67704</c:v>
                </c:pt>
              </c:numCache>
            </c:numRef>
          </c:val>
        </c:ser>
        <c:ser>
          <c:idx val="3"/>
          <c:order val="3"/>
          <c:tx>
            <c:strRef>
              <c:f>AIAVG!$F$2</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AIAVG!$F$4:$F$29</c:f>
              <c:numCache>
                <c:formatCode>[$$-409]#,##0;[RED]\-[$$-409]#,##0</c:formatCode>
                <c:ptCount val="26"/>
                <c:pt idx="0">
                  <c:v>55860</c:v>
                </c:pt>
                <c:pt idx="1">
                  <c:v>55860</c:v>
                </c:pt>
                <c:pt idx="2">
                  <c:v>70200</c:v>
                </c:pt>
                <c:pt idx="3">
                  <c:v>70200</c:v>
                </c:pt>
                <c:pt idx="4">
                  <c:v>39960</c:v>
                </c:pt>
                <c:pt idx="5">
                  <c:v>39960</c:v>
                </c:pt>
                <c:pt idx="6">
                  <c:v>47520</c:v>
                </c:pt>
                <c:pt idx="7">
                  <c:v>47520</c:v>
                </c:pt>
                <c:pt idx="8">
                  <c:v>61560</c:v>
                </c:pt>
                <c:pt idx="9">
                  <c:v>61560</c:v>
                </c:pt>
                <c:pt idx="10">
                  <c:v>65880</c:v>
                </c:pt>
                <c:pt idx="11">
                  <c:v>65880</c:v>
                </c:pt>
                <c:pt idx="12">
                  <c:v>44280</c:v>
                </c:pt>
                <c:pt idx="13">
                  <c:v>44280</c:v>
                </c:pt>
                <c:pt idx="14">
                  <c:v>51840</c:v>
                </c:pt>
                <c:pt idx="15">
                  <c:v>51840</c:v>
                </c:pt>
                <c:pt idx="16">
                  <c:v>56160</c:v>
                </c:pt>
                <c:pt idx="17">
                  <c:v>56160</c:v>
                </c:pt>
                <c:pt idx="18">
                  <c:v>70200</c:v>
                </c:pt>
                <c:pt idx="19">
                  <c:v>70200</c:v>
                </c:pt>
                <c:pt idx="20">
                  <c:v>76680</c:v>
                </c:pt>
                <c:pt idx="21">
                  <c:v>76680</c:v>
                </c:pt>
                <c:pt idx="22">
                  <c:v>70200</c:v>
                </c:pt>
                <c:pt idx="23">
                  <c:v>70200</c:v>
                </c:pt>
                <c:pt idx="24">
                  <c:v>83160</c:v>
                </c:pt>
                <c:pt idx="25">
                  <c:v>83160</c:v>
                </c:pt>
              </c:numCache>
            </c:numRef>
          </c:val>
        </c:ser>
        <c:gapWidth val="100"/>
        <c:overlap val="0"/>
        <c:axId val="1895450"/>
        <c:axId val="72542289"/>
      </c:barChart>
      <c:catAx>
        <c:axId val="1895450"/>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75971627013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2542289"/>
        <c:crosses val="autoZero"/>
        <c:auto val="1"/>
        <c:lblAlgn val="ctr"/>
        <c:lblOffset val="100"/>
        <c:noMultiLvlLbl val="0"/>
      </c:catAx>
      <c:valAx>
        <c:axId val="7254228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095970349341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895450"/>
        <c:crosses val="max"/>
        <c:crossBetween val="midCat"/>
      </c:valAx>
      <c:spPr>
        <a:noFill/>
        <a:ln w="0">
          <a:solidFill>
            <a:srgbClr val="b3b3b3"/>
          </a:solidFill>
        </a:ln>
      </c:spPr>
    </c:plotArea>
    <c:legend>
      <c:legendPos val="r"/>
      <c:layout>
        <c:manualLayout>
          <c:xMode val="edge"/>
          <c:yMode val="edge"/>
          <c:x val="0.785871877708612"/>
          <c:y val="0.0767810546009552"/>
          <c:w val="0.188526850793901"/>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Annual Income Average</a:t>
            </a:r>
          </a:p>
        </c:rich>
      </c:tx>
      <c:layout>
        <c:manualLayout>
          <c:xMode val="edge"/>
          <c:yMode val="edge"/>
          <c:x val="0.281917829824146"/>
          <c:y val="0.0168464607654795"/>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AIAVG!$C$2</c:f>
              <c:strCache>
                <c:ptCount val="1"/>
                <c:pt idx="0">
                  <c:v>Annual Income Average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AIAVG!$C$30:$C$55</c:f>
              <c:numCache>
                <c:formatCode>[$$-409]#,##0;[RED]\-[$$-409]#,##0</c:formatCode>
                <c:ptCount val="26"/>
                <c:pt idx="0">
                  <c:v>90720</c:v>
                </c:pt>
                <c:pt idx="1">
                  <c:v>90720</c:v>
                </c:pt>
                <c:pt idx="2">
                  <c:v>75600</c:v>
                </c:pt>
                <c:pt idx="3">
                  <c:v>75600</c:v>
                </c:pt>
                <c:pt idx="4">
                  <c:v>75600</c:v>
                </c:pt>
                <c:pt idx="5">
                  <c:v>75600</c:v>
                </c:pt>
                <c:pt idx="6">
                  <c:v>51840</c:v>
                </c:pt>
                <c:pt idx="7">
                  <c:v>51840</c:v>
                </c:pt>
                <c:pt idx="8">
                  <c:v>75600</c:v>
                </c:pt>
                <c:pt idx="9">
                  <c:v>75600</c:v>
                </c:pt>
                <c:pt idx="10">
                  <c:v>82080</c:v>
                </c:pt>
                <c:pt idx="11">
                  <c:v>82080</c:v>
                </c:pt>
                <c:pt idx="12">
                  <c:v>69120</c:v>
                </c:pt>
                <c:pt idx="13">
                  <c:v>69120</c:v>
                </c:pt>
                <c:pt idx="14">
                  <c:v>90720</c:v>
                </c:pt>
                <c:pt idx="15">
                  <c:v>90720</c:v>
                </c:pt>
                <c:pt idx="16">
                  <c:v>64800</c:v>
                </c:pt>
                <c:pt idx="17">
                  <c:v>64800</c:v>
                </c:pt>
                <c:pt idx="18">
                  <c:v>60480</c:v>
                </c:pt>
                <c:pt idx="19">
                  <c:v>60480</c:v>
                </c:pt>
                <c:pt idx="20">
                  <c:v>47520</c:v>
                </c:pt>
                <c:pt idx="21">
                  <c:v>47520</c:v>
                </c:pt>
                <c:pt idx="22">
                  <c:v>38880</c:v>
                </c:pt>
                <c:pt idx="23">
                  <c:v>38880</c:v>
                </c:pt>
                <c:pt idx="24">
                  <c:v>75600</c:v>
                </c:pt>
                <c:pt idx="25">
                  <c:v>75600</c:v>
                </c:pt>
              </c:numCache>
            </c:numRef>
          </c:val>
        </c:ser>
        <c:ser>
          <c:idx val="1"/>
          <c:order val="1"/>
          <c:tx>
            <c:strRef>
              <c:f>AIAVG!$D$2</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AIAVG!$D$30:$D$55</c:f>
              <c:numCache>
                <c:formatCode>[$$-409]#,##0;[RED]\-[$$-409]#,##0</c:formatCode>
                <c:ptCount val="26"/>
                <c:pt idx="0">
                  <c:v>83556</c:v>
                </c:pt>
                <c:pt idx="1">
                  <c:v>83556</c:v>
                </c:pt>
                <c:pt idx="2">
                  <c:v>69552</c:v>
                </c:pt>
                <c:pt idx="3">
                  <c:v>69552</c:v>
                </c:pt>
                <c:pt idx="4">
                  <c:v>69552</c:v>
                </c:pt>
                <c:pt idx="5">
                  <c:v>69552</c:v>
                </c:pt>
                <c:pt idx="6">
                  <c:v>47736</c:v>
                </c:pt>
                <c:pt idx="7">
                  <c:v>47736</c:v>
                </c:pt>
                <c:pt idx="8">
                  <c:v>69552</c:v>
                </c:pt>
                <c:pt idx="9">
                  <c:v>69552</c:v>
                </c:pt>
                <c:pt idx="10">
                  <c:v>75600</c:v>
                </c:pt>
                <c:pt idx="11">
                  <c:v>75600</c:v>
                </c:pt>
                <c:pt idx="12">
                  <c:v>63612</c:v>
                </c:pt>
                <c:pt idx="13">
                  <c:v>63612</c:v>
                </c:pt>
                <c:pt idx="14">
                  <c:v>83556</c:v>
                </c:pt>
                <c:pt idx="15">
                  <c:v>83556</c:v>
                </c:pt>
                <c:pt idx="16">
                  <c:v>59616</c:v>
                </c:pt>
                <c:pt idx="17">
                  <c:v>59616</c:v>
                </c:pt>
                <c:pt idx="18">
                  <c:v>55620</c:v>
                </c:pt>
                <c:pt idx="19">
                  <c:v>55620</c:v>
                </c:pt>
                <c:pt idx="20">
                  <c:v>43740</c:v>
                </c:pt>
                <c:pt idx="21">
                  <c:v>43740</c:v>
                </c:pt>
                <c:pt idx="22">
                  <c:v>35748</c:v>
                </c:pt>
                <c:pt idx="23">
                  <c:v>35748</c:v>
                </c:pt>
                <c:pt idx="24">
                  <c:v>69552</c:v>
                </c:pt>
                <c:pt idx="25">
                  <c:v>69552</c:v>
                </c:pt>
              </c:numCache>
            </c:numRef>
          </c:val>
        </c:ser>
        <c:ser>
          <c:idx val="2"/>
          <c:order val="2"/>
          <c:tx>
            <c:strRef>
              <c:f>AIAVG!$E$2</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AIAVG!$E$30:$E$55</c:f>
              <c:numCache>
                <c:formatCode>[$$-409]#,##0;[RED]\-[$$-409]#,##0</c:formatCode>
                <c:ptCount val="26"/>
                <c:pt idx="0">
                  <c:v>74736</c:v>
                </c:pt>
                <c:pt idx="1">
                  <c:v>74736</c:v>
                </c:pt>
                <c:pt idx="2">
                  <c:v>62208</c:v>
                </c:pt>
                <c:pt idx="3">
                  <c:v>62208</c:v>
                </c:pt>
                <c:pt idx="4">
                  <c:v>62208</c:v>
                </c:pt>
                <c:pt idx="5">
                  <c:v>62208</c:v>
                </c:pt>
                <c:pt idx="6">
                  <c:v>42552</c:v>
                </c:pt>
                <c:pt idx="7">
                  <c:v>42552</c:v>
                </c:pt>
                <c:pt idx="8">
                  <c:v>62208</c:v>
                </c:pt>
                <c:pt idx="9">
                  <c:v>62208</c:v>
                </c:pt>
                <c:pt idx="10">
                  <c:v>67704</c:v>
                </c:pt>
                <c:pt idx="11">
                  <c:v>67704</c:v>
                </c:pt>
                <c:pt idx="12">
                  <c:v>56916</c:v>
                </c:pt>
                <c:pt idx="13">
                  <c:v>56916</c:v>
                </c:pt>
                <c:pt idx="14">
                  <c:v>74736</c:v>
                </c:pt>
                <c:pt idx="15">
                  <c:v>74736</c:v>
                </c:pt>
                <c:pt idx="16">
                  <c:v>53460</c:v>
                </c:pt>
                <c:pt idx="17">
                  <c:v>53460</c:v>
                </c:pt>
                <c:pt idx="18">
                  <c:v>49680</c:v>
                </c:pt>
                <c:pt idx="19">
                  <c:v>49680</c:v>
                </c:pt>
                <c:pt idx="20">
                  <c:v>38880</c:v>
                </c:pt>
                <c:pt idx="21">
                  <c:v>38880</c:v>
                </c:pt>
                <c:pt idx="22">
                  <c:v>31968</c:v>
                </c:pt>
                <c:pt idx="23">
                  <c:v>31968</c:v>
                </c:pt>
                <c:pt idx="24">
                  <c:v>62208</c:v>
                </c:pt>
                <c:pt idx="25">
                  <c:v>62208</c:v>
                </c:pt>
              </c:numCache>
            </c:numRef>
          </c:val>
        </c:ser>
        <c:ser>
          <c:idx val="3"/>
          <c:order val="3"/>
          <c:tx>
            <c:strRef>
              <c:f>AIAVG!$F$2</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AIAVG!$F$30:$F$55</c:f>
              <c:numCache>
                <c:formatCode>[$$-409]#,##0;[RED]\-[$$-409]#,##0</c:formatCode>
                <c:ptCount val="26"/>
                <c:pt idx="0">
                  <c:v>91800</c:v>
                </c:pt>
                <c:pt idx="1">
                  <c:v>91800</c:v>
                </c:pt>
                <c:pt idx="2">
                  <c:v>76680</c:v>
                </c:pt>
                <c:pt idx="3">
                  <c:v>76680</c:v>
                </c:pt>
                <c:pt idx="4">
                  <c:v>76680</c:v>
                </c:pt>
                <c:pt idx="5">
                  <c:v>76680</c:v>
                </c:pt>
                <c:pt idx="6">
                  <c:v>52920</c:v>
                </c:pt>
                <c:pt idx="7">
                  <c:v>52920</c:v>
                </c:pt>
                <c:pt idx="8">
                  <c:v>76680</c:v>
                </c:pt>
                <c:pt idx="9">
                  <c:v>76680</c:v>
                </c:pt>
                <c:pt idx="10">
                  <c:v>83160</c:v>
                </c:pt>
                <c:pt idx="11">
                  <c:v>83160</c:v>
                </c:pt>
                <c:pt idx="12">
                  <c:v>70200</c:v>
                </c:pt>
                <c:pt idx="13">
                  <c:v>70200</c:v>
                </c:pt>
                <c:pt idx="14">
                  <c:v>91800</c:v>
                </c:pt>
                <c:pt idx="15">
                  <c:v>91800</c:v>
                </c:pt>
                <c:pt idx="16">
                  <c:v>65880</c:v>
                </c:pt>
                <c:pt idx="17">
                  <c:v>65880</c:v>
                </c:pt>
                <c:pt idx="18">
                  <c:v>61560</c:v>
                </c:pt>
                <c:pt idx="19">
                  <c:v>61560</c:v>
                </c:pt>
                <c:pt idx="20">
                  <c:v>48600</c:v>
                </c:pt>
                <c:pt idx="21">
                  <c:v>48600</c:v>
                </c:pt>
                <c:pt idx="22">
                  <c:v>39744</c:v>
                </c:pt>
                <c:pt idx="23">
                  <c:v>39744</c:v>
                </c:pt>
                <c:pt idx="24">
                  <c:v>76680</c:v>
                </c:pt>
                <c:pt idx="25">
                  <c:v>76680</c:v>
                </c:pt>
              </c:numCache>
            </c:numRef>
          </c:val>
        </c:ser>
        <c:gapWidth val="100"/>
        <c:overlap val="0"/>
        <c:axId val="10598416"/>
        <c:axId val="63173542"/>
      </c:barChart>
      <c:catAx>
        <c:axId val="1059841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71045761292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3173542"/>
        <c:crosses val="autoZero"/>
        <c:auto val="1"/>
        <c:lblAlgn val="ctr"/>
        <c:lblOffset val="100"/>
        <c:noMultiLvlLbl val="0"/>
      </c:catAx>
      <c:valAx>
        <c:axId val="6317354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095970349341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0598416"/>
        <c:crosses val="max"/>
        <c:crossBetween val="midCat"/>
      </c:valAx>
      <c:spPr>
        <a:noFill/>
        <a:ln w="0">
          <a:solidFill>
            <a:srgbClr val="b3b3b3"/>
          </a:solidFill>
        </a:ln>
      </c:spPr>
    </c:plotArea>
    <c:legend>
      <c:legendPos val="r"/>
      <c:layout>
        <c:manualLayout>
          <c:xMode val="edge"/>
          <c:yMode val="edge"/>
          <c:x val="0.785832544938505"/>
          <c:y val="0.0767582742316785"/>
          <c:w val="0.188512634525171"/>
          <c:h val="0.11168025217327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Personal Income Tax Revenue</a:t>
            </a:r>
          </a:p>
        </c:rich>
      </c:tx>
      <c:layout>
        <c:manualLayout>
          <c:xMode val="edge"/>
          <c:yMode val="edge"/>
          <c:x val="0.226717135872565"/>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FPITREV!$C$2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FPITREV!$C$4:$C$29</c:f>
              <c:numCache>
                <c:formatCode>[$$-409]#,##0;\-[$$-409]#,##0</c:formatCode>
                <c:ptCount val="26"/>
                <c:pt idx="0">
                  <c:v>181200000</c:v>
                </c:pt>
                <c:pt idx="1">
                  <c:v>45300000</c:v>
                </c:pt>
                <c:pt idx="2">
                  <c:v>372000000</c:v>
                </c:pt>
                <c:pt idx="3">
                  <c:v>93000000</c:v>
                </c:pt>
                <c:pt idx="4">
                  <c:v>460000000</c:v>
                </c:pt>
                <c:pt idx="5">
                  <c:v>115000000</c:v>
                </c:pt>
                <c:pt idx="6">
                  <c:v>195000000</c:v>
                </c:pt>
                <c:pt idx="7">
                  <c:v>48750000</c:v>
                </c:pt>
                <c:pt idx="8">
                  <c:v>885000000</c:v>
                </c:pt>
                <c:pt idx="9">
                  <c:v>240094933</c:v>
                </c:pt>
                <c:pt idx="10">
                  <c:v>780000000</c:v>
                </c:pt>
                <c:pt idx="11">
                  <c:v>260000000</c:v>
                </c:pt>
                <c:pt idx="12">
                  <c:v>1040000000</c:v>
                </c:pt>
                <c:pt idx="13">
                  <c:v>446000000</c:v>
                </c:pt>
                <c:pt idx="14">
                  <c:v>170000000</c:v>
                </c:pt>
                <c:pt idx="15">
                  <c:v>30000000</c:v>
                </c:pt>
                <c:pt idx="16">
                  <c:v>120000000</c:v>
                </c:pt>
                <c:pt idx="17">
                  <c:v>30000000</c:v>
                </c:pt>
                <c:pt idx="18">
                  <c:v>1200000000</c:v>
                </c:pt>
                <c:pt idx="19">
                  <c:v>300000000</c:v>
                </c:pt>
                <c:pt idx="20">
                  <c:v>600000000</c:v>
                </c:pt>
                <c:pt idx="21">
                  <c:v>150000000</c:v>
                </c:pt>
                <c:pt idx="22">
                  <c:v>600000000</c:v>
                </c:pt>
                <c:pt idx="23">
                  <c:v>150000000</c:v>
                </c:pt>
                <c:pt idx="24">
                  <c:v>350000000</c:v>
                </c:pt>
                <c:pt idx="25">
                  <c:v>87500000</c:v>
                </c:pt>
              </c:numCache>
            </c:numRef>
          </c:val>
        </c:ser>
        <c:ser>
          <c:idx val="1"/>
          <c:order val="1"/>
          <c:tx>
            <c:strRef>
              <c:f>FPITREV!$D$2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FPITREV!$D$4:$D$29</c:f>
              <c:numCache>
                <c:formatCode>[$$-409]#,##0;\-[$$-409]#,##0</c:formatCode>
                <c:ptCount val="26"/>
                <c:pt idx="0">
                  <c:v>6000000</c:v>
                </c:pt>
                <c:pt idx="1">
                  <c:v>1500000</c:v>
                </c:pt>
                <c:pt idx="2">
                  <c:v>12800000</c:v>
                </c:pt>
                <c:pt idx="3">
                  <c:v>3200000</c:v>
                </c:pt>
                <c:pt idx="4">
                  <c:v>15840000</c:v>
                </c:pt>
                <c:pt idx="5">
                  <c:v>3960000</c:v>
                </c:pt>
                <c:pt idx="6">
                  <c:v>6720000</c:v>
                </c:pt>
                <c:pt idx="7">
                  <c:v>1680000</c:v>
                </c:pt>
                <c:pt idx="8">
                  <c:v>30450000</c:v>
                </c:pt>
                <c:pt idx="9">
                  <c:v>11707</c:v>
                </c:pt>
                <c:pt idx="10">
                  <c:v>26880000</c:v>
                </c:pt>
                <c:pt idx="11">
                  <c:v>8960000</c:v>
                </c:pt>
                <c:pt idx="12">
                  <c:v>35840000</c:v>
                </c:pt>
                <c:pt idx="13">
                  <c:v>15360000</c:v>
                </c:pt>
                <c:pt idx="14">
                  <c:v>5850000</c:v>
                </c:pt>
                <c:pt idx="15">
                  <c:v>1035000</c:v>
                </c:pt>
                <c:pt idx="16">
                  <c:v>3456000</c:v>
                </c:pt>
                <c:pt idx="17">
                  <c:v>864000</c:v>
                </c:pt>
                <c:pt idx="18">
                  <c:v>41280000</c:v>
                </c:pt>
                <c:pt idx="19">
                  <c:v>10320000</c:v>
                </c:pt>
                <c:pt idx="20">
                  <c:v>20640000</c:v>
                </c:pt>
                <c:pt idx="21">
                  <c:v>5160000</c:v>
                </c:pt>
                <c:pt idx="22">
                  <c:v>20640000</c:v>
                </c:pt>
                <c:pt idx="23">
                  <c:v>5160000</c:v>
                </c:pt>
                <c:pt idx="24">
                  <c:v>12040000</c:v>
                </c:pt>
                <c:pt idx="25">
                  <c:v>3010000</c:v>
                </c:pt>
              </c:numCache>
            </c:numRef>
          </c:val>
        </c:ser>
        <c:ser>
          <c:idx val="2"/>
          <c:order val="2"/>
          <c:tx>
            <c:strRef>
              <c:f>FPITREV!$E$2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FPITREV!$E$4:$E$29</c:f>
              <c:numCache>
                <c:formatCode>[$$-409]#,##0;\-[$$-409]#,##0</c:formatCode>
                <c:ptCount val="26"/>
                <c:pt idx="0">
                  <c:v>2400000</c:v>
                </c:pt>
                <c:pt idx="1">
                  <c:v>600000</c:v>
                </c:pt>
                <c:pt idx="2">
                  <c:v>5120000</c:v>
                </c:pt>
                <c:pt idx="3">
                  <c:v>1280000</c:v>
                </c:pt>
                <c:pt idx="4">
                  <c:v>6336000</c:v>
                </c:pt>
                <c:pt idx="5">
                  <c:v>1584000</c:v>
                </c:pt>
                <c:pt idx="6">
                  <c:v>2688000</c:v>
                </c:pt>
                <c:pt idx="7">
                  <c:v>672000</c:v>
                </c:pt>
                <c:pt idx="8">
                  <c:v>12180000</c:v>
                </c:pt>
                <c:pt idx="9">
                  <c:v>14341</c:v>
                </c:pt>
                <c:pt idx="10">
                  <c:v>10752000</c:v>
                </c:pt>
                <c:pt idx="11">
                  <c:v>3584000</c:v>
                </c:pt>
                <c:pt idx="12">
                  <c:v>14336000</c:v>
                </c:pt>
                <c:pt idx="13">
                  <c:v>6144000</c:v>
                </c:pt>
                <c:pt idx="14">
                  <c:v>2340000</c:v>
                </c:pt>
                <c:pt idx="15">
                  <c:v>414000</c:v>
                </c:pt>
                <c:pt idx="16">
                  <c:v>1864800</c:v>
                </c:pt>
                <c:pt idx="17">
                  <c:v>466200</c:v>
                </c:pt>
                <c:pt idx="18">
                  <c:v>16512000</c:v>
                </c:pt>
                <c:pt idx="19">
                  <c:v>4128000</c:v>
                </c:pt>
                <c:pt idx="20">
                  <c:v>8256000</c:v>
                </c:pt>
                <c:pt idx="21">
                  <c:v>2064000</c:v>
                </c:pt>
                <c:pt idx="22">
                  <c:v>8256000</c:v>
                </c:pt>
                <c:pt idx="23">
                  <c:v>2064000</c:v>
                </c:pt>
                <c:pt idx="24">
                  <c:v>4816000</c:v>
                </c:pt>
                <c:pt idx="25">
                  <c:v>1204000</c:v>
                </c:pt>
              </c:numCache>
            </c:numRef>
          </c:val>
        </c:ser>
        <c:ser>
          <c:idx val="3"/>
          <c:order val="3"/>
          <c:tx>
            <c:strRef>
              <c:f>FPITREV!$F$2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FPITREV!$F$4:$F$29</c:f>
              <c:numCache>
                <c:formatCode>[$$-409]#,##0;\-[$$-409]#,##0</c:formatCode>
                <c:ptCount val="26"/>
                <c:pt idx="0">
                  <c:v>172800000</c:v>
                </c:pt>
                <c:pt idx="1">
                  <c:v>43200000</c:v>
                </c:pt>
                <c:pt idx="2">
                  <c:v>354080000</c:v>
                </c:pt>
                <c:pt idx="3">
                  <c:v>88520000</c:v>
                </c:pt>
                <c:pt idx="4">
                  <c:v>437776000</c:v>
                </c:pt>
                <c:pt idx="5">
                  <c:v>109444000</c:v>
                </c:pt>
                <c:pt idx="6">
                  <c:v>185592000</c:v>
                </c:pt>
                <c:pt idx="7">
                  <c:v>46398000</c:v>
                </c:pt>
                <c:pt idx="8">
                  <c:v>842070000</c:v>
                </c:pt>
                <c:pt idx="9">
                  <c:v>174361875</c:v>
                </c:pt>
                <c:pt idx="10">
                  <c:v>742368000</c:v>
                </c:pt>
                <c:pt idx="11">
                  <c:v>247456000</c:v>
                </c:pt>
                <c:pt idx="12">
                  <c:v>989760000</c:v>
                </c:pt>
                <c:pt idx="13">
                  <c:v>424704000</c:v>
                </c:pt>
                <c:pt idx="14">
                  <c:v>161850000</c:v>
                </c:pt>
                <c:pt idx="15">
                  <c:v>28551000</c:v>
                </c:pt>
                <c:pt idx="16">
                  <c:v>114679200</c:v>
                </c:pt>
                <c:pt idx="17">
                  <c:v>28669800</c:v>
                </c:pt>
                <c:pt idx="18">
                  <c:v>1142208000</c:v>
                </c:pt>
                <c:pt idx="19">
                  <c:v>285552000</c:v>
                </c:pt>
                <c:pt idx="20">
                  <c:v>570984000</c:v>
                </c:pt>
                <c:pt idx="21">
                  <c:v>142746000</c:v>
                </c:pt>
                <c:pt idx="22">
                  <c:v>570984000</c:v>
                </c:pt>
                <c:pt idx="23">
                  <c:v>142746000</c:v>
                </c:pt>
                <c:pt idx="24">
                  <c:v>333132000</c:v>
                </c:pt>
                <c:pt idx="25">
                  <c:v>83283000</c:v>
                </c:pt>
              </c:numCache>
            </c:numRef>
          </c:val>
        </c:ser>
        <c:gapWidth val="100"/>
        <c:overlap val="0"/>
        <c:axId val="62695391"/>
        <c:axId val="58430104"/>
      </c:barChart>
      <c:catAx>
        <c:axId val="6269539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75971627013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8430104"/>
        <c:crosses val="autoZero"/>
        <c:auto val="1"/>
        <c:lblAlgn val="ctr"/>
        <c:lblOffset val="100"/>
        <c:noMultiLvlLbl val="0"/>
      </c:catAx>
      <c:valAx>
        <c:axId val="5843010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2655153379071"/>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2695391"/>
        <c:crosses val="max"/>
        <c:crossBetween val="midCat"/>
      </c:valAx>
      <c:spPr>
        <a:noFill/>
        <a:ln w="0">
          <a:solidFill>
            <a:srgbClr val="b3b3b3"/>
          </a:solidFill>
        </a:ln>
      </c:spPr>
    </c:plotArea>
    <c:legend>
      <c:legendPos val="r"/>
      <c:layout>
        <c:manualLayout>
          <c:xMode val="edge"/>
          <c:yMode val="edge"/>
          <c:x val="0.785840917149273"/>
          <c:y val="0.0767545479162051"/>
          <c:w val="0.188558821211882"/>
          <c:h val="0.1117128649500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Personal Income Tax Revenue</a:t>
            </a:r>
          </a:p>
        </c:rich>
      </c:tx>
      <c:layout>
        <c:manualLayout>
          <c:xMode val="edge"/>
          <c:yMode val="edge"/>
          <c:x val="0.226717135872565"/>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FPITREV!$C$2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FPITREV!$C$30:$C$55</c:f>
              <c:numCache>
                <c:formatCode>[$$-409]#,##0;\-[$$-409]#,##0</c:formatCode>
                <c:ptCount val="26"/>
                <c:pt idx="0">
                  <c:v>150000000</c:v>
                </c:pt>
                <c:pt idx="1">
                  <c:v>37500000</c:v>
                </c:pt>
                <c:pt idx="2">
                  <c:v>600000000</c:v>
                </c:pt>
                <c:pt idx="3">
                  <c:v>150000000</c:v>
                </c:pt>
                <c:pt idx="4">
                  <c:v>600000000</c:v>
                </c:pt>
                <c:pt idx="5">
                  <c:v>1500000000</c:v>
                </c:pt>
                <c:pt idx="6">
                  <c:v>87500000</c:v>
                </c:pt>
                <c:pt idx="7">
                  <c:v>350000000</c:v>
                </c:pt>
                <c:pt idx="8">
                  <c:v>60000000</c:v>
                </c:pt>
                <c:pt idx="9">
                  <c:v>150000000</c:v>
                </c:pt>
                <c:pt idx="10">
                  <c:v>32500000</c:v>
                </c:pt>
                <c:pt idx="11">
                  <c:v>130000000</c:v>
                </c:pt>
                <c:pt idx="12">
                  <c:v>137500000</c:v>
                </c:pt>
                <c:pt idx="13">
                  <c:v>550000000</c:v>
                </c:pt>
                <c:pt idx="14">
                  <c:v>37500000</c:v>
                </c:pt>
                <c:pt idx="15">
                  <c:v>150000000</c:v>
                </c:pt>
                <c:pt idx="16">
                  <c:v>52500000</c:v>
                </c:pt>
                <c:pt idx="17">
                  <c:v>210000000</c:v>
                </c:pt>
                <c:pt idx="18">
                  <c:v>25000000</c:v>
                </c:pt>
                <c:pt idx="19">
                  <c:v>100000000</c:v>
                </c:pt>
                <c:pt idx="20">
                  <c:v>47500000</c:v>
                </c:pt>
                <c:pt idx="21">
                  <c:v>190000000</c:v>
                </c:pt>
                <c:pt idx="22">
                  <c:v>115000000</c:v>
                </c:pt>
                <c:pt idx="23">
                  <c:v>460000000</c:v>
                </c:pt>
                <c:pt idx="24">
                  <c:v>150000000</c:v>
                </c:pt>
                <c:pt idx="25">
                  <c:v>600000000</c:v>
                </c:pt>
              </c:numCache>
            </c:numRef>
          </c:val>
        </c:ser>
        <c:ser>
          <c:idx val="1"/>
          <c:order val="1"/>
          <c:tx>
            <c:strRef>
              <c:f>FPITREV!$D$2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FPITREV!$D$30:$D$55</c:f>
              <c:numCache>
                <c:formatCode>[$$-409]#,##0;\-[$$-409]#,##0</c:formatCode>
                <c:ptCount val="26"/>
                <c:pt idx="0">
                  <c:v>5160000</c:v>
                </c:pt>
                <c:pt idx="1">
                  <c:v>1290000</c:v>
                </c:pt>
                <c:pt idx="2">
                  <c:v>20640000</c:v>
                </c:pt>
                <c:pt idx="3">
                  <c:v>5160000</c:v>
                </c:pt>
                <c:pt idx="4">
                  <c:v>20640000</c:v>
                </c:pt>
                <c:pt idx="5">
                  <c:v>51600000</c:v>
                </c:pt>
                <c:pt idx="6">
                  <c:v>3012000</c:v>
                </c:pt>
                <c:pt idx="7">
                  <c:v>12048000</c:v>
                </c:pt>
                <c:pt idx="8">
                  <c:v>2064000</c:v>
                </c:pt>
                <c:pt idx="9">
                  <c:v>5160000</c:v>
                </c:pt>
                <c:pt idx="10">
                  <c:v>1118000</c:v>
                </c:pt>
                <c:pt idx="11">
                  <c:v>4472000</c:v>
                </c:pt>
                <c:pt idx="12">
                  <c:v>4730000</c:v>
                </c:pt>
                <c:pt idx="13">
                  <c:v>18920000</c:v>
                </c:pt>
                <c:pt idx="14">
                  <c:v>1290000</c:v>
                </c:pt>
                <c:pt idx="15">
                  <c:v>5160000</c:v>
                </c:pt>
                <c:pt idx="16">
                  <c:v>1806000</c:v>
                </c:pt>
                <c:pt idx="17">
                  <c:v>7224000</c:v>
                </c:pt>
                <c:pt idx="18">
                  <c:v>860000</c:v>
                </c:pt>
                <c:pt idx="19">
                  <c:v>3440000</c:v>
                </c:pt>
                <c:pt idx="20">
                  <c:v>1634000</c:v>
                </c:pt>
                <c:pt idx="21">
                  <c:v>6536000</c:v>
                </c:pt>
                <c:pt idx="22">
                  <c:v>3960000</c:v>
                </c:pt>
                <c:pt idx="23">
                  <c:v>15840000</c:v>
                </c:pt>
                <c:pt idx="24">
                  <c:v>5160000</c:v>
                </c:pt>
                <c:pt idx="25">
                  <c:v>20640000</c:v>
                </c:pt>
              </c:numCache>
            </c:numRef>
          </c:val>
        </c:ser>
        <c:ser>
          <c:idx val="2"/>
          <c:order val="2"/>
          <c:tx>
            <c:strRef>
              <c:f>FPITREV!$E$2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FPITREV!$E$30:$E$55</c:f>
              <c:numCache>
                <c:formatCode>[$$-409]#,##0;\-[$$-409]#,##0</c:formatCode>
                <c:ptCount val="26"/>
                <c:pt idx="0">
                  <c:v>2064000</c:v>
                </c:pt>
                <c:pt idx="1">
                  <c:v>516000</c:v>
                </c:pt>
                <c:pt idx="2">
                  <c:v>8256000</c:v>
                </c:pt>
                <c:pt idx="3">
                  <c:v>2064000</c:v>
                </c:pt>
                <c:pt idx="4">
                  <c:v>8256000</c:v>
                </c:pt>
                <c:pt idx="5">
                  <c:v>20640000</c:v>
                </c:pt>
                <c:pt idx="6">
                  <c:v>1204800</c:v>
                </c:pt>
                <c:pt idx="7">
                  <c:v>4819200</c:v>
                </c:pt>
                <c:pt idx="8">
                  <c:v>825600</c:v>
                </c:pt>
                <c:pt idx="9">
                  <c:v>2064000</c:v>
                </c:pt>
                <c:pt idx="10">
                  <c:v>447200</c:v>
                </c:pt>
                <c:pt idx="11">
                  <c:v>1788800</c:v>
                </c:pt>
                <c:pt idx="12">
                  <c:v>1892000</c:v>
                </c:pt>
                <c:pt idx="13">
                  <c:v>7568000</c:v>
                </c:pt>
                <c:pt idx="14">
                  <c:v>516000</c:v>
                </c:pt>
                <c:pt idx="15">
                  <c:v>2064000</c:v>
                </c:pt>
                <c:pt idx="16">
                  <c:v>722400</c:v>
                </c:pt>
                <c:pt idx="17">
                  <c:v>2889600</c:v>
                </c:pt>
                <c:pt idx="18">
                  <c:v>344000</c:v>
                </c:pt>
                <c:pt idx="19">
                  <c:v>1376000</c:v>
                </c:pt>
                <c:pt idx="20">
                  <c:v>653600</c:v>
                </c:pt>
                <c:pt idx="21">
                  <c:v>2614400</c:v>
                </c:pt>
                <c:pt idx="22">
                  <c:v>1584000</c:v>
                </c:pt>
                <c:pt idx="23">
                  <c:v>6336000</c:v>
                </c:pt>
                <c:pt idx="24">
                  <c:v>2064000</c:v>
                </c:pt>
                <c:pt idx="25">
                  <c:v>8256000</c:v>
                </c:pt>
              </c:numCache>
            </c:numRef>
          </c:val>
        </c:ser>
        <c:ser>
          <c:idx val="3"/>
          <c:order val="3"/>
          <c:tx>
            <c:strRef>
              <c:f>FPITREV!$F$2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FPITREV!$F$30:$F$55</c:f>
              <c:numCache>
                <c:formatCode>[$$-409]#,##0;\-[$$-409]#,##0</c:formatCode>
                <c:ptCount val="26"/>
                <c:pt idx="0">
                  <c:v>142746000</c:v>
                </c:pt>
                <c:pt idx="1">
                  <c:v>35686500</c:v>
                </c:pt>
                <c:pt idx="2">
                  <c:v>570984000</c:v>
                </c:pt>
                <c:pt idx="3">
                  <c:v>142746000</c:v>
                </c:pt>
                <c:pt idx="4">
                  <c:v>570984000</c:v>
                </c:pt>
                <c:pt idx="5">
                  <c:v>1427760000</c:v>
                </c:pt>
                <c:pt idx="6">
                  <c:v>83283000</c:v>
                </c:pt>
                <c:pt idx="7">
                  <c:v>333132800</c:v>
                </c:pt>
                <c:pt idx="8">
                  <c:v>57098400</c:v>
                </c:pt>
                <c:pt idx="9">
                  <c:v>142746000</c:v>
                </c:pt>
                <c:pt idx="10">
                  <c:v>30934800</c:v>
                </c:pt>
                <c:pt idx="11">
                  <c:v>123739200</c:v>
                </c:pt>
                <c:pt idx="12">
                  <c:v>130888000</c:v>
                </c:pt>
                <c:pt idx="13">
                  <c:v>521552000</c:v>
                </c:pt>
                <c:pt idx="14">
                  <c:v>35686500</c:v>
                </c:pt>
                <c:pt idx="15">
                  <c:v>142746000</c:v>
                </c:pt>
                <c:pt idx="16">
                  <c:v>49971600</c:v>
                </c:pt>
                <c:pt idx="17">
                  <c:v>199886400</c:v>
                </c:pt>
                <c:pt idx="18">
                  <c:v>23786400</c:v>
                </c:pt>
                <c:pt idx="19">
                  <c:v>95145600</c:v>
                </c:pt>
                <c:pt idx="20">
                  <c:v>45315400</c:v>
                </c:pt>
                <c:pt idx="21">
                  <c:v>181261600</c:v>
                </c:pt>
                <c:pt idx="22">
                  <c:v>109444000</c:v>
                </c:pt>
                <c:pt idx="23">
                  <c:v>437776000</c:v>
                </c:pt>
                <c:pt idx="24">
                  <c:v>142746000</c:v>
                </c:pt>
                <c:pt idx="25">
                  <c:v>570984000</c:v>
                </c:pt>
              </c:numCache>
            </c:numRef>
          </c:val>
        </c:ser>
        <c:gapWidth val="100"/>
        <c:overlap val="0"/>
        <c:axId val="8737976"/>
        <c:axId val="16849831"/>
      </c:barChart>
      <c:catAx>
        <c:axId val="873797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71045761292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6849831"/>
        <c:crosses val="autoZero"/>
        <c:auto val="1"/>
        <c:lblAlgn val="ctr"/>
        <c:lblOffset val="100"/>
        <c:noMultiLvlLbl val="0"/>
      </c:catAx>
      <c:valAx>
        <c:axId val="1684983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2734011513288"/>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737976"/>
        <c:crosses val="max"/>
        <c:crossBetween val="midCat"/>
      </c:valAx>
      <c:spPr>
        <a:noFill/>
        <a:ln w="0">
          <a:solidFill>
            <a:srgbClr val="b3b3b3"/>
          </a:solidFill>
        </a:ln>
      </c:spPr>
    </c:plotArea>
    <c:legend>
      <c:legendPos val="r"/>
      <c:layout>
        <c:manualLayout>
          <c:xMode val="edge"/>
          <c:yMode val="edge"/>
          <c:x val="0.785832544938505"/>
          <c:y val="0.0767336485421592"/>
          <c:w val="0.188552055820554"/>
          <c:h val="0.11170487846922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Personal Payroll Tax Revenue</a:t>
            </a:r>
          </a:p>
        </c:rich>
      </c:tx>
      <c:layout>
        <c:manualLayout>
          <c:xMode val="edge"/>
          <c:yMode val="edge"/>
          <c:x val="0.260704991719896"/>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FPPTREV!$C$2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FPPTREV!$C$4:$C$29</c:f>
              <c:numCache>
                <c:formatCode>[$$-409]#,##0;\-[$$-409]#,##0</c:formatCode>
                <c:ptCount val="26"/>
                <c:pt idx="0">
                  <c:v>181200000</c:v>
                </c:pt>
                <c:pt idx="1">
                  <c:v>45300000</c:v>
                </c:pt>
                <c:pt idx="2">
                  <c:v>372000000</c:v>
                </c:pt>
                <c:pt idx="3">
                  <c:v>93000000</c:v>
                </c:pt>
                <c:pt idx="4">
                  <c:v>460000000</c:v>
                </c:pt>
                <c:pt idx="5">
                  <c:v>115000000</c:v>
                </c:pt>
                <c:pt idx="6">
                  <c:v>195000000</c:v>
                </c:pt>
                <c:pt idx="7">
                  <c:v>48750000</c:v>
                </c:pt>
                <c:pt idx="8">
                  <c:v>885000000</c:v>
                </c:pt>
                <c:pt idx="9">
                  <c:v>240094933</c:v>
                </c:pt>
                <c:pt idx="10">
                  <c:v>780000000</c:v>
                </c:pt>
                <c:pt idx="11">
                  <c:v>260000000</c:v>
                </c:pt>
                <c:pt idx="12">
                  <c:v>1040000000</c:v>
                </c:pt>
                <c:pt idx="13">
                  <c:v>446000000</c:v>
                </c:pt>
                <c:pt idx="14">
                  <c:v>170000000</c:v>
                </c:pt>
                <c:pt idx="15">
                  <c:v>30000000</c:v>
                </c:pt>
                <c:pt idx="16">
                  <c:v>120000000</c:v>
                </c:pt>
                <c:pt idx="17">
                  <c:v>30000000</c:v>
                </c:pt>
                <c:pt idx="18">
                  <c:v>1200000000</c:v>
                </c:pt>
                <c:pt idx="19">
                  <c:v>300000000</c:v>
                </c:pt>
                <c:pt idx="20">
                  <c:v>600000000</c:v>
                </c:pt>
                <c:pt idx="21">
                  <c:v>150000000</c:v>
                </c:pt>
                <c:pt idx="22">
                  <c:v>600000000</c:v>
                </c:pt>
                <c:pt idx="23">
                  <c:v>150000000</c:v>
                </c:pt>
                <c:pt idx="24">
                  <c:v>350000000</c:v>
                </c:pt>
                <c:pt idx="25">
                  <c:v>87500000</c:v>
                </c:pt>
              </c:numCache>
            </c:numRef>
          </c:val>
        </c:ser>
        <c:ser>
          <c:idx val="1"/>
          <c:order val="1"/>
          <c:tx>
            <c:strRef>
              <c:f>FPPTREV!$D$2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FPPTREV!$D$4:$D$29</c:f>
              <c:numCache>
                <c:formatCode>[$$-409]#,##0;\-[$$-409]#,##0</c:formatCode>
                <c:ptCount val="26"/>
                <c:pt idx="0">
                  <c:v>6000000</c:v>
                </c:pt>
                <c:pt idx="1">
                  <c:v>1500000</c:v>
                </c:pt>
                <c:pt idx="2">
                  <c:v>12800000</c:v>
                </c:pt>
                <c:pt idx="3">
                  <c:v>3200000</c:v>
                </c:pt>
                <c:pt idx="4">
                  <c:v>15840000</c:v>
                </c:pt>
                <c:pt idx="5">
                  <c:v>3960000</c:v>
                </c:pt>
                <c:pt idx="6">
                  <c:v>6720000</c:v>
                </c:pt>
                <c:pt idx="7">
                  <c:v>1680000</c:v>
                </c:pt>
                <c:pt idx="8">
                  <c:v>30450000</c:v>
                </c:pt>
                <c:pt idx="9">
                  <c:v>11707</c:v>
                </c:pt>
                <c:pt idx="10">
                  <c:v>26880000</c:v>
                </c:pt>
                <c:pt idx="11">
                  <c:v>8960000</c:v>
                </c:pt>
                <c:pt idx="12">
                  <c:v>35840000</c:v>
                </c:pt>
                <c:pt idx="13">
                  <c:v>15360000</c:v>
                </c:pt>
                <c:pt idx="14">
                  <c:v>5850000</c:v>
                </c:pt>
                <c:pt idx="15">
                  <c:v>1035000</c:v>
                </c:pt>
                <c:pt idx="16">
                  <c:v>3456000</c:v>
                </c:pt>
                <c:pt idx="17">
                  <c:v>864000</c:v>
                </c:pt>
                <c:pt idx="18">
                  <c:v>41280000</c:v>
                </c:pt>
                <c:pt idx="19">
                  <c:v>10320000</c:v>
                </c:pt>
                <c:pt idx="20">
                  <c:v>20640000</c:v>
                </c:pt>
                <c:pt idx="21">
                  <c:v>5160000</c:v>
                </c:pt>
                <c:pt idx="22">
                  <c:v>20640000</c:v>
                </c:pt>
                <c:pt idx="23">
                  <c:v>5160000</c:v>
                </c:pt>
                <c:pt idx="24">
                  <c:v>12040000</c:v>
                </c:pt>
                <c:pt idx="25">
                  <c:v>3010000</c:v>
                </c:pt>
              </c:numCache>
            </c:numRef>
          </c:val>
        </c:ser>
        <c:ser>
          <c:idx val="2"/>
          <c:order val="2"/>
          <c:tx>
            <c:strRef>
              <c:f>FPPTREV!$E$2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FPPTREV!$E$4:$E$29</c:f>
              <c:numCache>
                <c:formatCode>[$$-409]#,##0;\-[$$-409]#,##0</c:formatCode>
                <c:ptCount val="26"/>
                <c:pt idx="0">
                  <c:v>2400000</c:v>
                </c:pt>
                <c:pt idx="1">
                  <c:v>600000</c:v>
                </c:pt>
                <c:pt idx="2">
                  <c:v>5120000</c:v>
                </c:pt>
                <c:pt idx="3">
                  <c:v>1280000</c:v>
                </c:pt>
                <c:pt idx="4">
                  <c:v>6336000</c:v>
                </c:pt>
                <c:pt idx="5">
                  <c:v>1584000</c:v>
                </c:pt>
                <c:pt idx="6">
                  <c:v>2688000</c:v>
                </c:pt>
                <c:pt idx="7">
                  <c:v>672000</c:v>
                </c:pt>
                <c:pt idx="8">
                  <c:v>12180000</c:v>
                </c:pt>
                <c:pt idx="9">
                  <c:v>14341</c:v>
                </c:pt>
                <c:pt idx="10">
                  <c:v>10752000</c:v>
                </c:pt>
                <c:pt idx="11">
                  <c:v>3584000</c:v>
                </c:pt>
                <c:pt idx="12">
                  <c:v>14336000</c:v>
                </c:pt>
                <c:pt idx="13">
                  <c:v>6144000</c:v>
                </c:pt>
                <c:pt idx="14">
                  <c:v>2340000</c:v>
                </c:pt>
                <c:pt idx="15">
                  <c:v>414000</c:v>
                </c:pt>
                <c:pt idx="16">
                  <c:v>1864800</c:v>
                </c:pt>
                <c:pt idx="17">
                  <c:v>466200</c:v>
                </c:pt>
                <c:pt idx="18">
                  <c:v>16512000</c:v>
                </c:pt>
                <c:pt idx="19">
                  <c:v>4128000</c:v>
                </c:pt>
                <c:pt idx="20">
                  <c:v>8256000</c:v>
                </c:pt>
                <c:pt idx="21">
                  <c:v>2064000</c:v>
                </c:pt>
                <c:pt idx="22">
                  <c:v>8256000</c:v>
                </c:pt>
                <c:pt idx="23">
                  <c:v>2064000</c:v>
                </c:pt>
                <c:pt idx="24">
                  <c:v>4816000</c:v>
                </c:pt>
                <c:pt idx="25">
                  <c:v>1204000</c:v>
                </c:pt>
              </c:numCache>
            </c:numRef>
          </c:val>
        </c:ser>
        <c:ser>
          <c:idx val="3"/>
          <c:order val="3"/>
          <c:tx>
            <c:strRef>
              <c:f>FPPTREV!$F$2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FPPTREV!$F$4:$F$29</c:f>
              <c:numCache>
                <c:formatCode>[$$-409]#,##0;\-[$$-409]#,##0</c:formatCode>
                <c:ptCount val="26"/>
                <c:pt idx="0">
                  <c:v>172800000</c:v>
                </c:pt>
                <c:pt idx="1">
                  <c:v>43200000</c:v>
                </c:pt>
                <c:pt idx="2">
                  <c:v>354080000</c:v>
                </c:pt>
                <c:pt idx="3">
                  <c:v>88520000</c:v>
                </c:pt>
                <c:pt idx="4">
                  <c:v>437776000</c:v>
                </c:pt>
                <c:pt idx="5">
                  <c:v>109444000</c:v>
                </c:pt>
                <c:pt idx="6">
                  <c:v>185592000</c:v>
                </c:pt>
                <c:pt idx="7">
                  <c:v>46398000</c:v>
                </c:pt>
                <c:pt idx="8">
                  <c:v>842070000</c:v>
                </c:pt>
                <c:pt idx="9">
                  <c:v>174361875</c:v>
                </c:pt>
                <c:pt idx="10">
                  <c:v>742368000</c:v>
                </c:pt>
                <c:pt idx="11">
                  <c:v>247456000</c:v>
                </c:pt>
                <c:pt idx="12">
                  <c:v>989760000</c:v>
                </c:pt>
                <c:pt idx="13">
                  <c:v>424704000</c:v>
                </c:pt>
                <c:pt idx="14">
                  <c:v>161850000</c:v>
                </c:pt>
                <c:pt idx="15">
                  <c:v>28551000</c:v>
                </c:pt>
                <c:pt idx="16">
                  <c:v>114679200</c:v>
                </c:pt>
                <c:pt idx="17">
                  <c:v>28669800</c:v>
                </c:pt>
                <c:pt idx="18">
                  <c:v>1142208000</c:v>
                </c:pt>
                <c:pt idx="19">
                  <c:v>285552000</c:v>
                </c:pt>
                <c:pt idx="20">
                  <c:v>570984000</c:v>
                </c:pt>
                <c:pt idx="21">
                  <c:v>142746000</c:v>
                </c:pt>
                <c:pt idx="22">
                  <c:v>570984000</c:v>
                </c:pt>
                <c:pt idx="23">
                  <c:v>142746000</c:v>
                </c:pt>
                <c:pt idx="24">
                  <c:v>333132000</c:v>
                </c:pt>
                <c:pt idx="25">
                  <c:v>83283000</c:v>
                </c:pt>
              </c:numCache>
            </c:numRef>
          </c:val>
        </c:ser>
        <c:gapWidth val="100"/>
        <c:overlap val="0"/>
        <c:axId val="4828022"/>
        <c:axId val="83256711"/>
      </c:barChart>
      <c:catAx>
        <c:axId val="482802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63656962711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3256711"/>
        <c:crosses val="autoZero"/>
        <c:auto val="1"/>
        <c:lblAlgn val="ctr"/>
        <c:lblOffset val="100"/>
        <c:noMultiLvlLbl val="0"/>
      </c:catAx>
      <c:valAx>
        <c:axId val="8325671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Payroll Tax Revenue</a:t>
                </a:r>
              </a:p>
            </c:rich>
          </c:tx>
          <c:layout>
            <c:manualLayout>
              <c:xMode val="edge"/>
              <c:yMode val="edge"/>
              <c:x val="0.43257629524485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828022"/>
        <c:crosses val="max"/>
        <c:crossBetween val="midCat"/>
      </c:valAx>
      <c:spPr>
        <a:noFill/>
        <a:ln w="0">
          <a:solidFill>
            <a:srgbClr val="b3b3b3"/>
          </a:solidFill>
        </a:ln>
      </c:spPr>
    </c:plotArea>
    <c:legend>
      <c:legendPos val="r"/>
      <c:layout>
        <c:manualLayout>
          <c:xMode val="edge"/>
          <c:yMode val="edge"/>
          <c:x val="0.804310141044835"/>
          <c:y val="0.0767810546009552"/>
          <c:w val="0.170166660100075"/>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Federal Personal Payroll Tax Revenue</a:t>
            </a:r>
          </a:p>
        </c:rich>
      </c:tx>
      <c:layout>
        <c:manualLayout>
          <c:xMode val="edge"/>
          <c:yMode val="edge"/>
          <c:x val="0.260704991719896"/>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FPPTREV!$C$2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FPPTREV!$C$30:$C$55</c:f>
              <c:numCache>
                <c:formatCode>[$$-409]#,##0;\-[$$-409]#,##0</c:formatCode>
                <c:ptCount val="26"/>
                <c:pt idx="0">
                  <c:v>150000000</c:v>
                </c:pt>
                <c:pt idx="1">
                  <c:v>37500000</c:v>
                </c:pt>
                <c:pt idx="2">
                  <c:v>600000000</c:v>
                </c:pt>
                <c:pt idx="3">
                  <c:v>150000000</c:v>
                </c:pt>
                <c:pt idx="4">
                  <c:v>600000000</c:v>
                </c:pt>
                <c:pt idx="5">
                  <c:v>1500000000</c:v>
                </c:pt>
                <c:pt idx="6">
                  <c:v>87500000</c:v>
                </c:pt>
                <c:pt idx="7">
                  <c:v>350000000</c:v>
                </c:pt>
                <c:pt idx="8">
                  <c:v>60000000</c:v>
                </c:pt>
                <c:pt idx="9">
                  <c:v>150000000</c:v>
                </c:pt>
                <c:pt idx="10">
                  <c:v>32500000</c:v>
                </c:pt>
                <c:pt idx="11">
                  <c:v>130000000</c:v>
                </c:pt>
                <c:pt idx="12">
                  <c:v>137500000</c:v>
                </c:pt>
                <c:pt idx="13">
                  <c:v>550000000</c:v>
                </c:pt>
                <c:pt idx="14">
                  <c:v>37500000</c:v>
                </c:pt>
                <c:pt idx="15">
                  <c:v>150000000</c:v>
                </c:pt>
                <c:pt idx="16">
                  <c:v>52500000</c:v>
                </c:pt>
                <c:pt idx="17">
                  <c:v>210000000</c:v>
                </c:pt>
                <c:pt idx="18">
                  <c:v>25000000</c:v>
                </c:pt>
                <c:pt idx="19">
                  <c:v>100000000</c:v>
                </c:pt>
                <c:pt idx="20">
                  <c:v>47500000</c:v>
                </c:pt>
                <c:pt idx="21">
                  <c:v>190000000</c:v>
                </c:pt>
                <c:pt idx="22">
                  <c:v>115000000</c:v>
                </c:pt>
                <c:pt idx="23">
                  <c:v>460000000</c:v>
                </c:pt>
                <c:pt idx="24">
                  <c:v>150000000</c:v>
                </c:pt>
                <c:pt idx="25">
                  <c:v>600000000</c:v>
                </c:pt>
              </c:numCache>
            </c:numRef>
          </c:val>
        </c:ser>
        <c:ser>
          <c:idx val="1"/>
          <c:order val="1"/>
          <c:tx>
            <c:strRef>
              <c:f>FPPTREV!$D$2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FPPTREV!$D$30:$D$55</c:f>
              <c:numCache>
                <c:formatCode>[$$-409]#,##0;\-[$$-409]#,##0</c:formatCode>
                <c:ptCount val="26"/>
                <c:pt idx="0">
                  <c:v>5160000</c:v>
                </c:pt>
                <c:pt idx="1">
                  <c:v>1290000</c:v>
                </c:pt>
                <c:pt idx="2">
                  <c:v>20640000</c:v>
                </c:pt>
                <c:pt idx="3">
                  <c:v>5160000</c:v>
                </c:pt>
                <c:pt idx="4">
                  <c:v>20640000</c:v>
                </c:pt>
                <c:pt idx="5">
                  <c:v>51600000</c:v>
                </c:pt>
                <c:pt idx="6">
                  <c:v>3012000</c:v>
                </c:pt>
                <c:pt idx="7">
                  <c:v>12048000</c:v>
                </c:pt>
                <c:pt idx="8">
                  <c:v>2064000</c:v>
                </c:pt>
                <c:pt idx="9">
                  <c:v>5160000</c:v>
                </c:pt>
                <c:pt idx="10">
                  <c:v>1118000</c:v>
                </c:pt>
                <c:pt idx="11">
                  <c:v>4472000</c:v>
                </c:pt>
                <c:pt idx="12">
                  <c:v>4730000</c:v>
                </c:pt>
                <c:pt idx="13">
                  <c:v>18920000</c:v>
                </c:pt>
                <c:pt idx="14">
                  <c:v>1290000</c:v>
                </c:pt>
                <c:pt idx="15">
                  <c:v>5160000</c:v>
                </c:pt>
                <c:pt idx="16">
                  <c:v>1806000</c:v>
                </c:pt>
                <c:pt idx="17">
                  <c:v>7224000</c:v>
                </c:pt>
                <c:pt idx="18">
                  <c:v>860000</c:v>
                </c:pt>
                <c:pt idx="19">
                  <c:v>3440000</c:v>
                </c:pt>
                <c:pt idx="20">
                  <c:v>1634000</c:v>
                </c:pt>
                <c:pt idx="21">
                  <c:v>6536000</c:v>
                </c:pt>
                <c:pt idx="22">
                  <c:v>3960000</c:v>
                </c:pt>
                <c:pt idx="23">
                  <c:v>15840000</c:v>
                </c:pt>
                <c:pt idx="24">
                  <c:v>5160000</c:v>
                </c:pt>
                <c:pt idx="25">
                  <c:v>20640000</c:v>
                </c:pt>
              </c:numCache>
            </c:numRef>
          </c:val>
        </c:ser>
        <c:ser>
          <c:idx val="2"/>
          <c:order val="2"/>
          <c:tx>
            <c:strRef>
              <c:f>FPPTREV!$E$2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FPPTREV!$E$30:$E$55</c:f>
              <c:numCache>
                <c:formatCode>[$$-409]#,##0;\-[$$-409]#,##0</c:formatCode>
                <c:ptCount val="26"/>
                <c:pt idx="0">
                  <c:v>2064000</c:v>
                </c:pt>
                <c:pt idx="1">
                  <c:v>516000</c:v>
                </c:pt>
                <c:pt idx="2">
                  <c:v>8256000</c:v>
                </c:pt>
                <c:pt idx="3">
                  <c:v>2064000</c:v>
                </c:pt>
                <c:pt idx="4">
                  <c:v>8256000</c:v>
                </c:pt>
                <c:pt idx="5">
                  <c:v>20640000</c:v>
                </c:pt>
                <c:pt idx="6">
                  <c:v>1204800</c:v>
                </c:pt>
                <c:pt idx="7">
                  <c:v>4819200</c:v>
                </c:pt>
                <c:pt idx="8">
                  <c:v>825600</c:v>
                </c:pt>
                <c:pt idx="9">
                  <c:v>2064000</c:v>
                </c:pt>
                <c:pt idx="10">
                  <c:v>447200</c:v>
                </c:pt>
                <c:pt idx="11">
                  <c:v>1788800</c:v>
                </c:pt>
                <c:pt idx="12">
                  <c:v>1892000</c:v>
                </c:pt>
                <c:pt idx="13">
                  <c:v>7568000</c:v>
                </c:pt>
                <c:pt idx="14">
                  <c:v>516000</c:v>
                </c:pt>
                <c:pt idx="15">
                  <c:v>2064000</c:v>
                </c:pt>
                <c:pt idx="16">
                  <c:v>722400</c:v>
                </c:pt>
                <c:pt idx="17">
                  <c:v>2889600</c:v>
                </c:pt>
                <c:pt idx="18">
                  <c:v>344000</c:v>
                </c:pt>
                <c:pt idx="19">
                  <c:v>1376000</c:v>
                </c:pt>
                <c:pt idx="20">
                  <c:v>653600</c:v>
                </c:pt>
                <c:pt idx="21">
                  <c:v>2614400</c:v>
                </c:pt>
                <c:pt idx="22">
                  <c:v>1584000</c:v>
                </c:pt>
                <c:pt idx="23">
                  <c:v>6336000</c:v>
                </c:pt>
                <c:pt idx="24">
                  <c:v>2064000</c:v>
                </c:pt>
                <c:pt idx="25">
                  <c:v>8256000</c:v>
                </c:pt>
              </c:numCache>
            </c:numRef>
          </c:val>
        </c:ser>
        <c:ser>
          <c:idx val="3"/>
          <c:order val="3"/>
          <c:tx>
            <c:strRef>
              <c:f>FPPTREV!$F$2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FPPTREV!$F$30:$F$55</c:f>
              <c:numCache>
                <c:formatCode>[$$-409]#,##0;\-[$$-409]#,##0</c:formatCode>
                <c:ptCount val="26"/>
                <c:pt idx="0">
                  <c:v>142746000</c:v>
                </c:pt>
                <c:pt idx="1">
                  <c:v>35686500</c:v>
                </c:pt>
                <c:pt idx="2">
                  <c:v>570984000</c:v>
                </c:pt>
                <c:pt idx="3">
                  <c:v>142746000</c:v>
                </c:pt>
                <c:pt idx="4">
                  <c:v>570984000</c:v>
                </c:pt>
                <c:pt idx="5">
                  <c:v>1427760000</c:v>
                </c:pt>
                <c:pt idx="6">
                  <c:v>83283000</c:v>
                </c:pt>
                <c:pt idx="7">
                  <c:v>333132800</c:v>
                </c:pt>
                <c:pt idx="8">
                  <c:v>57098400</c:v>
                </c:pt>
                <c:pt idx="9">
                  <c:v>142746000</c:v>
                </c:pt>
                <c:pt idx="10">
                  <c:v>30934800</c:v>
                </c:pt>
                <c:pt idx="11">
                  <c:v>123739200</c:v>
                </c:pt>
                <c:pt idx="12">
                  <c:v>130888000</c:v>
                </c:pt>
                <c:pt idx="13">
                  <c:v>521552000</c:v>
                </c:pt>
                <c:pt idx="14">
                  <c:v>35686500</c:v>
                </c:pt>
                <c:pt idx="15">
                  <c:v>142746000</c:v>
                </c:pt>
                <c:pt idx="16">
                  <c:v>49971600</c:v>
                </c:pt>
                <c:pt idx="17">
                  <c:v>199886400</c:v>
                </c:pt>
                <c:pt idx="18">
                  <c:v>23786400</c:v>
                </c:pt>
                <c:pt idx="19">
                  <c:v>95145600</c:v>
                </c:pt>
                <c:pt idx="20">
                  <c:v>45315400</c:v>
                </c:pt>
                <c:pt idx="21">
                  <c:v>181261600</c:v>
                </c:pt>
                <c:pt idx="22">
                  <c:v>109444000</c:v>
                </c:pt>
                <c:pt idx="23">
                  <c:v>437776000</c:v>
                </c:pt>
                <c:pt idx="24">
                  <c:v>142746000</c:v>
                </c:pt>
                <c:pt idx="25">
                  <c:v>570984000</c:v>
                </c:pt>
              </c:numCache>
            </c:numRef>
          </c:val>
        </c:ser>
        <c:gapWidth val="100"/>
        <c:overlap val="0"/>
        <c:axId val="49451146"/>
        <c:axId val="35674880"/>
      </c:barChart>
      <c:catAx>
        <c:axId val="4945114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58731096990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5674880"/>
        <c:crosses val="autoZero"/>
        <c:auto val="1"/>
        <c:lblAlgn val="ctr"/>
        <c:lblOffset val="100"/>
        <c:noMultiLvlLbl val="0"/>
      </c:catAx>
      <c:valAx>
        <c:axId val="3567488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Payroll Tax Revenue</a:t>
                </a:r>
              </a:p>
            </c:rich>
          </c:tx>
          <c:layout>
            <c:manualLayout>
              <c:xMode val="edge"/>
              <c:yMode val="edge"/>
              <c:x val="0.432655153379071"/>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9451146"/>
        <c:crosses val="max"/>
        <c:crossBetween val="midCat"/>
      </c:valAx>
      <c:spPr>
        <a:noFill/>
        <a:ln w="0">
          <a:solidFill>
            <a:srgbClr val="b3b3b3"/>
          </a:solidFill>
        </a:ln>
      </c:spPr>
    </c:plotArea>
    <c:legend>
      <c:legendPos val="r"/>
      <c:layout>
        <c:manualLayout>
          <c:xMode val="edge"/>
          <c:yMode val="edge"/>
          <c:x val="0.804280983916746"/>
          <c:y val="0.0767582742316785"/>
          <c:w val="0.170142310876335"/>
          <c:h val="0.11168025217327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Earned Income Tax Credit Refund</a:t>
            </a:r>
          </a:p>
        </c:rich>
      </c:tx>
      <c:layout>
        <c:manualLayout>
          <c:xMode val="edge"/>
          <c:yMode val="edge"/>
          <c:x val="0.245130510212128"/>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EITCREF!$C$2</c:f>
              <c:strCache>
                <c:ptCount val="1"/>
                <c:pt idx="0">
                  <c:v>EITC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EITCREF!$C$4:$C$29</c:f>
              <c:numCache>
                <c:formatCode>[$$-409]#,##0;\-[$$-409]#,##0</c:formatCode>
                <c:ptCount val="26"/>
                <c:pt idx="0">
                  <c:v>5000000</c:v>
                </c:pt>
                <c:pt idx="1">
                  <c:v>1250000</c:v>
                </c:pt>
                <c:pt idx="2">
                  <c:v>12000000</c:v>
                </c:pt>
                <c:pt idx="3">
                  <c:v>3000000</c:v>
                </c:pt>
                <c:pt idx="4">
                  <c:v>30000000</c:v>
                </c:pt>
                <c:pt idx="5">
                  <c:v>7500000</c:v>
                </c:pt>
                <c:pt idx="6">
                  <c:v>8500000</c:v>
                </c:pt>
                <c:pt idx="7">
                  <c:v>2125000</c:v>
                </c:pt>
                <c:pt idx="8">
                  <c:v>40000000</c:v>
                </c:pt>
                <c:pt idx="9">
                  <c:v>3894000</c:v>
                </c:pt>
                <c:pt idx="10">
                  <c:v>28000000</c:v>
                </c:pt>
                <c:pt idx="11">
                  <c:v>9333333</c:v>
                </c:pt>
                <c:pt idx="12">
                  <c:v>60000000</c:v>
                </c:pt>
                <c:pt idx="13">
                  <c:v>25714286</c:v>
                </c:pt>
                <c:pt idx="14">
                  <c:v>7000000</c:v>
                </c:pt>
                <c:pt idx="15">
                  <c:v>1234286</c:v>
                </c:pt>
                <c:pt idx="16">
                  <c:v>2400000</c:v>
                </c:pt>
                <c:pt idx="17">
                  <c:v>600000</c:v>
                </c:pt>
                <c:pt idx="18">
                  <c:v>48000000</c:v>
                </c:pt>
                <c:pt idx="19">
                  <c:v>12000000</c:v>
                </c:pt>
                <c:pt idx="20">
                  <c:v>20000000</c:v>
                </c:pt>
                <c:pt idx="21">
                  <c:v>5000000</c:v>
                </c:pt>
                <c:pt idx="22">
                  <c:v>20000000</c:v>
                </c:pt>
                <c:pt idx="23">
                  <c:v>5000000</c:v>
                </c:pt>
                <c:pt idx="24">
                  <c:v>14000000</c:v>
                </c:pt>
                <c:pt idx="25">
                  <c:v>3500000</c:v>
                </c:pt>
              </c:numCache>
            </c:numRef>
          </c:val>
        </c:ser>
        <c:ser>
          <c:idx val="1"/>
          <c:order val="1"/>
          <c:tx>
            <c:strRef>
              <c:f>EITCREF!$D$2</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EITCREF!$D$4:$D$29</c:f>
              <c:numCache>
                <c:formatCode>[$$-409]#,##0;\-[$$-409]#,##0</c:formatCode>
                <c:ptCount val="26"/>
                <c:pt idx="0">
                  <c:v>4500000</c:v>
                </c:pt>
                <c:pt idx="1">
                  <c:v>1125000</c:v>
                </c:pt>
                <c:pt idx="2">
                  <c:v>10800000</c:v>
                </c:pt>
                <c:pt idx="3">
                  <c:v>2700000</c:v>
                </c:pt>
                <c:pt idx="4">
                  <c:v>27000000</c:v>
                </c:pt>
                <c:pt idx="5">
                  <c:v>6750000</c:v>
                </c:pt>
                <c:pt idx="6">
                  <c:v>7650000</c:v>
                </c:pt>
                <c:pt idx="7">
                  <c:v>1912500</c:v>
                </c:pt>
                <c:pt idx="8">
                  <c:v>36000000</c:v>
                </c:pt>
                <c:pt idx="9">
                  <c:v>5607</c:v>
                </c:pt>
                <c:pt idx="10">
                  <c:v>25200000</c:v>
                </c:pt>
                <c:pt idx="11">
                  <c:v>8400000</c:v>
                </c:pt>
                <c:pt idx="12">
                  <c:v>54000000</c:v>
                </c:pt>
                <c:pt idx="13">
                  <c:v>23142857</c:v>
                </c:pt>
                <c:pt idx="14">
                  <c:v>6300000</c:v>
                </c:pt>
                <c:pt idx="15">
                  <c:v>1110857</c:v>
                </c:pt>
                <c:pt idx="16">
                  <c:v>3456</c:v>
                </c:pt>
                <c:pt idx="17">
                  <c:v>864</c:v>
                </c:pt>
                <c:pt idx="18">
                  <c:v>43200000</c:v>
                </c:pt>
                <c:pt idx="19">
                  <c:v>10800000</c:v>
                </c:pt>
                <c:pt idx="20">
                  <c:v>18000000</c:v>
                </c:pt>
                <c:pt idx="21">
                  <c:v>4500000</c:v>
                </c:pt>
                <c:pt idx="22">
                  <c:v>18000000</c:v>
                </c:pt>
                <c:pt idx="23">
                  <c:v>4500000</c:v>
                </c:pt>
                <c:pt idx="24">
                  <c:v>12600000</c:v>
                </c:pt>
                <c:pt idx="25">
                  <c:v>3150000</c:v>
                </c:pt>
              </c:numCache>
            </c:numRef>
          </c:val>
        </c:ser>
        <c:ser>
          <c:idx val="2"/>
          <c:order val="2"/>
          <c:tx>
            <c:strRef>
              <c:f>EITCREF!$E$2</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EITCREF!$E$4:$E$29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EITCREF!$F$2</c:f>
              <c:strCache>
                <c:ptCount val="1"/>
                <c:pt idx="0">
                  <c:v>American Effective Tax EITC Credit Refund</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EITCREF!$F$4:$F$29</c:f>
              <c:numCache>
                <c:formatCode>[$$-409]#,##0;\-[$$-409]#,##0</c:formatCode>
                <c:ptCount val="26"/>
                <c:pt idx="0">
                  <c:v>500000</c:v>
                </c:pt>
                <c:pt idx="1">
                  <c:v>125000</c:v>
                </c:pt>
                <c:pt idx="2">
                  <c:v>1200000</c:v>
                </c:pt>
                <c:pt idx="3">
                  <c:v>300000</c:v>
                </c:pt>
                <c:pt idx="4">
                  <c:v>3000000</c:v>
                </c:pt>
                <c:pt idx="5">
                  <c:v>750000</c:v>
                </c:pt>
                <c:pt idx="6">
                  <c:v>850000</c:v>
                </c:pt>
                <c:pt idx="7">
                  <c:v>212500</c:v>
                </c:pt>
                <c:pt idx="8">
                  <c:v>4000000</c:v>
                </c:pt>
                <c:pt idx="9">
                  <c:v>295360</c:v>
                </c:pt>
                <c:pt idx="10">
                  <c:v>2800000</c:v>
                </c:pt>
                <c:pt idx="11">
                  <c:v>933333</c:v>
                </c:pt>
                <c:pt idx="12">
                  <c:v>6000000</c:v>
                </c:pt>
                <c:pt idx="13">
                  <c:v>2571429</c:v>
                </c:pt>
                <c:pt idx="14">
                  <c:v>700000</c:v>
                </c:pt>
                <c:pt idx="15">
                  <c:v>123429</c:v>
                </c:pt>
                <c:pt idx="16">
                  <c:v>186480</c:v>
                </c:pt>
                <c:pt idx="17">
                  <c:v>46620</c:v>
                </c:pt>
                <c:pt idx="18">
                  <c:v>4800000</c:v>
                </c:pt>
                <c:pt idx="19">
                  <c:v>1200000</c:v>
                </c:pt>
                <c:pt idx="20">
                  <c:v>2000000</c:v>
                </c:pt>
                <c:pt idx="21">
                  <c:v>500000</c:v>
                </c:pt>
                <c:pt idx="22">
                  <c:v>2000000</c:v>
                </c:pt>
                <c:pt idx="23">
                  <c:v>500000</c:v>
                </c:pt>
                <c:pt idx="24">
                  <c:v>1400000</c:v>
                </c:pt>
                <c:pt idx="25">
                  <c:v>350000</c:v>
                </c:pt>
              </c:numCache>
            </c:numRef>
          </c:val>
        </c:ser>
        <c:gapWidth val="100"/>
        <c:overlap val="0"/>
        <c:axId val="23307588"/>
        <c:axId val="14129936"/>
      </c:barChart>
      <c:catAx>
        <c:axId val="2330758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611940298507"/>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4129936"/>
        <c:crosses val="autoZero"/>
        <c:auto val="1"/>
        <c:lblAlgn val="ctr"/>
        <c:lblOffset val="100"/>
        <c:noMultiLvlLbl val="0"/>
      </c:catAx>
      <c:valAx>
        <c:axId val="1412993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891727781721"/>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3307588"/>
        <c:crosses val="max"/>
        <c:crossBetween val="midCat"/>
      </c:valAx>
      <c:spPr>
        <a:noFill/>
        <a:ln w="0">
          <a:solidFill>
            <a:srgbClr val="b3b3b3"/>
          </a:solidFill>
        </a:ln>
      </c:spPr>
    </c:plotArea>
    <c:legend>
      <c:legendPos val="r"/>
      <c:layout>
        <c:manualLayout>
          <c:xMode val="edge"/>
          <c:yMode val="edge"/>
          <c:x val="0.804278454083442"/>
          <c:y val="0.0767545479162051"/>
          <c:w val="0.170159955874242"/>
          <c:h val="0.1117128649500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Earned Income Tax Credit Refund</a:t>
            </a:r>
          </a:p>
        </c:rich>
      </c:tx>
      <c:layout>
        <c:manualLayout>
          <c:xMode val="edge"/>
          <c:yMode val="edge"/>
          <c:x val="0.245209368346345"/>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EITCREF!$C$2</c:f>
              <c:strCache>
                <c:ptCount val="1"/>
                <c:pt idx="0">
                  <c:v>EITC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EITCREF!$C$30:$C$55</c:f>
              <c:numCache>
                <c:formatCode>[$$-409]#,##0;\-[$$-409]#,##0</c:formatCode>
                <c:ptCount val="26"/>
                <c:pt idx="0">
                  <c:v>4000000</c:v>
                </c:pt>
                <c:pt idx="1">
                  <c:v>1000000</c:v>
                </c:pt>
                <c:pt idx="2">
                  <c:v>20000000</c:v>
                </c:pt>
                <c:pt idx="3">
                  <c:v>5000000</c:v>
                </c:pt>
                <c:pt idx="4">
                  <c:v>20000000</c:v>
                </c:pt>
                <c:pt idx="5">
                  <c:v>62500000</c:v>
                </c:pt>
                <c:pt idx="6">
                  <c:v>3500000</c:v>
                </c:pt>
                <c:pt idx="7">
                  <c:v>14000000</c:v>
                </c:pt>
                <c:pt idx="8">
                  <c:v>2000000</c:v>
                </c:pt>
                <c:pt idx="9">
                  <c:v>5000000</c:v>
                </c:pt>
                <c:pt idx="10">
                  <c:v>1000000</c:v>
                </c:pt>
                <c:pt idx="11">
                  <c:v>4000000</c:v>
                </c:pt>
                <c:pt idx="12">
                  <c:v>5500000</c:v>
                </c:pt>
                <c:pt idx="13">
                  <c:v>22000000</c:v>
                </c:pt>
                <c:pt idx="14">
                  <c:v>1000000</c:v>
                </c:pt>
                <c:pt idx="15">
                  <c:v>4000000</c:v>
                </c:pt>
                <c:pt idx="16">
                  <c:v>2000000</c:v>
                </c:pt>
                <c:pt idx="17">
                  <c:v>8000000</c:v>
                </c:pt>
                <c:pt idx="18">
                  <c:v>1000000</c:v>
                </c:pt>
                <c:pt idx="19">
                  <c:v>4000000</c:v>
                </c:pt>
                <c:pt idx="20">
                  <c:v>2500000</c:v>
                </c:pt>
                <c:pt idx="21">
                  <c:v>10000000</c:v>
                </c:pt>
                <c:pt idx="22">
                  <c:v>7500000</c:v>
                </c:pt>
                <c:pt idx="23">
                  <c:v>30000000</c:v>
                </c:pt>
                <c:pt idx="24">
                  <c:v>5000000</c:v>
                </c:pt>
                <c:pt idx="25">
                  <c:v>20000000</c:v>
                </c:pt>
              </c:numCache>
            </c:numRef>
          </c:val>
        </c:ser>
        <c:ser>
          <c:idx val="1"/>
          <c:order val="1"/>
          <c:tx>
            <c:strRef>
              <c:f>EITCREF!$D$2</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EITCREF!$D$30:$D$55</c:f>
              <c:numCache>
                <c:formatCode>[$$-409]#,##0;\-[$$-409]#,##0</c:formatCode>
                <c:ptCount val="26"/>
                <c:pt idx="0">
                  <c:v>3600000</c:v>
                </c:pt>
                <c:pt idx="1">
                  <c:v>900000</c:v>
                </c:pt>
                <c:pt idx="2">
                  <c:v>18000000</c:v>
                </c:pt>
                <c:pt idx="3">
                  <c:v>4500000</c:v>
                </c:pt>
                <c:pt idx="4">
                  <c:v>18000000</c:v>
                </c:pt>
                <c:pt idx="5">
                  <c:v>56250000</c:v>
                </c:pt>
                <c:pt idx="6">
                  <c:v>3150000</c:v>
                </c:pt>
                <c:pt idx="7">
                  <c:v>12600000</c:v>
                </c:pt>
                <c:pt idx="8">
                  <c:v>1800000</c:v>
                </c:pt>
                <c:pt idx="9">
                  <c:v>4500000</c:v>
                </c:pt>
                <c:pt idx="10">
                  <c:v>900000</c:v>
                </c:pt>
                <c:pt idx="11">
                  <c:v>3600000</c:v>
                </c:pt>
                <c:pt idx="12">
                  <c:v>4950000</c:v>
                </c:pt>
                <c:pt idx="13">
                  <c:v>19800000</c:v>
                </c:pt>
                <c:pt idx="14">
                  <c:v>900000</c:v>
                </c:pt>
                <c:pt idx="15">
                  <c:v>3600000</c:v>
                </c:pt>
                <c:pt idx="16">
                  <c:v>1800000</c:v>
                </c:pt>
                <c:pt idx="17">
                  <c:v>7200000</c:v>
                </c:pt>
                <c:pt idx="18">
                  <c:v>900000</c:v>
                </c:pt>
                <c:pt idx="19">
                  <c:v>3600000</c:v>
                </c:pt>
                <c:pt idx="20">
                  <c:v>2250000</c:v>
                </c:pt>
                <c:pt idx="21">
                  <c:v>9000000</c:v>
                </c:pt>
                <c:pt idx="22">
                  <c:v>6750000</c:v>
                </c:pt>
                <c:pt idx="23">
                  <c:v>27000000</c:v>
                </c:pt>
                <c:pt idx="24">
                  <c:v>4500000</c:v>
                </c:pt>
                <c:pt idx="25">
                  <c:v>18000000</c:v>
                </c:pt>
              </c:numCache>
            </c:numRef>
          </c:val>
        </c:ser>
        <c:ser>
          <c:idx val="2"/>
          <c:order val="2"/>
          <c:tx>
            <c:strRef>
              <c:f>EITCREF!$E$2</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EITCREF!$F$2</c:f>
              <c:strCache>
                <c:ptCount val="1"/>
                <c:pt idx="0">
                  <c:v>American Effective Tax EITC Credit Refund</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EITCREF!$F$30:$F$55</c:f>
              <c:numCache>
                <c:formatCode>[$$-409]#,##0;\-[$$-409]#,##0</c:formatCode>
                <c:ptCount val="26"/>
                <c:pt idx="0">
                  <c:v>400000</c:v>
                </c:pt>
                <c:pt idx="1">
                  <c:v>100000</c:v>
                </c:pt>
                <c:pt idx="2">
                  <c:v>2000000</c:v>
                </c:pt>
                <c:pt idx="3">
                  <c:v>500000</c:v>
                </c:pt>
                <c:pt idx="4">
                  <c:v>2000000</c:v>
                </c:pt>
                <c:pt idx="5">
                  <c:v>6250000</c:v>
                </c:pt>
                <c:pt idx="6">
                  <c:v>350000</c:v>
                </c:pt>
                <c:pt idx="7">
                  <c:v>1400000</c:v>
                </c:pt>
                <c:pt idx="8">
                  <c:v>200000</c:v>
                </c:pt>
                <c:pt idx="9">
                  <c:v>500000</c:v>
                </c:pt>
                <c:pt idx="10">
                  <c:v>100000</c:v>
                </c:pt>
                <c:pt idx="11">
                  <c:v>400000</c:v>
                </c:pt>
                <c:pt idx="12">
                  <c:v>550000</c:v>
                </c:pt>
                <c:pt idx="13">
                  <c:v>2200000</c:v>
                </c:pt>
                <c:pt idx="14">
                  <c:v>100000</c:v>
                </c:pt>
                <c:pt idx="15">
                  <c:v>400000</c:v>
                </c:pt>
                <c:pt idx="16">
                  <c:v>200000</c:v>
                </c:pt>
                <c:pt idx="17">
                  <c:v>800000</c:v>
                </c:pt>
                <c:pt idx="18">
                  <c:v>100000</c:v>
                </c:pt>
                <c:pt idx="19">
                  <c:v>400000</c:v>
                </c:pt>
                <c:pt idx="20">
                  <c:v>250000</c:v>
                </c:pt>
                <c:pt idx="21">
                  <c:v>1000000</c:v>
                </c:pt>
                <c:pt idx="22">
                  <c:v>750000</c:v>
                </c:pt>
                <c:pt idx="23">
                  <c:v>3000000</c:v>
                </c:pt>
                <c:pt idx="24">
                  <c:v>500000</c:v>
                </c:pt>
                <c:pt idx="25">
                  <c:v>2000000</c:v>
                </c:pt>
              </c:numCache>
            </c:numRef>
          </c:val>
        </c:ser>
        <c:gapWidth val="100"/>
        <c:overlap val="0"/>
        <c:axId val="43091773"/>
        <c:axId val="23641980"/>
      </c:barChart>
      <c:catAx>
        <c:axId val="4309177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56268164129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3641980"/>
        <c:crosses val="autoZero"/>
        <c:auto val="1"/>
        <c:lblAlgn val="ctr"/>
        <c:lblOffset val="100"/>
        <c:noMultiLvlLbl val="0"/>
      </c:catAx>
      <c:valAx>
        <c:axId val="23641980"/>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970585915937"/>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3091773"/>
        <c:crosses val="max"/>
        <c:crossBetween val="midCat"/>
      </c:valAx>
      <c:spPr>
        <a:noFill/>
        <a:ln w="0">
          <a:solidFill>
            <a:srgbClr val="b3b3b3"/>
          </a:solidFill>
        </a:ln>
      </c:spPr>
    </c:plotArea>
    <c:legend>
      <c:legendPos val="r"/>
      <c:layout>
        <c:manualLayout>
          <c:xMode val="edge"/>
          <c:yMode val="edge"/>
          <c:x val="0.804241564175339"/>
          <c:y val="0.0767336485421592"/>
          <c:w val="0.170142310876335"/>
          <c:h val="0.11170487846922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632205662014"/>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ACTCREF!$C$2</c:f>
              <c:strCache>
                <c:ptCount val="1"/>
                <c:pt idx="0">
                  <c:v>ACTC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ACTCREF!$C$4:$C$29</c:f>
              <c:numCache>
                <c:formatCode>[$$-409]#,##0;\-[$$-409]#,##0</c:formatCode>
                <c:ptCount val="26"/>
                <c:pt idx="0">
                  <c:v>4000000</c:v>
                </c:pt>
                <c:pt idx="1">
                  <c:v>1000000</c:v>
                </c:pt>
                <c:pt idx="2">
                  <c:v>9600000</c:v>
                </c:pt>
                <c:pt idx="3">
                  <c:v>2400000</c:v>
                </c:pt>
                <c:pt idx="4">
                  <c:v>24000000</c:v>
                </c:pt>
                <c:pt idx="5">
                  <c:v>6000000</c:v>
                </c:pt>
                <c:pt idx="6">
                  <c:v>6800000</c:v>
                </c:pt>
                <c:pt idx="7">
                  <c:v>1700000</c:v>
                </c:pt>
                <c:pt idx="8">
                  <c:v>32000000</c:v>
                </c:pt>
                <c:pt idx="9">
                  <c:v>3115200</c:v>
                </c:pt>
                <c:pt idx="10">
                  <c:v>22400000</c:v>
                </c:pt>
                <c:pt idx="11">
                  <c:v>7466667</c:v>
                </c:pt>
                <c:pt idx="12">
                  <c:v>48000000</c:v>
                </c:pt>
                <c:pt idx="13">
                  <c:v>20571429</c:v>
                </c:pt>
                <c:pt idx="14">
                  <c:v>5600000</c:v>
                </c:pt>
                <c:pt idx="15">
                  <c:v>987429</c:v>
                </c:pt>
                <c:pt idx="16">
                  <c:v>1920000</c:v>
                </c:pt>
                <c:pt idx="17">
                  <c:v>480000</c:v>
                </c:pt>
                <c:pt idx="18">
                  <c:v>38400000</c:v>
                </c:pt>
                <c:pt idx="19">
                  <c:v>9600000</c:v>
                </c:pt>
                <c:pt idx="20">
                  <c:v>16000000</c:v>
                </c:pt>
                <c:pt idx="21">
                  <c:v>4000000</c:v>
                </c:pt>
                <c:pt idx="22">
                  <c:v>16000000</c:v>
                </c:pt>
                <c:pt idx="23">
                  <c:v>4000000</c:v>
                </c:pt>
                <c:pt idx="24">
                  <c:v>11200000</c:v>
                </c:pt>
                <c:pt idx="25">
                  <c:v>2800000</c:v>
                </c:pt>
              </c:numCache>
            </c:numRef>
          </c:val>
        </c:ser>
        <c:ser>
          <c:idx val="1"/>
          <c:order val="1"/>
          <c:tx>
            <c:strRef>
              <c:f>ACTCREF!$D$2</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ACTCREF!$D$4:$D$29</c:f>
              <c:numCache>
                <c:formatCode>[$$-409]#,##0;\-[$$-409]#,##0</c:formatCode>
                <c:ptCount val="26"/>
                <c:pt idx="0">
                  <c:v>1000000</c:v>
                </c:pt>
                <c:pt idx="1">
                  <c:v>250000</c:v>
                </c:pt>
                <c:pt idx="2">
                  <c:v>2400000</c:v>
                </c:pt>
                <c:pt idx="3">
                  <c:v>600000</c:v>
                </c:pt>
                <c:pt idx="4">
                  <c:v>6000000</c:v>
                </c:pt>
                <c:pt idx="5">
                  <c:v>1500000</c:v>
                </c:pt>
                <c:pt idx="6">
                  <c:v>1700000</c:v>
                </c:pt>
                <c:pt idx="7">
                  <c:v>425000</c:v>
                </c:pt>
                <c:pt idx="8">
                  <c:v>8000000</c:v>
                </c:pt>
                <c:pt idx="9">
                  <c:v>1246</c:v>
                </c:pt>
                <c:pt idx="10">
                  <c:v>5600000</c:v>
                </c:pt>
                <c:pt idx="11">
                  <c:v>1866667</c:v>
                </c:pt>
                <c:pt idx="12">
                  <c:v>12000000</c:v>
                </c:pt>
                <c:pt idx="13">
                  <c:v>5142857</c:v>
                </c:pt>
                <c:pt idx="14">
                  <c:v>1400000</c:v>
                </c:pt>
                <c:pt idx="15">
                  <c:v>246786</c:v>
                </c:pt>
                <c:pt idx="16">
                  <c:v>6912</c:v>
                </c:pt>
                <c:pt idx="17">
                  <c:v>1728</c:v>
                </c:pt>
                <c:pt idx="18">
                  <c:v>9600000</c:v>
                </c:pt>
                <c:pt idx="19">
                  <c:v>2400000</c:v>
                </c:pt>
                <c:pt idx="20">
                  <c:v>4000000</c:v>
                </c:pt>
                <c:pt idx="21">
                  <c:v>1000000</c:v>
                </c:pt>
                <c:pt idx="22">
                  <c:v>4000000</c:v>
                </c:pt>
                <c:pt idx="23">
                  <c:v>1000000</c:v>
                </c:pt>
                <c:pt idx="24">
                  <c:v>2800000</c:v>
                </c:pt>
                <c:pt idx="25">
                  <c:v>700000</c:v>
                </c:pt>
              </c:numCache>
            </c:numRef>
          </c:val>
        </c:ser>
        <c:ser>
          <c:idx val="2"/>
          <c:order val="2"/>
          <c:tx>
            <c:strRef>
              <c:f>ACTCREF!$E$2</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ACTCREF!$E$4:$E$29</c:f>
              <c:numCache>
                <c:formatCode>[$$-409]#,##0;\-[$$-409]#,##0</c:formatCode>
                <c:ptCount val="26"/>
                <c:pt idx="0">
                  <c:v>2000000</c:v>
                </c:pt>
                <c:pt idx="1">
                  <c:v>500000</c:v>
                </c:pt>
                <c:pt idx="2">
                  <c:v>4800000</c:v>
                </c:pt>
                <c:pt idx="3">
                  <c:v>1200000</c:v>
                </c:pt>
                <c:pt idx="4">
                  <c:v>12000000</c:v>
                </c:pt>
                <c:pt idx="5">
                  <c:v>3000000</c:v>
                </c:pt>
                <c:pt idx="6">
                  <c:v>3400000</c:v>
                </c:pt>
                <c:pt idx="7">
                  <c:v>850000</c:v>
                </c:pt>
                <c:pt idx="8">
                  <c:v>16000000</c:v>
                </c:pt>
                <c:pt idx="9">
                  <c:v>3816</c:v>
                </c:pt>
                <c:pt idx="10">
                  <c:v>11200000</c:v>
                </c:pt>
                <c:pt idx="11">
                  <c:v>3733333</c:v>
                </c:pt>
                <c:pt idx="12">
                  <c:v>24000000</c:v>
                </c:pt>
                <c:pt idx="13">
                  <c:v>10285714</c:v>
                </c:pt>
                <c:pt idx="14">
                  <c:v>2800000</c:v>
                </c:pt>
                <c:pt idx="15">
                  <c:v>493571</c:v>
                </c:pt>
                <c:pt idx="16">
                  <c:v>3072</c:v>
                </c:pt>
                <c:pt idx="17">
                  <c:v>768</c:v>
                </c:pt>
                <c:pt idx="18">
                  <c:v>19200000</c:v>
                </c:pt>
                <c:pt idx="19">
                  <c:v>4800000</c:v>
                </c:pt>
                <c:pt idx="20">
                  <c:v>8000000</c:v>
                </c:pt>
                <c:pt idx="21">
                  <c:v>2000000</c:v>
                </c:pt>
                <c:pt idx="22">
                  <c:v>8000000</c:v>
                </c:pt>
                <c:pt idx="23">
                  <c:v>2000000</c:v>
                </c:pt>
                <c:pt idx="24">
                  <c:v>5600000</c:v>
                </c:pt>
                <c:pt idx="25">
                  <c:v>1400000</c:v>
                </c:pt>
              </c:numCache>
            </c:numRef>
          </c:val>
        </c:ser>
        <c:ser>
          <c:idx val="3"/>
          <c:order val="3"/>
          <c:tx>
            <c:strRef>
              <c:f>ACTCREF!$F$2</c:f>
              <c:strCache>
                <c:ptCount val="1"/>
                <c:pt idx="0">
                  <c:v>American Effective Tax ACTC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ACTCREF!$F$4:$F$29</c:f>
              <c:numCache>
                <c:formatCode>[$$-409]#,##0;\-[$$-409]#,##0</c:formatCode>
                <c:ptCount val="26"/>
                <c:pt idx="0">
                  <c:v>1000000</c:v>
                </c:pt>
                <c:pt idx="1">
                  <c:v>250000</c:v>
                </c:pt>
                <c:pt idx="2">
                  <c:v>2400000</c:v>
                </c:pt>
                <c:pt idx="3">
                  <c:v>600000</c:v>
                </c:pt>
                <c:pt idx="4">
                  <c:v>6000000</c:v>
                </c:pt>
                <c:pt idx="5">
                  <c:v>1500000</c:v>
                </c:pt>
                <c:pt idx="6">
                  <c:v>1700000</c:v>
                </c:pt>
                <c:pt idx="7">
                  <c:v>425000</c:v>
                </c:pt>
                <c:pt idx="8">
                  <c:v>8000000</c:v>
                </c:pt>
                <c:pt idx="9">
                  <c:v>590720</c:v>
                </c:pt>
                <c:pt idx="10">
                  <c:v>5600000</c:v>
                </c:pt>
                <c:pt idx="11">
                  <c:v>1866667</c:v>
                </c:pt>
                <c:pt idx="12">
                  <c:v>12000000</c:v>
                </c:pt>
                <c:pt idx="13">
                  <c:v>5142857</c:v>
                </c:pt>
                <c:pt idx="14">
                  <c:v>1400000</c:v>
                </c:pt>
                <c:pt idx="15">
                  <c:v>246786</c:v>
                </c:pt>
                <c:pt idx="16">
                  <c:v>1849536</c:v>
                </c:pt>
                <c:pt idx="17">
                  <c:v>462384</c:v>
                </c:pt>
                <c:pt idx="18">
                  <c:v>9600000</c:v>
                </c:pt>
                <c:pt idx="19">
                  <c:v>2400000</c:v>
                </c:pt>
                <c:pt idx="20">
                  <c:v>4000000</c:v>
                </c:pt>
                <c:pt idx="21">
                  <c:v>1000000</c:v>
                </c:pt>
                <c:pt idx="22">
                  <c:v>4000000</c:v>
                </c:pt>
                <c:pt idx="23">
                  <c:v>1000000</c:v>
                </c:pt>
                <c:pt idx="24">
                  <c:v>2800000</c:v>
                </c:pt>
                <c:pt idx="25">
                  <c:v>700000</c:v>
                </c:pt>
              </c:numCache>
            </c:numRef>
          </c:val>
        </c:ser>
        <c:gapWidth val="100"/>
        <c:overlap val="0"/>
        <c:axId val="59854629"/>
        <c:axId val="58253427"/>
      </c:barChart>
      <c:catAx>
        <c:axId val="5985462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48879365548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8253427"/>
        <c:crosses val="autoZero"/>
        <c:auto val="1"/>
        <c:lblAlgn val="ctr"/>
        <c:lblOffset val="100"/>
        <c:noMultiLvlLbl val="0"/>
      </c:catAx>
      <c:valAx>
        <c:axId val="5825342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19627789606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9854629"/>
        <c:crosses val="max"/>
        <c:crossBetween val="midCat"/>
      </c:valAx>
      <c:spPr>
        <a:noFill/>
        <a:ln w="0">
          <a:solidFill>
            <a:srgbClr val="b3b3b3"/>
          </a:solidFill>
        </a:ln>
      </c:spPr>
    </c:plotArea>
    <c:legend>
      <c:legendPos val="r"/>
      <c:layout>
        <c:manualLayout>
          <c:xMode val="edge"/>
          <c:yMode val="edge"/>
          <c:x val="0.804270743046253"/>
          <c:y val="0.0767318201959529"/>
          <c:w val="0.170166660100075"/>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632205662014"/>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ACTCREF!$C$2</c:f>
              <c:strCache>
                <c:ptCount val="1"/>
                <c:pt idx="0">
                  <c:v>ACTC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ACTCREF!$C$30:$C$55</c:f>
              <c:numCache>
                <c:formatCode>[$$-409]#,##0;\-[$$-409]#,##0</c:formatCode>
                <c:ptCount val="26"/>
                <c:pt idx="0">
                  <c:v>3200000</c:v>
                </c:pt>
                <c:pt idx="1">
                  <c:v>800000</c:v>
                </c:pt>
                <c:pt idx="2">
                  <c:v>16000000</c:v>
                </c:pt>
                <c:pt idx="3">
                  <c:v>4000000</c:v>
                </c:pt>
                <c:pt idx="4">
                  <c:v>16000000</c:v>
                </c:pt>
                <c:pt idx="5">
                  <c:v>50000000</c:v>
                </c:pt>
                <c:pt idx="6">
                  <c:v>2800000</c:v>
                </c:pt>
                <c:pt idx="7">
                  <c:v>11200000</c:v>
                </c:pt>
                <c:pt idx="8">
                  <c:v>1600000</c:v>
                </c:pt>
                <c:pt idx="9">
                  <c:v>4000000</c:v>
                </c:pt>
                <c:pt idx="10">
                  <c:v>800000</c:v>
                </c:pt>
                <c:pt idx="11">
                  <c:v>3200000</c:v>
                </c:pt>
                <c:pt idx="12">
                  <c:v>4400000</c:v>
                </c:pt>
                <c:pt idx="13">
                  <c:v>17600000</c:v>
                </c:pt>
                <c:pt idx="14">
                  <c:v>800000</c:v>
                </c:pt>
                <c:pt idx="15">
                  <c:v>3200000</c:v>
                </c:pt>
                <c:pt idx="16">
                  <c:v>1600000</c:v>
                </c:pt>
                <c:pt idx="17">
                  <c:v>6400000</c:v>
                </c:pt>
                <c:pt idx="18">
                  <c:v>800000</c:v>
                </c:pt>
                <c:pt idx="19">
                  <c:v>3200000</c:v>
                </c:pt>
                <c:pt idx="20">
                  <c:v>2000000</c:v>
                </c:pt>
                <c:pt idx="21">
                  <c:v>8000000</c:v>
                </c:pt>
                <c:pt idx="22">
                  <c:v>6000000</c:v>
                </c:pt>
                <c:pt idx="23">
                  <c:v>24000000</c:v>
                </c:pt>
                <c:pt idx="24">
                  <c:v>4000000</c:v>
                </c:pt>
                <c:pt idx="25">
                  <c:v>16000000</c:v>
                </c:pt>
              </c:numCache>
            </c:numRef>
          </c:val>
        </c:ser>
        <c:ser>
          <c:idx val="1"/>
          <c:order val="1"/>
          <c:tx>
            <c:strRef>
              <c:f>ACTCREF!$D$2</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ACTCREF!$D$30:$D$55</c:f>
              <c:numCache>
                <c:formatCode>[$$-409]#,##0;\-[$$-409]#,##0</c:formatCode>
                <c:ptCount val="26"/>
                <c:pt idx="0">
                  <c:v>800000</c:v>
                </c:pt>
                <c:pt idx="1">
                  <c:v>200000</c:v>
                </c:pt>
                <c:pt idx="2">
                  <c:v>4000000</c:v>
                </c:pt>
                <c:pt idx="3">
                  <c:v>1000000</c:v>
                </c:pt>
                <c:pt idx="4">
                  <c:v>4000000</c:v>
                </c:pt>
                <c:pt idx="5">
                  <c:v>12500000</c:v>
                </c:pt>
                <c:pt idx="6">
                  <c:v>700000</c:v>
                </c:pt>
                <c:pt idx="7">
                  <c:v>2800000</c:v>
                </c:pt>
                <c:pt idx="8">
                  <c:v>400000</c:v>
                </c:pt>
                <c:pt idx="9">
                  <c:v>1000000</c:v>
                </c:pt>
                <c:pt idx="10">
                  <c:v>200000</c:v>
                </c:pt>
                <c:pt idx="11">
                  <c:v>800000</c:v>
                </c:pt>
                <c:pt idx="12">
                  <c:v>1100000</c:v>
                </c:pt>
                <c:pt idx="13">
                  <c:v>4400000</c:v>
                </c:pt>
                <c:pt idx="14">
                  <c:v>200000</c:v>
                </c:pt>
                <c:pt idx="15">
                  <c:v>800000</c:v>
                </c:pt>
                <c:pt idx="16">
                  <c:v>400000</c:v>
                </c:pt>
                <c:pt idx="17">
                  <c:v>1600000</c:v>
                </c:pt>
                <c:pt idx="18">
                  <c:v>200000</c:v>
                </c:pt>
                <c:pt idx="19">
                  <c:v>800000</c:v>
                </c:pt>
                <c:pt idx="20">
                  <c:v>500000</c:v>
                </c:pt>
                <c:pt idx="21">
                  <c:v>2000000</c:v>
                </c:pt>
                <c:pt idx="22">
                  <c:v>1500000</c:v>
                </c:pt>
                <c:pt idx="23">
                  <c:v>6000000</c:v>
                </c:pt>
                <c:pt idx="24">
                  <c:v>1000000</c:v>
                </c:pt>
                <c:pt idx="25">
                  <c:v>4000000</c:v>
                </c:pt>
              </c:numCache>
            </c:numRef>
          </c:val>
        </c:ser>
        <c:ser>
          <c:idx val="2"/>
          <c:order val="2"/>
          <c:tx>
            <c:strRef>
              <c:f>ACTCREF!$E$2</c:f>
              <c:strCache>
                <c:ptCount val="1"/>
                <c:pt idx="0">
                  <c:v>Unauthorized Immigrant ACTC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ACTCREF!$E$30:$E$55</c:f>
              <c:numCache>
                <c:formatCode>[$$-409]#,##0;\-[$$-409]#,##0</c:formatCode>
                <c:ptCount val="26"/>
                <c:pt idx="0">
                  <c:v>1600000</c:v>
                </c:pt>
                <c:pt idx="1">
                  <c:v>400000</c:v>
                </c:pt>
                <c:pt idx="2">
                  <c:v>8000000</c:v>
                </c:pt>
                <c:pt idx="3">
                  <c:v>2000000</c:v>
                </c:pt>
                <c:pt idx="4">
                  <c:v>8000000</c:v>
                </c:pt>
                <c:pt idx="5">
                  <c:v>25000000</c:v>
                </c:pt>
                <c:pt idx="6">
                  <c:v>1400000</c:v>
                </c:pt>
                <c:pt idx="7">
                  <c:v>5600000</c:v>
                </c:pt>
                <c:pt idx="8">
                  <c:v>800000</c:v>
                </c:pt>
                <c:pt idx="9">
                  <c:v>2000000</c:v>
                </c:pt>
                <c:pt idx="10">
                  <c:v>400000</c:v>
                </c:pt>
                <c:pt idx="11">
                  <c:v>1600000</c:v>
                </c:pt>
                <c:pt idx="12">
                  <c:v>2200000</c:v>
                </c:pt>
                <c:pt idx="13">
                  <c:v>8800000</c:v>
                </c:pt>
                <c:pt idx="14">
                  <c:v>400000</c:v>
                </c:pt>
                <c:pt idx="15">
                  <c:v>1600000</c:v>
                </c:pt>
                <c:pt idx="16">
                  <c:v>800000</c:v>
                </c:pt>
                <c:pt idx="17">
                  <c:v>3200000</c:v>
                </c:pt>
                <c:pt idx="18">
                  <c:v>400000</c:v>
                </c:pt>
                <c:pt idx="19">
                  <c:v>1600000</c:v>
                </c:pt>
                <c:pt idx="20">
                  <c:v>1000000</c:v>
                </c:pt>
                <c:pt idx="21">
                  <c:v>4000000</c:v>
                </c:pt>
                <c:pt idx="22">
                  <c:v>3000000</c:v>
                </c:pt>
                <c:pt idx="23">
                  <c:v>12000000</c:v>
                </c:pt>
                <c:pt idx="24">
                  <c:v>2000000</c:v>
                </c:pt>
                <c:pt idx="25">
                  <c:v>8000000</c:v>
                </c:pt>
              </c:numCache>
            </c:numRef>
          </c:val>
        </c:ser>
        <c:ser>
          <c:idx val="3"/>
          <c:order val="3"/>
          <c:tx>
            <c:strRef>
              <c:f>ACTCREF!$F$2</c:f>
              <c:strCache>
                <c:ptCount val="1"/>
                <c:pt idx="0">
                  <c:v>American Effective Tax ACTC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ACTCREF!$F$30:$F$55</c:f>
              <c:numCache>
                <c:formatCode>[$$-409]#,##0;\-[$$-409]#,##0</c:formatCode>
                <c:ptCount val="26"/>
                <c:pt idx="0">
                  <c:v>800000</c:v>
                </c:pt>
                <c:pt idx="1">
                  <c:v>200000</c:v>
                </c:pt>
                <c:pt idx="2">
                  <c:v>4000000</c:v>
                </c:pt>
                <c:pt idx="3">
                  <c:v>1000000</c:v>
                </c:pt>
                <c:pt idx="4">
                  <c:v>4000000</c:v>
                </c:pt>
                <c:pt idx="5">
                  <c:v>12500000</c:v>
                </c:pt>
                <c:pt idx="6">
                  <c:v>700000</c:v>
                </c:pt>
                <c:pt idx="7">
                  <c:v>2800000</c:v>
                </c:pt>
                <c:pt idx="8">
                  <c:v>400000</c:v>
                </c:pt>
                <c:pt idx="9">
                  <c:v>1000000</c:v>
                </c:pt>
                <c:pt idx="10">
                  <c:v>200000</c:v>
                </c:pt>
                <c:pt idx="11">
                  <c:v>800000</c:v>
                </c:pt>
                <c:pt idx="12">
                  <c:v>1100000</c:v>
                </c:pt>
                <c:pt idx="13">
                  <c:v>4400000</c:v>
                </c:pt>
                <c:pt idx="14">
                  <c:v>200000</c:v>
                </c:pt>
                <c:pt idx="15">
                  <c:v>800000</c:v>
                </c:pt>
                <c:pt idx="16">
                  <c:v>400000</c:v>
                </c:pt>
                <c:pt idx="17">
                  <c:v>1600000</c:v>
                </c:pt>
                <c:pt idx="18">
                  <c:v>200000</c:v>
                </c:pt>
                <c:pt idx="19">
                  <c:v>800000</c:v>
                </c:pt>
                <c:pt idx="20">
                  <c:v>500000</c:v>
                </c:pt>
                <c:pt idx="21">
                  <c:v>2000000</c:v>
                </c:pt>
                <c:pt idx="22">
                  <c:v>1500000</c:v>
                </c:pt>
                <c:pt idx="23">
                  <c:v>6000000</c:v>
                </c:pt>
                <c:pt idx="24">
                  <c:v>1000000</c:v>
                </c:pt>
                <c:pt idx="25">
                  <c:v>4000000</c:v>
                </c:pt>
              </c:numCache>
            </c:numRef>
          </c:val>
        </c:ser>
        <c:gapWidth val="100"/>
        <c:overlap val="0"/>
        <c:axId val="15620910"/>
        <c:axId val="96318821"/>
      </c:barChart>
      <c:catAx>
        <c:axId val="15620910"/>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43953499827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6318821"/>
        <c:crosses val="autoZero"/>
        <c:auto val="1"/>
        <c:lblAlgn val="ctr"/>
        <c:lblOffset val="100"/>
        <c:noMultiLvlLbl val="0"/>
      </c:catAx>
      <c:valAx>
        <c:axId val="9631882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19627789606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5620910"/>
        <c:crosses val="max"/>
        <c:crossBetween val="midCat"/>
      </c:valAx>
      <c:spPr>
        <a:noFill/>
        <a:ln w="0">
          <a:solidFill>
            <a:srgbClr val="b3b3b3"/>
          </a:solidFill>
        </a:ln>
      </c:spPr>
    </c:plotArea>
    <c:legend>
      <c:legendPos val="r"/>
      <c:layout>
        <c:manualLayout>
          <c:xMode val="edge"/>
          <c:yMode val="edge"/>
          <c:x val="0.804241564175339"/>
          <c:y val="0.0767090228526399"/>
          <c:w val="0.170142310876335"/>
          <c:h val="0.11168025217327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711063796231"/>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AOTCREF!$C$2</c:f>
              <c:strCache>
                <c:ptCount val="1"/>
                <c:pt idx="0">
                  <c:v>AOTC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AOTCREF!$C$4:$C$29</c:f>
              <c:numCache>
                <c:formatCode>[$$-409]#,##0;\-[$$-409]#,##0</c:formatCode>
                <c:ptCount val="26"/>
                <c:pt idx="0">
                  <c:v>3000000</c:v>
                </c:pt>
                <c:pt idx="1">
                  <c:v>750000</c:v>
                </c:pt>
                <c:pt idx="2">
                  <c:v>7200000</c:v>
                </c:pt>
                <c:pt idx="3">
                  <c:v>1800000</c:v>
                </c:pt>
                <c:pt idx="4">
                  <c:v>18000000</c:v>
                </c:pt>
                <c:pt idx="5">
                  <c:v>4500000</c:v>
                </c:pt>
                <c:pt idx="6">
                  <c:v>5100000</c:v>
                </c:pt>
                <c:pt idx="7">
                  <c:v>1275000</c:v>
                </c:pt>
                <c:pt idx="8">
                  <c:v>24000000</c:v>
                </c:pt>
                <c:pt idx="9">
                  <c:v>2076800</c:v>
                </c:pt>
                <c:pt idx="10">
                  <c:v>16800000</c:v>
                </c:pt>
                <c:pt idx="11">
                  <c:v>5600000</c:v>
                </c:pt>
                <c:pt idx="12">
                  <c:v>36000000</c:v>
                </c:pt>
                <c:pt idx="13">
                  <c:v>15428571</c:v>
                </c:pt>
                <c:pt idx="14">
                  <c:v>4200000</c:v>
                </c:pt>
                <c:pt idx="15">
                  <c:v>740357</c:v>
                </c:pt>
                <c:pt idx="16">
                  <c:v>1440000</c:v>
                </c:pt>
                <c:pt idx="17">
                  <c:v>360000</c:v>
                </c:pt>
                <c:pt idx="18">
                  <c:v>28800000</c:v>
                </c:pt>
                <c:pt idx="19">
                  <c:v>7200000</c:v>
                </c:pt>
                <c:pt idx="20">
                  <c:v>12000000</c:v>
                </c:pt>
                <c:pt idx="21">
                  <c:v>3000000</c:v>
                </c:pt>
                <c:pt idx="22">
                  <c:v>12000000</c:v>
                </c:pt>
                <c:pt idx="23">
                  <c:v>3000000</c:v>
                </c:pt>
                <c:pt idx="24">
                  <c:v>8400000</c:v>
                </c:pt>
                <c:pt idx="25">
                  <c:v>2100000</c:v>
                </c:pt>
              </c:numCache>
            </c:numRef>
          </c:val>
        </c:ser>
        <c:ser>
          <c:idx val="1"/>
          <c:order val="1"/>
          <c:tx>
            <c:strRef>
              <c:f>AOTCREF!$D$2</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AOTCREF!$D$4:$D$29</c:f>
              <c:numCache>
                <c:formatCode>[$$-409]#,##0;\-[$$-409]#,##0</c:formatCode>
                <c:ptCount val="26"/>
                <c:pt idx="0">
                  <c:v>750000</c:v>
                </c:pt>
                <c:pt idx="1">
                  <c:v>187500</c:v>
                </c:pt>
                <c:pt idx="2">
                  <c:v>1800000</c:v>
                </c:pt>
                <c:pt idx="3">
                  <c:v>450000</c:v>
                </c:pt>
                <c:pt idx="4">
                  <c:v>4500000</c:v>
                </c:pt>
                <c:pt idx="5">
                  <c:v>1125000</c:v>
                </c:pt>
                <c:pt idx="6">
                  <c:v>1275000</c:v>
                </c:pt>
                <c:pt idx="7">
                  <c:v>318750</c:v>
                </c:pt>
                <c:pt idx="8">
                  <c:v>6000000</c:v>
                </c:pt>
                <c:pt idx="9">
                  <c:v>831</c:v>
                </c:pt>
                <c:pt idx="10">
                  <c:v>4200000</c:v>
                </c:pt>
                <c:pt idx="11">
                  <c:v>1400000</c:v>
                </c:pt>
                <c:pt idx="12">
                  <c:v>9000000</c:v>
                </c:pt>
                <c:pt idx="13">
                  <c:v>3857143</c:v>
                </c:pt>
                <c:pt idx="14">
                  <c:v>1050000</c:v>
                </c:pt>
                <c:pt idx="15">
                  <c:v>185089</c:v>
                </c:pt>
                <c:pt idx="16">
                  <c:v>5760</c:v>
                </c:pt>
                <c:pt idx="17">
                  <c:v>1440</c:v>
                </c:pt>
                <c:pt idx="18">
                  <c:v>7200000</c:v>
                </c:pt>
                <c:pt idx="19">
                  <c:v>1800000</c:v>
                </c:pt>
                <c:pt idx="20">
                  <c:v>3000000</c:v>
                </c:pt>
                <c:pt idx="21">
                  <c:v>750000</c:v>
                </c:pt>
                <c:pt idx="22">
                  <c:v>3000000</c:v>
                </c:pt>
                <c:pt idx="23">
                  <c:v>750000</c:v>
                </c:pt>
                <c:pt idx="24">
                  <c:v>2100000</c:v>
                </c:pt>
                <c:pt idx="25">
                  <c:v>525000</c:v>
                </c:pt>
              </c:numCache>
            </c:numRef>
          </c:val>
        </c:ser>
        <c:ser>
          <c:idx val="2"/>
          <c:order val="2"/>
          <c:tx>
            <c:strRef>
              <c:f>AOTCREF!$E$2</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AOTCREF!$E$4:$E$29</c:f>
              <c:numCache>
                <c:formatCode>[$$-409]#,##0;\-[$$-409]#,##0</c:formatCode>
                <c:ptCount val="26"/>
                <c:pt idx="0">
                  <c:v>150000</c:v>
                </c:pt>
                <c:pt idx="1">
                  <c:v>37500</c:v>
                </c:pt>
                <c:pt idx="2">
                  <c:v>360000</c:v>
                </c:pt>
                <c:pt idx="3">
                  <c:v>90000</c:v>
                </c:pt>
                <c:pt idx="4">
                  <c:v>900000</c:v>
                </c:pt>
                <c:pt idx="5">
                  <c:v>225000</c:v>
                </c:pt>
                <c:pt idx="6">
                  <c:v>255000</c:v>
                </c:pt>
                <c:pt idx="7">
                  <c:v>63750</c:v>
                </c:pt>
                <c:pt idx="8">
                  <c:v>1200000</c:v>
                </c:pt>
                <c:pt idx="9">
                  <c:v>153</c:v>
                </c:pt>
                <c:pt idx="10">
                  <c:v>840000</c:v>
                </c:pt>
                <c:pt idx="11">
                  <c:v>280000</c:v>
                </c:pt>
                <c:pt idx="12">
                  <c:v>1800000</c:v>
                </c:pt>
                <c:pt idx="13">
                  <c:v>771429</c:v>
                </c:pt>
                <c:pt idx="14">
                  <c:v>210000</c:v>
                </c:pt>
                <c:pt idx="15">
                  <c:v>37018</c:v>
                </c:pt>
                <c:pt idx="16">
                  <c:v>2304</c:v>
                </c:pt>
                <c:pt idx="17">
                  <c:v>576</c:v>
                </c:pt>
                <c:pt idx="18">
                  <c:v>1440000</c:v>
                </c:pt>
                <c:pt idx="19">
                  <c:v>360000</c:v>
                </c:pt>
                <c:pt idx="20">
                  <c:v>600000</c:v>
                </c:pt>
                <c:pt idx="21">
                  <c:v>150000</c:v>
                </c:pt>
                <c:pt idx="22">
                  <c:v>600000</c:v>
                </c:pt>
                <c:pt idx="23">
                  <c:v>150000</c:v>
                </c:pt>
                <c:pt idx="24">
                  <c:v>420000</c:v>
                </c:pt>
                <c:pt idx="25">
                  <c:v>105000</c:v>
                </c:pt>
              </c:numCache>
            </c:numRef>
          </c:val>
        </c:ser>
        <c:ser>
          <c:idx val="3"/>
          <c:order val="3"/>
          <c:tx>
            <c:strRef>
              <c:f>AOTCREF!$F$2</c:f>
              <c:strCache>
                <c:ptCount val="1"/>
                <c:pt idx="0">
                  <c:v>American Effective Tax AOTC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Agriculture:Worker</c:v>
                </c:pt>
                <c:pt idx="1">
                  <c:v>Agriculture:Support</c:v>
                </c:pt>
                <c:pt idx="2">
                  <c:v>Construction:Worker</c:v>
                </c:pt>
                <c:pt idx="3">
                  <c:v>Construction:Support</c:v>
                </c:pt>
                <c:pt idx="4">
                  <c:v>Hospitality:Worker</c:v>
                </c:pt>
                <c:pt idx="5">
                  <c:v>Hospitality:Support</c:v>
                </c:pt>
                <c:pt idx="6">
                  <c:v>Cleaning &amp; Maintenance:Worker</c:v>
                </c:pt>
                <c:pt idx="7">
                  <c:v>Cleaning &amp; Maintenance:Support</c:v>
                </c:pt>
                <c:pt idx="8">
                  <c:v>Manufacturing:Worker</c:v>
                </c:pt>
                <c:pt idx="9">
                  <c:v>Manufacturing:Support</c:v>
                </c:pt>
                <c:pt idx="10">
                  <c:v>Transportation &amp; Warehousing:Worker</c:v>
                </c:pt>
                <c:pt idx="11">
                  <c:v>Transportation &amp; Warehousing:Support</c:v>
                </c:pt>
                <c:pt idx="12">
                  <c:v>Retail Trade:Worker</c:v>
                </c:pt>
                <c:pt idx="13">
                  <c:v>Retail Trade:Support</c:v>
                </c:pt>
                <c:pt idx="14">
                  <c:v>Landscaping / Groundskeeping:Worker</c:v>
                </c:pt>
                <c:pt idx="15">
                  <c:v>Landscaping / Groundskeeping:Support</c:v>
                </c:pt>
                <c:pt idx="16">
                  <c:v>Automotive &amp; Repair:Worker</c:v>
                </c:pt>
                <c:pt idx="17">
                  <c:v>Automotive &amp; Repair:Support</c:v>
                </c:pt>
                <c:pt idx="18">
                  <c:v>Healthcare &amp; Social Assistance:Worker</c:v>
                </c:pt>
                <c:pt idx="19">
                  <c:v>Healthcare &amp; Social Assistance:Support</c:v>
                </c:pt>
                <c:pt idx="20">
                  <c:v>Professional Services:Worker</c:v>
                </c:pt>
                <c:pt idx="21">
                  <c:v>Professional Services:Support</c:v>
                </c:pt>
                <c:pt idx="22">
                  <c:v>Educational Services:Worker</c:v>
                </c:pt>
                <c:pt idx="23">
                  <c:v>Educational Services:Support</c:v>
                </c:pt>
                <c:pt idx="24">
                  <c:v>Finance &amp; Insurance:Worker</c:v>
                </c:pt>
                <c:pt idx="25">
                  <c:v>Finance &amp; Insurance:Support</c:v>
                </c:pt>
              </c:strCache>
            </c:strRef>
          </c:cat>
          <c:val>
            <c:numRef>
              <c:f>AOTCREF!$F$4:$F$29</c:f>
              <c:numCache>
                <c:formatCode>[$$-409]#,##0;\-[$$-409]#,##0</c:formatCode>
                <c:ptCount val="26"/>
                <c:pt idx="0">
                  <c:v>2100000</c:v>
                </c:pt>
                <c:pt idx="1">
                  <c:v>525000</c:v>
                </c:pt>
                <c:pt idx="2">
                  <c:v>5040000</c:v>
                </c:pt>
                <c:pt idx="3">
                  <c:v>1260000</c:v>
                </c:pt>
                <c:pt idx="4">
                  <c:v>12600000</c:v>
                </c:pt>
                <c:pt idx="5">
                  <c:v>3150000</c:v>
                </c:pt>
                <c:pt idx="6">
                  <c:v>3570000</c:v>
                </c:pt>
                <c:pt idx="7">
                  <c:v>892500</c:v>
                </c:pt>
                <c:pt idx="8">
                  <c:v>16800000</c:v>
                </c:pt>
                <c:pt idx="9">
                  <c:v>1102677</c:v>
                </c:pt>
                <c:pt idx="10">
                  <c:v>11760000</c:v>
                </c:pt>
                <c:pt idx="11">
                  <c:v>3920000</c:v>
                </c:pt>
                <c:pt idx="12">
                  <c:v>25200000</c:v>
                </c:pt>
                <c:pt idx="13">
                  <c:v>10800000</c:v>
                </c:pt>
                <c:pt idx="14">
                  <c:v>2940000</c:v>
                </c:pt>
                <c:pt idx="15">
                  <c:v>518250</c:v>
                </c:pt>
                <c:pt idx="16">
                  <c:v>1387152</c:v>
                </c:pt>
                <c:pt idx="17">
                  <c:v>346788</c:v>
                </c:pt>
                <c:pt idx="18">
                  <c:v>20160000</c:v>
                </c:pt>
                <c:pt idx="19">
                  <c:v>5040000</c:v>
                </c:pt>
                <c:pt idx="20">
                  <c:v>8400000</c:v>
                </c:pt>
                <c:pt idx="21">
                  <c:v>2100000</c:v>
                </c:pt>
                <c:pt idx="22">
                  <c:v>8400000</c:v>
                </c:pt>
                <c:pt idx="23">
                  <c:v>2100000</c:v>
                </c:pt>
                <c:pt idx="24">
                  <c:v>5880000</c:v>
                </c:pt>
                <c:pt idx="25">
                  <c:v>1470000</c:v>
                </c:pt>
              </c:numCache>
            </c:numRef>
          </c:val>
        </c:ser>
        <c:gapWidth val="100"/>
        <c:overlap val="0"/>
        <c:axId val="90928032"/>
        <c:axId val="83047561"/>
      </c:barChart>
      <c:catAx>
        <c:axId val="9092803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41490566967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3047561"/>
        <c:crosses val="autoZero"/>
        <c:auto val="1"/>
        <c:lblAlgn val="ctr"/>
        <c:lblOffset val="100"/>
        <c:noMultiLvlLbl val="0"/>
      </c:catAx>
      <c:valAx>
        <c:axId val="8304756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19627789606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0928032"/>
        <c:crosses val="max"/>
        <c:crossBetween val="midCat"/>
      </c:valAx>
      <c:spPr>
        <a:noFill/>
        <a:ln w="0">
          <a:solidFill>
            <a:srgbClr val="b3b3b3"/>
          </a:solidFill>
        </a:ln>
      </c:spPr>
    </c:plotArea>
    <c:legend>
      <c:legendPos val="r"/>
      <c:layout>
        <c:manualLayout>
          <c:xMode val="edge"/>
          <c:yMode val="edge"/>
          <c:x val="0.804270743046253"/>
          <c:y val="0.0767318201959529"/>
          <c:w val="0.17004846144754"/>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(Arkansas) – Additional Child Tax Credit Refund</a:t>
            </a:r>
          </a:p>
        </c:rich>
      </c:tx>
      <c:layout>
        <c:manualLayout>
          <c:xMode val="edge"/>
          <c:yMode val="edge"/>
          <c:x val="0.243711063796231"/>
          <c:y val="0.01137874981528"/>
        </c:manualLayout>
      </c:layout>
      <c:overlay val="0"/>
      <c:spPr>
        <a:noFill/>
        <a:ln w="0">
          <a:noFill/>
        </a:ln>
      </c:spPr>
    </c:title>
    <c:autoTitleDeleted val="0"/>
    <c:plotArea>
      <c:layout>
        <c:manualLayout>
          <c:layoutTarget val="inner"/>
          <c:xMode val="edge"/>
          <c:yMode val="edge"/>
          <c:x val="0.299148332150461"/>
          <c:y val="0.0468942416629723"/>
          <c:w val="0.470349341534579"/>
          <c:h val="0.874144130830994"/>
        </c:manualLayout>
      </c:layout>
      <c:barChart>
        <c:barDir val="bar"/>
        <c:grouping val="clustered"/>
        <c:varyColors val="0"/>
        <c:ser>
          <c:idx val="0"/>
          <c:order val="0"/>
          <c:tx>
            <c:strRef>
              <c:f>AOTCREF!$C$2</c:f>
              <c:strCache>
                <c:ptCount val="1"/>
                <c:pt idx="0">
                  <c:v>AOTC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AOTCREF!$C$30:$C$55</c:f>
              <c:numCache>
                <c:formatCode>[$$-409]#,##0;\-[$$-409]#,##0</c:formatCode>
                <c:ptCount val="26"/>
                <c:pt idx="0">
                  <c:v>2400000</c:v>
                </c:pt>
                <c:pt idx="1">
                  <c:v>600000</c:v>
                </c:pt>
                <c:pt idx="2">
                  <c:v>12000000</c:v>
                </c:pt>
                <c:pt idx="3">
                  <c:v>3000000</c:v>
                </c:pt>
                <c:pt idx="4">
                  <c:v>12000000</c:v>
                </c:pt>
                <c:pt idx="5">
                  <c:v>37500000</c:v>
                </c:pt>
                <c:pt idx="6">
                  <c:v>2100000</c:v>
                </c:pt>
                <c:pt idx="7">
                  <c:v>8400000</c:v>
                </c:pt>
                <c:pt idx="8">
                  <c:v>1200000</c:v>
                </c:pt>
                <c:pt idx="9">
                  <c:v>3000000</c:v>
                </c:pt>
                <c:pt idx="10">
                  <c:v>600000</c:v>
                </c:pt>
                <c:pt idx="11">
                  <c:v>2400000</c:v>
                </c:pt>
                <c:pt idx="12">
                  <c:v>3300000</c:v>
                </c:pt>
                <c:pt idx="13">
                  <c:v>13200000</c:v>
                </c:pt>
                <c:pt idx="14">
                  <c:v>600000</c:v>
                </c:pt>
                <c:pt idx="15">
                  <c:v>2400000</c:v>
                </c:pt>
                <c:pt idx="16">
                  <c:v>1200000</c:v>
                </c:pt>
                <c:pt idx="17">
                  <c:v>4800000</c:v>
                </c:pt>
                <c:pt idx="18">
                  <c:v>600000</c:v>
                </c:pt>
                <c:pt idx="19">
                  <c:v>2400000</c:v>
                </c:pt>
                <c:pt idx="20">
                  <c:v>1500000</c:v>
                </c:pt>
                <c:pt idx="21">
                  <c:v>6000000</c:v>
                </c:pt>
                <c:pt idx="22">
                  <c:v>4500000</c:v>
                </c:pt>
                <c:pt idx="23">
                  <c:v>18000000</c:v>
                </c:pt>
                <c:pt idx="24">
                  <c:v>3000000</c:v>
                </c:pt>
                <c:pt idx="25">
                  <c:v>12000000</c:v>
                </c:pt>
              </c:numCache>
            </c:numRef>
          </c:val>
        </c:ser>
        <c:ser>
          <c:idx val="1"/>
          <c:order val="1"/>
          <c:tx>
            <c:strRef>
              <c:f>AOTCREF!$D$2</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AOTCREF!$D$30:$D$55</c:f>
              <c:numCache>
                <c:formatCode>[$$-409]#,##0;\-[$$-409]#,##0</c:formatCode>
                <c:ptCount val="26"/>
                <c:pt idx="0">
                  <c:v>600000</c:v>
                </c:pt>
                <c:pt idx="1">
                  <c:v>150000</c:v>
                </c:pt>
                <c:pt idx="2">
                  <c:v>3000000</c:v>
                </c:pt>
                <c:pt idx="3">
                  <c:v>750000</c:v>
                </c:pt>
                <c:pt idx="4">
                  <c:v>3000000</c:v>
                </c:pt>
                <c:pt idx="5">
                  <c:v>9375000</c:v>
                </c:pt>
                <c:pt idx="6">
                  <c:v>525000</c:v>
                </c:pt>
                <c:pt idx="7">
                  <c:v>2100000</c:v>
                </c:pt>
                <c:pt idx="8">
                  <c:v>300000</c:v>
                </c:pt>
                <c:pt idx="9">
                  <c:v>750000</c:v>
                </c:pt>
                <c:pt idx="10">
                  <c:v>150000</c:v>
                </c:pt>
                <c:pt idx="11">
                  <c:v>600000</c:v>
                </c:pt>
                <c:pt idx="12">
                  <c:v>825000</c:v>
                </c:pt>
                <c:pt idx="13">
                  <c:v>3300000</c:v>
                </c:pt>
                <c:pt idx="14">
                  <c:v>150000</c:v>
                </c:pt>
                <c:pt idx="15">
                  <c:v>600000</c:v>
                </c:pt>
                <c:pt idx="16">
                  <c:v>300000</c:v>
                </c:pt>
                <c:pt idx="17">
                  <c:v>1200000</c:v>
                </c:pt>
                <c:pt idx="18">
                  <c:v>150000</c:v>
                </c:pt>
                <c:pt idx="19">
                  <c:v>600000</c:v>
                </c:pt>
                <c:pt idx="20">
                  <c:v>375000</c:v>
                </c:pt>
                <c:pt idx="21">
                  <c:v>1500000</c:v>
                </c:pt>
                <c:pt idx="22">
                  <c:v>1125000</c:v>
                </c:pt>
                <c:pt idx="23">
                  <c:v>4500000</c:v>
                </c:pt>
                <c:pt idx="24">
                  <c:v>750000</c:v>
                </c:pt>
                <c:pt idx="25">
                  <c:v>3000000</c:v>
                </c:pt>
              </c:numCache>
            </c:numRef>
          </c:val>
        </c:ser>
        <c:ser>
          <c:idx val="2"/>
          <c:order val="2"/>
          <c:tx>
            <c:strRef>
              <c:f>AOTCREF!$E$2</c:f>
              <c:strCache>
                <c:ptCount val="1"/>
                <c:pt idx="0">
                  <c:v>Unauthorized Immigrant AOTC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AOTCREF!$E$30:$E$55</c:f>
              <c:numCache>
                <c:formatCode>[$$-409]#,##0;\-[$$-409]#,##0</c:formatCode>
                <c:ptCount val="26"/>
                <c:pt idx="0">
                  <c:v>120000</c:v>
                </c:pt>
                <c:pt idx="1">
                  <c:v>30000</c:v>
                </c:pt>
                <c:pt idx="2">
                  <c:v>600000</c:v>
                </c:pt>
                <c:pt idx="3">
                  <c:v>150000</c:v>
                </c:pt>
                <c:pt idx="4">
                  <c:v>600000</c:v>
                </c:pt>
                <c:pt idx="5">
                  <c:v>1875000</c:v>
                </c:pt>
                <c:pt idx="6">
                  <c:v>105000</c:v>
                </c:pt>
                <c:pt idx="7">
                  <c:v>420000</c:v>
                </c:pt>
                <c:pt idx="8">
                  <c:v>60000</c:v>
                </c:pt>
                <c:pt idx="9">
                  <c:v>150000</c:v>
                </c:pt>
                <c:pt idx="10">
                  <c:v>30000</c:v>
                </c:pt>
                <c:pt idx="11">
                  <c:v>120000</c:v>
                </c:pt>
                <c:pt idx="12">
                  <c:v>165000</c:v>
                </c:pt>
                <c:pt idx="13">
                  <c:v>660000</c:v>
                </c:pt>
                <c:pt idx="14">
                  <c:v>30000</c:v>
                </c:pt>
                <c:pt idx="15">
                  <c:v>120000</c:v>
                </c:pt>
                <c:pt idx="16">
                  <c:v>60000</c:v>
                </c:pt>
                <c:pt idx="17">
                  <c:v>240000</c:v>
                </c:pt>
                <c:pt idx="18">
                  <c:v>30000</c:v>
                </c:pt>
                <c:pt idx="19">
                  <c:v>120000</c:v>
                </c:pt>
                <c:pt idx="20">
                  <c:v>75000</c:v>
                </c:pt>
                <c:pt idx="21">
                  <c:v>300000</c:v>
                </c:pt>
                <c:pt idx="22">
                  <c:v>225000</c:v>
                </c:pt>
                <c:pt idx="23">
                  <c:v>900000</c:v>
                </c:pt>
                <c:pt idx="24">
                  <c:v>150000</c:v>
                </c:pt>
                <c:pt idx="25">
                  <c:v>600000</c:v>
                </c:pt>
              </c:numCache>
            </c:numRef>
          </c:val>
        </c:ser>
        <c:ser>
          <c:idx val="3"/>
          <c:order val="3"/>
          <c:tx>
            <c:strRef>
              <c:f>AOTCREF!$F$2</c:f>
              <c:strCache>
                <c:ptCount val="1"/>
                <c:pt idx="0">
                  <c:v>American Effective Tax AOTC Credit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Technology:Worker</c:v>
                </c:pt>
                <c:pt idx="1">
                  <c:v>Media and Information Technology:Support</c:v>
                </c:pt>
                <c:pt idx="2">
                  <c:v>Government:Worker</c:v>
                </c:pt>
                <c:pt idx="3">
                  <c:v>Government:Support</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AOTCREF!$F$30:$F$55</c:f>
              <c:numCache>
                <c:formatCode>[$$-409]#,##0;\-[$$-409]#,##0</c:formatCode>
                <c:ptCount val="26"/>
                <c:pt idx="0">
                  <c:v>1680000</c:v>
                </c:pt>
                <c:pt idx="1">
                  <c:v>420000</c:v>
                </c:pt>
                <c:pt idx="2">
                  <c:v>8400000</c:v>
                </c:pt>
                <c:pt idx="3">
                  <c:v>2100000</c:v>
                </c:pt>
                <c:pt idx="4">
                  <c:v>8400000</c:v>
                </c:pt>
                <c:pt idx="5">
                  <c:v>26250000</c:v>
                </c:pt>
                <c:pt idx="6">
                  <c:v>1470000</c:v>
                </c:pt>
                <c:pt idx="7">
                  <c:v>5880000</c:v>
                </c:pt>
                <c:pt idx="8">
                  <c:v>840000</c:v>
                </c:pt>
                <c:pt idx="9">
                  <c:v>2100000</c:v>
                </c:pt>
                <c:pt idx="10">
                  <c:v>420000</c:v>
                </c:pt>
                <c:pt idx="11">
                  <c:v>1680000</c:v>
                </c:pt>
                <c:pt idx="12">
                  <c:v>2310000</c:v>
                </c:pt>
                <c:pt idx="13">
                  <c:v>9240000</c:v>
                </c:pt>
                <c:pt idx="14">
                  <c:v>420000</c:v>
                </c:pt>
                <c:pt idx="15">
                  <c:v>1680000</c:v>
                </c:pt>
                <c:pt idx="16">
                  <c:v>840000</c:v>
                </c:pt>
                <c:pt idx="17">
                  <c:v>3360000</c:v>
                </c:pt>
                <c:pt idx="18">
                  <c:v>420000</c:v>
                </c:pt>
                <c:pt idx="19">
                  <c:v>1680000</c:v>
                </c:pt>
                <c:pt idx="20">
                  <c:v>1050000</c:v>
                </c:pt>
                <c:pt idx="21">
                  <c:v>4200000</c:v>
                </c:pt>
                <c:pt idx="22">
                  <c:v>3150000</c:v>
                </c:pt>
                <c:pt idx="23">
                  <c:v>12600000</c:v>
                </c:pt>
                <c:pt idx="24">
                  <c:v>2100000</c:v>
                </c:pt>
                <c:pt idx="25">
                  <c:v>8400000</c:v>
                </c:pt>
              </c:numCache>
            </c:numRef>
          </c:val>
        </c:ser>
        <c:gapWidth val="100"/>
        <c:overlap val="0"/>
        <c:axId val="68344264"/>
        <c:axId val="14545356"/>
      </c:barChart>
      <c:catAx>
        <c:axId val="6834426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3705543726835"/>
              <c:y val="0.47736564701246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4545356"/>
        <c:crosses val="autoZero"/>
        <c:auto val="1"/>
        <c:lblAlgn val="ctr"/>
        <c:lblOffset val="100"/>
        <c:noMultiLvlLbl val="0"/>
      </c:catAx>
      <c:valAx>
        <c:axId val="1454535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196277896065"/>
              <c:y val="0.969336485887395"/>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8344264"/>
        <c:crosses val="max"/>
        <c:crossBetween val="midCat"/>
      </c:valAx>
      <c:spPr>
        <a:noFill/>
        <a:ln w="0">
          <a:solidFill>
            <a:srgbClr val="b3b3b3"/>
          </a:solidFill>
        </a:ln>
      </c:spPr>
    </c:plotArea>
    <c:legend>
      <c:legendPos val="r"/>
      <c:layout>
        <c:manualLayout>
          <c:xMode val="edge"/>
          <c:yMode val="edge"/>
          <c:x val="0.804241564175339"/>
          <c:y val="0.0767090228526399"/>
          <c:w val="0.170024046990184"/>
          <c:h val="0.11168025217327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6.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7.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_rels/drawing8.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
</Relationships>
</file>

<file path=xl/drawings/_rels/drawing9.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
</Relationships>
</file>

<file path=xl/drawings/_rels/drawing10.xml.rels><?xml version="1.0" encoding="UTF-8"?>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
</Relationships>
</file>

<file path=xl/drawings/_rels/drawing11.xml.rels><?xml version="1.0" encoding="UTF-8"?>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
</Relationships>
</file>

<file path=xl/drawings/_rels/drawing12.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57</xdr:row>
      <xdr:rowOff>150120</xdr:rowOff>
    </xdr:from>
    <xdr:to>
      <xdr:col>6</xdr:col>
      <xdr:colOff>1122840</xdr:colOff>
      <xdr:row>147</xdr:row>
      <xdr:rowOff>136080</xdr:rowOff>
    </xdr:to>
    <xdr:graphicFrame>
      <xdr:nvGraphicFramePr>
        <xdr:cNvPr id="1" name=""/>
        <xdr:cNvGraphicFramePr/>
      </xdr:nvGraphicFramePr>
      <xdr:xfrm>
        <a:off x="805320" y="969876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3600</xdr:colOff>
      <xdr:row>152</xdr:row>
      <xdr:rowOff>111240</xdr:rowOff>
    </xdr:from>
    <xdr:to>
      <xdr:col>6</xdr:col>
      <xdr:colOff>1134720</xdr:colOff>
      <xdr:row>242</xdr:row>
      <xdr:rowOff>97200</xdr:rowOff>
    </xdr:to>
    <xdr:graphicFrame>
      <xdr:nvGraphicFramePr>
        <xdr:cNvPr id="2" name=""/>
        <xdr:cNvGraphicFramePr/>
      </xdr:nvGraphicFramePr>
      <xdr:xfrm>
        <a:off x="817200" y="2510280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806400</xdr:colOff>
      <xdr:row>58</xdr:row>
      <xdr:rowOff>720</xdr:rowOff>
    </xdr:from>
    <xdr:to>
      <xdr:col>6</xdr:col>
      <xdr:colOff>1123200</xdr:colOff>
      <xdr:row>147</xdr:row>
      <xdr:rowOff>149400</xdr:rowOff>
    </xdr:to>
    <xdr:graphicFrame>
      <xdr:nvGraphicFramePr>
        <xdr:cNvPr id="3" name=""/>
        <xdr:cNvGraphicFramePr/>
      </xdr:nvGraphicFramePr>
      <xdr:xfrm>
        <a:off x="806400" y="984960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806040</xdr:colOff>
      <xdr:row>154</xdr:row>
      <xdr:rowOff>10800</xdr:rowOff>
    </xdr:from>
    <xdr:to>
      <xdr:col>6</xdr:col>
      <xdr:colOff>1122840</xdr:colOff>
      <xdr:row>243</xdr:row>
      <xdr:rowOff>159120</xdr:rowOff>
    </xdr:to>
    <xdr:graphicFrame>
      <xdr:nvGraphicFramePr>
        <xdr:cNvPr id="4" name=""/>
        <xdr:cNvGraphicFramePr/>
      </xdr:nvGraphicFramePr>
      <xdr:xfrm>
        <a:off x="806040" y="2546532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804960</xdr:colOff>
      <xdr:row>57</xdr:row>
      <xdr:rowOff>142920</xdr:rowOff>
    </xdr:from>
    <xdr:to>
      <xdr:col>6</xdr:col>
      <xdr:colOff>1122480</xdr:colOff>
      <xdr:row>147</xdr:row>
      <xdr:rowOff>128880</xdr:rowOff>
    </xdr:to>
    <xdr:graphicFrame>
      <xdr:nvGraphicFramePr>
        <xdr:cNvPr id="5" name=""/>
        <xdr:cNvGraphicFramePr/>
      </xdr:nvGraphicFramePr>
      <xdr:xfrm>
        <a:off x="804960" y="983376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806040</xdr:colOff>
      <xdr:row>152</xdr:row>
      <xdr:rowOff>136080</xdr:rowOff>
    </xdr:from>
    <xdr:to>
      <xdr:col>6</xdr:col>
      <xdr:colOff>1123560</xdr:colOff>
      <xdr:row>242</xdr:row>
      <xdr:rowOff>122040</xdr:rowOff>
    </xdr:to>
    <xdr:graphicFrame>
      <xdr:nvGraphicFramePr>
        <xdr:cNvPr id="6" name=""/>
        <xdr:cNvGraphicFramePr/>
      </xdr:nvGraphicFramePr>
      <xdr:xfrm>
        <a:off x="806040" y="2526984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4320</xdr:colOff>
      <xdr:row>59</xdr:row>
      <xdr:rowOff>159120</xdr:rowOff>
    </xdr:from>
    <xdr:to>
      <xdr:col>6</xdr:col>
      <xdr:colOff>1134720</xdr:colOff>
      <xdr:row>149</xdr:row>
      <xdr:rowOff>145080</xdr:rowOff>
    </xdr:to>
    <xdr:graphicFrame>
      <xdr:nvGraphicFramePr>
        <xdr:cNvPr id="7" name=""/>
        <xdr:cNvGraphicFramePr/>
      </xdr:nvGraphicFramePr>
      <xdr:xfrm>
        <a:off x="817200" y="1017504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4320</xdr:colOff>
      <xdr:row>156</xdr:row>
      <xdr:rowOff>99000</xdr:rowOff>
    </xdr:from>
    <xdr:to>
      <xdr:col>6</xdr:col>
      <xdr:colOff>1134720</xdr:colOff>
      <xdr:row>246</xdr:row>
      <xdr:rowOff>84960</xdr:rowOff>
    </xdr:to>
    <xdr:graphicFrame>
      <xdr:nvGraphicFramePr>
        <xdr:cNvPr id="8" name=""/>
        <xdr:cNvGraphicFramePr/>
      </xdr:nvGraphicFramePr>
      <xdr:xfrm>
        <a:off x="817200" y="2588328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4320</xdr:colOff>
      <xdr:row>57</xdr:row>
      <xdr:rowOff>159120</xdr:rowOff>
    </xdr:from>
    <xdr:to>
      <xdr:col>6</xdr:col>
      <xdr:colOff>1134720</xdr:colOff>
      <xdr:row>147</xdr:row>
      <xdr:rowOff>145080</xdr:rowOff>
    </xdr:to>
    <xdr:graphicFrame>
      <xdr:nvGraphicFramePr>
        <xdr:cNvPr id="9" name=""/>
        <xdr:cNvGraphicFramePr/>
      </xdr:nvGraphicFramePr>
      <xdr:xfrm>
        <a:off x="817200" y="984996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4320</xdr:colOff>
      <xdr:row>152</xdr:row>
      <xdr:rowOff>99720</xdr:rowOff>
    </xdr:from>
    <xdr:to>
      <xdr:col>6</xdr:col>
      <xdr:colOff>1134720</xdr:colOff>
      <xdr:row>242</xdr:row>
      <xdr:rowOff>85680</xdr:rowOff>
    </xdr:to>
    <xdr:graphicFrame>
      <xdr:nvGraphicFramePr>
        <xdr:cNvPr id="10" name=""/>
        <xdr:cNvGraphicFramePr/>
      </xdr:nvGraphicFramePr>
      <xdr:xfrm>
        <a:off x="817200" y="2523348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xdr:colOff>
      <xdr:row>60</xdr:row>
      <xdr:rowOff>10440</xdr:rowOff>
    </xdr:from>
    <xdr:to>
      <xdr:col>6</xdr:col>
      <xdr:colOff>1131840</xdr:colOff>
      <xdr:row>149</xdr:row>
      <xdr:rowOff>158760</xdr:rowOff>
    </xdr:to>
    <xdr:graphicFrame>
      <xdr:nvGraphicFramePr>
        <xdr:cNvPr id="11" name=""/>
        <xdr:cNvGraphicFramePr/>
      </xdr:nvGraphicFramePr>
      <xdr:xfrm>
        <a:off x="814320" y="1004652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3960</xdr:colOff>
      <xdr:row>156</xdr:row>
      <xdr:rowOff>95400</xdr:rowOff>
    </xdr:from>
    <xdr:to>
      <xdr:col>6</xdr:col>
      <xdr:colOff>1134360</xdr:colOff>
      <xdr:row>246</xdr:row>
      <xdr:rowOff>81360</xdr:rowOff>
    </xdr:to>
    <xdr:graphicFrame>
      <xdr:nvGraphicFramePr>
        <xdr:cNvPr id="12" name=""/>
        <xdr:cNvGraphicFramePr/>
      </xdr:nvGraphicFramePr>
      <xdr:xfrm>
        <a:off x="816840" y="2573748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804960</xdr:colOff>
      <xdr:row>59</xdr:row>
      <xdr:rowOff>138240</xdr:rowOff>
    </xdr:from>
    <xdr:to>
      <xdr:col>6</xdr:col>
      <xdr:colOff>1122480</xdr:colOff>
      <xdr:row>149</xdr:row>
      <xdr:rowOff>124200</xdr:rowOff>
    </xdr:to>
    <xdr:graphicFrame>
      <xdr:nvGraphicFramePr>
        <xdr:cNvPr id="13" name=""/>
        <xdr:cNvGraphicFramePr/>
      </xdr:nvGraphicFramePr>
      <xdr:xfrm>
        <a:off x="804960" y="1015416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4320</xdr:colOff>
      <xdr:row>155</xdr:row>
      <xdr:rowOff>36360</xdr:rowOff>
    </xdr:from>
    <xdr:to>
      <xdr:col>6</xdr:col>
      <xdr:colOff>1134720</xdr:colOff>
      <xdr:row>245</xdr:row>
      <xdr:rowOff>22320</xdr:rowOff>
    </xdr:to>
    <xdr:graphicFrame>
      <xdr:nvGraphicFramePr>
        <xdr:cNvPr id="14" name=""/>
        <xdr:cNvGraphicFramePr/>
      </xdr:nvGraphicFramePr>
      <xdr:xfrm>
        <a:off x="817200" y="2565792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4320</xdr:colOff>
      <xdr:row>61</xdr:row>
      <xdr:rowOff>-360</xdr:rowOff>
    </xdr:from>
    <xdr:to>
      <xdr:col>6</xdr:col>
      <xdr:colOff>1134720</xdr:colOff>
      <xdr:row>150</xdr:row>
      <xdr:rowOff>148320</xdr:rowOff>
    </xdr:to>
    <xdr:graphicFrame>
      <xdr:nvGraphicFramePr>
        <xdr:cNvPr id="15" name=""/>
        <xdr:cNvGraphicFramePr/>
      </xdr:nvGraphicFramePr>
      <xdr:xfrm>
        <a:off x="817200" y="1034064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4320</xdr:colOff>
      <xdr:row>157</xdr:row>
      <xdr:rowOff>36360</xdr:rowOff>
    </xdr:from>
    <xdr:to>
      <xdr:col>6</xdr:col>
      <xdr:colOff>1134720</xdr:colOff>
      <xdr:row>247</xdr:row>
      <xdr:rowOff>22320</xdr:rowOff>
    </xdr:to>
    <xdr:graphicFrame>
      <xdr:nvGraphicFramePr>
        <xdr:cNvPr id="16" name=""/>
        <xdr:cNvGraphicFramePr/>
      </xdr:nvGraphicFramePr>
      <xdr:xfrm>
        <a:off x="817200" y="2598300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804960</xdr:colOff>
      <xdr:row>58</xdr:row>
      <xdr:rowOff>143280</xdr:rowOff>
    </xdr:from>
    <xdr:to>
      <xdr:col>7</xdr:col>
      <xdr:colOff>260640</xdr:colOff>
      <xdr:row>148</xdr:row>
      <xdr:rowOff>129240</xdr:rowOff>
    </xdr:to>
    <xdr:graphicFrame>
      <xdr:nvGraphicFramePr>
        <xdr:cNvPr id="17" name=""/>
        <xdr:cNvGraphicFramePr/>
      </xdr:nvGraphicFramePr>
      <xdr:xfrm>
        <a:off x="804960" y="1013688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4320</xdr:colOff>
      <xdr:row>155</xdr:row>
      <xdr:rowOff>32400</xdr:rowOff>
    </xdr:from>
    <xdr:to>
      <xdr:col>7</xdr:col>
      <xdr:colOff>272880</xdr:colOff>
      <xdr:row>245</xdr:row>
      <xdr:rowOff>18360</xdr:rowOff>
    </xdr:to>
    <xdr:graphicFrame>
      <xdr:nvGraphicFramePr>
        <xdr:cNvPr id="18" name=""/>
        <xdr:cNvGraphicFramePr/>
      </xdr:nvGraphicFramePr>
      <xdr:xfrm>
        <a:off x="817200" y="2579436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4320</xdr:colOff>
      <xdr:row>60</xdr:row>
      <xdr:rowOff>140760</xdr:rowOff>
    </xdr:from>
    <xdr:to>
      <xdr:col>7</xdr:col>
      <xdr:colOff>272880</xdr:colOff>
      <xdr:row>150</xdr:row>
      <xdr:rowOff>126720</xdr:rowOff>
    </xdr:to>
    <xdr:graphicFrame>
      <xdr:nvGraphicFramePr>
        <xdr:cNvPr id="19" name=""/>
        <xdr:cNvGraphicFramePr/>
      </xdr:nvGraphicFramePr>
      <xdr:xfrm>
        <a:off x="979560" y="1031724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xdr:colOff>
      <xdr:row>157</xdr:row>
      <xdr:rowOff>30960</xdr:rowOff>
    </xdr:from>
    <xdr:to>
      <xdr:col>7</xdr:col>
      <xdr:colOff>268920</xdr:colOff>
      <xdr:row>247</xdr:row>
      <xdr:rowOff>16920</xdr:rowOff>
    </xdr:to>
    <xdr:graphicFrame>
      <xdr:nvGraphicFramePr>
        <xdr:cNvPr id="20" name=""/>
        <xdr:cNvGraphicFramePr/>
      </xdr:nvGraphicFramePr>
      <xdr:xfrm>
        <a:off x="975600" y="2597580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971640</xdr:colOff>
      <xdr:row>60</xdr:row>
      <xdr:rowOff>139680</xdr:rowOff>
    </xdr:from>
    <xdr:to>
      <xdr:col>7</xdr:col>
      <xdr:colOff>264960</xdr:colOff>
      <xdr:row>150</xdr:row>
      <xdr:rowOff>125640</xdr:rowOff>
    </xdr:to>
    <xdr:graphicFrame>
      <xdr:nvGraphicFramePr>
        <xdr:cNvPr id="21" name=""/>
        <xdr:cNvGraphicFramePr/>
      </xdr:nvGraphicFramePr>
      <xdr:xfrm>
        <a:off x="971640" y="1031616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xdr:colOff>
      <xdr:row>156</xdr:row>
      <xdr:rowOff>30960</xdr:rowOff>
    </xdr:from>
    <xdr:to>
      <xdr:col>7</xdr:col>
      <xdr:colOff>268920</xdr:colOff>
      <xdr:row>246</xdr:row>
      <xdr:rowOff>16920</xdr:rowOff>
    </xdr:to>
    <xdr:graphicFrame>
      <xdr:nvGraphicFramePr>
        <xdr:cNvPr id="22" name=""/>
        <xdr:cNvGraphicFramePr/>
      </xdr:nvGraphicFramePr>
      <xdr:xfrm>
        <a:off x="975600" y="2581308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971640</xdr:colOff>
      <xdr:row>60</xdr:row>
      <xdr:rowOff>11880</xdr:rowOff>
    </xdr:from>
    <xdr:to>
      <xdr:col>7</xdr:col>
      <xdr:colOff>264960</xdr:colOff>
      <xdr:row>149</xdr:row>
      <xdr:rowOff>160200</xdr:rowOff>
    </xdr:to>
    <xdr:graphicFrame>
      <xdr:nvGraphicFramePr>
        <xdr:cNvPr id="23" name=""/>
        <xdr:cNvGraphicFramePr/>
      </xdr:nvGraphicFramePr>
      <xdr:xfrm>
        <a:off x="971640" y="10188360"/>
        <a:ext cx="9129960" cy="1461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xdr:colOff>
      <xdr:row>156</xdr:row>
      <xdr:rowOff>78120</xdr:rowOff>
    </xdr:from>
    <xdr:to>
      <xdr:col>7</xdr:col>
      <xdr:colOff>268920</xdr:colOff>
      <xdr:row>246</xdr:row>
      <xdr:rowOff>64080</xdr:rowOff>
    </xdr:to>
    <xdr:graphicFrame>
      <xdr:nvGraphicFramePr>
        <xdr:cNvPr id="24" name=""/>
        <xdr:cNvGraphicFramePr/>
      </xdr:nvGraphicFramePr>
      <xdr:xfrm>
        <a:off x="975600" y="25860240"/>
        <a:ext cx="9129960" cy="1461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5.xml.rels><?xml version="1.0" encoding="UTF-8"?>
<Relationships xmlns="http://schemas.openxmlformats.org/package/2006/relationships"><Relationship Id="rId1" Type="http://schemas.openxmlformats.org/officeDocument/2006/relationships/drawing" Target="../drawings/drawing10.xml"/>
</Relationships>
</file>

<file path=xl/worksheets/_rels/sheet16.xml.rels><?xml version="1.0" encoding="UTF-8"?>
<Relationships xmlns="http://schemas.openxmlformats.org/package/2006/relationships"><Relationship Id="rId1" Type="http://schemas.openxmlformats.org/officeDocument/2006/relationships/drawing" Target="../drawings/drawing11.xml"/>
</Relationships>
</file>

<file path=xl/worksheets/_rels/sheet17.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DK110"/>
  <sheetViews>
    <sheetView showFormulas="false" showGridLines="true" showRowColHeaders="true" showZeros="true" rightToLeft="false" tabSelected="false" showOutlineSymbols="true" defaultGridColor="true" view="normal" topLeftCell="A95" colorId="64" zoomScale="75" zoomScaleNormal="75" zoomScalePageLayoutView="100" workbookViewId="0">
      <selection pane="topLeft" activeCell="C108" activeCellId="1" sqref="155:249 C108"/>
    </sheetView>
  </sheetViews>
  <sheetFormatPr defaultColWidth="11.53515625" defaultRowHeight="12.8" customHeight="false" zeroHeight="false" outlineLevelRow="1" outlineLevelCol="0"/>
  <cols>
    <col collapsed="false" customWidth="true" hidden="false" outlineLevel="0" max="1" min="1" style="1" width="23.07"/>
    <col collapsed="false" customWidth="true" hidden="false" outlineLevel="0" max="2" min="2" style="2" width="50.73"/>
    <col collapsed="false" customWidth="true" hidden="false" outlineLevel="0" max="3" min="3" style="2" width="32.28"/>
    <col collapsed="false" customWidth="true" hidden="false" outlineLevel="0" max="4" min="4" style="2" width="6.93"/>
    <col collapsed="false" customWidth="false" hidden="false" outlineLevel="0" max="16384" min="5" style="2" width="11.53"/>
  </cols>
  <sheetData>
    <row r="1" customFormat="false" ht="12.8" hidden="false" customHeight="false" outlineLevel="0" collapsed="false">
      <c r="A1" s="3" t="s">
        <v>0</v>
      </c>
      <c r="B1" s="4" t="s">
        <v>1</v>
      </c>
      <c r="C1" s="5" t="s">
        <v>2</v>
      </c>
      <c r="D1" s="4"/>
    </row>
    <row r="2" customFormat="false" ht="12.8" hidden="false" customHeight="false" outlineLevel="1" collapsed="false">
      <c r="A2" s="3" t="s">
        <v>3</v>
      </c>
      <c r="B2" s="4" t="s">
        <v>4</v>
      </c>
      <c r="C2" s="4" t="s">
        <v>5</v>
      </c>
      <c r="D2" s="6"/>
    </row>
    <row r="3" customFormat="false" ht="12.8" hidden="false" customHeight="false" outlineLevel="1" collapsed="false">
      <c r="A3" s="7" t="e">
        <f aca="false">#REF!</f>
        <v>#REF!</v>
      </c>
      <c r="B3" s="7" t="e">
        <f aca="false">#REF!</f>
        <v>#REF!</v>
      </c>
      <c r="C3" s="7" t="e">
        <f aca="false">#REF!</f>
        <v>#REF!</v>
      </c>
      <c r="D3" s="8"/>
    </row>
    <row r="4" customFormat="false" ht="12.8" hidden="false" customHeight="false" outlineLevel="1" collapsed="false">
      <c r="A4" s="9" t="e">
        <f aca="false">#REF!</f>
        <v>#REF!</v>
      </c>
      <c r="B4" s="9" t="e">
        <f aca="false">#REF!</f>
        <v>#REF!</v>
      </c>
      <c r="C4" s="9" t="e">
        <f aca="false">#REF!</f>
        <v>#REF!</v>
      </c>
      <c r="D4" s="8"/>
    </row>
    <row r="5" customFormat="false" ht="12.8" hidden="false" customHeight="false" outlineLevel="1" collapsed="false">
      <c r="A5" s="10" t="str">
        <f aca="false">CALC!A1</f>
        <v>LSD.RID.0.AR.CALC</v>
      </c>
      <c r="B5" s="10" t="str">
        <f aca="false">CALC!B1</f>
        <v>Arkansas Labor Statistic Calculations</v>
      </c>
      <c r="C5" s="10" t="str">
        <f aca="false">CALC!C1</f>
        <v>December 2025</v>
      </c>
      <c r="D5" s="8"/>
    </row>
    <row r="6" customFormat="false" ht="12.8" hidden="false" customHeight="false" outlineLevel="1" collapsed="false">
      <c r="A6" s="11" t="str">
        <f aca="false">VALID!A1</f>
        <v>LSD.RID.0.AR.VALID</v>
      </c>
      <c r="B6" s="11" t="str">
        <f aca="false">VALID!B1</f>
        <v>Arkansas Labor Statistic Calculation Validation</v>
      </c>
      <c r="C6" s="11" t="str">
        <f aca="false">VALID!C1</f>
        <v>December 2025</v>
      </c>
      <c r="D6" s="8"/>
    </row>
    <row r="7" customFormat="false" ht="12.8" hidden="false" customHeight="false" outlineLevel="1" collapsed="false">
      <c r="A7" s="12" t="str">
        <f aca="false">LFP!A1</f>
        <v>LSD.RID.0.AR.LFP</v>
      </c>
      <c r="B7" s="12" t="str">
        <f aca="false">LFP!B1</f>
        <v>Arkansas Labor Force Population (LFP)</v>
      </c>
      <c r="C7" s="12" t="str">
        <f aca="false">LFP!C1</f>
        <v>December 2025</v>
      </c>
      <c r="D7" s="8"/>
    </row>
    <row r="8" customFormat="false" ht="12.8" hidden="false" customHeight="false" outlineLevel="1" collapsed="false">
      <c r="A8" s="13" t="str">
        <f aca="false">ETPR!A1</f>
        <v>LSD.RID.0.AR.ETPR</v>
      </c>
      <c r="B8" s="13" t="str">
        <f aca="false">ETPR!B1</f>
        <v>Arkansas Employment-to-Population Ratio (ETPR)</v>
      </c>
      <c r="C8" s="13" t="str">
        <f aca="false">ETPR!C1</f>
        <v>December 2025</v>
      </c>
      <c r="D8" s="8"/>
    </row>
    <row r="9" customFormat="false" ht="12.8" hidden="false" customHeight="false" outlineLevel="1" collapsed="false">
      <c r="A9" s="14" t="str">
        <f aca="false">LFPR!A1</f>
        <v>LSD.RID.0.AR.LFPR</v>
      </c>
      <c r="B9" s="14" t="str">
        <f aca="false">LFPR!B1</f>
        <v>Arkansas Labor Force Participation Rate (LFPR)</v>
      </c>
      <c r="C9" s="14" t="str">
        <f aca="false">LFPR!C1</f>
        <v>December 2025</v>
      </c>
      <c r="D9" s="8"/>
    </row>
    <row r="10" customFormat="false" ht="12.8" hidden="false" customHeight="false" outlineLevel="1" collapsed="false">
      <c r="A10" s="15" t="str">
        <f aca="false">U3R!A1</f>
        <v>LSD.RID.0.AR.U3R</v>
      </c>
      <c r="B10" s="15" t="str">
        <f aca="false">U3R!B1</f>
        <v>Arkansas Unemployment Rate (U3R)</v>
      </c>
      <c r="C10" s="15" t="str">
        <f aca="false">U3R!C1</f>
        <v>December 2025</v>
      </c>
      <c r="D10" s="8"/>
    </row>
    <row r="11" customFormat="false" ht="12.8" hidden="false" customHeight="false" outlineLevel="1" collapsed="false">
      <c r="A11" s="16" t="str">
        <f aca="false">U6R!A1</f>
        <v>LSD.RID.0.AR.U6R</v>
      </c>
      <c r="B11" s="16" t="str">
        <f aca="false">U6R!B1</f>
        <v>Arkansas Underemployment Rate (U6R)</v>
      </c>
      <c r="C11" s="16" t="str">
        <f aca="false">U6R!C1</f>
        <v>December 2025</v>
      </c>
      <c r="D11" s="8"/>
    </row>
    <row r="12" customFormat="false" ht="12.8" hidden="false" customHeight="false" outlineLevel="1" collapsed="false">
      <c r="A12" s="17" t="str">
        <f aca="false">WAVG!A1</f>
        <v>LSD.RID.0.AR.WAVG</v>
      </c>
      <c r="B12" s="17" t="str">
        <f aca="false">WAVG!B1</f>
        <v>Arkansas Wage Average (WAVG)</v>
      </c>
      <c r="C12" s="17" t="str">
        <f aca="false">WAVG!C1</f>
        <v>December 2025</v>
      </c>
      <c r="D12" s="8"/>
    </row>
    <row r="13" customFormat="false" ht="12.8" hidden="false" customHeight="false" outlineLevel="1" collapsed="false">
      <c r="A13" s="18" t="str">
        <f aca="false">AIAVG!A1</f>
        <v>LSD.RID.0.AR.AIAVG</v>
      </c>
      <c r="B13" s="18" t="str">
        <f aca="false">AIAVG!B1</f>
        <v>Arkansas Annual Income Average (AIAVG)</v>
      </c>
      <c r="C13" s="18" t="str">
        <f aca="false">AIAVG!C1</f>
        <v>December 2025</v>
      </c>
      <c r="D13" s="8"/>
    </row>
    <row r="14" customFormat="false" ht="12.8" hidden="false" customHeight="false" outlineLevel="1" collapsed="false">
      <c r="A14" s="19" t="str">
        <f aca="false">FPITREV!A1</f>
        <v>LSD.RID.0.AR.FPITREV</v>
      </c>
      <c r="B14" s="19" t="str">
        <f aca="false">FPITREV!B1</f>
        <v>Arkansas Federal Personal Income Tax Revenue (FPITREV)</v>
      </c>
      <c r="C14" s="19" t="str">
        <f aca="false">FPITREV!C1</f>
        <v>December 2025</v>
      </c>
      <c r="D14" s="8"/>
    </row>
    <row r="15" customFormat="false" ht="12.8" hidden="false" customHeight="false" outlineLevel="1" collapsed="false">
      <c r="A15" s="20" t="str">
        <f aca="false">FPPTREV!A1</f>
        <v>LSD.RID.0.AR.FPPTR</v>
      </c>
      <c r="B15" s="20" t="str">
        <f aca="false">FPPTREV!B1</f>
        <v>Arkansas Federal Personal Payrol Tax Revenue</v>
      </c>
      <c r="C15" s="20" t="str">
        <f aca="false">FPPTREV!C1</f>
        <v>December 2025</v>
      </c>
      <c r="D15" s="8"/>
    </row>
    <row r="16" customFormat="false" ht="12.8" hidden="false" customHeight="false" outlineLevel="1" collapsed="false">
      <c r="A16" s="21" t="str">
        <f aca="false">EITCREF!A1</f>
        <v>LSD.RID.0.AR.EITCREF</v>
      </c>
      <c r="B16" s="21" t="str">
        <f aca="false">EITCREF!B1</f>
        <v>Arkansas Earned Income Tax Credit Refund</v>
      </c>
      <c r="C16" s="21" t="str">
        <f aca="false">EITCREF!C1</f>
        <v>December 2025</v>
      </c>
      <c r="D16" s="8"/>
    </row>
    <row r="17" customFormat="false" ht="12.8" hidden="false" customHeight="false" outlineLevel="1" collapsed="false">
      <c r="A17" s="22" t="str">
        <f aca="false">ACTCREF!A1</f>
        <v>LSD.RID.0.AR.ACTCREF</v>
      </c>
      <c r="B17" s="22" t="str">
        <f aca="false">ACTCREF!B1</f>
        <v>Arkansas Additional Child Tax Credit Refund</v>
      </c>
      <c r="C17" s="22" t="str">
        <f aca="false">ACTCREF!C1</f>
        <v>December 2025</v>
      </c>
      <c r="D17" s="8"/>
    </row>
    <row r="18" customFormat="false" ht="12.8" hidden="false" customHeight="false" outlineLevel="1" collapsed="false">
      <c r="A18" s="11" t="str">
        <f aca="false">AOTCREF!A1</f>
        <v>LSD.RID.0.AR.AOTCREF</v>
      </c>
      <c r="B18" s="11" t="str">
        <f aca="false">AOTCREF!B1</f>
        <v>Arkansas American Opportunity Tax Credit Refund</v>
      </c>
      <c r="C18" s="11" t="str">
        <f aca="false">AOTCREF!C1</f>
        <v>December 2025</v>
      </c>
      <c r="D18" s="8"/>
    </row>
    <row r="19" customFormat="false" ht="12.8" hidden="false" customHeight="false" outlineLevel="0" collapsed="false">
      <c r="A19" s="8"/>
      <c r="B19" s="8"/>
      <c r="C19" s="8"/>
      <c r="D19" s="8"/>
    </row>
    <row r="20" customFormat="false" ht="12.8" hidden="false" customHeight="false" outlineLevel="0" collapsed="false">
      <c r="A20" s="3" t="s">
        <v>6</v>
      </c>
      <c r="B20" s="6" t="s">
        <v>7</v>
      </c>
      <c r="C20" s="6" t="s">
        <v>8</v>
      </c>
    </row>
    <row r="21" customFormat="false" ht="12.8" hidden="true" customHeight="false" outlineLevel="1" collapsed="false">
      <c r="A21" s="3" t="s">
        <v>9</v>
      </c>
      <c r="B21" s="6" t="s">
        <v>10</v>
      </c>
      <c r="C21" s="6" t="s">
        <v>11</v>
      </c>
    </row>
    <row r="22" customFormat="false" ht="12.8" hidden="true" customHeight="false" outlineLevel="1" collapsed="false">
      <c r="A22" s="23" t="s">
        <v>12</v>
      </c>
      <c r="B22" s="2" t="s">
        <v>13</v>
      </c>
      <c r="C22" s="2" t="s">
        <v>14</v>
      </c>
    </row>
    <row r="23" customFormat="false" ht="12.8" hidden="true" customHeight="false" outlineLevel="1" collapsed="false">
      <c r="A23" s="23" t="s">
        <v>15</v>
      </c>
      <c r="B23" s="2" t="s">
        <v>16</v>
      </c>
      <c r="C23" s="2" t="s">
        <v>17</v>
      </c>
    </row>
    <row r="24" customFormat="false" ht="12.8" hidden="true" customHeight="false" outlineLevel="1" collapsed="false">
      <c r="A24" s="23" t="s">
        <v>18</v>
      </c>
      <c r="B24" s="2" t="s">
        <v>19</v>
      </c>
      <c r="C24" s="2" t="s">
        <v>20</v>
      </c>
    </row>
    <row r="25" customFormat="false" ht="12.8" hidden="true" customHeight="false" outlineLevel="1" collapsed="false">
      <c r="A25" s="23" t="s">
        <v>21</v>
      </c>
      <c r="B25" s="2" t="s">
        <v>22</v>
      </c>
      <c r="C25" s="2" t="s">
        <v>23</v>
      </c>
    </row>
    <row r="26" customFormat="false" ht="12.8" hidden="true" customHeight="false" outlineLevel="1" collapsed="false">
      <c r="A26" s="23" t="s">
        <v>24</v>
      </c>
      <c r="B26" s="2" t="s">
        <v>25</v>
      </c>
      <c r="C26" s="2" t="s">
        <v>26</v>
      </c>
    </row>
    <row r="27" customFormat="false" ht="12.8" hidden="true" customHeight="false" outlineLevel="1" collapsed="false">
      <c r="A27" s="23" t="s">
        <v>27</v>
      </c>
      <c r="B27" s="2" t="s">
        <v>28</v>
      </c>
      <c r="C27" s="2" t="s">
        <v>29</v>
      </c>
    </row>
    <row r="28" customFormat="false" ht="12.8" hidden="true" customHeight="false" outlineLevel="1" collapsed="false">
      <c r="A28" s="23" t="s">
        <v>30</v>
      </c>
      <c r="B28" s="2" t="s">
        <v>13</v>
      </c>
      <c r="C28" s="2" t="s">
        <v>14</v>
      </c>
    </row>
    <row r="29" customFormat="false" ht="12.8" hidden="true" customHeight="false" outlineLevel="1" collapsed="false">
      <c r="A29" s="23" t="s">
        <v>31</v>
      </c>
      <c r="B29" s="2" t="s">
        <v>32</v>
      </c>
      <c r="C29" s="2" t="s">
        <v>33</v>
      </c>
    </row>
    <row r="30" customFormat="false" ht="12.8" hidden="true" customHeight="false" outlineLevel="1" collapsed="false">
      <c r="A30" s="23" t="s">
        <v>34</v>
      </c>
      <c r="B30" s="2" t="s">
        <v>35</v>
      </c>
      <c r="C30" s="2" t="s">
        <v>36</v>
      </c>
    </row>
    <row r="31" customFormat="false" ht="12.8" hidden="true" customHeight="false" outlineLevel="1" collapsed="false">
      <c r="A31" s="23" t="s">
        <v>37</v>
      </c>
      <c r="B31" s="2" t="s">
        <v>38</v>
      </c>
      <c r="C31" s="2" t="s">
        <v>39</v>
      </c>
    </row>
    <row r="32" customFormat="false" ht="12.8" hidden="true" customHeight="false" outlineLevel="1" collapsed="false">
      <c r="A32" s="23" t="s">
        <v>40</v>
      </c>
      <c r="B32" s="2" t="s">
        <v>41</v>
      </c>
      <c r="C32" s="2" t="s">
        <v>42</v>
      </c>
    </row>
    <row r="33" customFormat="false" ht="12.8" hidden="true" customHeight="false" outlineLevel="1" collapsed="false">
      <c r="A33" s="23" t="s">
        <v>43</v>
      </c>
      <c r="B33" s="2" t="s">
        <v>44</v>
      </c>
      <c r="C33" s="2" t="s">
        <v>45</v>
      </c>
    </row>
    <row r="34" customFormat="false" ht="12.8" hidden="true" customHeight="false" outlineLevel="1" collapsed="false">
      <c r="A34" s="23" t="s">
        <v>46</v>
      </c>
      <c r="B34" s="2" t="s">
        <v>47</v>
      </c>
      <c r="C34" s="2" t="s">
        <v>48</v>
      </c>
    </row>
    <row r="35" customFormat="false" ht="12.8" hidden="true" customHeight="false" outlineLevel="1" collapsed="false">
      <c r="A35" s="23" t="s">
        <v>49</v>
      </c>
      <c r="B35" s="2" t="s">
        <v>50</v>
      </c>
      <c r="C35" s="2" t="s">
        <v>51</v>
      </c>
    </row>
    <row r="36" customFormat="false" ht="12.8" hidden="true" customHeight="false" outlineLevel="1" collapsed="false">
      <c r="A36" s="23" t="s">
        <v>52</v>
      </c>
      <c r="B36" s="2" t="s">
        <v>53</v>
      </c>
      <c r="C36" s="2" t="s">
        <v>54</v>
      </c>
    </row>
    <row r="37" customFormat="false" ht="12.8" hidden="true" customHeight="false" outlineLevel="1" collapsed="false">
      <c r="A37" s="23" t="s">
        <v>55</v>
      </c>
      <c r="B37" s="2" t="s">
        <v>56</v>
      </c>
      <c r="C37" s="2" t="s">
        <v>57</v>
      </c>
    </row>
    <row r="38" customFormat="false" ht="12.8" hidden="true" customHeight="false" outlineLevel="1" collapsed="false">
      <c r="A38" s="23" t="s">
        <v>58</v>
      </c>
      <c r="B38" s="2" t="s">
        <v>59</v>
      </c>
      <c r="C38" s="2" t="s">
        <v>60</v>
      </c>
    </row>
    <row r="39" customFormat="false" ht="12.8" hidden="true" customHeight="false" outlineLevel="1" collapsed="false">
      <c r="A39" s="23" t="s">
        <v>61</v>
      </c>
      <c r="B39" s="2" t="s">
        <v>62</v>
      </c>
      <c r="C39" s="2" t="s">
        <v>63</v>
      </c>
    </row>
    <row r="40" customFormat="false" ht="12.8" hidden="true" customHeight="false" outlineLevel="1" collapsed="false">
      <c r="A40" s="23" t="s">
        <v>64</v>
      </c>
      <c r="B40" s="2" t="s">
        <v>65</v>
      </c>
      <c r="C40" s="2" t="s">
        <v>66</v>
      </c>
    </row>
    <row r="41" customFormat="false" ht="12.8" hidden="true" customHeight="false" outlineLevel="1" collapsed="false">
      <c r="A41" s="23" t="s">
        <v>67</v>
      </c>
      <c r="B41" s="2" t="s">
        <v>68</v>
      </c>
      <c r="C41" s="2" t="s">
        <v>69</v>
      </c>
    </row>
    <row r="42" customFormat="false" ht="12.8" hidden="true" customHeight="false" outlineLevel="1" collapsed="false">
      <c r="A42" s="23" t="s">
        <v>70</v>
      </c>
      <c r="B42" s="2" t="s">
        <v>71</v>
      </c>
      <c r="C42" s="2" t="s">
        <v>72</v>
      </c>
    </row>
    <row r="43" customFormat="false" ht="12.8" hidden="true" customHeight="false" outlineLevel="1" collapsed="false">
      <c r="A43" s="23" t="s">
        <v>73</v>
      </c>
      <c r="B43" s="2" t="s">
        <v>74</v>
      </c>
      <c r="C43" s="2" t="s">
        <v>75</v>
      </c>
    </row>
    <row r="44" customFormat="false" ht="12.8" hidden="true" customHeight="false" outlineLevel="1" collapsed="false">
      <c r="A44" s="23" t="s">
        <v>76</v>
      </c>
      <c r="B44" s="2" t="s">
        <v>77</v>
      </c>
      <c r="C44" s="2" t="s">
        <v>78</v>
      </c>
    </row>
    <row r="46" customFormat="false" ht="12.8" hidden="false" customHeight="false" outlineLevel="0" collapsed="false">
      <c r="A46" s="3" t="s">
        <v>79</v>
      </c>
      <c r="B46" s="6" t="s">
        <v>80</v>
      </c>
    </row>
    <row r="47" customFormat="false" ht="12.8" hidden="false" customHeight="false" outlineLevel="1" collapsed="false">
      <c r="A47" s="4" t="s">
        <v>81</v>
      </c>
      <c r="B47" s="4"/>
      <c r="C47" s="4"/>
      <c r="D47" s="4" t="s">
        <v>82</v>
      </c>
      <c r="E47" s="4"/>
      <c r="F47" s="4"/>
      <c r="G47" s="4"/>
      <c r="H47" s="4" t="s">
        <v>83</v>
      </c>
      <c r="I47" s="4"/>
      <c r="J47" s="4"/>
      <c r="K47" s="4"/>
      <c r="L47" s="4" t="s">
        <v>84</v>
      </c>
      <c r="M47" s="4"/>
      <c r="N47" s="4"/>
      <c r="O47" s="4"/>
      <c r="P47" s="4" t="s">
        <v>85</v>
      </c>
      <c r="Q47" s="4"/>
      <c r="R47" s="4"/>
      <c r="S47" s="4"/>
      <c r="T47" s="4" t="s">
        <v>86</v>
      </c>
      <c r="U47" s="4"/>
      <c r="V47" s="4"/>
      <c r="W47" s="4"/>
      <c r="X47" s="4" t="s">
        <v>87</v>
      </c>
      <c r="Y47" s="4"/>
      <c r="Z47" s="4"/>
      <c r="AA47" s="4" t="s">
        <v>88</v>
      </c>
      <c r="AB47" s="4"/>
      <c r="AC47" s="4"/>
      <c r="AD47" s="4" t="s">
        <v>89</v>
      </c>
      <c r="AE47" s="4"/>
      <c r="AF47" s="4"/>
      <c r="AG47" s="4" t="s">
        <v>90</v>
      </c>
      <c r="AH47" s="4"/>
      <c r="AI47" s="4"/>
      <c r="AJ47" s="4" t="s">
        <v>91</v>
      </c>
      <c r="AK47" s="4"/>
      <c r="AL47" s="4"/>
      <c r="AM47" s="4" t="s">
        <v>92</v>
      </c>
      <c r="AN47" s="4"/>
      <c r="AO47" s="4"/>
      <c r="AP47" s="4" t="s">
        <v>93</v>
      </c>
      <c r="AQ47" s="4"/>
      <c r="AR47" s="4"/>
      <c r="AS47" s="4" t="s">
        <v>94</v>
      </c>
      <c r="AT47" s="4"/>
      <c r="AU47" s="4"/>
      <c r="AV47" s="4" t="s">
        <v>95</v>
      </c>
      <c r="AW47" s="4"/>
      <c r="AX47" s="4"/>
      <c r="AY47" s="4"/>
      <c r="AZ47" s="4" t="s">
        <v>96</v>
      </c>
      <c r="BA47" s="4"/>
      <c r="BB47" s="4"/>
      <c r="BC47" s="4"/>
      <c r="BD47" s="4" t="s">
        <v>97</v>
      </c>
      <c r="BE47" s="4"/>
      <c r="BF47" s="4"/>
      <c r="BG47" s="4"/>
      <c r="BH47" s="4" t="s">
        <v>98</v>
      </c>
      <c r="BI47" s="4"/>
      <c r="BJ47" s="4"/>
      <c r="BK47" s="4"/>
      <c r="BL47" s="4" t="s">
        <v>65</v>
      </c>
      <c r="BM47" s="4"/>
      <c r="BN47" s="4"/>
      <c r="BO47" s="4"/>
      <c r="BP47" s="24" t="s">
        <v>99</v>
      </c>
      <c r="BQ47" s="24"/>
      <c r="BR47" s="24"/>
      <c r="BS47" s="24"/>
      <c r="BT47" s="24" t="s">
        <v>100</v>
      </c>
      <c r="BU47" s="24"/>
      <c r="BV47" s="24"/>
      <c r="BW47" s="24"/>
      <c r="BX47" s="24" t="s">
        <v>101</v>
      </c>
      <c r="BY47" s="24"/>
      <c r="BZ47" s="24"/>
      <c r="CA47" s="24"/>
      <c r="CB47" s="24" t="s">
        <v>102</v>
      </c>
      <c r="CC47" s="24"/>
      <c r="CD47" s="24"/>
      <c r="CE47" s="24"/>
      <c r="CF47" s="24" t="s">
        <v>103</v>
      </c>
      <c r="CG47" s="24"/>
      <c r="CH47" s="24"/>
      <c r="CI47" s="24"/>
      <c r="CJ47" s="24" t="s">
        <v>104</v>
      </c>
      <c r="CK47" s="24"/>
      <c r="CL47" s="24"/>
      <c r="CM47" s="24"/>
      <c r="CN47" s="24" t="s">
        <v>105</v>
      </c>
      <c r="CO47" s="24"/>
      <c r="CP47" s="24"/>
      <c r="CQ47" s="24"/>
      <c r="CR47" s="24" t="s">
        <v>106</v>
      </c>
      <c r="CS47" s="24"/>
      <c r="CT47" s="24"/>
      <c r="CU47" s="24"/>
      <c r="CV47" s="24" t="s">
        <v>107</v>
      </c>
      <c r="CW47" s="24"/>
      <c r="CX47" s="24"/>
      <c r="CY47" s="24"/>
      <c r="CZ47" s="24" t="s">
        <v>108</v>
      </c>
      <c r="DA47" s="24"/>
      <c r="DB47" s="24"/>
      <c r="DC47" s="24"/>
      <c r="DD47" s="24" t="s">
        <v>109</v>
      </c>
      <c r="DE47" s="24"/>
      <c r="DF47" s="24"/>
      <c r="DG47" s="24"/>
      <c r="DH47" s="24"/>
      <c r="DI47" s="24"/>
      <c r="DJ47" s="24"/>
      <c r="DK47" s="24"/>
    </row>
    <row r="48" customFormat="false" ht="68.65" hidden="false" customHeight="false" outlineLevel="1" collapsed="false">
      <c r="A48" s="25" t="s">
        <v>110</v>
      </c>
      <c r="B48" s="26" t="s">
        <v>81</v>
      </c>
      <c r="C48" s="26" t="s">
        <v>111</v>
      </c>
      <c r="D48" s="27" t="s">
        <v>33</v>
      </c>
      <c r="E48" s="27" t="s">
        <v>112</v>
      </c>
      <c r="F48" s="27" t="s">
        <v>113</v>
      </c>
      <c r="G48" s="27" t="s">
        <v>114</v>
      </c>
      <c r="H48" s="28" t="s">
        <v>36</v>
      </c>
      <c r="I48" s="29" t="s">
        <v>115</v>
      </c>
      <c r="J48" s="29" t="s">
        <v>116</v>
      </c>
      <c r="K48" s="29" t="s">
        <v>117</v>
      </c>
      <c r="L48" s="30" t="s">
        <v>84</v>
      </c>
      <c r="M48" s="30" t="s">
        <v>118</v>
      </c>
      <c r="N48" s="30" t="s">
        <v>119</v>
      </c>
      <c r="O48" s="30" t="s">
        <v>120</v>
      </c>
      <c r="P48" s="31" t="s">
        <v>42</v>
      </c>
      <c r="Q48" s="31" t="s">
        <v>121</v>
      </c>
      <c r="R48" s="31" t="s">
        <v>122</v>
      </c>
      <c r="S48" s="31" t="s">
        <v>123</v>
      </c>
      <c r="T48" s="31" t="s">
        <v>45</v>
      </c>
      <c r="U48" s="31" t="s">
        <v>124</v>
      </c>
      <c r="V48" s="31" t="s">
        <v>125</v>
      </c>
      <c r="W48" s="31" t="s">
        <v>126</v>
      </c>
      <c r="X48" s="31" t="s">
        <v>127</v>
      </c>
      <c r="Y48" s="31" t="s">
        <v>128</v>
      </c>
      <c r="Z48" s="31" t="s">
        <v>129</v>
      </c>
      <c r="AA48" s="32" t="s">
        <v>130</v>
      </c>
      <c r="AB48" s="32" t="s">
        <v>131</v>
      </c>
      <c r="AC48" s="32" t="s">
        <v>132</v>
      </c>
      <c r="AD48" s="33" t="s">
        <v>133</v>
      </c>
      <c r="AE48" s="33" t="s">
        <v>134</v>
      </c>
      <c r="AF48" s="33" t="s">
        <v>135</v>
      </c>
      <c r="AG48" s="32" t="s">
        <v>136</v>
      </c>
      <c r="AH48" s="32" t="s">
        <v>137</v>
      </c>
      <c r="AI48" s="32" t="s">
        <v>138</v>
      </c>
      <c r="AJ48" s="33" t="s">
        <v>139</v>
      </c>
      <c r="AK48" s="33" t="s">
        <v>140</v>
      </c>
      <c r="AL48" s="33" t="s">
        <v>141</v>
      </c>
      <c r="AM48" s="32" t="s">
        <v>142</v>
      </c>
      <c r="AN48" s="32" t="s">
        <v>143</v>
      </c>
      <c r="AO48" s="32" t="s">
        <v>144</v>
      </c>
      <c r="AP48" s="33" t="s">
        <v>145</v>
      </c>
      <c r="AQ48" s="33" t="s">
        <v>146</v>
      </c>
      <c r="AR48" s="33" t="s">
        <v>147</v>
      </c>
      <c r="AS48" s="32" t="s">
        <v>148</v>
      </c>
      <c r="AT48" s="32" t="s">
        <v>149</v>
      </c>
      <c r="AU48" s="32" t="s">
        <v>150</v>
      </c>
      <c r="AV48" s="32" t="s">
        <v>151</v>
      </c>
      <c r="AW48" s="32" t="s">
        <v>152</v>
      </c>
      <c r="AX48" s="32" t="s">
        <v>153</v>
      </c>
      <c r="AY48" s="32" t="s">
        <v>154</v>
      </c>
      <c r="AZ48" s="32" t="s">
        <v>155</v>
      </c>
      <c r="BA48" s="32" t="s">
        <v>156</v>
      </c>
      <c r="BB48" s="32" t="s">
        <v>157</v>
      </c>
      <c r="BC48" s="32" t="s">
        <v>158</v>
      </c>
      <c r="BD48" s="30" t="s">
        <v>159</v>
      </c>
      <c r="BE48" s="30" t="s">
        <v>160</v>
      </c>
      <c r="BF48" s="30" t="s">
        <v>161</v>
      </c>
      <c r="BG48" s="30" t="s">
        <v>162</v>
      </c>
      <c r="BH48" s="30" t="s">
        <v>163</v>
      </c>
      <c r="BI48" s="30" t="s">
        <v>164</v>
      </c>
      <c r="BJ48" s="30" t="s">
        <v>165</v>
      </c>
      <c r="BK48" s="30" t="s">
        <v>166</v>
      </c>
      <c r="BL48" s="30" t="s">
        <v>167</v>
      </c>
      <c r="BM48" s="30" t="s">
        <v>168</v>
      </c>
      <c r="BN48" s="30" t="s">
        <v>169</v>
      </c>
      <c r="BO48" s="30" t="s">
        <v>170</v>
      </c>
      <c r="BP48" s="23" t="s">
        <v>171</v>
      </c>
      <c r="BQ48" s="23" t="s">
        <v>172</v>
      </c>
      <c r="BR48" s="23" t="s">
        <v>173</v>
      </c>
      <c r="BS48" s="23" t="s">
        <v>174</v>
      </c>
      <c r="BT48" s="23" t="s">
        <v>175</v>
      </c>
      <c r="BU48" s="23" t="s">
        <v>176</v>
      </c>
      <c r="BV48" s="23" t="s">
        <v>177</v>
      </c>
      <c r="BW48" s="23" t="s">
        <v>178</v>
      </c>
      <c r="BX48" s="23" t="s">
        <v>179</v>
      </c>
      <c r="BY48" s="23" t="s">
        <v>180</v>
      </c>
      <c r="BZ48" s="23" t="s">
        <v>181</v>
      </c>
      <c r="CA48" s="23" t="s">
        <v>182</v>
      </c>
      <c r="CB48" s="23" t="s">
        <v>183</v>
      </c>
      <c r="CC48" s="23" t="s">
        <v>184</v>
      </c>
      <c r="CD48" s="23" t="s">
        <v>185</v>
      </c>
      <c r="CE48" s="23" t="s">
        <v>186</v>
      </c>
      <c r="CF48" s="23" t="s">
        <v>187</v>
      </c>
      <c r="CG48" s="23" t="s">
        <v>188</v>
      </c>
      <c r="CH48" s="23" t="s">
        <v>189</v>
      </c>
      <c r="CI48" s="23" t="s">
        <v>190</v>
      </c>
      <c r="CJ48" s="23" t="s">
        <v>191</v>
      </c>
      <c r="CK48" s="23" t="s">
        <v>192</v>
      </c>
      <c r="CL48" s="23" t="s">
        <v>193</v>
      </c>
      <c r="CM48" s="23" t="s">
        <v>194</v>
      </c>
      <c r="CN48" s="23" t="s">
        <v>195</v>
      </c>
      <c r="CO48" s="23" t="s">
        <v>196</v>
      </c>
      <c r="CP48" s="23" t="s">
        <v>197</v>
      </c>
      <c r="CQ48" s="23" t="s">
        <v>198</v>
      </c>
      <c r="CR48" s="23" t="s">
        <v>199</v>
      </c>
      <c r="CS48" s="23" t="s">
        <v>200</v>
      </c>
      <c r="CT48" s="23" t="s">
        <v>201</v>
      </c>
      <c r="CU48" s="23" t="s">
        <v>202</v>
      </c>
      <c r="CV48" s="23" t="s">
        <v>203</v>
      </c>
      <c r="CW48" s="23" t="s">
        <v>204</v>
      </c>
      <c r="CX48" s="23" t="s">
        <v>205</v>
      </c>
      <c r="CY48" s="23" t="s">
        <v>206</v>
      </c>
      <c r="CZ48" s="23" t="s">
        <v>207</v>
      </c>
      <c r="DA48" s="23" t="s">
        <v>208</v>
      </c>
      <c r="DB48" s="23" t="s">
        <v>209</v>
      </c>
      <c r="DC48" s="23" t="s">
        <v>210</v>
      </c>
      <c r="DD48" s="23" t="s">
        <v>211</v>
      </c>
      <c r="DE48" s="23" t="s">
        <v>212</v>
      </c>
      <c r="DF48" s="23" t="s">
        <v>213</v>
      </c>
      <c r="DG48" s="23" t="s">
        <v>214</v>
      </c>
      <c r="DH48" s="23" t="s">
        <v>215</v>
      </c>
      <c r="DI48" s="23" t="s">
        <v>216</v>
      </c>
      <c r="DJ48" s="23" t="s">
        <v>217</v>
      </c>
      <c r="DK48" s="23" t="s">
        <v>218</v>
      </c>
    </row>
    <row r="49" customFormat="false" ht="12.8" hidden="false" customHeight="false" outlineLevel="0" collapsed="false">
      <c r="A49" s="34"/>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row>
    <row r="50" customFormat="false" ht="12.8" hidden="false" customHeight="false" outlineLevel="0" collapsed="false">
      <c r="A50" s="3" t="s">
        <v>219</v>
      </c>
      <c r="B50" s="6" t="s">
        <v>220</v>
      </c>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row>
    <row r="51" customFormat="false" ht="12.8" hidden="false" customHeight="false" outlineLevel="1" collapsed="false">
      <c r="A51" s="25" t="s">
        <v>110</v>
      </c>
      <c r="B51" s="26" t="s">
        <v>81</v>
      </c>
      <c r="C51" s="35" t="s">
        <v>221</v>
      </c>
      <c r="D51" s="35"/>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row>
    <row r="52" customFormat="false" ht="12.8" hidden="false" customHeight="false" outlineLevel="1" collapsed="false">
      <c r="A52" s="8" t="n">
        <v>0</v>
      </c>
      <c r="B52" s="35" t="s">
        <v>222</v>
      </c>
      <c r="C52" s="23" t="s">
        <v>223</v>
      </c>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row>
    <row r="53" customFormat="false" ht="12.8" hidden="false" customHeight="false" outlineLevel="1" collapsed="false">
      <c r="A53" s="34" t="n">
        <v>1</v>
      </c>
      <c r="B53" s="23" t="s">
        <v>224</v>
      </c>
      <c r="C53" s="23" t="s">
        <v>225</v>
      </c>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row>
    <row r="54" customFormat="false" ht="12.8" hidden="false" customHeight="false" outlineLevel="1" collapsed="false">
      <c r="A54" s="34" t="n">
        <v>2</v>
      </c>
      <c r="B54" s="23" t="s">
        <v>224</v>
      </c>
      <c r="C54" s="23" t="s">
        <v>223</v>
      </c>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row>
    <row r="55" customFormat="false" ht="12.8" hidden="false" customHeight="false" outlineLevel="1" collapsed="false">
      <c r="A55" s="34" t="n">
        <v>3</v>
      </c>
      <c r="B55" s="23" t="s">
        <v>226</v>
      </c>
      <c r="C55" s="23" t="s">
        <v>225</v>
      </c>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row>
    <row r="56" customFormat="false" ht="12.8" hidden="false" customHeight="false" outlineLevel="1" collapsed="false">
      <c r="A56" s="34" t="n">
        <v>4</v>
      </c>
      <c r="B56" s="23" t="s">
        <v>226</v>
      </c>
      <c r="C56" s="23" t="s">
        <v>223</v>
      </c>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row>
    <row r="57" customFormat="false" ht="12.8" hidden="false" customHeight="false" outlineLevel="1" collapsed="false">
      <c r="A57" s="34" t="n">
        <v>5</v>
      </c>
      <c r="B57" s="23" t="s">
        <v>227</v>
      </c>
      <c r="C57" s="23" t="s">
        <v>225</v>
      </c>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row>
    <row r="58" customFormat="false" ht="12.8" hidden="false" customHeight="false" outlineLevel="1" collapsed="false">
      <c r="A58" s="34" t="n">
        <v>6</v>
      </c>
      <c r="B58" s="23" t="s">
        <v>227</v>
      </c>
      <c r="C58" s="23" t="s">
        <v>223</v>
      </c>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row>
    <row r="59" customFormat="false" ht="12.8" hidden="false" customHeight="false" outlineLevel="1" collapsed="false">
      <c r="A59" s="34" t="n">
        <v>7</v>
      </c>
      <c r="B59" s="23" t="s">
        <v>228</v>
      </c>
      <c r="C59" s="23" t="s">
        <v>225</v>
      </c>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row>
    <row r="60" customFormat="false" ht="12.8" hidden="false" customHeight="false" outlineLevel="1" collapsed="false">
      <c r="A60" s="34" t="n">
        <v>8</v>
      </c>
      <c r="B60" s="23" t="s">
        <v>228</v>
      </c>
      <c r="C60" s="23" t="s">
        <v>223</v>
      </c>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row>
    <row r="61" customFormat="false" ht="12.8" hidden="false" customHeight="false" outlineLevel="1" collapsed="false">
      <c r="A61" s="34" t="n">
        <v>9</v>
      </c>
      <c r="B61" s="23" t="s">
        <v>229</v>
      </c>
      <c r="C61" s="23" t="s">
        <v>225</v>
      </c>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row>
    <row r="62" customFormat="false" ht="12.8" hidden="false" customHeight="false" outlineLevel="1" collapsed="false">
      <c r="A62" s="34" t="n">
        <v>10</v>
      </c>
      <c r="B62" s="23" t="s">
        <v>229</v>
      </c>
      <c r="C62" s="23" t="s">
        <v>223</v>
      </c>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row>
    <row r="63" customFormat="false" ht="12.8" hidden="false" customHeight="false" outlineLevel="1" collapsed="false">
      <c r="A63" s="34" t="n">
        <v>11</v>
      </c>
      <c r="B63" s="23" t="s">
        <v>230</v>
      </c>
      <c r="C63" s="23" t="s">
        <v>225</v>
      </c>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row>
    <row r="64" customFormat="false" ht="12.8" hidden="false" customHeight="false" outlineLevel="1" collapsed="false">
      <c r="A64" s="34" t="n">
        <v>12</v>
      </c>
      <c r="B64" s="23" t="s">
        <v>230</v>
      </c>
      <c r="C64" s="23" t="s">
        <v>223</v>
      </c>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row>
    <row r="65" customFormat="false" ht="12.8" hidden="false" customHeight="false" outlineLevel="1" collapsed="false">
      <c r="A65" s="34" t="n">
        <v>13</v>
      </c>
      <c r="B65" s="23" t="s">
        <v>231</v>
      </c>
      <c r="C65" s="23" t="s">
        <v>225</v>
      </c>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row>
    <row r="66" customFormat="false" ht="12.8" hidden="false" customHeight="false" outlineLevel="1" collapsed="false">
      <c r="A66" s="34" t="n">
        <v>14</v>
      </c>
      <c r="B66" s="23" t="s">
        <v>231</v>
      </c>
      <c r="C66" s="23" t="s">
        <v>223</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row>
    <row r="67" customFormat="false" ht="12.8" hidden="false" customHeight="false" outlineLevel="1" collapsed="false">
      <c r="A67" s="34" t="n">
        <v>15</v>
      </c>
      <c r="B67" s="23" t="s">
        <v>232</v>
      </c>
      <c r="C67" s="23" t="s">
        <v>225</v>
      </c>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row>
    <row r="68" customFormat="false" ht="12.8" hidden="false" customHeight="false" outlineLevel="1" collapsed="false">
      <c r="A68" s="34" t="n">
        <v>16</v>
      </c>
      <c r="B68" s="23" t="s">
        <v>232</v>
      </c>
      <c r="C68" s="23" t="s">
        <v>223</v>
      </c>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row>
    <row r="69" customFormat="false" ht="12.8" hidden="false" customHeight="false" outlineLevel="1" collapsed="false">
      <c r="A69" s="34" t="n">
        <v>17</v>
      </c>
      <c r="B69" s="23" t="s">
        <v>233</v>
      </c>
      <c r="C69" s="23" t="s">
        <v>225</v>
      </c>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row>
    <row r="70" customFormat="false" ht="12.8" hidden="false" customHeight="false" outlineLevel="1" collapsed="false">
      <c r="A70" s="34" t="n">
        <v>18</v>
      </c>
      <c r="B70" s="23" t="s">
        <v>233</v>
      </c>
      <c r="C70" s="23" t="s">
        <v>223</v>
      </c>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row>
    <row r="71" customFormat="false" ht="12.8" hidden="false" customHeight="false" outlineLevel="1" collapsed="false">
      <c r="A71" s="34" t="n">
        <v>19</v>
      </c>
      <c r="B71" s="23" t="s">
        <v>234</v>
      </c>
      <c r="C71" s="23" t="s">
        <v>225</v>
      </c>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row>
    <row r="72" customFormat="false" ht="12.8" hidden="false" customHeight="false" outlineLevel="1" collapsed="false">
      <c r="A72" s="34" t="n">
        <v>20</v>
      </c>
      <c r="B72" s="23" t="s">
        <v>234</v>
      </c>
      <c r="C72" s="23" t="s">
        <v>223</v>
      </c>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row>
    <row r="73" customFormat="false" ht="12.8" hidden="false" customHeight="false" outlineLevel="1" collapsed="false">
      <c r="A73" s="34" t="n">
        <v>21</v>
      </c>
      <c r="B73" s="23" t="s">
        <v>235</v>
      </c>
      <c r="C73" s="23" t="s">
        <v>225</v>
      </c>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row>
    <row r="74" customFormat="false" ht="12.8" hidden="false" customHeight="false" outlineLevel="1" collapsed="false">
      <c r="A74" s="34" t="n">
        <v>22</v>
      </c>
      <c r="B74" s="23" t="s">
        <v>235</v>
      </c>
      <c r="C74" s="23" t="s">
        <v>223</v>
      </c>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row>
    <row r="75" customFormat="false" ht="12.8" hidden="false" customHeight="false" outlineLevel="1" collapsed="false">
      <c r="A75" s="34" t="n">
        <v>23</v>
      </c>
      <c r="B75" s="23" t="s">
        <v>236</v>
      </c>
      <c r="C75" s="23" t="s">
        <v>225</v>
      </c>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row>
    <row r="76" customFormat="false" ht="12.8" hidden="false" customHeight="false" outlineLevel="1" collapsed="false">
      <c r="A76" s="34" t="n">
        <v>24</v>
      </c>
      <c r="B76" s="23" t="s">
        <v>236</v>
      </c>
      <c r="C76" s="23" t="s">
        <v>223</v>
      </c>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row>
    <row r="77" customFormat="false" ht="12.8" hidden="false" customHeight="false" outlineLevel="1" collapsed="false">
      <c r="A77" s="34" t="n">
        <v>25</v>
      </c>
      <c r="B77" s="23" t="s">
        <v>237</v>
      </c>
      <c r="C77" s="23" t="s">
        <v>225</v>
      </c>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row>
    <row r="78" customFormat="false" ht="12.8" hidden="false" customHeight="false" outlineLevel="1" collapsed="false">
      <c r="A78" s="34" t="n">
        <v>26</v>
      </c>
      <c r="B78" s="23" t="s">
        <v>237</v>
      </c>
      <c r="C78" s="23" t="s">
        <v>223</v>
      </c>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row>
    <row r="79" customFormat="false" ht="12.8" hidden="false" customHeight="false" outlineLevel="1" collapsed="false">
      <c r="A79" s="34" t="n">
        <v>27</v>
      </c>
      <c r="B79" s="23" t="s">
        <v>238</v>
      </c>
      <c r="C79" s="23" t="s">
        <v>225</v>
      </c>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row>
    <row r="80" customFormat="false" ht="12.8" hidden="false" customHeight="false" outlineLevel="1" collapsed="false">
      <c r="A80" s="34" t="n">
        <v>28</v>
      </c>
      <c r="B80" s="23" t="s">
        <v>238</v>
      </c>
      <c r="C80" s="23" t="s">
        <v>223</v>
      </c>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row>
    <row r="81" customFormat="false" ht="12.8" hidden="false" customHeight="false" outlineLevel="1" collapsed="false">
      <c r="A81" s="34" t="n">
        <v>29</v>
      </c>
      <c r="B81" s="23" t="s">
        <v>239</v>
      </c>
      <c r="C81" s="23" t="s">
        <v>225</v>
      </c>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row>
    <row r="82" customFormat="false" ht="12.8" hidden="false" customHeight="false" outlineLevel="1" collapsed="false">
      <c r="A82" s="34" t="n">
        <v>30</v>
      </c>
      <c r="B82" s="23" t="s">
        <v>239</v>
      </c>
      <c r="C82" s="23" t="s">
        <v>223</v>
      </c>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row>
    <row r="83" customFormat="false" ht="12.8" hidden="false" customHeight="false" outlineLevel="1" collapsed="false">
      <c r="A83" s="34" t="n">
        <v>31</v>
      </c>
      <c r="B83" s="23" t="s">
        <v>240</v>
      </c>
      <c r="C83" s="23" t="s">
        <v>225</v>
      </c>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row>
    <row r="84" customFormat="false" ht="12.8" hidden="false" customHeight="false" outlineLevel="1" collapsed="false">
      <c r="A84" s="34" t="n">
        <v>32</v>
      </c>
      <c r="B84" s="23" t="s">
        <v>240</v>
      </c>
      <c r="C84" s="23" t="s">
        <v>223</v>
      </c>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row>
    <row r="85" customFormat="false" ht="12.8" hidden="false" customHeight="false" outlineLevel="1" collapsed="false">
      <c r="A85" s="34" t="n">
        <v>33</v>
      </c>
      <c r="B85" s="23" t="s">
        <v>241</v>
      </c>
      <c r="C85" s="23" t="s">
        <v>225</v>
      </c>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row>
    <row r="86" customFormat="false" ht="12.8" hidden="false" customHeight="false" outlineLevel="1" collapsed="false">
      <c r="A86" s="34" t="n">
        <v>34</v>
      </c>
      <c r="B86" s="23" t="s">
        <v>241</v>
      </c>
      <c r="C86" s="23" t="s">
        <v>223</v>
      </c>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row>
    <row r="87" customFormat="false" ht="12.8" hidden="false" customHeight="false" outlineLevel="1" collapsed="false">
      <c r="A87" s="34" t="n">
        <v>35</v>
      </c>
      <c r="B87" s="23" t="s">
        <v>242</v>
      </c>
      <c r="C87" s="23" t="s">
        <v>225</v>
      </c>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row>
    <row r="88" customFormat="false" ht="12.8" hidden="false" customHeight="false" outlineLevel="1" collapsed="false">
      <c r="A88" s="34" t="n">
        <v>36</v>
      </c>
      <c r="B88" s="23" t="s">
        <v>242</v>
      </c>
      <c r="C88" s="23" t="s">
        <v>223</v>
      </c>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row>
    <row r="89" customFormat="false" ht="12.8" hidden="false" customHeight="false" outlineLevel="1" collapsed="false">
      <c r="A89" s="34" t="n">
        <v>37</v>
      </c>
      <c r="B89" s="23" t="s">
        <v>243</v>
      </c>
      <c r="C89" s="23" t="s">
        <v>225</v>
      </c>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row>
    <row r="90" customFormat="false" ht="12.8" hidden="false" customHeight="false" outlineLevel="1" collapsed="false">
      <c r="A90" s="34" t="n">
        <v>38</v>
      </c>
      <c r="B90" s="23" t="s">
        <v>243</v>
      </c>
      <c r="C90" s="23" t="s">
        <v>223</v>
      </c>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row>
    <row r="91" customFormat="false" ht="12.8" hidden="false" customHeight="false" outlineLevel="1" collapsed="false">
      <c r="A91" s="34" t="n">
        <v>39</v>
      </c>
      <c r="B91" s="23" t="s">
        <v>244</v>
      </c>
      <c r="C91" s="23" t="s">
        <v>225</v>
      </c>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row>
    <row r="92" customFormat="false" ht="12.8" hidden="false" customHeight="false" outlineLevel="1" collapsed="false">
      <c r="A92" s="34" t="n">
        <v>40</v>
      </c>
      <c r="B92" s="23" t="s">
        <v>244</v>
      </c>
      <c r="C92" s="23" t="s">
        <v>223</v>
      </c>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row>
    <row r="93" customFormat="false" ht="12.8" hidden="false" customHeight="false" outlineLevel="1" collapsed="false">
      <c r="A93" s="34" t="n">
        <v>41</v>
      </c>
      <c r="B93" s="23" t="s">
        <v>245</v>
      </c>
      <c r="C93" s="23" t="s">
        <v>225</v>
      </c>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row>
    <row r="94" customFormat="false" ht="12.8" hidden="false" customHeight="false" outlineLevel="1" collapsed="false">
      <c r="A94" s="34" t="n">
        <v>42</v>
      </c>
      <c r="B94" s="23" t="s">
        <v>245</v>
      </c>
      <c r="C94" s="23" t="s">
        <v>223</v>
      </c>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row>
    <row r="95" customFormat="false" ht="12.8" hidden="false" customHeight="false" outlineLevel="1" collapsed="false">
      <c r="A95" s="34" t="n">
        <v>43</v>
      </c>
      <c r="B95" s="23" t="s">
        <v>246</v>
      </c>
      <c r="C95" s="23" t="s">
        <v>225</v>
      </c>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row>
    <row r="96" customFormat="false" ht="12.8" hidden="false" customHeight="false" outlineLevel="1" collapsed="false">
      <c r="A96" s="34" t="n">
        <v>44</v>
      </c>
      <c r="B96" s="23" t="s">
        <v>246</v>
      </c>
      <c r="C96" s="23" t="s">
        <v>223</v>
      </c>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row>
    <row r="97" customFormat="false" ht="12.8" hidden="false" customHeight="false" outlineLevel="1" collapsed="false">
      <c r="A97" s="34" t="n">
        <v>45</v>
      </c>
      <c r="B97" s="23" t="s">
        <v>247</v>
      </c>
      <c r="C97" s="23" t="s">
        <v>225</v>
      </c>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row>
    <row r="98" customFormat="false" ht="12.8" hidden="false" customHeight="false" outlineLevel="1" collapsed="false">
      <c r="A98" s="34" t="n">
        <v>46</v>
      </c>
      <c r="B98" s="23" t="s">
        <v>247</v>
      </c>
      <c r="C98" s="23" t="s">
        <v>223</v>
      </c>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row>
    <row r="99" customFormat="false" ht="12.8" hidden="false" customHeight="false" outlineLevel="1" collapsed="false">
      <c r="A99" s="34" t="n">
        <v>47</v>
      </c>
      <c r="B99" s="23" t="s">
        <v>248</v>
      </c>
      <c r="C99" s="23" t="s">
        <v>225</v>
      </c>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row>
    <row r="100" customFormat="false" ht="12.8" hidden="false" customHeight="false" outlineLevel="1" collapsed="false">
      <c r="A100" s="34" t="n">
        <v>48</v>
      </c>
      <c r="B100" s="23" t="s">
        <v>248</v>
      </c>
      <c r="C100" s="23" t="s">
        <v>223</v>
      </c>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row>
    <row r="101" customFormat="false" ht="12.8" hidden="false" customHeight="false" outlineLevel="1" collapsed="false">
      <c r="A101" s="34" t="n">
        <v>49</v>
      </c>
      <c r="B101" s="23" t="s">
        <v>249</v>
      </c>
      <c r="C101" s="23" t="s">
        <v>225</v>
      </c>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row>
    <row r="102" customFormat="false" ht="12.8" hidden="false" customHeight="false" outlineLevel="1" collapsed="false">
      <c r="A102" s="34" t="n">
        <v>50</v>
      </c>
      <c r="B102" s="23" t="s">
        <v>249</v>
      </c>
      <c r="C102" s="23" t="s">
        <v>223</v>
      </c>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row>
    <row r="103" customFormat="false" ht="12.8" hidden="false" customHeight="false" outlineLevel="1" collapsed="false">
      <c r="A103" s="34" t="n">
        <v>51</v>
      </c>
      <c r="B103" s="23" t="s">
        <v>250</v>
      </c>
      <c r="C103" s="23" t="s">
        <v>225</v>
      </c>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row>
    <row r="104" customFormat="false" ht="12.8" hidden="false" customHeight="false" outlineLevel="1" collapsed="false">
      <c r="A104" s="34" t="n">
        <v>52</v>
      </c>
      <c r="B104" s="23" t="s">
        <v>250</v>
      </c>
      <c r="C104" s="23" t="s">
        <v>223</v>
      </c>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row>
    <row r="106" customFormat="false" ht="12.8" hidden="false" customHeight="false" outlineLevel="0" collapsed="false">
      <c r="A106" s="3" t="s">
        <v>251</v>
      </c>
      <c r="B106" s="6" t="s">
        <v>252</v>
      </c>
    </row>
    <row r="107" customFormat="false" ht="12.8" hidden="false" customHeight="false" outlineLevel="0" collapsed="false">
      <c r="A107" s="3" t="s">
        <v>28</v>
      </c>
      <c r="B107" s="6" t="s">
        <v>253</v>
      </c>
      <c r="C107" s="6" t="s">
        <v>254</v>
      </c>
      <c r="D107" s="6" t="s">
        <v>255</v>
      </c>
      <c r="E107" s="6" t="s">
        <v>256</v>
      </c>
      <c r="F107" s="6" t="s">
        <v>257</v>
      </c>
    </row>
    <row r="108" customFormat="false" ht="12.8" hidden="false" customHeight="false" outlineLevel="0" collapsed="false">
      <c r="A108" s="3" t="n">
        <v>3</v>
      </c>
      <c r="B108" s="6" t="s">
        <v>258</v>
      </c>
      <c r="C108" s="6" t="s">
        <v>259</v>
      </c>
      <c r="D108" s="6"/>
      <c r="E108" s="6"/>
      <c r="F108" s="6"/>
    </row>
    <row r="109" customFormat="false" ht="12.8" hidden="false" customHeight="false" outlineLevel="0" collapsed="false">
      <c r="A109" s="3" t="s">
        <v>260</v>
      </c>
      <c r="B109" s="2" t="s">
        <v>261</v>
      </c>
      <c r="C109" s="6" t="s">
        <v>262</v>
      </c>
      <c r="D109" s="6" t="s">
        <v>263</v>
      </c>
      <c r="E109" s="6" t="s">
        <v>264</v>
      </c>
      <c r="F109" s="6"/>
    </row>
    <row r="110" customFormat="false" ht="12.8" hidden="false" customHeight="false" outlineLevel="0" collapsed="false">
      <c r="A110" s="1" t="s">
        <v>265</v>
      </c>
      <c r="B110" s="2" t="s">
        <v>261</v>
      </c>
      <c r="C110" s="2" t="s">
        <v>266</v>
      </c>
      <c r="D110" s="2" t="s">
        <v>267</v>
      </c>
      <c r="E110" s="36" t="s">
        <v>268</v>
      </c>
    </row>
  </sheetData>
  <mergeCells count="30">
    <mergeCell ref="A47:C47"/>
    <mergeCell ref="D47:G47"/>
    <mergeCell ref="H47:K47"/>
    <mergeCell ref="L47:O47"/>
    <mergeCell ref="P47:S47"/>
    <mergeCell ref="T47:W47"/>
    <mergeCell ref="X47:Z47"/>
    <mergeCell ref="AA47:AC47"/>
    <mergeCell ref="AD47:AF47"/>
    <mergeCell ref="AG47:AI47"/>
    <mergeCell ref="AJ47:AL47"/>
    <mergeCell ref="AM47:AO47"/>
    <mergeCell ref="AP47:AR47"/>
    <mergeCell ref="AS47:AU47"/>
    <mergeCell ref="AV47:AY47"/>
    <mergeCell ref="AZ47:BC47"/>
    <mergeCell ref="BD47:BG47"/>
    <mergeCell ref="BH47:BK47"/>
    <mergeCell ref="BL47:BO47"/>
    <mergeCell ref="BP47:BS47"/>
    <mergeCell ref="BT47:BW47"/>
    <mergeCell ref="BX47:CA47"/>
    <mergeCell ref="CB47:CE47"/>
    <mergeCell ref="CF47:CI47"/>
    <mergeCell ref="CJ47:CM47"/>
    <mergeCell ref="CN47:CQ47"/>
    <mergeCell ref="CR47:CU47"/>
    <mergeCell ref="CV47:CY47"/>
    <mergeCell ref="CZ47:DC47"/>
    <mergeCell ref="DD47:DK47"/>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F4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C44" activeCellId="1" sqref="155:249 C44"/>
    </sheetView>
  </sheetViews>
  <sheetFormatPr defaultColWidth="11.53515625" defaultRowHeight="12.8" customHeight="false" zeroHeight="false" outlineLevelRow="0" outlineLevelCol="0"/>
  <cols>
    <col collapsed="false" customWidth="true" hidden="false" outlineLevel="0" max="1" min="1" style="37" width="20.76"/>
    <col collapsed="false" customWidth="true" hidden="false" outlineLevel="0" max="2" min="2" style="23" width="9.22"/>
    <col collapsed="false" customWidth="true" hidden="false" outlineLevel="0" max="3" min="3" style="23" width="41.51"/>
    <col collapsed="false" customWidth="false" hidden="false" outlineLevel="0" max="16384" min="4" style="38" width="11.53"/>
  </cols>
  <sheetData>
    <row r="1" customFormat="false" ht="12.8" hidden="false" customHeight="false" outlineLevel="0" collapsed="false">
      <c r="A1" s="23" t="s">
        <v>269</v>
      </c>
      <c r="B1" s="23" t="s">
        <v>270</v>
      </c>
      <c r="C1" s="23" t="s">
        <v>271</v>
      </c>
      <c r="D1" s="23" t="s">
        <v>271</v>
      </c>
      <c r="E1" s="39" t="s">
        <v>2</v>
      </c>
    </row>
    <row r="2" customFormat="false" ht="12.8" hidden="false" customHeight="false" outlineLevel="0" collapsed="false">
      <c r="A2" s="40" t="s">
        <v>272</v>
      </c>
      <c r="B2" s="40" t="s">
        <v>273</v>
      </c>
      <c r="C2" s="40" t="s">
        <v>274</v>
      </c>
      <c r="D2" s="40" t="s">
        <v>275</v>
      </c>
      <c r="E2" s="40" t="s">
        <v>276</v>
      </c>
      <c r="F2" s="40" t="s">
        <v>277</v>
      </c>
    </row>
    <row r="3" customFormat="false" ht="12.8" hidden="false" customHeight="false" outlineLevel="0" collapsed="false">
      <c r="A3" s="41" t="s">
        <v>278</v>
      </c>
      <c r="B3" s="41" t="s">
        <v>279</v>
      </c>
      <c r="C3" s="41" t="s">
        <v>280</v>
      </c>
      <c r="D3" s="41" t="s">
        <v>281</v>
      </c>
      <c r="E3" s="41" t="s">
        <v>282</v>
      </c>
      <c r="F3" s="41" t="s">
        <v>283</v>
      </c>
    </row>
    <row r="4" customFormat="false" ht="12.8" hidden="false" customHeight="false" outlineLevel="0" collapsed="false">
      <c r="A4" s="41" t="s">
        <v>278</v>
      </c>
      <c r="B4" s="41" t="s">
        <v>284</v>
      </c>
      <c r="C4" s="41" t="s">
        <v>285</v>
      </c>
      <c r="D4" s="41" t="s">
        <v>286</v>
      </c>
      <c r="E4" s="41" t="s">
        <v>287</v>
      </c>
      <c r="F4" s="41" t="s">
        <v>288</v>
      </c>
    </row>
    <row r="5" customFormat="false" ht="12.8" hidden="false" customHeight="false" outlineLevel="0" collapsed="false">
      <c r="A5" s="41" t="s">
        <v>278</v>
      </c>
      <c r="B5" s="41" t="s">
        <v>289</v>
      </c>
      <c r="C5" s="41" t="s">
        <v>290</v>
      </c>
      <c r="D5" s="41" t="s">
        <v>291</v>
      </c>
      <c r="E5" s="41" t="s">
        <v>292</v>
      </c>
      <c r="F5" s="41" t="s">
        <v>293</v>
      </c>
    </row>
    <row r="6" customFormat="false" ht="12.8" hidden="false" customHeight="false" outlineLevel="0" collapsed="false">
      <c r="A6" s="41" t="s">
        <v>278</v>
      </c>
      <c r="B6" s="41" t="s">
        <v>294</v>
      </c>
      <c r="C6" s="41" t="s">
        <v>295</v>
      </c>
      <c r="D6" s="41" t="s">
        <v>296</v>
      </c>
      <c r="E6" s="41" t="s">
        <v>297</v>
      </c>
      <c r="F6" s="41" t="s">
        <v>298</v>
      </c>
    </row>
    <row r="7" customFormat="false" ht="12.8" hidden="false" customHeight="false" outlineLevel="0" collapsed="false">
      <c r="A7" s="41" t="s">
        <v>278</v>
      </c>
      <c r="B7" s="41" t="s">
        <v>299</v>
      </c>
      <c r="C7" s="41" t="s">
        <v>300</v>
      </c>
      <c r="D7" s="41" t="s">
        <v>301</v>
      </c>
      <c r="E7" s="41" t="s">
        <v>302</v>
      </c>
      <c r="F7" s="41" t="s">
        <v>303</v>
      </c>
    </row>
    <row r="8" customFormat="false" ht="12.8" hidden="false" customHeight="false" outlineLevel="0" collapsed="false">
      <c r="A8" s="41" t="s">
        <v>278</v>
      </c>
      <c r="B8" s="41" t="s">
        <v>304</v>
      </c>
      <c r="C8" s="41" t="s">
        <v>305</v>
      </c>
      <c r="D8" s="41" t="s">
        <v>306</v>
      </c>
      <c r="E8" s="41" t="s">
        <v>307</v>
      </c>
      <c r="F8" s="41" t="s">
        <v>308</v>
      </c>
    </row>
    <row r="9" customFormat="false" ht="12.8" hidden="false" customHeight="false" outlineLevel="0" collapsed="false">
      <c r="A9" s="41" t="s">
        <v>278</v>
      </c>
      <c r="B9" s="41" t="s">
        <v>309</v>
      </c>
      <c r="C9" s="41" t="s">
        <v>310</v>
      </c>
      <c r="D9" s="41" t="s">
        <v>311</v>
      </c>
      <c r="E9" s="41" t="s">
        <v>312</v>
      </c>
      <c r="F9" s="41" t="s">
        <v>313</v>
      </c>
    </row>
    <row r="10" customFormat="false" ht="12.8" hidden="false" customHeight="false" outlineLevel="0" collapsed="false">
      <c r="A10" s="41" t="s">
        <v>314</v>
      </c>
      <c r="B10" s="41" t="s">
        <v>315</v>
      </c>
      <c r="C10" s="41" t="s">
        <v>316</v>
      </c>
      <c r="D10" s="41" t="s">
        <v>317</v>
      </c>
      <c r="E10" s="41" t="s">
        <v>318</v>
      </c>
      <c r="F10" s="41" t="s">
        <v>319</v>
      </c>
    </row>
    <row r="11" customFormat="false" ht="12.8" hidden="false" customHeight="false" outlineLevel="0" collapsed="false">
      <c r="A11" s="41" t="s">
        <v>314</v>
      </c>
      <c r="B11" s="41" t="n">
        <v>700.1</v>
      </c>
      <c r="C11" s="41" t="s">
        <v>320</v>
      </c>
      <c r="D11" s="41" t="s">
        <v>321</v>
      </c>
      <c r="E11" s="41" t="s">
        <v>322</v>
      </c>
      <c r="F11" s="41" t="s">
        <v>323</v>
      </c>
    </row>
    <row r="12" customFormat="false" ht="12.8" hidden="false" customHeight="false" outlineLevel="0" collapsed="false">
      <c r="A12" s="41" t="s">
        <v>324</v>
      </c>
      <c r="B12" s="41" t="s">
        <v>325</v>
      </c>
      <c r="C12" s="41" t="s">
        <v>326</v>
      </c>
      <c r="D12" s="41" t="s">
        <v>327</v>
      </c>
      <c r="E12" s="41" t="s">
        <v>318</v>
      </c>
      <c r="F12" s="41" t="s">
        <v>328</v>
      </c>
    </row>
    <row r="13" customFormat="false" ht="12.8" hidden="false" customHeight="false" outlineLevel="0" collapsed="false">
      <c r="A13" s="41" t="s">
        <v>324</v>
      </c>
      <c r="B13" s="41" t="n">
        <v>700.6</v>
      </c>
      <c r="C13" s="41" t="s">
        <v>329</v>
      </c>
      <c r="D13" s="41" t="s">
        <v>330</v>
      </c>
      <c r="E13" s="41" t="s">
        <v>331</v>
      </c>
      <c r="F13" s="41" t="s">
        <v>332</v>
      </c>
    </row>
    <row r="14" customFormat="false" ht="12.8" hidden="false" customHeight="false" outlineLevel="0" collapsed="false">
      <c r="A14" s="41" t="s">
        <v>333</v>
      </c>
      <c r="B14" s="41" t="s">
        <v>334</v>
      </c>
      <c r="C14" s="41" t="s">
        <v>335</v>
      </c>
      <c r="D14" s="41" t="s">
        <v>336</v>
      </c>
      <c r="E14" s="41" t="s">
        <v>318</v>
      </c>
      <c r="F14" s="41" t="s">
        <v>337</v>
      </c>
    </row>
    <row r="15" customFormat="false" ht="12.8" hidden="false" customHeight="false" outlineLevel="0" collapsed="false">
      <c r="A15" s="41" t="s">
        <v>333</v>
      </c>
      <c r="B15" s="41" t="n">
        <v>700.1</v>
      </c>
      <c r="C15" s="41" t="s">
        <v>338</v>
      </c>
      <c r="D15" s="41" t="s">
        <v>339</v>
      </c>
      <c r="E15" s="41" t="s">
        <v>322</v>
      </c>
      <c r="F15" s="41" t="s">
        <v>340</v>
      </c>
    </row>
    <row r="16" customFormat="false" ht="12.8" hidden="false" customHeight="false" outlineLevel="0" collapsed="false">
      <c r="A16" s="41" t="s">
        <v>341</v>
      </c>
      <c r="B16" s="41" t="s">
        <v>342</v>
      </c>
      <c r="C16" s="41" t="s">
        <v>343</v>
      </c>
      <c r="D16" s="41" t="s">
        <v>344</v>
      </c>
      <c r="E16" s="41" t="s">
        <v>318</v>
      </c>
      <c r="F16" s="41" t="s">
        <v>345</v>
      </c>
    </row>
    <row r="17" customFormat="false" ht="12.8" hidden="false" customHeight="false" outlineLevel="0" collapsed="false">
      <c r="A17" s="41" t="s">
        <v>341</v>
      </c>
      <c r="B17" s="41" t="n">
        <v>700.2</v>
      </c>
      <c r="C17" s="41" t="s">
        <v>346</v>
      </c>
      <c r="D17" s="41" t="s">
        <v>347</v>
      </c>
      <c r="E17" s="41" t="s">
        <v>348</v>
      </c>
      <c r="F17" s="41" t="s">
        <v>349</v>
      </c>
    </row>
    <row r="18" customFormat="false" ht="12.8" hidden="false" customHeight="false" outlineLevel="0" collapsed="false">
      <c r="A18" s="41" t="s">
        <v>350</v>
      </c>
      <c r="B18" s="41" t="s">
        <v>351</v>
      </c>
      <c r="C18" s="41" t="s">
        <v>352</v>
      </c>
      <c r="D18" s="41" t="s">
        <v>353</v>
      </c>
      <c r="E18" s="41" t="s">
        <v>354</v>
      </c>
      <c r="F18" s="41" t="s">
        <v>355</v>
      </c>
    </row>
    <row r="19" customFormat="false" ht="12.8" hidden="false" customHeight="false" outlineLevel="0" collapsed="false">
      <c r="A19" s="41" t="s">
        <v>356</v>
      </c>
      <c r="B19" s="41" t="s">
        <v>357</v>
      </c>
      <c r="C19" s="41" t="s">
        <v>358</v>
      </c>
      <c r="D19" s="41" t="s">
        <v>359</v>
      </c>
      <c r="E19" s="41" t="s">
        <v>360</v>
      </c>
      <c r="F19" s="41" t="s">
        <v>361</v>
      </c>
    </row>
    <row r="20" customFormat="false" ht="12.8" hidden="false" customHeight="false" outlineLevel="0" collapsed="false">
      <c r="A20" s="41" t="s">
        <v>356</v>
      </c>
      <c r="B20" s="41" t="n">
        <v>700.3</v>
      </c>
      <c r="C20" s="41" t="s">
        <v>362</v>
      </c>
      <c r="D20" s="41" t="s">
        <v>363</v>
      </c>
      <c r="E20" s="41" t="s">
        <v>364</v>
      </c>
      <c r="F20" s="41" t="s">
        <v>365</v>
      </c>
    </row>
    <row r="21" customFormat="false" ht="12.8" hidden="false" customHeight="false" outlineLevel="0" collapsed="false">
      <c r="A21" s="41" t="s">
        <v>366</v>
      </c>
      <c r="B21" s="41" t="s">
        <v>367</v>
      </c>
      <c r="C21" s="41" t="s">
        <v>368</v>
      </c>
      <c r="D21" s="41" t="s">
        <v>369</v>
      </c>
      <c r="E21" s="41" t="s">
        <v>370</v>
      </c>
      <c r="F21" s="41" t="s">
        <v>371</v>
      </c>
    </row>
    <row r="22" customFormat="false" ht="12.8" hidden="false" customHeight="false" outlineLevel="0" collapsed="false">
      <c r="A22" s="41" t="s">
        <v>372</v>
      </c>
      <c r="B22" s="41" t="s">
        <v>373</v>
      </c>
      <c r="C22" s="41" t="s">
        <v>374</v>
      </c>
      <c r="D22" s="41" t="s">
        <v>375</v>
      </c>
      <c r="E22" s="41" t="s">
        <v>376</v>
      </c>
      <c r="F22" s="41" t="s">
        <v>377</v>
      </c>
    </row>
    <row r="23" customFormat="false" ht="12.8" hidden="false" customHeight="false" outlineLevel="0" collapsed="false">
      <c r="A23" s="41" t="s">
        <v>378</v>
      </c>
      <c r="B23" s="41" t="s">
        <v>379</v>
      </c>
      <c r="C23" s="41" t="s">
        <v>380</v>
      </c>
      <c r="D23" s="41" t="s">
        <v>381</v>
      </c>
      <c r="E23" s="41" t="s">
        <v>382</v>
      </c>
      <c r="F23" s="41" t="s">
        <v>383</v>
      </c>
    </row>
    <row r="24" customFormat="false" ht="12.8" hidden="false" customHeight="false" outlineLevel="0" collapsed="false">
      <c r="A24" s="41" t="s">
        <v>384</v>
      </c>
      <c r="B24" s="41" t="s">
        <v>385</v>
      </c>
      <c r="C24" s="41" t="s">
        <v>386</v>
      </c>
      <c r="D24" s="41" t="s">
        <v>387</v>
      </c>
      <c r="E24" s="41" t="s">
        <v>388</v>
      </c>
      <c r="F24" s="41" t="s">
        <v>389</v>
      </c>
    </row>
    <row r="25" customFormat="false" ht="12.8" hidden="false" customHeight="false" outlineLevel="0" collapsed="false">
      <c r="A25" s="41" t="s">
        <v>390</v>
      </c>
      <c r="B25" s="41" t="s">
        <v>391</v>
      </c>
      <c r="C25" s="41" t="s">
        <v>392</v>
      </c>
      <c r="D25" s="41" t="s">
        <v>393</v>
      </c>
      <c r="E25" s="41" t="s">
        <v>394</v>
      </c>
      <c r="F25" s="41" t="s">
        <v>395</v>
      </c>
    </row>
    <row r="26" customFormat="false" ht="12.8" hidden="false" customHeight="false" outlineLevel="0" collapsed="false">
      <c r="A26" s="41" t="s">
        <v>396</v>
      </c>
      <c r="B26" s="41" t="s">
        <v>397</v>
      </c>
      <c r="C26" s="41" t="s">
        <v>398</v>
      </c>
      <c r="D26" s="41" t="s">
        <v>399</v>
      </c>
      <c r="E26" s="41" t="s">
        <v>400</v>
      </c>
      <c r="F26" s="41" t="s">
        <v>401</v>
      </c>
    </row>
    <row r="27" customFormat="false" ht="12.8" hidden="false" customHeight="false" outlineLevel="0" collapsed="false">
      <c r="A27" s="41" t="s">
        <v>402</v>
      </c>
      <c r="B27" s="41" t="s">
        <v>403</v>
      </c>
      <c r="C27" s="41" t="s">
        <v>181</v>
      </c>
      <c r="D27" s="41" t="s">
        <v>404</v>
      </c>
      <c r="E27" s="41" t="s">
        <v>405</v>
      </c>
      <c r="F27" s="41" t="s">
        <v>406</v>
      </c>
    </row>
    <row r="28" customFormat="false" ht="12.8" hidden="false" customHeight="false" outlineLevel="0" collapsed="false">
      <c r="A28" s="41" t="s">
        <v>402</v>
      </c>
      <c r="B28" s="41" t="s">
        <v>407</v>
      </c>
      <c r="C28" s="41" t="s">
        <v>185</v>
      </c>
      <c r="D28" s="41" t="s">
        <v>408</v>
      </c>
      <c r="E28" s="41" t="s">
        <v>409</v>
      </c>
      <c r="F28" s="41" t="s">
        <v>410</v>
      </c>
    </row>
    <row r="29" customFormat="false" ht="12.8" hidden="false" customHeight="false" outlineLevel="0" collapsed="false">
      <c r="A29" s="41" t="s">
        <v>402</v>
      </c>
      <c r="B29" s="41" t="s">
        <v>411</v>
      </c>
      <c r="C29" s="41" t="s">
        <v>412</v>
      </c>
      <c r="D29" s="41" t="s">
        <v>413</v>
      </c>
      <c r="E29" s="41" t="s">
        <v>414</v>
      </c>
      <c r="F29" s="41" t="s">
        <v>415</v>
      </c>
    </row>
    <row r="30" customFormat="false" ht="12.8" hidden="false" customHeight="false" outlineLevel="0" collapsed="false">
      <c r="A30" s="41" t="s">
        <v>402</v>
      </c>
      <c r="B30" s="41" t="s">
        <v>416</v>
      </c>
      <c r="C30" s="41" t="s">
        <v>195</v>
      </c>
      <c r="D30" s="41" t="s">
        <v>417</v>
      </c>
      <c r="E30" s="41" t="s">
        <v>418</v>
      </c>
      <c r="F30" s="41" t="s">
        <v>419</v>
      </c>
    </row>
    <row r="31" customFormat="false" ht="12.8" hidden="false" customHeight="false" outlineLevel="0" collapsed="false">
      <c r="A31" s="41" t="s">
        <v>402</v>
      </c>
      <c r="B31" s="41" t="s">
        <v>420</v>
      </c>
      <c r="C31" s="41" t="s">
        <v>421</v>
      </c>
      <c r="D31" s="41" t="s">
        <v>422</v>
      </c>
      <c r="E31" s="41" t="s">
        <v>423</v>
      </c>
      <c r="F31" s="41" t="s">
        <v>424</v>
      </c>
    </row>
    <row r="32" customFormat="false" ht="12.8" hidden="false" customHeight="false" outlineLevel="0" collapsed="false">
      <c r="A32" s="41" t="s">
        <v>402</v>
      </c>
      <c r="B32" s="41" t="s">
        <v>425</v>
      </c>
      <c r="C32" s="41" t="s">
        <v>215</v>
      </c>
      <c r="D32" s="41" t="s">
        <v>426</v>
      </c>
      <c r="E32" s="41" t="s">
        <v>427</v>
      </c>
      <c r="F32" s="41" t="s">
        <v>428</v>
      </c>
    </row>
    <row r="33" customFormat="false" ht="12.8" hidden="false" customHeight="false" outlineLevel="0" collapsed="false">
      <c r="A33" s="41" t="s">
        <v>429</v>
      </c>
      <c r="B33" s="41" t="n">
        <v>700</v>
      </c>
      <c r="C33" s="41" t="s">
        <v>430</v>
      </c>
      <c r="D33" s="41" t="s">
        <v>431</v>
      </c>
      <c r="E33" s="41" t="s">
        <v>432</v>
      </c>
      <c r="F33" s="41" t="s">
        <v>433</v>
      </c>
    </row>
    <row r="34" customFormat="false" ht="12.8" hidden="false" customHeight="false" outlineLevel="0" collapsed="false">
      <c r="A34" s="41" t="s">
        <v>429</v>
      </c>
      <c r="B34" s="41" t="n">
        <v>700.1</v>
      </c>
      <c r="C34" s="41" t="s">
        <v>434</v>
      </c>
      <c r="D34" s="41" t="s">
        <v>321</v>
      </c>
      <c r="E34" s="41" t="s">
        <v>435</v>
      </c>
      <c r="F34" s="41" t="s">
        <v>436</v>
      </c>
    </row>
    <row r="35" customFormat="false" ht="12.8" hidden="false" customHeight="false" outlineLevel="0" collapsed="false">
      <c r="A35" s="41" t="s">
        <v>429</v>
      </c>
      <c r="B35" s="41" t="n">
        <v>700.2</v>
      </c>
      <c r="C35" s="41" t="s">
        <v>437</v>
      </c>
      <c r="D35" s="41" t="s">
        <v>347</v>
      </c>
      <c r="E35" s="41" t="s">
        <v>438</v>
      </c>
      <c r="F35" s="41" t="s">
        <v>331</v>
      </c>
    </row>
    <row r="36" customFormat="false" ht="12.8" hidden="false" customHeight="false" outlineLevel="0" collapsed="false">
      <c r="A36" s="41" t="s">
        <v>429</v>
      </c>
      <c r="B36" s="41" t="n">
        <v>700.3</v>
      </c>
      <c r="C36" s="41" t="s">
        <v>439</v>
      </c>
      <c r="D36" s="41" t="s">
        <v>363</v>
      </c>
      <c r="E36" s="41" t="s">
        <v>440</v>
      </c>
      <c r="F36" s="41" t="s">
        <v>441</v>
      </c>
    </row>
    <row r="37" customFormat="false" ht="12.8" hidden="false" customHeight="false" outlineLevel="0" collapsed="false">
      <c r="A37" s="41" t="s">
        <v>429</v>
      </c>
      <c r="B37" s="41" t="n">
        <v>700.4</v>
      </c>
      <c r="C37" s="41" t="s">
        <v>442</v>
      </c>
      <c r="D37" s="41" t="s">
        <v>443</v>
      </c>
      <c r="E37" s="41" t="s">
        <v>444</v>
      </c>
      <c r="F37" s="41" t="s">
        <v>445</v>
      </c>
    </row>
    <row r="38" customFormat="false" ht="12.8" hidden="false" customHeight="false" outlineLevel="0" collapsed="false">
      <c r="A38" s="41" t="s">
        <v>429</v>
      </c>
      <c r="B38" s="41" t="n">
        <v>700.5</v>
      </c>
      <c r="C38" s="41" t="s">
        <v>446</v>
      </c>
      <c r="D38" s="41" t="s">
        <v>447</v>
      </c>
      <c r="E38" s="41" t="s">
        <v>448</v>
      </c>
      <c r="F38" s="41" t="s">
        <v>449</v>
      </c>
    </row>
    <row r="39" customFormat="false" ht="12.8" hidden="false" customHeight="false" outlineLevel="0" collapsed="false">
      <c r="A39" s="41" t="s">
        <v>450</v>
      </c>
      <c r="B39" s="41" t="n">
        <v>800</v>
      </c>
      <c r="C39" s="41" t="s">
        <v>451</v>
      </c>
      <c r="D39" s="41" t="s">
        <v>452</v>
      </c>
      <c r="E39" s="41" t="s">
        <v>453</v>
      </c>
      <c r="F39" s="41" t="s">
        <v>454</v>
      </c>
    </row>
    <row r="40" customFormat="false" ht="12.8" hidden="false" customHeight="false" outlineLevel="0" collapsed="false">
      <c r="A40" s="41" t="s">
        <v>450</v>
      </c>
      <c r="B40" s="41" t="n">
        <v>800.1</v>
      </c>
      <c r="C40" s="41" t="s">
        <v>455</v>
      </c>
      <c r="D40" s="41" t="s">
        <v>456</v>
      </c>
      <c r="E40" s="41" t="s">
        <v>457</v>
      </c>
      <c r="F40" s="41" t="s">
        <v>458</v>
      </c>
    </row>
    <row r="41" customFormat="false" ht="12.8" hidden="false" customHeight="false" outlineLevel="0" collapsed="false">
      <c r="A41" s="41" t="s">
        <v>459</v>
      </c>
      <c r="B41" s="41" t="n">
        <v>900</v>
      </c>
      <c r="C41" s="41" t="s">
        <v>460</v>
      </c>
      <c r="D41" s="41" t="s">
        <v>461</v>
      </c>
      <c r="E41" s="41" t="s">
        <v>462</v>
      </c>
      <c r="F41" s="41" t="s">
        <v>463</v>
      </c>
    </row>
    <row r="42" customFormat="false" ht="12.8" hidden="false" customHeight="false" outlineLevel="0" collapsed="false">
      <c r="A42" s="41" t="s">
        <v>459</v>
      </c>
      <c r="B42" s="41" t="n">
        <v>900.1</v>
      </c>
      <c r="C42" s="41" t="s">
        <v>464</v>
      </c>
      <c r="D42" s="41" t="s">
        <v>465</v>
      </c>
      <c r="E42" s="41" t="s">
        <v>466</v>
      </c>
      <c r="F42" s="41" t="s">
        <v>467</v>
      </c>
    </row>
    <row r="43" customFormat="false" ht="12.8" hidden="false" customHeight="false" outlineLevel="0" collapsed="false">
      <c r="A43" s="41" t="s">
        <v>459</v>
      </c>
      <c r="B43" s="41" t="n">
        <v>900.2</v>
      </c>
      <c r="C43" s="41" t="s">
        <v>468</v>
      </c>
      <c r="D43" s="41" t="s">
        <v>469</v>
      </c>
      <c r="E43" s="41" t="s">
        <v>470</v>
      </c>
      <c r="F43" s="41" t="s">
        <v>471</v>
      </c>
    </row>
    <row r="44" customFormat="false" ht="12.8" hidden="false" customHeight="false" outlineLevel="0" collapsed="false">
      <c r="A44" s="41" t="n">
        <v>1500</v>
      </c>
      <c r="B44" s="41" t="s">
        <v>472</v>
      </c>
      <c r="C44" s="41" t="s">
        <v>473</v>
      </c>
      <c r="D44" s="41"/>
      <c r="E44" s="41"/>
      <c r="F44" s="41" t="s">
        <v>474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H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10" activeCellId="1" sqref="155:249 D10"/>
    </sheetView>
  </sheetViews>
  <sheetFormatPr defaultColWidth="11.53515625" defaultRowHeight="12.8" customHeight="false" zeroHeight="false" outlineLevelRow="0"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13.84"/>
    <col collapsed="false" customWidth="false" hidden="false" outlineLevel="0" max="6" min="4" style="42" width="11.53"/>
    <col collapsed="false" customWidth="true" hidden="false" outlineLevel="0" max="7" min="7" style="23" width="27.68"/>
    <col collapsed="false" customWidth="true" hidden="false" outlineLevel="0" max="8" min="8" style="23" width="13.84"/>
    <col collapsed="false" customWidth="false" hidden="false" outlineLevel="0" max="16384" min="9" style="42" width="11.53"/>
  </cols>
  <sheetData>
    <row r="1" customFormat="false" ht="12.8" hidden="false" customHeight="false" outlineLevel="0" collapsed="false">
      <c r="A1" s="23" t="s">
        <v>475</v>
      </c>
      <c r="B1" s="23" t="s">
        <v>476</v>
      </c>
      <c r="C1" s="23" t="s">
        <v>271</v>
      </c>
      <c r="D1" s="23" t="s">
        <v>271</v>
      </c>
      <c r="E1" s="39" t="s">
        <v>2</v>
      </c>
      <c r="F1" s="23" t="s">
        <v>271</v>
      </c>
      <c r="G1" s="23" t="s">
        <v>271</v>
      </c>
      <c r="H1" s="23" t="s">
        <v>271</v>
      </c>
    </row>
    <row r="2" customFormat="false" ht="12.8" hidden="false" customHeight="false" outlineLevel="0" collapsed="false">
      <c r="A2" s="40" t="s">
        <v>477</v>
      </c>
      <c r="B2" s="40" t="s">
        <v>478</v>
      </c>
      <c r="C2" s="40" t="s">
        <v>479</v>
      </c>
      <c r="D2" s="40" t="s">
        <v>480</v>
      </c>
      <c r="E2" s="40" t="s">
        <v>481</v>
      </c>
      <c r="F2" s="40" t="s">
        <v>482</v>
      </c>
      <c r="G2" s="40" t="s">
        <v>483</v>
      </c>
      <c r="H2" s="40" t="s">
        <v>484</v>
      </c>
    </row>
    <row r="3" customFormat="false" ht="12.8" hidden="false" customHeight="false" outlineLevel="0" collapsed="false">
      <c r="A3" s="41" t="s">
        <v>485</v>
      </c>
      <c r="B3" s="41" t="s">
        <v>486</v>
      </c>
      <c r="C3" s="41" t="n">
        <v>1399.4</v>
      </c>
      <c r="D3" s="41" t="s">
        <v>487</v>
      </c>
      <c r="E3" s="41" t="s">
        <v>488</v>
      </c>
      <c r="F3" s="41" t="s">
        <v>489</v>
      </c>
      <c r="G3" s="41" t="s">
        <v>490</v>
      </c>
      <c r="H3" s="43" t="s">
        <v>491</v>
      </c>
    </row>
    <row r="4" customFormat="false" ht="12.8" hidden="false" customHeight="false" outlineLevel="0" collapsed="false">
      <c r="A4" s="41" t="s">
        <v>492</v>
      </c>
      <c r="B4" s="41" t="s">
        <v>493</v>
      </c>
      <c r="C4" s="41" t="n">
        <v>35</v>
      </c>
      <c r="D4" s="41" t="s">
        <v>494</v>
      </c>
      <c r="E4" s="41" t="s">
        <v>495</v>
      </c>
      <c r="F4" s="41" t="s">
        <v>496</v>
      </c>
      <c r="G4" s="41" t="s">
        <v>497</v>
      </c>
      <c r="H4" s="43" t="s">
        <v>491</v>
      </c>
    </row>
    <row r="5" customFormat="false" ht="12.8" hidden="false" customHeight="false" outlineLevel="0" collapsed="false">
      <c r="A5" s="41" t="s">
        <v>498</v>
      </c>
      <c r="B5" s="41" t="s">
        <v>499</v>
      </c>
      <c r="C5" s="41" t="n">
        <v>65</v>
      </c>
      <c r="D5" s="41" t="s">
        <v>500</v>
      </c>
      <c r="E5" s="41" t="s">
        <v>488</v>
      </c>
      <c r="F5" s="41" t="s">
        <v>489</v>
      </c>
      <c r="G5" s="41" t="s">
        <v>490</v>
      </c>
      <c r="H5" s="43" t="s">
        <v>491</v>
      </c>
    </row>
    <row r="6" customFormat="false" ht="12.8" hidden="false" customHeight="false" outlineLevel="0" collapsed="false">
      <c r="A6" s="41" t="s">
        <v>501</v>
      </c>
      <c r="B6" s="41" t="s">
        <v>502</v>
      </c>
      <c r="C6" s="41" t="n">
        <v>165.6</v>
      </c>
      <c r="D6" s="41" t="s">
        <v>503</v>
      </c>
      <c r="E6" s="41" t="s">
        <v>488</v>
      </c>
      <c r="F6" s="41" t="s">
        <v>489</v>
      </c>
      <c r="G6" s="41" t="s">
        <v>490</v>
      </c>
      <c r="H6" s="43" t="s">
        <v>491</v>
      </c>
    </row>
    <row r="7" customFormat="false" ht="12.8" hidden="false" customHeight="false" outlineLevel="0" collapsed="false">
      <c r="A7" s="41" t="s">
        <v>504</v>
      </c>
      <c r="B7" s="41" t="s">
        <v>505</v>
      </c>
      <c r="C7" s="41" t="n">
        <v>279.2</v>
      </c>
      <c r="D7" s="41" t="s">
        <v>506</v>
      </c>
      <c r="E7" s="41" t="s">
        <v>488</v>
      </c>
      <c r="F7" s="41" t="s">
        <v>489</v>
      </c>
      <c r="G7" s="41" t="s">
        <v>490</v>
      </c>
      <c r="H7" s="43" t="s">
        <v>491</v>
      </c>
    </row>
    <row r="8" customFormat="false" ht="12.8" hidden="false" customHeight="false" outlineLevel="0" collapsed="false">
      <c r="A8" s="41" t="s">
        <v>507</v>
      </c>
      <c r="B8" s="41" t="s">
        <v>508</v>
      </c>
      <c r="C8" s="41" t="n">
        <v>11.7</v>
      </c>
      <c r="D8" s="41" t="s">
        <v>509</v>
      </c>
      <c r="E8" s="41" t="s">
        <v>488</v>
      </c>
      <c r="F8" s="41" t="s">
        <v>489</v>
      </c>
      <c r="G8" s="41" t="s">
        <v>490</v>
      </c>
      <c r="H8" s="43" t="s">
        <v>491</v>
      </c>
    </row>
    <row r="9" customFormat="false" ht="12.8" hidden="false" customHeight="false" outlineLevel="0" collapsed="false">
      <c r="A9" s="41" t="s">
        <v>510</v>
      </c>
      <c r="B9" s="41" t="s">
        <v>511</v>
      </c>
      <c r="C9" s="41" t="n">
        <v>70</v>
      </c>
      <c r="D9" s="41" t="s">
        <v>512</v>
      </c>
      <c r="E9" s="41" t="s">
        <v>488</v>
      </c>
      <c r="F9" s="41" t="s">
        <v>489</v>
      </c>
      <c r="G9" s="41" t="s">
        <v>490</v>
      </c>
      <c r="H9" s="43" t="s">
        <v>491</v>
      </c>
    </row>
    <row r="10" customFormat="false" ht="12.8" hidden="false" customHeight="false" outlineLevel="0" collapsed="false">
      <c r="A10" s="41" t="s">
        <v>513</v>
      </c>
      <c r="B10" s="41" t="s">
        <v>514</v>
      </c>
      <c r="C10" s="41" t="n">
        <v>164.5</v>
      </c>
      <c r="D10" s="41" t="s">
        <v>515</v>
      </c>
      <c r="E10" s="41" t="s">
        <v>488</v>
      </c>
      <c r="F10" s="41" t="s">
        <v>489</v>
      </c>
      <c r="G10" s="41" t="s">
        <v>490</v>
      </c>
      <c r="H10" s="43" t="s">
        <v>491</v>
      </c>
    </row>
    <row r="11" customFormat="false" ht="12.8" hidden="false" customHeight="false" outlineLevel="0" collapsed="false">
      <c r="A11" s="41" t="s">
        <v>516</v>
      </c>
      <c r="B11" s="41" t="s">
        <v>517</v>
      </c>
      <c r="C11" s="41" t="n">
        <v>224.5</v>
      </c>
      <c r="D11" s="41" t="s">
        <v>518</v>
      </c>
      <c r="E11" s="41" t="s">
        <v>488</v>
      </c>
      <c r="F11" s="41" t="s">
        <v>489</v>
      </c>
      <c r="G11" s="41" t="s">
        <v>490</v>
      </c>
      <c r="H11" s="43" t="s">
        <v>491</v>
      </c>
    </row>
    <row r="12" customFormat="false" ht="12.8" hidden="false" customHeight="false" outlineLevel="0" collapsed="false">
      <c r="A12" s="41" t="s">
        <v>519</v>
      </c>
      <c r="B12" s="41" t="s">
        <v>520</v>
      </c>
      <c r="C12" s="41" t="n">
        <v>133</v>
      </c>
      <c r="D12" s="41" t="s">
        <v>521</v>
      </c>
      <c r="E12" s="41" t="s">
        <v>488</v>
      </c>
      <c r="F12" s="41" t="s">
        <v>489</v>
      </c>
      <c r="G12" s="41" t="s">
        <v>490</v>
      </c>
      <c r="H12" s="43" t="s">
        <v>491</v>
      </c>
    </row>
    <row r="13" customFormat="false" ht="12.8" hidden="false" customHeight="false" outlineLevel="0" collapsed="false">
      <c r="A13" s="41" t="s">
        <v>522</v>
      </c>
      <c r="B13" s="41" t="s">
        <v>523</v>
      </c>
      <c r="C13" s="41" t="n">
        <v>65.2</v>
      </c>
      <c r="D13" s="41" t="s">
        <v>524</v>
      </c>
      <c r="E13" s="41" t="s">
        <v>488</v>
      </c>
      <c r="F13" s="41" t="s">
        <v>489</v>
      </c>
      <c r="G13" s="41" t="s">
        <v>490</v>
      </c>
      <c r="H13" s="43" t="s">
        <v>491</v>
      </c>
    </row>
    <row r="14" customFormat="false" ht="12.8" hidden="false" customHeight="false" outlineLevel="0" collapsed="false">
      <c r="A14" s="41" t="s">
        <v>525</v>
      </c>
      <c r="B14" s="41" t="s">
        <v>526</v>
      </c>
      <c r="C14" s="41" t="n">
        <v>1399400</v>
      </c>
      <c r="D14" s="41" t="s">
        <v>527</v>
      </c>
      <c r="E14" s="41" t="s">
        <v>528</v>
      </c>
      <c r="F14" s="41" t="s">
        <v>489</v>
      </c>
      <c r="G14" s="41" t="s">
        <v>529</v>
      </c>
      <c r="H14" s="43" t="s">
        <v>491</v>
      </c>
    </row>
    <row r="15" customFormat="false" ht="12.8" hidden="false" customHeight="false" outlineLevel="0" collapsed="false">
      <c r="A15" s="41" t="s">
        <v>530</v>
      </c>
      <c r="B15" s="41" t="s">
        <v>531</v>
      </c>
      <c r="C15" s="41" t="n">
        <v>1444246</v>
      </c>
      <c r="D15" s="41" t="s">
        <v>532</v>
      </c>
      <c r="E15" s="41" t="s">
        <v>533</v>
      </c>
      <c r="F15" s="41" t="s">
        <v>489</v>
      </c>
      <c r="G15" s="41" t="s">
        <v>534</v>
      </c>
      <c r="H15" s="43" t="s">
        <v>491</v>
      </c>
    </row>
    <row r="16" customFormat="false" ht="12.8" hidden="false" customHeight="false" outlineLevel="0" collapsed="false">
      <c r="A16" s="41" t="s">
        <v>535</v>
      </c>
      <c r="B16" s="41" t="s">
        <v>536</v>
      </c>
      <c r="C16" s="41" t="n">
        <v>0.042</v>
      </c>
      <c r="D16" s="41" t="s">
        <v>537</v>
      </c>
      <c r="E16" s="41" t="s">
        <v>533</v>
      </c>
      <c r="F16" s="41" t="s">
        <v>489</v>
      </c>
      <c r="G16" s="41" t="s">
        <v>534</v>
      </c>
      <c r="H16" s="43" t="s">
        <v>491</v>
      </c>
    </row>
    <row r="17" customFormat="false" ht="12.8" hidden="false" customHeight="false" outlineLevel="0" collapsed="false">
      <c r="A17" s="41" t="s">
        <v>538</v>
      </c>
      <c r="B17" s="41" t="s">
        <v>539</v>
      </c>
      <c r="C17" s="41" t="n">
        <v>0.59</v>
      </c>
      <c r="D17" s="41" t="s">
        <v>540</v>
      </c>
      <c r="E17" s="41" t="s">
        <v>533</v>
      </c>
      <c r="F17" s="41" t="s">
        <v>489</v>
      </c>
      <c r="G17" s="41" t="s">
        <v>534</v>
      </c>
      <c r="H17" s="43" t="s">
        <v>491</v>
      </c>
    </row>
    <row r="18" customFormat="false" ht="12.8" hidden="false" customHeight="false" outlineLevel="0" collapsed="false">
      <c r="A18" s="41" t="s">
        <v>541</v>
      </c>
      <c r="B18" s="41" t="s">
        <v>542</v>
      </c>
      <c r="C18" s="41" t="n">
        <v>29.76</v>
      </c>
      <c r="D18" s="41" t="s">
        <v>543</v>
      </c>
      <c r="E18" s="41" t="s">
        <v>488</v>
      </c>
      <c r="F18" s="41" t="s">
        <v>489</v>
      </c>
      <c r="G18" s="41" t="s">
        <v>490</v>
      </c>
      <c r="H18" s="43" t="s">
        <v>491</v>
      </c>
    </row>
    <row r="19" customFormat="false" ht="12.8" hidden="false" customHeight="false" outlineLevel="0" collapsed="false">
      <c r="A19" s="41" t="s">
        <v>544</v>
      </c>
      <c r="B19" s="41" t="s">
        <v>545</v>
      </c>
      <c r="C19" s="41" t="n">
        <v>50000</v>
      </c>
      <c r="D19" s="41" t="s">
        <v>546</v>
      </c>
      <c r="E19" s="41" t="s">
        <v>547</v>
      </c>
      <c r="F19" s="41" t="s">
        <v>548</v>
      </c>
      <c r="G19" s="41" t="s">
        <v>549</v>
      </c>
      <c r="H19" s="43" t="s">
        <v>491</v>
      </c>
    </row>
    <row r="20" customFormat="false" ht="12.8" hidden="false" customHeight="false" outlineLevel="0" collapsed="false">
      <c r="A20" s="41" t="s">
        <v>550</v>
      </c>
      <c r="B20" s="41" t="s">
        <v>551</v>
      </c>
      <c r="C20" s="41" t="n">
        <v>0.6</v>
      </c>
      <c r="D20" s="41" t="s">
        <v>552</v>
      </c>
      <c r="E20" s="41" t="s">
        <v>553</v>
      </c>
      <c r="F20" s="41" t="s">
        <v>496</v>
      </c>
      <c r="G20" s="41" t="s">
        <v>554</v>
      </c>
      <c r="H20" s="43" t="s">
        <v>491</v>
      </c>
    </row>
    <row r="21" customFormat="false" ht="12.8" hidden="false" customHeight="false" outlineLevel="0" collapsed="false">
      <c r="A21" s="41" t="s">
        <v>555</v>
      </c>
      <c r="B21" s="41" t="s">
        <v>556</v>
      </c>
      <c r="C21" s="41" t="n">
        <v>10000</v>
      </c>
      <c r="D21" s="41" t="s">
        <v>557</v>
      </c>
      <c r="E21" s="41" t="s">
        <v>558</v>
      </c>
      <c r="F21" s="41" t="s">
        <v>548</v>
      </c>
      <c r="G21" s="41" t="s">
        <v>559</v>
      </c>
      <c r="H21" s="43" t="s">
        <v>491</v>
      </c>
    </row>
    <row r="22" customFormat="false" ht="12.8" hidden="false" customHeight="false" outlineLevel="0" collapsed="false">
      <c r="A22" s="41" t="s">
        <v>560</v>
      </c>
      <c r="B22" s="41" t="s">
        <v>561</v>
      </c>
      <c r="C22" s="41" t="n">
        <v>0.85</v>
      </c>
      <c r="D22" s="41" t="s">
        <v>562</v>
      </c>
      <c r="E22" s="41" t="s">
        <v>563</v>
      </c>
      <c r="F22" s="41" t="s">
        <v>548</v>
      </c>
      <c r="G22" s="41" t="s">
        <v>564</v>
      </c>
      <c r="H22" s="43" t="s">
        <v>491</v>
      </c>
    </row>
    <row r="23" customFormat="false" ht="12.8" hidden="false" customHeight="false" outlineLevel="0" collapsed="false">
      <c r="A23" s="41" t="s">
        <v>565</v>
      </c>
      <c r="B23" s="41" t="s">
        <v>566</v>
      </c>
      <c r="C23" s="41" t="n">
        <v>1.15</v>
      </c>
      <c r="D23" s="41" t="s">
        <v>567</v>
      </c>
      <c r="E23" s="41" t="s">
        <v>568</v>
      </c>
      <c r="F23" s="41" t="s">
        <v>548</v>
      </c>
      <c r="G23" s="41" t="s">
        <v>564</v>
      </c>
      <c r="H23" s="43" t="s">
        <v>491</v>
      </c>
    </row>
    <row r="24" customFormat="false" ht="12.8" hidden="false" customHeight="false" outlineLevel="0" collapsed="false">
      <c r="A24" s="41" t="s">
        <v>569</v>
      </c>
      <c r="B24" s="41" t="s">
        <v>570</v>
      </c>
      <c r="C24" s="41" t="n">
        <v>0.04</v>
      </c>
      <c r="D24" s="41" t="s">
        <v>571</v>
      </c>
      <c r="E24" s="41" t="s">
        <v>572</v>
      </c>
      <c r="F24" s="41" t="s">
        <v>548</v>
      </c>
      <c r="G24" s="41" t="s">
        <v>573</v>
      </c>
      <c r="H24" s="43" t="s">
        <v>491</v>
      </c>
    </row>
    <row r="25" customFormat="false" ht="12.8" hidden="false" customHeight="false" outlineLevel="0" collapsed="false">
      <c r="A25" s="41" t="s">
        <v>574</v>
      </c>
      <c r="B25" s="41" t="s">
        <v>575</v>
      </c>
      <c r="C25" s="41" t="n">
        <v>0.035</v>
      </c>
      <c r="D25" s="41" t="s">
        <v>576</v>
      </c>
      <c r="E25" s="41" t="s">
        <v>577</v>
      </c>
      <c r="F25" s="41" t="s">
        <v>548</v>
      </c>
      <c r="G25" s="41" t="s">
        <v>578</v>
      </c>
      <c r="H25" s="43" t="s">
        <v>491</v>
      </c>
    </row>
    <row r="26" customFormat="false" ht="12.8" hidden="false" customHeight="false" outlineLevel="0" collapsed="false">
      <c r="A26" s="41" t="s">
        <v>579</v>
      </c>
      <c r="B26" s="41" t="s">
        <v>580</v>
      </c>
      <c r="C26" s="41" t="n">
        <v>0.8</v>
      </c>
      <c r="D26" s="41" t="s">
        <v>581</v>
      </c>
      <c r="E26" s="41" t="s">
        <v>582</v>
      </c>
      <c r="F26" s="41" t="s">
        <v>489</v>
      </c>
      <c r="G26" s="41" t="s">
        <v>583</v>
      </c>
      <c r="H26" s="43" t="s">
        <v>491</v>
      </c>
    </row>
    <row r="27" customFormat="false" ht="12.8" hidden="false" customHeight="false" outlineLevel="0" collapsed="false">
      <c r="A27" s="41" t="s">
        <v>584</v>
      </c>
      <c r="B27" s="41" t="s">
        <v>585</v>
      </c>
      <c r="C27" s="41" t="n">
        <v>0.958</v>
      </c>
      <c r="D27" s="41" t="s">
        <v>586</v>
      </c>
      <c r="E27" s="41" t="s">
        <v>587</v>
      </c>
      <c r="F27" s="41" t="s">
        <v>489</v>
      </c>
      <c r="G27" s="41" t="s">
        <v>588</v>
      </c>
      <c r="H27" s="43" t="s">
        <v>491</v>
      </c>
    </row>
    <row r="28" customFormat="false" ht="12.8" hidden="false" customHeight="false" outlineLevel="0" collapsed="false">
      <c r="A28" s="41" t="s">
        <v>589</v>
      </c>
      <c r="B28" s="41" t="s">
        <v>590</v>
      </c>
      <c r="C28" s="41" t="n">
        <v>0.59</v>
      </c>
      <c r="D28" s="41" t="s">
        <v>591</v>
      </c>
      <c r="E28" s="41" t="s">
        <v>587</v>
      </c>
      <c r="F28" s="41" t="s">
        <v>489</v>
      </c>
      <c r="G28" s="41" t="s">
        <v>588</v>
      </c>
      <c r="H28" s="43" t="s">
        <v>491</v>
      </c>
    </row>
    <row r="29" customFormat="false" ht="12.8" hidden="false" customHeight="false" outlineLevel="0" collapsed="false">
      <c r="A29" s="41" t="s">
        <v>592</v>
      </c>
      <c r="B29" s="41" t="s">
        <v>593</v>
      </c>
      <c r="C29" s="41" t="n">
        <v>0.042</v>
      </c>
      <c r="D29" s="41" t="s">
        <v>594</v>
      </c>
      <c r="E29" s="41" t="s">
        <v>587</v>
      </c>
      <c r="F29" s="41" t="s">
        <v>489</v>
      </c>
      <c r="G29" s="41" t="s">
        <v>588</v>
      </c>
      <c r="H29" s="43" t="s">
        <v>491</v>
      </c>
    </row>
    <row r="30" customFormat="false" ht="12.8" hidden="false" customHeight="false" outlineLevel="0" collapsed="false">
      <c r="A30" s="41" t="s">
        <v>595</v>
      </c>
      <c r="B30" s="41" t="s">
        <v>596</v>
      </c>
      <c r="C30" s="41" t="n">
        <v>1.643</v>
      </c>
      <c r="D30" s="41" t="s">
        <v>597</v>
      </c>
      <c r="E30" s="41" t="s">
        <v>598</v>
      </c>
      <c r="F30" s="41" t="s">
        <v>548</v>
      </c>
      <c r="G30" s="41" t="s">
        <v>599</v>
      </c>
      <c r="H30" s="43" t="s">
        <v>491</v>
      </c>
    </row>
    <row r="31" customFormat="false" ht="12.8" hidden="false" customHeight="false" outlineLevel="0" collapsed="false">
      <c r="A31" s="41" t="s">
        <v>600</v>
      </c>
      <c r="B31" s="41" t="s">
        <v>601</v>
      </c>
      <c r="C31" s="41" t="n">
        <v>30.01</v>
      </c>
      <c r="D31" s="41" t="s">
        <v>602</v>
      </c>
      <c r="E31" s="41" t="s">
        <v>603</v>
      </c>
      <c r="F31" s="41" t="s">
        <v>489</v>
      </c>
      <c r="G31" s="41" t="s">
        <v>604</v>
      </c>
      <c r="H31" s="43" t="s">
        <v>491</v>
      </c>
    </row>
    <row r="32" customFormat="false" ht="12.8" hidden="false" customHeight="false" outlineLevel="0" collapsed="false">
      <c r="A32" s="41" t="s">
        <v>605</v>
      </c>
      <c r="B32" s="41" t="s">
        <v>606</v>
      </c>
      <c r="C32" s="41" t="n">
        <v>35.1</v>
      </c>
      <c r="D32" s="41" t="s">
        <v>607</v>
      </c>
      <c r="E32" s="41" t="s">
        <v>603</v>
      </c>
      <c r="F32" s="41" t="s">
        <v>489</v>
      </c>
      <c r="G32" s="41" t="s">
        <v>588</v>
      </c>
      <c r="H32" s="43" t="s">
        <v>491</v>
      </c>
    </row>
    <row r="33" customFormat="false" ht="12.8" hidden="false" customHeight="false" outlineLevel="0" collapsed="false">
      <c r="A33" s="41" t="s">
        <v>608</v>
      </c>
      <c r="B33" s="41" t="s">
        <v>609</v>
      </c>
      <c r="C33" s="41" t="n">
        <v>1.05</v>
      </c>
      <c r="D33" s="41" t="s">
        <v>610</v>
      </c>
      <c r="E33" s="41" t="s">
        <v>587</v>
      </c>
      <c r="F33" s="41" t="s">
        <v>548</v>
      </c>
      <c r="G33" s="41" t="s">
        <v>611</v>
      </c>
      <c r="H33" s="43" t="s">
        <v>491</v>
      </c>
    </row>
    <row r="34" customFormat="false" ht="12.8" hidden="false" customHeight="false" outlineLevel="0" collapsed="false">
      <c r="A34" s="41" t="s">
        <v>612</v>
      </c>
      <c r="B34" s="41" t="s">
        <v>613</v>
      </c>
      <c r="C34" s="41" t="n">
        <v>0.17</v>
      </c>
      <c r="D34" s="41" t="s">
        <v>614</v>
      </c>
      <c r="E34" s="41" t="s">
        <v>615</v>
      </c>
      <c r="F34" s="41" t="s">
        <v>548</v>
      </c>
      <c r="G34" s="41" t="s">
        <v>616</v>
      </c>
      <c r="H34" s="43" t="s">
        <v>491</v>
      </c>
    </row>
    <row r="35" customFormat="false" ht="12.8" hidden="false" customHeight="false" outlineLevel="0" collapsed="false">
      <c r="A35" s="41" t="s">
        <v>617</v>
      </c>
      <c r="B35" s="41" t="s">
        <v>618</v>
      </c>
      <c r="C35" s="41" t="n">
        <v>0.0765</v>
      </c>
      <c r="D35" s="41" t="s">
        <v>619</v>
      </c>
      <c r="E35" s="41" t="s">
        <v>620</v>
      </c>
      <c r="F35" s="41" t="s">
        <v>489</v>
      </c>
      <c r="G35" s="41" t="s">
        <v>621</v>
      </c>
      <c r="H35" s="43" t="s">
        <v>491</v>
      </c>
    </row>
    <row r="36" customFormat="false" ht="12.8" hidden="false" customHeight="false" outlineLevel="0" collapsed="false">
      <c r="A36" s="41" t="s">
        <v>622</v>
      </c>
      <c r="B36" s="41" t="s">
        <v>623</v>
      </c>
      <c r="C36" s="41" t="n">
        <v>150000000</v>
      </c>
      <c r="D36" s="41" t="s">
        <v>624</v>
      </c>
      <c r="E36" s="41" t="s">
        <v>625</v>
      </c>
      <c r="F36" s="41" t="s">
        <v>548</v>
      </c>
      <c r="G36" s="41" t="s">
        <v>626</v>
      </c>
      <c r="H36" s="43" t="s">
        <v>491</v>
      </c>
    </row>
    <row r="37" customFormat="false" ht="12.8" hidden="false" customHeight="false" outlineLevel="0" collapsed="false">
      <c r="A37" s="41" t="s">
        <v>627</v>
      </c>
      <c r="B37" s="41" t="s">
        <v>628</v>
      </c>
      <c r="C37" s="41" t="n">
        <v>120000000</v>
      </c>
      <c r="D37" s="41" t="s">
        <v>629</v>
      </c>
      <c r="E37" s="41" t="s">
        <v>630</v>
      </c>
      <c r="F37" s="41" t="s">
        <v>548</v>
      </c>
      <c r="G37" s="41" t="s">
        <v>631</v>
      </c>
      <c r="H37" s="43" t="s">
        <v>491</v>
      </c>
    </row>
    <row r="38" customFormat="false" ht="12.8" hidden="false" customHeight="false" outlineLevel="0" collapsed="false">
      <c r="A38" s="41" t="s">
        <v>632</v>
      </c>
      <c r="B38" s="41" t="s">
        <v>633</v>
      </c>
      <c r="C38" s="41" t="n">
        <v>80000000</v>
      </c>
      <c r="D38" s="41" t="s">
        <v>634</v>
      </c>
      <c r="E38" s="41" t="s">
        <v>635</v>
      </c>
      <c r="F38" s="41" t="s">
        <v>548</v>
      </c>
      <c r="G38" s="41" t="s">
        <v>636</v>
      </c>
      <c r="H38" s="43" t="s">
        <v>491</v>
      </c>
    </row>
    <row r="39" customFormat="false" ht="12.8" hidden="false" customHeight="false" outlineLevel="0" collapsed="false">
      <c r="A39" s="41" t="s">
        <v>637</v>
      </c>
      <c r="B39" s="41" t="s">
        <v>638</v>
      </c>
      <c r="C39" s="41" t="n">
        <v>0.025</v>
      </c>
      <c r="D39" s="41" t="s">
        <v>639</v>
      </c>
      <c r="E39" s="41" t="s">
        <v>640</v>
      </c>
      <c r="F39" s="41" t="s">
        <v>641</v>
      </c>
      <c r="G39" s="41" t="s">
        <v>642</v>
      </c>
      <c r="H39" s="43" t="s">
        <v>491</v>
      </c>
    </row>
    <row r="40" customFormat="false" ht="12.8" hidden="false" customHeight="false" outlineLevel="0" collapsed="false">
      <c r="A40" s="41" t="s">
        <v>643</v>
      </c>
      <c r="B40" s="41" t="s">
        <v>644</v>
      </c>
      <c r="C40" s="41" t="n">
        <v>0.25</v>
      </c>
      <c r="D40" s="41" t="s">
        <v>645</v>
      </c>
      <c r="E40" s="41" t="s">
        <v>467</v>
      </c>
      <c r="F40" s="41" t="s">
        <v>641</v>
      </c>
      <c r="G40" s="41" t="s">
        <v>646</v>
      </c>
      <c r="H40" s="43" t="s">
        <v>491</v>
      </c>
    </row>
    <row r="41" customFormat="false" ht="12.8" hidden="false" customHeight="false" outlineLevel="0" collapsed="false">
      <c r="A41" s="41" t="s">
        <v>647</v>
      </c>
      <c r="B41" s="41" t="s">
        <v>648</v>
      </c>
      <c r="C41" s="41" t="n">
        <v>0.45</v>
      </c>
      <c r="D41" s="41" t="s">
        <v>649</v>
      </c>
      <c r="E41" s="41" t="s">
        <v>467</v>
      </c>
      <c r="F41" s="41" t="s">
        <v>641</v>
      </c>
      <c r="G41" s="41" t="s">
        <v>646</v>
      </c>
      <c r="H41" s="43" t="s">
        <v>491</v>
      </c>
    </row>
    <row r="42" customFormat="false" ht="12.8" hidden="false" customHeight="false" outlineLevel="0" collapsed="false">
      <c r="A42" s="41" t="s">
        <v>650</v>
      </c>
      <c r="B42" s="41" t="s">
        <v>651</v>
      </c>
      <c r="C42" s="41" t="n">
        <v>0.12</v>
      </c>
      <c r="D42" s="41" t="s">
        <v>652</v>
      </c>
      <c r="E42" s="41" t="s">
        <v>653</v>
      </c>
      <c r="F42" s="41" t="s">
        <v>548</v>
      </c>
      <c r="G42" s="41" t="s">
        <v>654</v>
      </c>
      <c r="H42" s="43" t="s">
        <v>491</v>
      </c>
    </row>
    <row r="43" customFormat="false" ht="12.8" hidden="false" customHeight="false" outlineLevel="0" collapsed="false">
      <c r="A43" s="41" t="s">
        <v>655</v>
      </c>
      <c r="B43" s="41" t="s">
        <v>656</v>
      </c>
      <c r="C43" s="41" t="s">
        <v>657</v>
      </c>
      <c r="D43" s="41" t="s">
        <v>658</v>
      </c>
      <c r="E43" s="41" t="s">
        <v>282</v>
      </c>
      <c r="F43" s="41" t="s">
        <v>489</v>
      </c>
      <c r="G43" s="41" t="s">
        <v>659</v>
      </c>
      <c r="H43" s="43" t="s">
        <v>491</v>
      </c>
    </row>
    <row r="44" customFormat="false" ht="12.8" hidden="false" customHeight="false" outlineLevel="0" collapsed="false">
      <c r="A44" s="41" t="s">
        <v>660</v>
      </c>
      <c r="B44" s="41" t="s">
        <v>661</v>
      </c>
      <c r="C44" s="41" t="n">
        <v>1.02</v>
      </c>
      <c r="D44" s="41" t="s">
        <v>662</v>
      </c>
      <c r="E44" s="41" t="s">
        <v>663</v>
      </c>
      <c r="F44" s="41" t="s">
        <v>548</v>
      </c>
      <c r="G44" s="41" t="s">
        <v>664</v>
      </c>
      <c r="H44" s="43" t="s">
        <v>491</v>
      </c>
    </row>
    <row r="45" customFormat="false" ht="12.8" hidden="false" customHeight="false" outlineLevel="0" collapsed="false">
      <c r="A45" s="41" t="s">
        <v>665</v>
      </c>
      <c r="B45" s="41" t="s">
        <v>666</v>
      </c>
      <c r="C45" s="41" t="n">
        <v>0.08</v>
      </c>
      <c r="D45" s="41" t="s">
        <v>667</v>
      </c>
      <c r="E45" s="41" t="s">
        <v>668</v>
      </c>
      <c r="F45" s="41" t="s">
        <v>548</v>
      </c>
      <c r="G45" s="41" t="s">
        <v>669</v>
      </c>
      <c r="H45" s="43" t="s">
        <v>491</v>
      </c>
    </row>
    <row r="46" customFormat="false" ht="12.8" hidden="false" customHeight="false" outlineLevel="0" collapsed="false">
      <c r="A46" s="41" t="s">
        <v>670</v>
      </c>
      <c r="B46" s="41" t="s">
        <v>671</v>
      </c>
      <c r="C46" s="41" t="n">
        <v>0.22</v>
      </c>
      <c r="D46" s="41" t="s">
        <v>672</v>
      </c>
      <c r="E46" s="41" t="s">
        <v>673</v>
      </c>
      <c r="F46" s="41" t="s">
        <v>548</v>
      </c>
      <c r="G46" s="41" t="s">
        <v>669</v>
      </c>
      <c r="H46" s="43" t="s">
        <v>491</v>
      </c>
    </row>
    <row r="47" customFormat="false" ht="12.8" hidden="false" customHeight="false" outlineLevel="0" collapsed="false">
      <c r="A47" s="41" t="s">
        <v>674</v>
      </c>
      <c r="B47" s="41" t="s">
        <v>675</v>
      </c>
      <c r="C47" s="41" t="n">
        <v>0.1</v>
      </c>
      <c r="D47" s="41" t="s">
        <v>676</v>
      </c>
      <c r="E47" s="41" t="s">
        <v>677</v>
      </c>
      <c r="F47" s="41" t="s">
        <v>548</v>
      </c>
      <c r="G47" s="41" t="s">
        <v>678</v>
      </c>
      <c r="H47" s="43" t="s">
        <v>491</v>
      </c>
    </row>
    <row r="48" customFormat="false" ht="12.8" hidden="false" customHeight="false" outlineLevel="0" collapsed="false">
      <c r="A48" s="41" t="s">
        <v>679</v>
      </c>
      <c r="B48" s="41" t="s">
        <v>680</v>
      </c>
      <c r="C48" s="41" t="n">
        <v>0.0765</v>
      </c>
      <c r="D48" s="41" t="s">
        <v>681</v>
      </c>
      <c r="E48" s="41" t="s">
        <v>620</v>
      </c>
      <c r="F48" s="41" t="s">
        <v>489</v>
      </c>
      <c r="G48" s="41" t="s">
        <v>682</v>
      </c>
      <c r="H48" s="43" t="s">
        <v>491</v>
      </c>
    </row>
    <row r="49" customFormat="false" ht="12.8" hidden="false" customHeight="false" outlineLevel="0" collapsed="false">
      <c r="A49" s="41" t="s">
        <v>683</v>
      </c>
      <c r="B49" s="41" t="s">
        <v>684</v>
      </c>
      <c r="C49" s="41" t="n">
        <v>0.13</v>
      </c>
      <c r="D49" s="41" t="s">
        <v>685</v>
      </c>
      <c r="E49" s="41" t="s">
        <v>686</v>
      </c>
      <c r="F49" s="41" t="s">
        <v>548</v>
      </c>
      <c r="G49" s="41" t="s">
        <v>687</v>
      </c>
      <c r="H49" s="43" t="s">
        <v>491</v>
      </c>
    </row>
    <row r="50" customFormat="false" ht="12.8" hidden="false" customHeight="false" outlineLevel="0" collapsed="false">
      <c r="A50" s="41" t="s">
        <v>688</v>
      </c>
      <c r="B50" s="41" t="s">
        <v>689</v>
      </c>
      <c r="C50" s="41" t="n">
        <v>0.08</v>
      </c>
      <c r="D50" s="41" t="s">
        <v>690</v>
      </c>
      <c r="E50" s="41" t="s">
        <v>686</v>
      </c>
      <c r="F50" s="41" t="s">
        <v>548</v>
      </c>
      <c r="G50" s="41" t="s">
        <v>691</v>
      </c>
      <c r="H50" s="43" t="s">
        <v>491</v>
      </c>
    </row>
    <row r="51" customFormat="false" ht="12.8" hidden="false" customHeight="false" outlineLevel="0" collapsed="false">
      <c r="A51" s="41" t="s">
        <v>692</v>
      </c>
      <c r="B51" s="41" t="s">
        <v>693</v>
      </c>
      <c r="C51" s="41" t="n">
        <v>0.06</v>
      </c>
      <c r="D51" s="41" t="s">
        <v>694</v>
      </c>
      <c r="E51" s="41" t="s">
        <v>686</v>
      </c>
      <c r="F51" s="41" t="s">
        <v>548</v>
      </c>
      <c r="G51" s="41" t="s">
        <v>695</v>
      </c>
      <c r="H51" s="43" t="s">
        <v>491</v>
      </c>
    </row>
    <row r="52" customFormat="false" ht="12.8" hidden="false" customHeight="false" outlineLevel="0" collapsed="false">
      <c r="A52" s="41" t="s">
        <v>696</v>
      </c>
      <c r="B52" s="41" t="s">
        <v>697</v>
      </c>
      <c r="C52" s="41" t="n">
        <v>0.68</v>
      </c>
      <c r="D52" s="41" t="s">
        <v>698</v>
      </c>
      <c r="E52" s="41" t="s">
        <v>699</v>
      </c>
      <c r="F52" s="41" t="s">
        <v>489</v>
      </c>
      <c r="G52" s="41" t="s">
        <v>415</v>
      </c>
      <c r="H52" s="43" t="s">
        <v>491</v>
      </c>
    </row>
    <row r="53" customFormat="false" ht="12.8" hidden="false" customHeight="false" outlineLevel="0" collapsed="false">
      <c r="A53" s="41" t="s">
        <v>700</v>
      </c>
      <c r="B53" s="41" t="s">
        <v>701</v>
      </c>
      <c r="C53" s="41" t="n">
        <v>4.5</v>
      </c>
      <c r="D53" s="41" t="s">
        <v>702</v>
      </c>
      <c r="E53" s="41" t="s">
        <v>703</v>
      </c>
      <c r="F53" s="41" t="s">
        <v>548</v>
      </c>
      <c r="G53" s="41" t="s">
        <v>704</v>
      </c>
      <c r="H53" s="43" t="s">
        <v>491</v>
      </c>
    </row>
    <row r="54" customFormat="false" ht="12.8" hidden="false" customHeight="false" outlineLevel="0" collapsed="false">
      <c r="A54" s="41" t="s">
        <v>705</v>
      </c>
      <c r="B54" s="41" t="s">
        <v>706</v>
      </c>
      <c r="C54" s="41" t="n">
        <v>0.45</v>
      </c>
      <c r="D54" s="41" t="s">
        <v>707</v>
      </c>
      <c r="E54" s="41" t="s">
        <v>703</v>
      </c>
      <c r="F54" s="41" t="s">
        <v>548</v>
      </c>
      <c r="G54" s="41" t="s">
        <v>708</v>
      </c>
      <c r="H54" s="43" t="s">
        <v>491</v>
      </c>
    </row>
    <row r="55" customFormat="false" ht="12.8" hidden="false" customHeight="false" outlineLevel="0" collapsed="false">
      <c r="A55" s="41" t="s">
        <v>709</v>
      </c>
      <c r="B55" s="41" t="s">
        <v>710</v>
      </c>
      <c r="C55" s="41" t="n">
        <v>65</v>
      </c>
      <c r="D55" s="41" t="s">
        <v>711</v>
      </c>
      <c r="E55" s="41" t="s">
        <v>712</v>
      </c>
      <c r="F55" s="41" t="s">
        <v>548</v>
      </c>
      <c r="G55" s="41" t="s">
        <v>687</v>
      </c>
      <c r="H55" s="43" t="s">
        <v>491</v>
      </c>
    </row>
    <row r="56" customFormat="false" ht="12.8" hidden="false" customHeight="false" outlineLevel="0" collapsed="false">
      <c r="A56" s="41" t="s">
        <v>713</v>
      </c>
      <c r="B56" s="41" t="s">
        <v>714</v>
      </c>
      <c r="C56" s="41" t="n">
        <v>3</v>
      </c>
      <c r="D56" s="41" t="s">
        <v>715</v>
      </c>
      <c r="E56" s="41" t="s">
        <v>716</v>
      </c>
      <c r="F56" s="41" t="s">
        <v>548</v>
      </c>
      <c r="G56" s="41" t="s">
        <v>704</v>
      </c>
      <c r="H56" s="43" t="s">
        <v>491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HW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0" topLeftCell="D1" activePane="topRight" state="frozen"/>
      <selection pane="topLeft" activeCell="A1" activeCellId="0" sqref="A1"/>
      <selection pane="topRight" activeCell="A54" activeCellId="1" sqref="155:249 A54"/>
    </sheetView>
  </sheetViews>
  <sheetFormatPr defaultColWidth="11.53515625" defaultRowHeight="12.8" customHeight="false" zeroHeight="false" outlineLevelRow="0" outlineLevelCol="0"/>
  <cols>
    <col collapsed="false" customWidth="false" hidden="false" outlineLevel="0" max="1" min="1" style="34" width="11.53"/>
    <col collapsed="false" customWidth="true" hidden="false" outlineLevel="0" max="2" min="2" style="23" width="43.82"/>
    <col collapsed="false" customWidth="true" hidden="false" outlineLevel="0" max="3" min="3" style="23" width="14.55"/>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false" hidden="false" outlineLevel="0" max="55" min="52" style="38" width="11.53"/>
    <col collapsed="false" customWidth="true" hidden="false" outlineLevel="0" max="56" min="56" style="23" width="18.45"/>
    <col collapsed="false" customWidth="true" hidden="false" outlineLevel="0" max="59" min="57" style="23" width="16.14"/>
    <col collapsed="false" customWidth="true" hidden="false" outlineLevel="0" max="67" min="60" style="23" width="13.84"/>
    <col collapsed="false" customWidth="false" hidden="false" outlineLevel="0" max="16384" min="68" style="38" width="11.53"/>
  </cols>
  <sheetData>
    <row r="1" customFormat="false" ht="12.8" hidden="false" customHeight="false" outlineLevel="0" collapsed="false">
      <c r="A1" s="3" t="s">
        <v>717</v>
      </c>
      <c r="B1" s="35" t="s">
        <v>7</v>
      </c>
      <c r="C1" s="5" t="s">
        <v>2</v>
      </c>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row>
    <row r="2" customFormat="false" ht="12.8" hidden="false" customHeight="false" outlineLevel="0" collapsed="false">
      <c r="A2" s="4" t="s">
        <v>81</v>
      </c>
      <c r="B2" s="4"/>
      <c r="C2" s="4"/>
      <c r="D2" s="4" t="s">
        <v>82</v>
      </c>
      <c r="E2" s="4"/>
      <c r="F2" s="4"/>
      <c r="G2" s="4"/>
      <c r="H2" s="4" t="s">
        <v>83</v>
      </c>
      <c r="I2" s="4"/>
      <c r="J2" s="4"/>
      <c r="K2" s="4"/>
      <c r="L2" s="4" t="s">
        <v>84</v>
      </c>
      <c r="M2" s="4"/>
      <c r="N2" s="4"/>
      <c r="O2" s="4"/>
      <c r="P2" s="4" t="s">
        <v>85</v>
      </c>
      <c r="Q2" s="4"/>
      <c r="R2" s="4"/>
      <c r="S2" s="4"/>
      <c r="T2" s="4" t="s">
        <v>86</v>
      </c>
      <c r="U2" s="4"/>
      <c r="V2" s="4"/>
      <c r="W2" s="4"/>
      <c r="X2" s="4" t="s">
        <v>87</v>
      </c>
      <c r="Y2" s="4"/>
      <c r="Z2" s="4"/>
      <c r="AA2" s="4" t="s">
        <v>88</v>
      </c>
      <c r="AB2" s="4"/>
      <c r="AC2" s="4"/>
      <c r="AD2" s="4" t="s">
        <v>89</v>
      </c>
      <c r="AE2" s="4"/>
      <c r="AF2" s="4"/>
      <c r="AG2" s="4" t="s">
        <v>90</v>
      </c>
      <c r="AH2" s="4"/>
      <c r="AI2" s="4"/>
      <c r="AJ2" s="4" t="s">
        <v>91</v>
      </c>
      <c r="AK2" s="4"/>
      <c r="AL2" s="4"/>
      <c r="AM2" s="4" t="s">
        <v>92</v>
      </c>
      <c r="AN2" s="4"/>
      <c r="AO2" s="4"/>
      <c r="AP2" s="4" t="s">
        <v>93</v>
      </c>
      <c r="AQ2" s="4"/>
      <c r="AR2" s="4"/>
      <c r="AS2" s="4" t="s">
        <v>94</v>
      </c>
      <c r="AT2" s="4"/>
      <c r="AU2" s="4"/>
      <c r="AV2" s="4" t="s">
        <v>95</v>
      </c>
      <c r="AW2" s="4"/>
      <c r="AX2" s="4"/>
      <c r="AY2" s="4"/>
      <c r="AZ2" s="4" t="s">
        <v>96</v>
      </c>
      <c r="BA2" s="4"/>
      <c r="BB2" s="4"/>
      <c r="BC2" s="4"/>
      <c r="BD2" s="4" t="s">
        <v>97</v>
      </c>
      <c r="BE2" s="4"/>
      <c r="BF2" s="4"/>
      <c r="BG2" s="4"/>
      <c r="BH2" s="4" t="s">
        <v>98</v>
      </c>
      <c r="BI2" s="4"/>
      <c r="BJ2" s="4"/>
      <c r="BK2" s="4"/>
      <c r="BL2" s="4" t="s">
        <v>65</v>
      </c>
      <c r="BM2" s="4"/>
      <c r="BN2" s="4"/>
      <c r="BO2" s="4"/>
      <c r="BP2" s="24" t="s">
        <v>99</v>
      </c>
      <c r="BQ2" s="24"/>
      <c r="BR2" s="24"/>
      <c r="BS2" s="24"/>
      <c r="BT2" s="24" t="s">
        <v>100</v>
      </c>
      <c r="BU2" s="24"/>
      <c r="BV2" s="24"/>
      <c r="BW2" s="24"/>
      <c r="BX2" s="24" t="s">
        <v>101</v>
      </c>
      <c r="BY2" s="24"/>
      <c r="BZ2" s="24"/>
      <c r="CA2" s="24"/>
      <c r="CB2" s="24" t="s">
        <v>102</v>
      </c>
      <c r="CC2" s="24"/>
      <c r="CD2" s="24"/>
      <c r="CE2" s="24"/>
      <c r="CF2" s="24" t="s">
        <v>103</v>
      </c>
      <c r="CG2" s="24"/>
      <c r="CH2" s="24"/>
      <c r="CI2" s="24"/>
      <c r="CJ2" s="24" t="s">
        <v>104</v>
      </c>
      <c r="CK2" s="24"/>
      <c r="CL2" s="24"/>
      <c r="CM2" s="24"/>
      <c r="CN2" s="24" t="s">
        <v>105</v>
      </c>
      <c r="CO2" s="24"/>
      <c r="CP2" s="24"/>
      <c r="CQ2" s="24"/>
      <c r="CR2" s="24" t="s">
        <v>106</v>
      </c>
      <c r="CS2" s="24"/>
      <c r="CT2" s="24"/>
      <c r="CU2" s="24"/>
      <c r="CV2" s="24" t="s">
        <v>107</v>
      </c>
      <c r="CW2" s="24"/>
      <c r="CX2" s="24"/>
      <c r="CY2" s="24"/>
      <c r="CZ2" s="24" t="s">
        <v>108</v>
      </c>
      <c r="DA2" s="24"/>
      <c r="DB2" s="24"/>
      <c r="DC2" s="24"/>
      <c r="DD2" s="24" t="s">
        <v>109</v>
      </c>
      <c r="DE2" s="24"/>
      <c r="DF2" s="24"/>
      <c r="DG2" s="24"/>
      <c r="DH2" s="24"/>
      <c r="DI2" s="24"/>
      <c r="DJ2" s="24"/>
      <c r="DK2" s="24"/>
    </row>
    <row r="3" customFormat="false" ht="12.8" hidden="false" customHeight="false" outlineLevel="0" collapsed="false">
      <c r="A3" s="44" t="s">
        <v>110</v>
      </c>
      <c r="B3" s="44" t="s">
        <v>81</v>
      </c>
      <c r="C3" s="44" t="s">
        <v>111</v>
      </c>
      <c r="D3" s="44" t="s">
        <v>33</v>
      </c>
      <c r="E3" s="44" t="s">
        <v>112</v>
      </c>
      <c r="F3" s="44" t="s">
        <v>113</v>
      </c>
      <c r="G3" s="44" t="s">
        <v>114</v>
      </c>
      <c r="H3" s="44" t="s">
        <v>36</v>
      </c>
      <c r="I3" s="44" t="s">
        <v>115</v>
      </c>
      <c r="J3" s="44" t="s">
        <v>116</v>
      </c>
      <c r="K3" s="44" t="s">
        <v>117</v>
      </c>
      <c r="L3" s="44" t="s">
        <v>84</v>
      </c>
      <c r="M3" s="44" t="s">
        <v>118</v>
      </c>
      <c r="N3" s="44" t="s">
        <v>119</v>
      </c>
      <c r="O3" s="44" t="s">
        <v>120</v>
      </c>
      <c r="P3" s="44" t="s">
        <v>42</v>
      </c>
      <c r="Q3" s="44" t="s">
        <v>121</v>
      </c>
      <c r="R3" s="44" t="s">
        <v>122</v>
      </c>
      <c r="S3" s="44" t="s">
        <v>123</v>
      </c>
      <c r="T3" s="44" t="s">
        <v>45</v>
      </c>
      <c r="U3" s="44" t="s">
        <v>124</v>
      </c>
      <c r="V3" s="44" t="s">
        <v>125</v>
      </c>
      <c r="W3" s="44" t="s">
        <v>126</v>
      </c>
      <c r="X3" s="44" t="s">
        <v>127</v>
      </c>
      <c r="Y3" s="44" t="s">
        <v>128</v>
      </c>
      <c r="Z3" s="44" t="s">
        <v>129</v>
      </c>
      <c r="AA3" s="44" t="s">
        <v>130</v>
      </c>
      <c r="AB3" s="44" t="s">
        <v>131</v>
      </c>
      <c r="AC3" s="44" t="s">
        <v>132</v>
      </c>
      <c r="AD3" s="44" t="s">
        <v>133</v>
      </c>
      <c r="AE3" s="44" t="s">
        <v>134</v>
      </c>
      <c r="AF3" s="44" t="s">
        <v>135</v>
      </c>
      <c r="AG3" s="44" t="s">
        <v>136</v>
      </c>
      <c r="AH3" s="44" t="s">
        <v>137</v>
      </c>
      <c r="AI3" s="44" t="s">
        <v>138</v>
      </c>
      <c r="AJ3" s="44" t="s">
        <v>139</v>
      </c>
      <c r="AK3" s="44" t="s">
        <v>140</v>
      </c>
      <c r="AL3" s="44" t="s">
        <v>141</v>
      </c>
      <c r="AM3" s="44" t="s">
        <v>142</v>
      </c>
      <c r="AN3" s="44" t="s">
        <v>143</v>
      </c>
      <c r="AO3" s="44" t="s">
        <v>144</v>
      </c>
      <c r="AP3" s="44" t="s">
        <v>145</v>
      </c>
      <c r="AQ3" s="44" t="s">
        <v>146</v>
      </c>
      <c r="AR3" s="44" t="s">
        <v>147</v>
      </c>
      <c r="AS3" s="44" t="s">
        <v>148</v>
      </c>
      <c r="AT3" s="44" t="s">
        <v>149</v>
      </c>
      <c r="AU3" s="44" t="s">
        <v>150</v>
      </c>
      <c r="AV3" s="44" t="s">
        <v>151</v>
      </c>
      <c r="AW3" s="44" t="s">
        <v>152</v>
      </c>
      <c r="AX3" s="44" t="s">
        <v>153</v>
      </c>
      <c r="AY3" s="44" t="s">
        <v>154</v>
      </c>
      <c r="AZ3" s="44" t="s">
        <v>155</v>
      </c>
      <c r="BA3" s="44" t="s">
        <v>156</v>
      </c>
      <c r="BB3" s="44" t="s">
        <v>157</v>
      </c>
      <c r="BC3" s="44" t="s">
        <v>158</v>
      </c>
      <c r="BD3" s="44" t="s">
        <v>159</v>
      </c>
      <c r="BE3" s="44" t="s">
        <v>160</v>
      </c>
      <c r="BF3" s="44" t="s">
        <v>161</v>
      </c>
      <c r="BG3" s="44" t="s">
        <v>162</v>
      </c>
      <c r="BH3" s="44" t="s">
        <v>163</v>
      </c>
      <c r="BI3" s="44" t="s">
        <v>164</v>
      </c>
      <c r="BJ3" s="44" t="s">
        <v>165</v>
      </c>
      <c r="BK3" s="44" t="s">
        <v>166</v>
      </c>
      <c r="BL3" s="44" t="s">
        <v>167</v>
      </c>
      <c r="BM3" s="44" t="s">
        <v>168</v>
      </c>
      <c r="BN3" s="44" t="s">
        <v>169</v>
      </c>
      <c r="BO3" s="44" t="s">
        <v>170</v>
      </c>
      <c r="BP3" s="44" t="s">
        <v>171</v>
      </c>
      <c r="BQ3" s="44" t="s">
        <v>172</v>
      </c>
      <c r="BR3" s="44" t="s">
        <v>173</v>
      </c>
      <c r="BS3" s="44" t="s">
        <v>174</v>
      </c>
      <c r="BT3" s="44" t="s">
        <v>175</v>
      </c>
      <c r="BU3" s="44" t="s">
        <v>176</v>
      </c>
      <c r="BV3" s="44" t="s">
        <v>177</v>
      </c>
      <c r="BW3" s="44" t="s">
        <v>178</v>
      </c>
      <c r="BX3" s="44" t="s">
        <v>179</v>
      </c>
      <c r="BY3" s="44" t="s">
        <v>180</v>
      </c>
      <c r="BZ3" s="44" t="s">
        <v>181</v>
      </c>
      <c r="CA3" s="44" t="s">
        <v>182</v>
      </c>
      <c r="CB3" s="44" t="s">
        <v>183</v>
      </c>
      <c r="CC3" s="44" t="s">
        <v>184</v>
      </c>
      <c r="CD3" s="44" t="s">
        <v>185</v>
      </c>
      <c r="CE3" s="44" t="s">
        <v>186</v>
      </c>
      <c r="CF3" s="44" t="s">
        <v>187</v>
      </c>
      <c r="CG3" s="44" t="s">
        <v>188</v>
      </c>
      <c r="CH3" s="44" t="s">
        <v>189</v>
      </c>
      <c r="CI3" s="44" t="s">
        <v>190</v>
      </c>
      <c r="CJ3" s="23" t="s">
        <v>191</v>
      </c>
      <c r="CK3" s="23" t="s">
        <v>192</v>
      </c>
      <c r="CL3" s="23" t="s">
        <v>193</v>
      </c>
      <c r="CM3" s="23" t="s">
        <v>194</v>
      </c>
      <c r="CN3" s="23" t="s">
        <v>195</v>
      </c>
      <c r="CO3" s="23" t="s">
        <v>196</v>
      </c>
      <c r="CP3" s="23" t="s">
        <v>197</v>
      </c>
      <c r="CQ3" s="23" t="s">
        <v>198</v>
      </c>
      <c r="CR3" s="23" t="s">
        <v>199</v>
      </c>
      <c r="CS3" s="23" t="s">
        <v>200</v>
      </c>
      <c r="CT3" s="23" t="s">
        <v>201</v>
      </c>
      <c r="CU3" s="23" t="s">
        <v>202</v>
      </c>
      <c r="CV3" s="23" t="s">
        <v>203</v>
      </c>
      <c r="CW3" s="23" t="s">
        <v>204</v>
      </c>
      <c r="CX3" s="23" t="s">
        <v>205</v>
      </c>
      <c r="CY3" s="23" t="s">
        <v>206</v>
      </c>
      <c r="CZ3" s="23" t="s">
        <v>207</v>
      </c>
      <c r="DA3" s="23" t="s">
        <v>208</v>
      </c>
      <c r="DB3" s="23" t="s">
        <v>209</v>
      </c>
      <c r="DC3" s="23" t="s">
        <v>210</v>
      </c>
      <c r="DD3" s="23" t="s">
        <v>211</v>
      </c>
      <c r="DE3" s="23" t="s">
        <v>212</v>
      </c>
      <c r="DF3" s="23" t="s">
        <v>213</v>
      </c>
      <c r="DG3" s="23" t="s">
        <v>214</v>
      </c>
      <c r="DH3" s="23" t="s">
        <v>215</v>
      </c>
      <c r="DI3" s="23" t="s">
        <v>216</v>
      </c>
      <c r="DJ3" s="23" t="s">
        <v>217</v>
      </c>
      <c r="DK3" s="23" t="s">
        <v>218</v>
      </c>
    </row>
    <row r="4" customFormat="false" ht="12.8" hidden="false" customHeight="false" outlineLevel="0" collapsed="false">
      <c r="A4" s="23" t="n">
        <v>0</v>
      </c>
      <c r="B4" s="23" t="s">
        <v>222</v>
      </c>
      <c r="C4" s="23" t="s">
        <v>221</v>
      </c>
      <c r="D4" s="23" t="n">
        <v>1444246</v>
      </c>
      <c r="E4" s="23" t="n">
        <v>57770</v>
      </c>
      <c r="F4" s="23" t="n">
        <v>50000</v>
      </c>
      <c r="G4" s="23" t="n">
        <v>1335928</v>
      </c>
      <c r="H4" s="23" t="n">
        <v>0.958</v>
      </c>
      <c r="I4" s="23" t="n">
        <v>1</v>
      </c>
      <c r="J4" s="23" t="n">
        <v>0.9</v>
      </c>
      <c r="K4" s="23" t="n">
        <v>0.958</v>
      </c>
      <c r="L4" s="23" t="n">
        <v>0.59</v>
      </c>
      <c r="M4" s="23" t="n">
        <v>0.619</v>
      </c>
      <c r="N4" s="23" t="n">
        <v>0.678</v>
      </c>
      <c r="O4" s="23" t="n">
        <v>0.59</v>
      </c>
      <c r="P4" s="23" t="n">
        <v>0.042</v>
      </c>
      <c r="Q4" s="23" t="n">
        <v>0</v>
      </c>
      <c r="R4" s="23" t="n">
        <v>0.1</v>
      </c>
      <c r="S4" s="23" t="n">
        <v>0.042</v>
      </c>
      <c r="T4" s="23" t="n">
        <v>0.069</v>
      </c>
      <c r="U4" s="23" t="n">
        <v>0</v>
      </c>
      <c r="V4" s="23" t="n">
        <v>0.18</v>
      </c>
      <c r="W4" s="23" t="n">
        <v>0.069</v>
      </c>
      <c r="X4" s="23" t="n">
        <v>29.76</v>
      </c>
      <c r="Y4" s="23" t="n">
        <v>20</v>
      </c>
      <c r="Z4" s="23" t="n">
        <v>45</v>
      </c>
      <c r="AA4" s="23" t="n">
        <v>54162</v>
      </c>
      <c r="AB4" s="23" t="n">
        <v>36400</v>
      </c>
      <c r="AC4" s="23" t="n">
        <v>81900</v>
      </c>
      <c r="AD4" s="23" t="n">
        <v>27.38</v>
      </c>
      <c r="AE4" s="23" t="n">
        <v>20</v>
      </c>
      <c r="AF4" s="23" t="n">
        <v>40</v>
      </c>
      <c r="AG4" s="23" t="n">
        <v>50305</v>
      </c>
      <c r="AH4" s="23" t="n">
        <v>36400</v>
      </c>
      <c r="AI4" s="23" t="n">
        <v>72800</v>
      </c>
      <c r="AJ4" s="23" t="n">
        <v>23.21</v>
      </c>
      <c r="AK4" s="23" t="n">
        <v>20</v>
      </c>
      <c r="AL4" s="23" t="n">
        <v>35</v>
      </c>
      <c r="AM4" s="23" t="n">
        <v>44076</v>
      </c>
      <c r="AN4" s="23" t="n">
        <v>36400</v>
      </c>
      <c r="AO4" s="23" t="n">
        <v>63700</v>
      </c>
      <c r="AP4" s="23" t="n">
        <v>30.01</v>
      </c>
      <c r="AQ4" s="23" t="n">
        <v>20</v>
      </c>
      <c r="AR4" s="23" t="n">
        <v>45</v>
      </c>
      <c r="AS4" s="23" t="n">
        <v>54658</v>
      </c>
      <c r="AT4" s="23" t="n">
        <v>36400</v>
      </c>
      <c r="AU4" s="23" t="n">
        <v>81900</v>
      </c>
      <c r="AV4" s="23" t="n">
        <v>9248649200</v>
      </c>
      <c r="AW4" s="23" t="n">
        <v>281851851</v>
      </c>
      <c r="AX4" s="23" t="n">
        <v>112742647</v>
      </c>
      <c r="AY4" s="23" t="n">
        <v>8855054870</v>
      </c>
      <c r="AZ4" s="23" t="n">
        <v>11140613983</v>
      </c>
      <c r="BA4" s="23" t="n">
        <v>384096166</v>
      </c>
      <c r="BB4" s="23" t="n">
        <v>117038194</v>
      </c>
      <c r="BC4" s="23" t="n">
        <v>10637471623</v>
      </c>
      <c r="BD4" s="23" t="n">
        <v>150000000</v>
      </c>
      <c r="BE4" s="23" t="n">
        <v>135000000</v>
      </c>
      <c r="BF4" s="23" t="n">
        <v>0</v>
      </c>
      <c r="BG4" s="23" t="n">
        <v>15000000</v>
      </c>
      <c r="BH4" s="23" t="n">
        <v>120000000</v>
      </c>
      <c r="BI4" s="23" t="n">
        <v>30000000</v>
      </c>
      <c r="BJ4" s="23" t="n">
        <v>60000000</v>
      </c>
      <c r="BK4" s="23" t="n">
        <v>30000000</v>
      </c>
      <c r="BL4" s="23" t="n">
        <v>80000000</v>
      </c>
      <c r="BM4" s="23" t="n">
        <v>20000000</v>
      </c>
      <c r="BN4" s="23" t="n">
        <v>4000000</v>
      </c>
      <c r="BO4" s="23" t="n">
        <v>56000000</v>
      </c>
      <c r="BP4" s="23" t="n">
        <v>1399400</v>
      </c>
      <c r="BQ4" s="23" t="n">
        <v>57770</v>
      </c>
      <c r="BR4" s="23" t="n">
        <v>45000</v>
      </c>
      <c r="BS4" s="23" t="n">
        <v>1294574</v>
      </c>
      <c r="BT4" s="23" t="n">
        <v>35.1</v>
      </c>
      <c r="BU4" s="23" t="n">
        <v>35.7</v>
      </c>
      <c r="BV4" s="23" t="n">
        <v>36.75</v>
      </c>
      <c r="BW4" s="23" t="n">
        <v>34.96</v>
      </c>
      <c r="BX4" s="23" t="n">
        <v>20</v>
      </c>
      <c r="BY4" s="23" t="n">
        <v>50</v>
      </c>
      <c r="BZ4" s="23" t="n">
        <v>0.68</v>
      </c>
      <c r="CA4" s="23" t="n">
        <v>0.68</v>
      </c>
      <c r="CB4" s="23" t="n">
        <v>0.72</v>
      </c>
      <c r="CC4" s="23" t="n">
        <v>0.68</v>
      </c>
      <c r="CD4" s="23" t="n">
        <v>0.32</v>
      </c>
      <c r="CE4" s="23" t="n">
        <v>0.32</v>
      </c>
      <c r="CF4" s="23" t="n">
        <v>0.28</v>
      </c>
      <c r="CG4" s="23" t="n">
        <v>0.32</v>
      </c>
      <c r="CH4" s="23" t="n">
        <v>4.5</v>
      </c>
      <c r="CI4" s="23" t="n">
        <v>4</v>
      </c>
      <c r="CJ4" s="23" t="n">
        <v>3.2</v>
      </c>
      <c r="CK4" s="23" t="n">
        <v>4.6</v>
      </c>
      <c r="CL4" s="23" t="n">
        <v>1</v>
      </c>
      <c r="CM4" s="23" t="n">
        <v>10</v>
      </c>
      <c r="CN4" s="23" t="n">
        <v>0.45</v>
      </c>
      <c r="CO4" s="23" t="n">
        <v>0.5</v>
      </c>
      <c r="CP4" s="23" t="n">
        <v>0.63</v>
      </c>
      <c r="CQ4" s="23" t="n">
        <v>0.44</v>
      </c>
      <c r="CR4" s="23" t="n">
        <v>65</v>
      </c>
      <c r="CS4" s="23" t="n">
        <v>61.75</v>
      </c>
      <c r="CT4" s="23" t="n">
        <v>58.16</v>
      </c>
      <c r="CU4" s="23" t="n">
        <v>65.45</v>
      </c>
      <c r="CV4" s="23" t="n">
        <v>3</v>
      </c>
      <c r="CW4" s="23" t="n">
        <v>2.7</v>
      </c>
      <c r="CX4" s="23" t="n">
        <v>2.2</v>
      </c>
      <c r="CY4" s="23" t="n">
        <v>3.1</v>
      </c>
      <c r="CZ4" s="23" t="n">
        <v>924864920</v>
      </c>
      <c r="DA4" s="23" t="n">
        <v>281851851</v>
      </c>
      <c r="DB4" s="23" t="n">
        <v>112742647</v>
      </c>
      <c r="DC4" s="23" t="n">
        <v>885505487</v>
      </c>
      <c r="DD4" s="23" t="n">
        <v>11140613983</v>
      </c>
      <c r="DE4" s="23" t="n">
        <v>384096166</v>
      </c>
      <c r="DF4" s="23" t="n">
        <v>117038194</v>
      </c>
      <c r="DG4" s="23" t="n">
        <v>10637471623</v>
      </c>
      <c r="DH4" s="23" t="n">
        <v>0.12</v>
      </c>
      <c r="DI4" s="23" t="n">
        <v>0.08</v>
      </c>
      <c r="DJ4" s="23" t="n">
        <v>0.06</v>
      </c>
      <c r="DK4" s="23" t="n">
        <v>0.13</v>
      </c>
    </row>
    <row r="5" customFormat="false" ht="12.8" hidden="false" customHeight="false" outlineLevel="0" collapsed="false">
      <c r="A5" s="23" t="n">
        <v>1</v>
      </c>
      <c r="B5" s="23" t="s">
        <v>224</v>
      </c>
      <c r="C5" s="23" t="s">
        <v>223</v>
      </c>
      <c r="D5" s="23" t="n">
        <v>28319</v>
      </c>
      <c r="E5" s="23" t="n">
        <v>1133</v>
      </c>
      <c r="F5" s="23" t="n">
        <v>1962</v>
      </c>
      <c r="G5" s="23" t="n">
        <v>23788</v>
      </c>
      <c r="H5" s="23" t="n">
        <v>0.958</v>
      </c>
      <c r="I5" s="23" t="n">
        <v>0.98</v>
      </c>
      <c r="J5" s="23" t="n">
        <v>0.85</v>
      </c>
      <c r="K5" s="23" t="n">
        <v>0.958</v>
      </c>
      <c r="L5" s="23" t="n">
        <v>0.012</v>
      </c>
      <c r="M5" s="23" t="n">
        <v>0.619</v>
      </c>
      <c r="N5" s="23" t="n">
        <v>0.678</v>
      </c>
      <c r="O5" s="23" t="n">
        <v>0.011</v>
      </c>
      <c r="P5" s="23" t="n">
        <v>0.042</v>
      </c>
      <c r="Q5" s="23" t="n">
        <v>0.02</v>
      </c>
      <c r="R5" s="23" t="n">
        <v>0.15</v>
      </c>
      <c r="S5" s="23" t="n">
        <v>0.042</v>
      </c>
      <c r="T5" s="23" t="n">
        <v>0.069</v>
      </c>
      <c r="U5" s="23" t="n">
        <v>0.033</v>
      </c>
      <c r="V5" s="23" t="n">
        <v>0.27</v>
      </c>
      <c r="W5" s="23" t="n">
        <v>0.069</v>
      </c>
      <c r="X5" s="23" t="n">
        <v>25.5</v>
      </c>
      <c r="Y5" s="23" t="n">
        <v>20</v>
      </c>
      <c r="Z5" s="23" t="n">
        <v>35</v>
      </c>
      <c r="AA5" s="23" t="n">
        <v>55860</v>
      </c>
      <c r="AB5" s="23" t="n">
        <v>43680</v>
      </c>
      <c r="AC5" s="23" t="n">
        <v>76440</v>
      </c>
      <c r="AD5" s="23" t="n">
        <v>24.99</v>
      </c>
      <c r="AE5" s="23" t="n">
        <v>20</v>
      </c>
      <c r="AF5" s="23" t="n">
        <v>34.3</v>
      </c>
      <c r="AG5" s="23" t="n">
        <v>54708</v>
      </c>
      <c r="AH5" s="23" t="n">
        <v>43680</v>
      </c>
      <c r="AI5" s="23" t="n">
        <v>74874</v>
      </c>
      <c r="AJ5" s="23" t="n">
        <v>21.68</v>
      </c>
      <c r="AK5" s="23" t="n">
        <v>20</v>
      </c>
      <c r="AL5" s="23" t="n">
        <v>29.75</v>
      </c>
      <c r="AM5" s="23" t="n">
        <v>47500</v>
      </c>
      <c r="AN5" s="23" t="n">
        <v>43680</v>
      </c>
      <c r="AO5" s="23" t="n">
        <v>64938</v>
      </c>
      <c r="AP5" s="23" t="n">
        <v>25.5</v>
      </c>
      <c r="AQ5" s="23" t="n">
        <v>20</v>
      </c>
      <c r="AR5" s="23" t="n">
        <v>35</v>
      </c>
      <c r="AS5" s="23" t="n">
        <v>55860</v>
      </c>
      <c r="AT5" s="23" t="n">
        <v>43680</v>
      </c>
      <c r="AU5" s="23" t="n">
        <v>76440</v>
      </c>
      <c r="AV5" s="23" t="n">
        <v>181200000</v>
      </c>
      <c r="AW5" s="23" t="n">
        <v>6000000</v>
      </c>
      <c r="AX5" s="23" t="n">
        <v>2400000</v>
      </c>
      <c r="AY5" s="23" t="n">
        <v>172800000</v>
      </c>
      <c r="AZ5" s="23" t="n">
        <v>218000000</v>
      </c>
      <c r="BA5" s="23" t="n">
        <v>7200000</v>
      </c>
      <c r="BB5" s="23" t="n">
        <v>2200000</v>
      </c>
      <c r="BC5" s="23" t="n">
        <v>208600000</v>
      </c>
      <c r="BD5" s="23" t="n">
        <v>5000000</v>
      </c>
      <c r="BE5" s="23" t="n">
        <v>4500000</v>
      </c>
      <c r="BF5" s="23" t="n">
        <v>0</v>
      </c>
      <c r="BG5" s="23" t="n">
        <v>500000</v>
      </c>
      <c r="BH5" s="23" t="n">
        <v>4000000</v>
      </c>
      <c r="BI5" s="23" t="n">
        <v>1000000</v>
      </c>
      <c r="BJ5" s="23" t="n">
        <v>2000000</v>
      </c>
      <c r="BK5" s="23" t="n">
        <v>1000000</v>
      </c>
      <c r="BL5" s="23" t="n">
        <v>3000000</v>
      </c>
      <c r="BM5" s="23" t="n">
        <v>750000</v>
      </c>
      <c r="BN5" s="23" t="n">
        <v>150000</v>
      </c>
      <c r="BO5" s="23" t="n">
        <v>2100000</v>
      </c>
      <c r="BP5" s="23" t="n">
        <v>27140</v>
      </c>
      <c r="BQ5" s="23" t="n">
        <v>1140</v>
      </c>
      <c r="BR5" s="23" t="n">
        <v>1840</v>
      </c>
      <c r="BS5" s="23" t="n">
        <v>24160</v>
      </c>
      <c r="BT5" s="23" t="n">
        <v>42</v>
      </c>
      <c r="BU5" s="23" t="n">
        <v>42.8</v>
      </c>
      <c r="BV5" s="23" t="n">
        <v>44.1</v>
      </c>
      <c r="BW5" s="23" t="n">
        <v>41.8</v>
      </c>
      <c r="BX5" s="23" t="n">
        <v>30</v>
      </c>
      <c r="BY5" s="23" t="n">
        <v>55</v>
      </c>
      <c r="BZ5" s="23" t="n">
        <v>0.85</v>
      </c>
      <c r="CA5" s="23" t="n">
        <v>0.88</v>
      </c>
      <c r="CB5" s="23" t="n">
        <v>0.9</v>
      </c>
      <c r="CC5" s="23" t="n">
        <v>0.84</v>
      </c>
      <c r="CD5" s="23" t="n">
        <v>0.15</v>
      </c>
      <c r="CE5" s="23" t="n">
        <v>0.12</v>
      </c>
      <c r="CF5" s="23" t="n">
        <v>0.1</v>
      </c>
      <c r="CG5" s="23" t="n">
        <v>0.16</v>
      </c>
      <c r="CH5" s="23" t="n">
        <v>3.8</v>
      </c>
      <c r="CI5" s="23" t="n">
        <v>3.5</v>
      </c>
      <c r="CJ5" s="23" t="n">
        <v>2.8</v>
      </c>
      <c r="CK5" s="23" t="n">
        <v>3.9</v>
      </c>
      <c r="CL5" s="23" t="n">
        <v>1</v>
      </c>
      <c r="CM5" s="23" t="n">
        <v>8</v>
      </c>
      <c r="CN5" s="23" t="n">
        <v>0.55</v>
      </c>
      <c r="CO5" s="23" t="n">
        <v>0.6</v>
      </c>
      <c r="CP5" s="23" t="n">
        <v>0.7</v>
      </c>
      <c r="CQ5" s="23" t="n">
        <v>0.54</v>
      </c>
      <c r="CR5" s="23" t="n">
        <v>55</v>
      </c>
      <c r="CS5" s="23" t="n">
        <v>52.25</v>
      </c>
      <c r="CT5" s="23" t="n">
        <v>49.2</v>
      </c>
      <c r="CU5" s="23" t="n">
        <v>55.9</v>
      </c>
      <c r="CV5" s="23" t="n">
        <v>2.8</v>
      </c>
      <c r="CW5" s="23" t="n">
        <v>2.5</v>
      </c>
      <c r="CX5" s="23" t="n">
        <v>2</v>
      </c>
      <c r="CY5" s="23" t="n">
        <v>2.9</v>
      </c>
      <c r="CZ5" s="23" t="n">
        <v>18120000</v>
      </c>
      <c r="DA5" s="23" t="n">
        <v>6000000</v>
      </c>
      <c r="DB5" s="23" t="n">
        <v>2400000</v>
      </c>
      <c r="DC5" s="23" t="n">
        <v>17280000</v>
      </c>
      <c r="DD5" s="23" t="n">
        <v>218000000</v>
      </c>
      <c r="DE5" s="23" t="n">
        <v>7200000</v>
      </c>
      <c r="DF5" s="23" t="n">
        <v>2200000</v>
      </c>
      <c r="DG5" s="23" t="n">
        <v>208600000</v>
      </c>
      <c r="DH5" s="23" t="n">
        <v>0.25</v>
      </c>
      <c r="DI5" s="23" t="n">
        <v>0.18</v>
      </c>
      <c r="DJ5" s="23" t="n">
        <v>0.15</v>
      </c>
      <c r="DK5" s="23" t="n">
        <v>0.26</v>
      </c>
      <c r="HW5" s="23" t="n">
        <v>0.1</v>
      </c>
    </row>
    <row r="6" customFormat="false" ht="12.8" hidden="false" customHeight="false" outlineLevel="0" collapsed="false">
      <c r="A6" s="23" t="n">
        <v>2</v>
      </c>
      <c r="B6" s="23" t="s">
        <v>224</v>
      </c>
      <c r="C6" s="23" t="s">
        <v>225</v>
      </c>
      <c r="D6" s="23" t="n">
        <v>7080</v>
      </c>
      <c r="E6" s="23" t="n">
        <v>283</v>
      </c>
      <c r="F6" s="23" t="n">
        <v>491</v>
      </c>
      <c r="G6" s="23" t="n">
        <v>5947</v>
      </c>
      <c r="H6" s="23" t="n">
        <v>0.958</v>
      </c>
      <c r="I6" s="23" t="n">
        <v>0.98</v>
      </c>
      <c r="J6" s="23" t="n">
        <v>0.85</v>
      </c>
      <c r="K6" s="23" t="n">
        <v>0.958</v>
      </c>
      <c r="L6" s="23" t="n">
        <v>0.003</v>
      </c>
      <c r="M6" s="23" t="n">
        <v>0.619</v>
      </c>
      <c r="N6" s="23" t="n">
        <v>0.678</v>
      </c>
      <c r="O6" s="23" t="n">
        <v>0.003</v>
      </c>
      <c r="P6" s="23" t="n">
        <v>0.042</v>
      </c>
      <c r="Q6" s="23" t="n">
        <v>0.02</v>
      </c>
      <c r="R6" s="23" t="n">
        <v>0.15</v>
      </c>
      <c r="S6" s="23" t="n">
        <v>0.042</v>
      </c>
      <c r="T6" s="23" t="n">
        <v>0.069</v>
      </c>
      <c r="U6" s="23" t="n">
        <v>0.033</v>
      </c>
      <c r="V6" s="23" t="n">
        <v>0.27</v>
      </c>
      <c r="W6" s="23" t="n">
        <v>0.069</v>
      </c>
      <c r="X6" s="23" t="n">
        <v>25.5</v>
      </c>
      <c r="Y6" s="23" t="n">
        <v>20</v>
      </c>
      <c r="Z6" s="23" t="n">
        <v>35</v>
      </c>
      <c r="AA6" s="23" t="n">
        <v>55860</v>
      </c>
      <c r="AB6" s="23" t="n">
        <v>43680</v>
      </c>
      <c r="AC6" s="23" t="n">
        <v>76440</v>
      </c>
      <c r="AD6" s="23" t="n">
        <v>24.99</v>
      </c>
      <c r="AE6" s="23" t="n">
        <v>20</v>
      </c>
      <c r="AF6" s="23" t="n">
        <v>34.3</v>
      </c>
      <c r="AG6" s="23" t="n">
        <v>54708</v>
      </c>
      <c r="AH6" s="23" t="n">
        <v>43680</v>
      </c>
      <c r="AI6" s="23" t="n">
        <v>74874</v>
      </c>
      <c r="AJ6" s="23" t="n">
        <v>21.68</v>
      </c>
      <c r="AK6" s="23" t="n">
        <v>20</v>
      </c>
      <c r="AL6" s="23" t="n">
        <v>29.75</v>
      </c>
      <c r="AM6" s="23" t="n">
        <v>47500</v>
      </c>
      <c r="AN6" s="23" t="n">
        <v>43680</v>
      </c>
      <c r="AO6" s="23" t="n">
        <v>64938</v>
      </c>
      <c r="AP6" s="23" t="n">
        <v>25.5</v>
      </c>
      <c r="AQ6" s="23" t="n">
        <v>20</v>
      </c>
      <c r="AR6" s="23" t="n">
        <v>35</v>
      </c>
      <c r="AS6" s="23" t="n">
        <v>55860</v>
      </c>
      <c r="AT6" s="23" t="n">
        <v>43680</v>
      </c>
      <c r="AU6" s="23" t="n">
        <v>76440</v>
      </c>
      <c r="AV6" s="23" t="n">
        <v>45300000</v>
      </c>
      <c r="AW6" s="23" t="n">
        <v>1500000</v>
      </c>
      <c r="AX6" s="23" t="n">
        <v>600000</v>
      </c>
      <c r="AY6" s="23" t="n">
        <v>43200000</v>
      </c>
      <c r="AZ6" s="23" t="n">
        <v>54500000</v>
      </c>
      <c r="BA6" s="23" t="n">
        <v>1800000</v>
      </c>
      <c r="BB6" s="23" t="n">
        <v>550000</v>
      </c>
      <c r="BC6" s="23" t="n">
        <v>52150000</v>
      </c>
      <c r="BD6" s="23" t="n">
        <v>1250000</v>
      </c>
      <c r="BE6" s="23" t="n">
        <v>1125000</v>
      </c>
      <c r="BF6" s="23" t="n">
        <v>0</v>
      </c>
      <c r="BG6" s="23" t="n">
        <v>125000</v>
      </c>
      <c r="BH6" s="23" t="n">
        <v>1000000</v>
      </c>
      <c r="BI6" s="23" t="n">
        <v>250000</v>
      </c>
      <c r="BJ6" s="23" t="n">
        <v>500000</v>
      </c>
      <c r="BK6" s="23" t="n">
        <v>250000</v>
      </c>
      <c r="BL6" s="23" t="n">
        <v>750000</v>
      </c>
      <c r="BM6" s="23" t="n">
        <v>187500</v>
      </c>
      <c r="BN6" s="23" t="n">
        <v>37500</v>
      </c>
      <c r="BO6" s="23" t="n">
        <v>525000</v>
      </c>
      <c r="BP6" s="23" t="n">
        <v>6785</v>
      </c>
      <c r="BQ6" s="23" t="n">
        <v>285</v>
      </c>
      <c r="BR6" s="23" t="n">
        <v>460</v>
      </c>
      <c r="BS6" s="23" t="n">
        <v>6040</v>
      </c>
      <c r="BT6" s="23" t="n">
        <v>42</v>
      </c>
      <c r="BU6" s="23" t="n">
        <v>42.8</v>
      </c>
      <c r="BV6" s="23" t="n">
        <v>44.1</v>
      </c>
      <c r="BW6" s="23" t="n">
        <v>41.8</v>
      </c>
      <c r="BX6" s="23" t="n">
        <v>30</v>
      </c>
      <c r="BY6" s="23" t="n">
        <v>55</v>
      </c>
      <c r="BZ6" s="23" t="n">
        <v>0.85</v>
      </c>
      <c r="CA6" s="23" t="n">
        <v>0.88</v>
      </c>
      <c r="CB6" s="23" t="n">
        <v>0.9</v>
      </c>
      <c r="CC6" s="23" t="n">
        <v>0.84</v>
      </c>
      <c r="CD6" s="23" t="n">
        <v>0.15</v>
      </c>
      <c r="CE6" s="23" t="n">
        <v>0.12</v>
      </c>
      <c r="CF6" s="23" t="n">
        <v>0.1</v>
      </c>
      <c r="CG6" s="23" t="n">
        <v>0.16</v>
      </c>
      <c r="CH6" s="23" t="n">
        <v>3.8</v>
      </c>
      <c r="CI6" s="23" t="n">
        <v>3.5</v>
      </c>
      <c r="CJ6" s="23" t="n">
        <v>2.8</v>
      </c>
      <c r="CK6" s="23" t="n">
        <v>3.9</v>
      </c>
      <c r="CL6" s="23" t="n">
        <v>1</v>
      </c>
      <c r="CM6" s="23" t="n">
        <v>8</v>
      </c>
      <c r="CN6" s="23" t="n">
        <v>0.55</v>
      </c>
      <c r="CO6" s="23" t="n">
        <v>0.6</v>
      </c>
      <c r="CP6" s="23" t="n">
        <v>0.7</v>
      </c>
      <c r="CQ6" s="23" t="n">
        <v>0.54</v>
      </c>
      <c r="CR6" s="23" t="n">
        <v>55</v>
      </c>
      <c r="CS6" s="23" t="n">
        <v>52.25</v>
      </c>
      <c r="CT6" s="23" t="n">
        <v>49.2</v>
      </c>
      <c r="CU6" s="23" t="n">
        <v>55.9</v>
      </c>
      <c r="CV6" s="23" t="n">
        <v>2.8</v>
      </c>
      <c r="CW6" s="23" t="n">
        <v>2.5</v>
      </c>
      <c r="CX6" s="23" t="n">
        <v>2</v>
      </c>
      <c r="CY6" s="23" t="n">
        <v>2.9</v>
      </c>
      <c r="CZ6" s="23" t="n">
        <v>4530000</v>
      </c>
      <c r="DA6" s="23" t="n">
        <v>1500000</v>
      </c>
      <c r="DB6" s="23" t="n">
        <v>600000</v>
      </c>
      <c r="DC6" s="23" t="n">
        <v>4320000</v>
      </c>
      <c r="DD6" s="23" t="n">
        <v>54500000</v>
      </c>
      <c r="DE6" s="23" t="n">
        <v>1800000</v>
      </c>
      <c r="DF6" s="23" t="n">
        <v>550000</v>
      </c>
      <c r="DG6" s="23" t="n">
        <v>52150000</v>
      </c>
      <c r="DH6" s="23" t="n">
        <v>0.25</v>
      </c>
      <c r="DI6" s="23" t="n">
        <v>0.18</v>
      </c>
      <c r="DJ6" s="23" t="n">
        <v>0.15</v>
      </c>
      <c r="DK6" s="23" t="n">
        <v>0.26</v>
      </c>
    </row>
    <row r="7" customFormat="false" ht="12.8" hidden="false" customHeight="false" outlineLevel="0" collapsed="false">
      <c r="A7" s="23" t="n">
        <v>3</v>
      </c>
      <c r="B7" s="23" t="s">
        <v>226</v>
      </c>
      <c r="C7" s="23" t="s">
        <v>223</v>
      </c>
      <c r="D7" s="23" t="n">
        <v>55363</v>
      </c>
      <c r="E7" s="23" t="n">
        <v>2215</v>
      </c>
      <c r="F7" s="23" t="n">
        <v>5754</v>
      </c>
      <c r="G7" s="23" t="n">
        <v>43183</v>
      </c>
      <c r="H7" s="23" t="n">
        <v>0.958</v>
      </c>
      <c r="I7" s="23" t="n">
        <v>0.98</v>
      </c>
      <c r="J7" s="23" t="n">
        <v>0.88</v>
      </c>
      <c r="K7" s="23" t="n">
        <v>0.958</v>
      </c>
      <c r="L7" s="23" t="n">
        <v>0.023</v>
      </c>
      <c r="M7" s="23" t="n">
        <v>0.619</v>
      </c>
      <c r="N7" s="23" t="n">
        <v>0.712</v>
      </c>
      <c r="O7" s="23" t="n">
        <v>0.02</v>
      </c>
      <c r="P7" s="23" t="n">
        <v>0.042</v>
      </c>
      <c r="Q7" s="23" t="n">
        <v>0.02</v>
      </c>
      <c r="R7" s="23" t="n">
        <v>0.12</v>
      </c>
      <c r="S7" s="23" t="n">
        <v>0.042</v>
      </c>
      <c r="T7" s="23" t="n">
        <v>0.069</v>
      </c>
      <c r="U7" s="23" t="n">
        <v>0.033</v>
      </c>
      <c r="V7" s="23" t="n">
        <v>0.216</v>
      </c>
      <c r="W7" s="23" t="n">
        <v>0.069</v>
      </c>
      <c r="X7" s="23" t="n">
        <v>32.5</v>
      </c>
      <c r="Y7" s="23" t="n">
        <v>22</v>
      </c>
      <c r="Z7" s="23" t="n">
        <v>50</v>
      </c>
      <c r="AA7" s="23" t="n">
        <v>70200</v>
      </c>
      <c r="AB7" s="23" t="n">
        <v>47520</v>
      </c>
      <c r="AC7" s="23" t="n">
        <v>108000</v>
      </c>
      <c r="AD7" s="23" t="n">
        <v>31.85</v>
      </c>
      <c r="AE7" s="23" t="n">
        <v>22</v>
      </c>
      <c r="AF7" s="23" t="n">
        <v>45</v>
      </c>
      <c r="AG7" s="23" t="n">
        <v>68932</v>
      </c>
      <c r="AH7" s="23" t="n">
        <v>47520</v>
      </c>
      <c r="AI7" s="23" t="n">
        <v>97200</v>
      </c>
      <c r="AJ7" s="23" t="n">
        <v>28.6</v>
      </c>
      <c r="AK7" s="23" t="n">
        <v>22</v>
      </c>
      <c r="AL7" s="23" t="n">
        <v>40.5</v>
      </c>
      <c r="AM7" s="23" t="n">
        <v>61776</v>
      </c>
      <c r="AN7" s="23" t="n">
        <v>47520</v>
      </c>
      <c r="AO7" s="23" t="n">
        <v>87480</v>
      </c>
      <c r="AP7" s="23" t="n">
        <v>32.5</v>
      </c>
      <c r="AQ7" s="23" t="n">
        <v>22</v>
      </c>
      <c r="AR7" s="23" t="n">
        <v>50</v>
      </c>
      <c r="AS7" s="23" t="n">
        <v>70200</v>
      </c>
      <c r="AT7" s="23" t="n">
        <v>47520</v>
      </c>
      <c r="AU7" s="23" t="n">
        <v>108000</v>
      </c>
      <c r="AV7" s="23" t="n">
        <v>372000000</v>
      </c>
      <c r="AW7" s="23" t="n">
        <v>12800000</v>
      </c>
      <c r="AX7" s="23" t="n">
        <v>5120000</v>
      </c>
      <c r="AY7" s="23" t="n">
        <v>354080000</v>
      </c>
      <c r="AZ7" s="23" t="n">
        <v>447600000</v>
      </c>
      <c r="BA7" s="23" t="n">
        <v>17280000</v>
      </c>
      <c r="BB7" s="23" t="n">
        <v>5268000</v>
      </c>
      <c r="BC7" s="23" t="n">
        <v>425088000</v>
      </c>
      <c r="BD7" s="23" t="n">
        <v>12000000</v>
      </c>
      <c r="BE7" s="23" t="n">
        <v>10800000</v>
      </c>
      <c r="BF7" s="23" t="n">
        <v>0</v>
      </c>
      <c r="BG7" s="23" t="n">
        <v>1200000</v>
      </c>
      <c r="BH7" s="23" t="n">
        <v>9600000</v>
      </c>
      <c r="BI7" s="23" t="n">
        <v>2400000</v>
      </c>
      <c r="BJ7" s="23" t="n">
        <v>4800000</v>
      </c>
      <c r="BK7" s="23" t="n">
        <v>2400000</v>
      </c>
      <c r="BL7" s="23" t="n">
        <v>7200000</v>
      </c>
      <c r="BM7" s="23" t="n">
        <v>1800000</v>
      </c>
      <c r="BN7" s="23" t="n">
        <v>360000</v>
      </c>
      <c r="BO7" s="23" t="n">
        <v>5040000</v>
      </c>
      <c r="BP7" s="23" t="n">
        <v>53050</v>
      </c>
      <c r="BQ7" s="23" t="n">
        <v>2228</v>
      </c>
      <c r="BR7" s="23" t="n">
        <v>5390</v>
      </c>
      <c r="BS7" s="23" t="n">
        <v>45432</v>
      </c>
      <c r="BT7" s="23" t="n">
        <v>39.5</v>
      </c>
      <c r="BU7" s="23" t="n">
        <v>40.2</v>
      </c>
      <c r="BV7" s="23" t="n">
        <v>41.5</v>
      </c>
      <c r="BW7" s="23" t="n">
        <v>39</v>
      </c>
      <c r="BX7" s="23" t="n">
        <v>25</v>
      </c>
      <c r="BY7" s="23" t="n">
        <v>60</v>
      </c>
      <c r="BZ7" s="23" t="n">
        <v>0.82</v>
      </c>
      <c r="CA7" s="23" t="n">
        <v>0.85</v>
      </c>
      <c r="CB7" s="23" t="n">
        <v>0.88</v>
      </c>
      <c r="CC7" s="23" t="n">
        <v>0.81</v>
      </c>
      <c r="CD7" s="23" t="n">
        <v>0.18</v>
      </c>
      <c r="CE7" s="23" t="n">
        <v>0.15</v>
      </c>
      <c r="CF7" s="23" t="n">
        <v>0.12</v>
      </c>
      <c r="CG7" s="23" t="n">
        <v>0.19</v>
      </c>
      <c r="CH7" s="23" t="n">
        <v>4.2</v>
      </c>
      <c r="CI7" s="23" t="n">
        <v>3.8</v>
      </c>
      <c r="CJ7" s="23" t="n">
        <v>3</v>
      </c>
      <c r="CK7" s="23" t="n">
        <v>4.3</v>
      </c>
      <c r="CL7" s="23" t="n">
        <v>1</v>
      </c>
      <c r="CM7" s="23" t="n">
        <v>9</v>
      </c>
      <c r="CN7" s="23" t="n">
        <v>0.5</v>
      </c>
      <c r="CO7" s="23" t="n">
        <v>0.55</v>
      </c>
      <c r="CP7" s="23" t="n">
        <v>0.65</v>
      </c>
      <c r="CQ7" s="23" t="n">
        <v>0.49</v>
      </c>
      <c r="CR7" s="23" t="n">
        <v>75</v>
      </c>
      <c r="CS7" s="23" t="n">
        <v>71.25</v>
      </c>
      <c r="CT7" s="23" t="n">
        <v>67.1</v>
      </c>
      <c r="CU7" s="23" t="n">
        <v>75.9</v>
      </c>
      <c r="CV7" s="23" t="n">
        <v>3.5</v>
      </c>
      <c r="CW7" s="23" t="n">
        <v>3.2</v>
      </c>
      <c r="CX7" s="23" t="n">
        <v>2.5</v>
      </c>
      <c r="CY7" s="23" t="n">
        <v>3.6</v>
      </c>
      <c r="CZ7" s="23" t="n">
        <v>37200000</v>
      </c>
      <c r="DA7" s="23" t="n">
        <v>12800000</v>
      </c>
      <c r="DB7" s="23" t="n">
        <v>5120000</v>
      </c>
      <c r="DC7" s="23" t="n">
        <v>35408000</v>
      </c>
      <c r="DD7" s="23" t="n">
        <v>447600000</v>
      </c>
      <c r="DE7" s="23" t="n">
        <v>17280000</v>
      </c>
      <c r="DF7" s="23" t="n">
        <v>5268000</v>
      </c>
      <c r="DG7" s="23" t="n">
        <v>425088000</v>
      </c>
      <c r="DH7" s="23" t="n">
        <v>0.15</v>
      </c>
      <c r="DI7" s="23" t="n">
        <v>0.1</v>
      </c>
      <c r="DJ7" s="23" t="n">
        <v>0.08</v>
      </c>
      <c r="DK7" s="23" t="n">
        <v>0.16</v>
      </c>
    </row>
    <row r="8" customFormat="false" ht="12.8" hidden="false" customHeight="false" outlineLevel="0" collapsed="false">
      <c r="A8" s="23" t="n">
        <v>4</v>
      </c>
      <c r="B8" s="23" t="s">
        <v>226</v>
      </c>
      <c r="C8" s="23" t="s">
        <v>225</v>
      </c>
      <c r="D8" s="23" t="n">
        <v>13841</v>
      </c>
      <c r="E8" s="23" t="n">
        <v>554</v>
      </c>
      <c r="F8" s="23" t="n">
        <v>1439</v>
      </c>
      <c r="G8" s="23" t="n">
        <v>10796</v>
      </c>
      <c r="H8" s="23" t="n">
        <v>0.958</v>
      </c>
      <c r="I8" s="23" t="n">
        <v>0.98</v>
      </c>
      <c r="J8" s="23" t="n">
        <v>0.88</v>
      </c>
      <c r="K8" s="23" t="n">
        <v>0.958</v>
      </c>
      <c r="L8" s="23" t="n">
        <v>0.006</v>
      </c>
      <c r="M8" s="23" t="n">
        <v>0.619</v>
      </c>
      <c r="N8" s="23" t="n">
        <v>0.712</v>
      </c>
      <c r="O8" s="23" t="n">
        <v>0.005</v>
      </c>
      <c r="P8" s="23" t="n">
        <v>0.042</v>
      </c>
      <c r="Q8" s="23" t="n">
        <v>0.02</v>
      </c>
      <c r="R8" s="23" t="n">
        <v>0.12</v>
      </c>
      <c r="S8" s="23" t="n">
        <v>0.042</v>
      </c>
      <c r="T8" s="23" t="n">
        <v>0.069</v>
      </c>
      <c r="U8" s="23" t="n">
        <v>0.033</v>
      </c>
      <c r="V8" s="23" t="n">
        <v>0.216</v>
      </c>
      <c r="W8" s="23" t="n">
        <v>0.069</v>
      </c>
      <c r="X8" s="23" t="n">
        <v>32.5</v>
      </c>
      <c r="Y8" s="23" t="n">
        <v>22</v>
      </c>
      <c r="Z8" s="23" t="n">
        <v>50</v>
      </c>
      <c r="AA8" s="23" t="n">
        <v>70200</v>
      </c>
      <c r="AB8" s="23" t="n">
        <v>47520</v>
      </c>
      <c r="AC8" s="23" t="n">
        <v>108000</v>
      </c>
      <c r="AD8" s="23" t="n">
        <v>31.85</v>
      </c>
      <c r="AE8" s="23" t="n">
        <v>22</v>
      </c>
      <c r="AF8" s="23" t="n">
        <v>45</v>
      </c>
      <c r="AG8" s="23" t="n">
        <v>68932</v>
      </c>
      <c r="AH8" s="23" t="n">
        <v>47520</v>
      </c>
      <c r="AI8" s="23" t="n">
        <v>97200</v>
      </c>
      <c r="AJ8" s="23" t="n">
        <v>28.6</v>
      </c>
      <c r="AK8" s="23" t="n">
        <v>22</v>
      </c>
      <c r="AL8" s="23" t="n">
        <v>40.5</v>
      </c>
      <c r="AM8" s="23" t="n">
        <v>61776</v>
      </c>
      <c r="AN8" s="23" t="n">
        <v>47520</v>
      </c>
      <c r="AO8" s="23" t="n">
        <v>87480</v>
      </c>
      <c r="AP8" s="23" t="n">
        <v>32.5</v>
      </c>
      <c r="AQ8" s="23" t="n">
        <v>22</v>
      </c>
      <c r="AR8" s="23" t="n">
        <v>50</v>
      </c>
      <c r="AS8" s="23" t="n">
        <v>70200</v>
      </c>
      <c r="AT8" s="23" t="n">
        <v>47520</v>
      </c>
      <c r="AU8" s="23" t="n">
        <v>108000</v>
      </c>
      <c r="AV8" s="23" t="n">
        <v>93000000</v>
      </c>
      <c r="AW8" s="23" t="n">
        <v>3200000</v>
      </c>
      <c r="AX8" s="23" t="n">
        <v>1280000</v>
      </c>
      <c r="AY8" s="23" t="n">
        <v>88520000</v>
      </c>
      <c r="AZ8" s="23" t="n">
        <v>111900000</v>
      </c>
      <c r="BA8" s="23" t="n">
        <v>4320000</v>
      </c>
      <c r="BB8" s="23" t="n">
        <v>1317000</v>
      </c>
      <c r="BC8" s="23" t="n">
        <v>106272000</v>
      </c>
      <c r="BD8" s="23" t="n">
        <v>3000000</v>
      </c>
      <c r="BE8" s="23" t="n">
        <v>2700000</v>
      </c>
      <c r="BF8" s="23" t="n">
        <v>0</v>
      </c>
      <c r="BG8" s="23" t="n">
        <v>300000</v>
      </c>
      <c r="BH8" s="23" t="n">
        <v>2400000</v>
      </c>
      <c r="BI8" s="23" t="n">
        <v>600000</v>
      </c>
      <c r="BJ8" s="23" t="n">
        <v>1200000</v>
      </c>
      <c r="BK8" s="23" t="n">
        <v>600000</v>
      </c>
      <c r="BL8" s="23" t="n">
        <v>1800000</v>
      </c>
      <c r="BM8" s="23" t="n">
        <v>450000</v>
      </c>
      <c r="BN8" s="23" t="n">
        <v>90000</v>
      </c>
      <c r="BO8" s="23" t="n">
        <v>1260000</v>
      </c>
      <c r="BP8" s="23" t="n">
        <v>13262</v>
      </c>
      <c r="BQ8" s="23" t="n">
        <v>558</v>
      </c>
      <c r="BR8" s="23" t="n">
        <v>1348</v>
      </c>
      <c r="BS8" s="23" t="n">
        <v>11356</v>
      </c>
      <c r="BT8" s="23" t="n">
        <v>39.5</v>
      </c>
      <c r="BU8" s="23" t="n">
        <v>40.2</v>
      </c>
      <c r="BV8" s="23" t="n">
        <v>41.5</v>
      </c>
      <c r="BW8" s="23" t="n">
        <v>39</v>
      </c>
      <c r="BX8" s="23" t="n">
        <v>25</v>
      </c>
      <c r="BY8" s="23" t="n">
        <v>60</v>
      </c>
      <c r="BZ8" s="23" t="n">
        <v>0.82</v>
      </c>
      <c r="CA8" s="23" t="n">
        <v>0.85</v>
      </c>
      <c r="CB8" s="23" t="n">
        <v>0.88</v>
      </c>
      <c r="CC8" s="23" t="n">
        <v>0.81</v>
      </c>
      <c r="CD8" s="23" t="n">
        <v>0.18</v>
      </c>
      <c r="CE8" s="23" t="n">
        <v>0.15</v>
      </c>
      <c r="CF8" s="23" t="n">
        <v>0.12</v>
      </c>
      <c r="CG8" s="23" t="n">
        <v>0.19</v>
      </c>
      <c r="CH8" s="23" t="n">
        <v>4.2</v>
      </c>
      <c r="CI8" s="23" t="n">
        <v>3.8</v>
      </c>
      <c r="CJ8" s="23" t="n">
        <v>3</v>
      </c>
      <c r="CK8" s="23" t="n">
        <v>4.3</v>
      </c>
      <c r="CL8" s="23" t="n">
        <v>1</v>
      </c>
      <c r="CM8" s="23" t="n">
        <v>9</v>
      </c>
      <c r="CN8" s="23" t="n">
        <v>0.5</v>
      </c>
      <c r="CO8" s="23" t="n">
        <v>0.55</v>
      </c>
      <c r="CP8" s="23" t="n">
        <v>0.65</v>
      </c>
      <c r="CQ8" s="23" t="n">
        <v>0.49</v>
      </c>
      <c r="CR8" s="23" t="n">
        <v>75</v>
      </c>
      <c r="CS8" s="23" t="n">
        <v>71.25</v>
      </c>
      <c r="CT8" s="23" t="n">
        <v>67.1</v>
      </c>
      <c r="CU8" s="23" t="n">
        <v>75.9</v>
      </c>
      <c r="CV8" s="23" t="n">
        <v>3.5</v>
      </c>
      <c r="CW8" s="23" t="n">
        <v>3.2</v>
      </c>
      <c r="CX8" s="23" t="n">
        <v>2.5</v>
      </c>
      <c r="CY8" s="23" t="n">
        <v>3.6</v>
      </c>
      <c r="CZ8" s="23" t="n">
        <v>9300000</v>
      </c>
      <c r="DA8" s="23" t="n">
        <v>3200000</v>
      </c>
      <c r="DB8" s="23" t="n">
        <v>1280000</v>
      </c>
      <c r="DC8" s="23" t="n">
        <v>8852000</v>
      </c>
      <c r="DD8" s="23" t="n">
        <v>111900000</v>
      </c>
      <c r="DE8" s="23" t="n">
        <v>4320000</v>
      </c>
      <c r="DF8" s="23" t="n">
        <v>1317000</v>
      </c>
      <c r="DG8" s="23" t="n">
        <v>106272000</v>
      </c>
      <c r="DH8" s="23" t="n">
        <v>0.15</v>
      </c>
      <c r="DI8" s="23" t="n">
        <v>0.1</v>
      </c>
      <c r="DJ8" s="23" t="n">
        <v>0.08</v>
      </c>
      <c r="DK8" s="23" t="n">
        <v>0.16</v>
      </c>
    </row>
    <row r="9" customFormat="false" ht="12.8" hidden="false" customHeight="false" outlineLevel="0" collapsed="false">
      <c r="A9" s="23" t="n">
        <v>5</v>
      </c>
      <c r="B9" s="23" t="s">
        <v>227</v>
      </c>
      <c r="C9" s="23" t="s">
        <v>223</v>
      </c>
      <c r="D9" s="23" t="n">
        <v>119700</v>
      </c>
      <c r="E9" s="23" t="n">
        <v>4788</v>
      </c>
      <c r="F9" s="23" t="n">
        <v>9576</v>
      </c>
      <c r="G9" s="23" t="n">
        <v>99336</v>
      </c>
      <c r="H9" s="23" t="n">
        <v>0.958</v>
      </c>
      <c r="I9" s="23" t="n">
        <v>0.98</v>
      </c>
      <c r="J9" s="23" t="n">
        <v>0.9</v>
      </c>
      <c r="K9" s="23" t="n">
        <v>0.958</v>
      </c>
      <c r="L9" s="23" t="n">
        <v>0.049</v>
      </c>
      <c r="M9" s="23" t="n">
        <v>0.619</v>
      </c>
      <c r="N9" s="23" t="n">
        <v>0.678</v>
      </c>
      <c r="O9" s="23" t="n">
        <v>0.046</v>
      </c>
      <c r="P9" s="23" t="n">
        <v>0.042</v>
      </c>
      <c r="Q9" s="23" t="n">
        <v>0.02</v>
      </c>
      <c r="R9" s="23" t="n">
        <v>0.1</v>
      </c>
      <c r="S9" s="23" t="n">
        <v>0.042</v>
      </c>
      <c r="T9" s="23" t="n">
        <v>0.069</v>
      </c>
      <c r="U9" s="23" t="n">
        <v>0.033</v>
      </c>
      <c r="V9" s="23" t="n">
        <v>0.18</v>
      </c>
      <c r="W9" s="23" t="n">
        <v>0.069</v>
      </c>
      <c r="X9" s="23" t="n">
        <v>18.5</v>
      </c>
      <c r="Y9" s="23" t="n">
        <v>12</v>
      </c>
      <c r="Z9" s="23" t="n">
        <v>28</v>
      </c>
      <c r="AA9" s="23" t="n">
        <v>39960</v>
      </c>
      <c r="AB9" s="23" t="n">
        <v>25920</v>
      </c>
      <c r="AC9" s="23" t="n">
        <v>60480</v>
      </c>
      <c r="AD9" s="23" t="n">
        <v>18.13</v>
      </c>
      <c r="AE9" s="23" t="n">
        <v>12</v>
      </c>
      <c r="AF9" s="23" t="n">
        <v>27.44</v>
      </c>
      <c r="AG9" s="23" t="n">
        <v>39161</v>
      </c>
      <c r="AH9" s="23" t="n">
        <v>25920</v>
      </c>
      <c r="AI9" s="23" t="n">
        <v>59078</v>
      </c>
      <c r="AJ9" s="23" t="n">
        <v>15.73</v>
      </c>
      <c r="AK9" s="23" t="n">
        <v>12</v>
      </c>
      <c r="AL9" s="23" t="n">
        <v>23.8</v>
      </c>
      <c r="AM9" s="23" t="n">
        <v>33974</v>
      </c>
      <c r="AN9" s="23" t="n">
        <v>25920</v>
      </c>
      <c r="AO9" s="23" t="n">
        <v>51336</v>
      </c>
      <c r="AP9" s="23" t="n">
        <v>18.5</v>
      </c>
      <c r="AQ9" s="23" t="n">
        <v>12</v>
      </c>
      <c r="AR9" s="23" t="n">
        <v>28</v>
      </c>
      <c r="AS9" s="23" t="n">
        <v>39960</v>
      </c>
      <c r="AT9" s="23" t="n">
        <v>25920</v>
      </c>
      <c r="AU9" s="23" t="n">
        <v>60480</v>
      </c>
      <c r="AV9" s="23" t="n">
        <v>460000000</v>
      </c>
      <c r="AW9" s="23" t="n">
        <v>15840000</v>
      </c>
      <c r="AX9" s="23" t="n">
        <v>6336000</v>
      </c>
      <c r="AY9" s="23" t="n">
        <v>437776000</v>
      </c>
      <c r="AZ9" s="23" t="n">
        <v>553600000</v>
      </c>
      <c r="BA9" s="23" t="n">
        <v>21384000</v>
      </c>
      <c r="BB9" s="23" t="n">
        <v>6520800</v>
      </c>
      <c r="BC9" s="23" t="n">
        <v>525696000</v>
      </c>
      <c r="BD9" s="23" t="n">
        <v>30000000</v>
      </c>
      <c r="BE9" s="23" t="n">
        <v>27000000</v>
      </c>
      <c r="BF9" s="23" t="n">
        <v>0</v>
      </c>
      <c r="BG9" s="23" t="n">
        <v>3000000</v>
      </c>
      <c r="BH9" s="23" t="n">
        <v>24000000</v>
      </c>
      <c r="BI9" s="23" t="n">
        <v>6000000</v>
      </c>
      <c r="BJ9" s="23" t="n">
        <v>12000000</v>
      </c>
      <c r="BK9" s="23" t="n">
        <v>6000000</v>
      </c>
      <c r="BL9" s="23" t="n">
        <v>18000000</v>
      </c>
      <c r="BM9" s="23" t="n">
        <v>4500000</v>
      </c>
      <c r="BN9" s="23" t="n">
        <v>900000</v>
      </c>
      <c r="BO9" s="23" t="n">
        <v>12600000</v>
      </c>
      <c r="BP9" s="23" t="n">
        <v>114700</v>
      </c>
      <c r="BQ9" s="23" t="n">
        <v>4815</v>
      </c>
      <c r="BR9" s="23" t="n">
        <v>8970</v>
      </c>
      <c r="BS9" s="23" t="n">
        <v>100915</v>
      </c>
      <c r="BT9" s="23" t="n">
        <v>28.5</v>
      </c>
      <c r="BU9" s="23" t="n">
        <v>29</v>
      </c>
      <c r="BV9" s="23" t="n">
        <v>30</v>
      </c>
      <c r="BW9" s="23" t="n">
        <v>28.2</v>
      </c>
      <c r="BX9" s="23" t="n">
        <v>15</v>
      </c>
      <c r="BY9" s="23" t="n">
        <v>45</v>
      </c>
      <c r="BZ9" s="23" t="n">
        <v>0.45</v>
      </c>
      <c r="CA9" s="23" t="n">
        <v>0.48</v>
      </c>
      <c r="CB9" s="23" t="n">
        <v>0.55</v>
      </c>
      <c r="CC9" s="23" t="n">
        <v>0.44</v>
      </c>
      <c r="CD9" s="23" t="n">
        <v>0.55</v>
      </c>
      <c r="CE9" s="23" t="n">
        <v>0.52</v>
      </c>
      <c r="CF9" s="23" t="n">
        <v>0.45</v>
      </c>
      <c r="CG9" s="23" t="n">
        <v>0.56</v>
      </c>
      <c r="CH9" s="23" t="n">
        <v>3.2</v>
      </c>
      <c r="CI9" s="23" t="n">
        <v>2.9</v>
      </c>
      <c r="CJ9" s="23" t="n">
        <v>2.3</v>
      </c>
      <c r="CK9" s="23" t="n">
        <v>3.3</v>
      </c>
      <c r="CL9" s="23" t="n">
        <v>0.5</v>
      </c>
      <c r="CM9" s="23" t="n">
        <v>7</v>
      </c>
      <c r="CN9" s="23" t="n">
        <v>0.65</v>
      </c>
      <c r="CO9" s="23" t="n">
        <v>0.7</v>
      </c>
      <c r="CP9" s="23" t="n">
        <v>0.8</v>
      </c>
      <c r="CQ9" s="23" t="n">
        <v>0.64</v>
      </c>
      <c r="CR9" s="23" t="n">
        <v>40</v>
      </c>
      <c r="CS9" s="23" t="n">
        <v>38</v>
      </c>
      <c r="CT9" s="23" t="n">
        <v>35.8</v>
      </c>
      <c r="CU9" s="23" t="n">
        <v>40.5</v>
      </c>
      <c r="CV9" s="23" t="n">
        <v>2.2</v>
      </c>
      <c r="CW9" s="23" t="n">
        <v>2</v>
      </c>
      <c r="CX9" s="23" t="n">
        <v>1.6</v>
      </c>
      <c r="CY9" s="23" t="n">
        <v>2.3</v>
      </c>
      <c r="CZ9" s="23" t="n">
        <v>46000000</v>
      </c>
      <c r="DA9" s="23" t="n">
        <v>15840000</v>
      </c>
      <c r="DB9" s="23" t="n">
        <v>6336000</v>
      </c>
      <c r="DC9" s="23" t="n">
        <v>43776000</v>
      </c>
      <c r="DD9" s="23" t="n">
        <v>553600000</v>
      </c>
      <c r="DE9" s="23" t="n">
        <v>21384000</v>
      </c>
      <c r="DF9" s="23" t="n">
        <v>6520800</v>
      </c>
      <c r="DG9" s="23" t="n">
        <v>525696000</v>
      </c>
      <c r="DH9" s="23" t="n">
        <v>0.28</v>
      </c>
      <c r="DI9" s="23" t="n">
        <v>0.22</v>
      </c>
      <c r="DJ9" s="23" t="n">
        <v>0.18</v>
      </c>
      <c r="DK9" s="23" t="n">
        <v>0.29</v>
      </c>
    </row>
    <row r="10" customFormat="false" ht="12.8" hidden="false" customHeight="false" outlineLevel="0" collapsed="false">
      <c r="A10" s="23" t="n">
        <v>6</v>
      </c>
      <c r="B10" s="23" t="s">
        <v>227</v>
      </c>
      <c r="C10" s="23" t="s">
        <v>225</v>
      </c>
      <c r="D10" s="23" t="n">
        <v>29925</v>
      </c>
      <c r="E10" s="23" t="n">
        <v>1197</v>
      </c>
      <c r="F10" s="23" t="n">
        <v>2394</v>
      </c>
      <c r="G10" s="23" t="n">
        <v>24834</v>
      </c>
      <c r="H10" s="23" t="n">
        <v>0.958</v>
      </c>
      <c r="I10" s="23" t="n">
        <v>0.98</v>
      </c>
      <c r="J10" s="23" t="n">
        <v>0.9</v>
      </c>
      <c r="K10" s="23" t="n">
        <v>0.958</v>
      </c>
      <c r="L10" s="23" t="n">
        <v>0.012</v>
      </c>
      <c r="M10" s="23" t="n">
        <v>0.619</v>
      </c>
      <c r="N10" s="23" t="n">
        <v>0.678</v>
      </c>
      <c r="O10" s="23" t="n">
        <v>0.011</v>
      </c>
      <c r="P10" s="23" t="n">
        <v>0.042</v>
      </c>
      <c r="Q10" s="23" t="n">
        <v>0.02</v>
      </c>
      <c r="R10" s="23" t="n">
        <v>0.1</v>
      </c>
      <c r="S10" s="23" t="n">
        <v>0.042</v>
      </c>
      <c r="T10" s="23" t="n">
        <v>0.069</v>
      </c>
      <c r="U10" s="23" t="n">
        <v>0.033</v>
      </c>
      <c r="V10" s="23" t="n">
        <v>0.18</v>
      </c>
      <c r="W10" s="23" t="n">
        <v>0.069</v>
      </c>
      <c r="X10" s="23" t="n">
        <v>18.5</v>
      </c>
      <c r="Y10" s="23" t="n">
        <v>12</v>
      </c>
      <c r="Z10" s="23" t="n">
        <v>28</v>
      </c>
      <c r="AA10" s="23" t="n">
        <v>39960</v>
      </c>
      <c r="AB10" s="23" t="n">
        <v>25920</v>
      </c>
      <c r="AC10" s="23" t="n">
        <v>60480</v>
      </c>
      <c r="AD10" s="23" t="n">
        <v>18.13</v>
      </c>
      <c r="AE10" s="23" t="n">
        <v>12</v>
      </c>
      <c r="AF10" s="23" t="n">
        <v>27.44</v>
      </c>
      <c r="AG10" s="23" t="n">
        <v>39161</v>
      </c>
      <c r="AH10" s="23" t="n">
        <v>25920</v>
      </c>
      <c r="AI10" s="23" t="n">
        <v>59078</v>
      </c>
      <c r="AJ10" s="23" t="n">
        <v>15.73</v>
      </c>
      <c r="AK10" s="23" t="n">
        <v>12</v>
      </c>
      <c r="AL10" s="23" t="n">
        <v>23.8</v>
      </c>
      <c r="AM10" s="23" t="n">
        <v>33974</v>
      </c>
      <c r="AN10" s="23" t="n">
        <v>25920</v>
      </c>
      <c r="AO10" s="23" t="n">
        <v>51336</v>
      </c>
      <c r="AP10" s="23" t="n">
        <v>18.5</v>
      </c>
      <c r="AQ10" s="23" t="n">
        <v>12</v>
      </c>
      <c r="AR10" s="23" t="n">
        <v>28</v>
      </c>
      <c r="AS10" s="23" t="n">
        <v>39960</v>
      </c>
      <c r="AT10" s="23" t="n">
        <v>25920</v>
      </c>
      <c r="AU10" s="23" t="n">
        <v>60480</v>
      </c>
      <c r="AV10" s="23" t="n">
        <v>115000000</v>
      </c>
      <c r="AW10" s="23" t="n">
        <v>3960000</v>
      </c>
      <c r="AX10" s="23" t="n">
        <v>1584000</v>
      </c>
      <c r="AY10" s="23" t="n">
        <v>109444000</v>
      </c>
      <c r="AZ10" s="23" t="n">
        <v>138400000</v>
      </c>
      <c r="BA10" s="23" t="n">
        <v>5346000</v>
      </c>
      <c r="BB10" s="23" t="n">
        <v>1630200</v>
      </c>
      <c r="BC10" s="23" t="n">
        <v>131424000</v>
      </c>
      <c r="BD10" s="23" t="n">
        <v>7500000</v>
      </c>
      <c r="BE10" s="23" t="n">
        <v>6750000</v>
      </c>
      <c r="BF10" s="23" t="n">
        <v>0</v>
      </c>
      <c r="BG10" s="23" t="n">
        <v>750000</v>
      </c>
      <c r="BH10" s="23" t="n">
        <v>6000000</v>
      </c>
      <c r="BI10" s="23" t="n">
        <v>1500000</v>
      </c>
      <c r="BJ10" s="23" t="n">
        <v>3000000</v>
      </c>
      <c r="BK10" s="23" t="n">
        <v>1500000</v>
      </c>
      <c r="BL10" s="23" t="n">
        <v>4500000</v>
      </c>
      <c r="BM10" s="23" t="n">
        <v>1125000</v>
      </c>
      <c r="BN10" s="23" t="n">
        <v>225000</v>
      </c>
      <c r="BO10" s="23" t="n">
        <v>3150000</v>
      </c>
      <c r="BP10" s="23" t="n">
        <v>28675</v>
      </c>
      <c r="BQ10" s="23" t="n">
        <v>1204</v>
      </c>
      <c r="BR10" s="23" t="n">
        <v>2242</v>
      </c>
      <c r="BS10" s="23" t="n">
        <v>25229</v>
      </c>
      <c r="BT10" s="23" t="n">
        <v>28.5</v>
      </c>
      <c r="BU10" s="23" t="n">
        <v>29</v>
      </c>
      <c r="BV10" s="23" t="n">
        <v>30</v>
      </c>
      <c r="BW10" s="23" t="n">
        <v>28.2</v>
      </c>
      <c r="BX10" s="23" t="n">
        <v>15</v>
      </c>
      <c r="BY10" s="23" t="n">
        <v>45</v>
      </c>
      <c r="BZ10" s="23" t="n">
        <v>0.45</v>
      </c>
      <c r="CA10" s="23" t="n">
        <v>0.48</v>
      </c>
      <c r="CB10" s="23" t="n">
        <v>0.55</v>
      </c>
      <c r="CC10" s="23" t="n">
        <v>0.44</v>
      </c>
      <c r="CD10" s="23" t="n">
        <v>0.55</v>
      </c>
      <c r="CE10" s="23" t="n">
        <v>0.52</v>
      </c>
      <c r="CF10" s="23" t="n">
        <v>0.45</v>
      </c>
      <c r="CG10" s="23" t="n">
        <v>0.56</v>
      </c>
      <c r="CH10" s="23" t="n">
        <v>3.2</v>
      </c>
      <c r="CI10" s="23" t="n">
        <v>2.9</v>
      </c>
      <c r="CJ10" s="23" t="n">
        <v>2.3</v>
      </c>
      <c r="CK10" s="23" t="n">
        <v>3.3</v>
      </c>
      <c r="CL10" s="23" t="n">
        <v>0.5</v>
      </c>
      <c r="CM10" s="23" t="n">
        <v>7</v>
      </c>
      <c r="CN10" s="23" t="n">
        <v>0.65</v>
      </c>
      <c r="CO10" s="23" t="n">
        <v>0.7</v>
      </c>
      <c r="CP10" s="23" t="n">
        <v>0.8</v>
      </c>
      <c r="CQ10" s="23" t="n">
        <v>0.64</v>
      </c>
      <c r="CR10" s="23" t="n">
        <v>40</v>
      </c>
      <c r="CS10" s="23" t="n">
        <v>38</v>
      </c>
      <c r="CT10" s="23" t="n">
        <v>35.8</v>
      </c>
      <c r="CU10" s="23" t="n">
        <v>40.5</v>
      </c>
      <c r="CV10" s="23" t="n">
        <v>2.2</v>
      </c>
      <c r="CW10" s="23" t="n">
        <v>2</v>
      </c>
      <c r="CX10" s="23" t="n">
        <v>1.6</v>
      </c>
      <c r="CY10" s="23" t="n">
        <v>2.3</v>
      </c>
      <c r="CZ10" s="23" t="n">
        <v>11500000</v>
      </c>
      <c r="DA10" s="23" t="n">
        <v>3960000</v>
      </c>
      <c r="DB10" s="23" t="n">
        <v>1584000</v>
      </c>
      <c r="DC10" s="23" t="n">
        <v>10944000</v>
      </c>
      <c r="DD10" s="23" t="n">
        <v>138400000</v>
      </c>
      <c r="DE10" s="23" t="n">
        <v>5346000</v>
      </c>
      <c r="DF10" s="23" t="n">
        <v>1630200</v>
      </c>
      <c r="DG10" s="23" t="n">
        <v>131424000</v>
      </c>
      <c r="DH10" s="23" t="n">
        <v>0.28</v>
      </c>
      <c r="DI10" s="23" t="n">
        <v>0.22</v>
      </c>
      <c r="DJ10" s="23" t="n">
        <v>0.18</v>
      </c>
      <c r="DK10" s="23" t="n">
        <v>0.29</v>
      </c>
    </row>
    <row r="11" customFormat="false" ht="12.8" hidden="false" customHeight="false" outlineLevel="0" collapsed="false">
      <c r="A11" s="23" t="n">
        <v>7</v>
      </c>
      <c r="B11" s="23" t="s">
        <v>228</v>
      </c>
      <c r="C11" s="23" t="s">
        <v>223</v>
      </c>
      <c r="D11" s="23" t="n">
        <v>42500</v>
      </c>
      <c r="E11" s="23" t="n">
        <v>1700</v>
      </c>
      <c r="F11" s="23" t="n">
        <v>4250</v>
      </c>
      <c r="G11" s="23" t="n">
        <v>36550</v>
      </c>
      <c r="H11" s="23" t="n">
        <v>0.958</v>
      </c>
      <c r="I11" s="23" t="n">
        <v>0.98</v>
      </c>
      <c r="J11" s="23" t="n">
        <v>0.9</v>
      </c>
      <c r="K11" s="23" t="n">
        <v>0.958</v>
      </c>
      <c r="L11" s="23" t="n">
        <v>0.017</v>
      </c>
      <c r="M11" s="23" t="n">
        <v>0.619</v>
      </c>
      <c r="N11" s="23" t="n">
        <v>0.678</v>
      </c>
      <c r="O11" s="23" t="n">
        <v>0.016</v>
      </c>
      <c r="P11" s="23" t="n">
        <v>0.042</v>
      </c>
      <c r="Q11" s="23" t="n">
        <v>0.02</v>
      </c>
      <c r="R11" s="23" t="n">
        <v>0.1</v>
      </c>
      <c r="S11" s="23" t="n">
        <v>0.042</v>
      </c>
      <c r="T11" s="23" t="n">
        <v>0.069</v>
      </c>
      <c r="U11" s="23" t="n">
        <v>0.033</v>
      </c>
      <c r="V11" s="23" t="n">
        <v>0.18</v>
      </c>
      <c r="W11" s="23" t="n">
        <v>0.069</v>
      </c>
      <c r="X11" s="23" t="n">
        <v>22</v>
      </c>
      <c r="Y11" s="23" t="n">
        <v>15</v>
      </c>
      <c r="Z11" s="23" t="n">
        <v>32</v>
      </c>
      <c r="AA11" s="23" t="n">
        <v>47520</v>
      </c>
      <c r="AB11" s="23" t="n">
        <v>32400</v>
      </c>
      <c r="AC11" s="23" t="n">
        <v>69120</v>
      </c>
      <c r="AD11" s="23" t="n">
        <v>21.56</v>
      </c>
      <c r="AE11" s="23" t="n">
        <v>15</v>
      </c>
      <c r="AF11" s="23" t="n">
        <v>31.36</v>
      </c>
      <c r="AG11" s="23" t="n">
        <v>46570</v>
      </c>
      <c r="AH11" s="23" t="n">
        <v>32400</v>
      </c>
      <c r="AI11" s="23" t="n">
        <v>67678</v>
      </c>
      <c r="AJ11" s="23" t="n">
        <v>18.7</v>
      </c>
      <c r="AK11" s="23" t="n">
        <v>15</v>
      </c>
      <c r="AL11" s="23" t="n">
        <v>27.2</v>
      </c>
      <c r="AM11" s="23" t="n">
        <v>40392</v>
      </c>
      <c r="AN11" s="23" t="n">
        <v>32400</v>
      </c>
      <c r="AO11" s="23" t="n">
        <v>58784</v>
      </c>
      <c r="AP11" s="23" t="n">
        <v>22</v>
      </c>
      <c r="AQ11" s="23" t="n">
        <v>15</v>
      </c>
      <c r="AR11" s="23" t="n">
        <v>32</v>
      </c>
      <c r="AS11" s="23" t="n">
        <v>47520</v>
      </c>
      <c r="AT11" s="23" t="n">
        <v>32400</v>
      </c>
      <c r="AU11" s="23" t="n">
        <v>69120</v>
      </c>
      <c r="AV11" s="23" t="n">
        <v>195000000</v>
      </c>
      <c r="AW11" s="23" t="n">
        <v>6720000</v>
      </c>
      <c r="AX11" s="23" t="n">
        <v>2688000</v>
      </c>
      <c r="AY11" s="23" t="n">
        <v>185592000</v>
      </c>
      <c r="AZ11" s="23" t="n">
        <v>234600000</v>
      </c>
      <c r="BA11" s="23" t="n">
        <v>9054000</v>
      </c>
      <c r="BB11" s="23" t="n">
        <v>2763000</v>
      </c>
      <c r="BC11" s="23" t="n">
        <v>222783000</v>
      </c>
      <c r="BD11" s="23" t="n">
        <v>8500000</v>
      </c>
      <c r="BE11" s="23" t="n">
        <v>7650000</v>
      </c>
      <c r="BF11" s="23" t="n">
        <v>0</v>
      </c>
      <c r="BG11" s="23" t="n">
        <v>850000</v>
      </c>
      <c r="BH11" s="23" t="n">
        <v>6800000</v>
      </c>
      <c r="BI11" s="23" t="n">
        <v>1700000</v>
      </c>
      <c r="BJ11" s="23" t="n">
        <v>3400000</v>
      </c>
      <c r="BK11" s="23" t="n">
        <v>1700000</v>
      </c>
      <c r="BL11" s="23" t="n">
        <v>5100000</v>
      </c>
      <c r="BM11" s="23" t="n">
        <v>1275000</v>
      </c>
      <c r="BN11" s="23" t="n">
        <v>255000</v>
      </c>
      <c r="BO11" s="23" t="n">
        <v>3570000</v>
      </c>
      <c r="BP11" s="23" t="n">
        <v>40700</v>
      </c>
      <c r="BQ11" s="23" t="n">
        <v>1710</v>
      </c>
      <c r="BR11" s="23" t="n">
        <v>3980</v>
      </c>
      <c r="BS11" s="23" t="n">
        <v>35010</v>
      </c>
      <c r="BT11" s="23" t="n">
        <v>38</v>
      </c>
      <c r="BU11" s="23" t="n">
        <v>38.7</v>
      </c>
      <c r="BV11" s="23" t="n">
        <v>40</v>
      </c>
      <c r="BW11" s="23" t="n">
        <v>37.8</v>
      </c>
      <c r="BX11" s="23" t="n">
        <v>20</v>
      </c>
      <c r="BY11" s="23" t="n">
        <v>50</v>
      </c>
      <c r="BZ11" s="23" t="n">
        <v>0.62</v>
      </c>
      <c r="CA11" s="23" t="n">
        <v>0.65</v>
      </c>
      <c r="CB11" s="23" t="n">
        <v>0.7</v>
      </c>
      <c r="CC11" s="23" t="n">
        <v>0.61</v>
      </c>
      <c r="CD11" s="23" t="n">
        <v>0.38</v>
      </c>
      <c r="CE11" s="23" t="n">
        <v>0.35</v>
      </c>
      <c r="CF11" s="23" t="n">
        <v>0.3</v>
      </c>
      <c r="CG11" s="23" t="n">
        <v>0.39</v>
      </c>
      <c r="CH11" s="23" t="n">
        <v>3.5</v>
      </c>
      <c r="CI11" s="23" t="n">
        <v>3.2</v>
      </c>
      <c r="CJ11" s="23" t="n">
        <v>2.5</v>
      </c>
      <c r="CK11" s="23" t="n">
        <v>3.6</v>
      </c>
      <c r="CL11" s="23" t="n">
        <v>0.8</v>
      </c>
      <c r="CM11" s="23" t="n">
        <v>8</v>
      </c>
      <c r="CN11" s="23" t="n">
        <v>0.58</v>
      </c>
      <c r="CO11" s="23" t="n">
        <v>0.63</v>
      </c>
      <c r="CP11" s="23" t="n">
        <v>0.75</v>
      </c>
      <c r="CQ11" s="23" t="n">
        <v>0.57</v>
      </c>
      <c r="CR11" s="23" t="n">
        <v>50</v>
      </c>
      <c r="CS11" s="23" t="n">
        <v>47.5</v>
      </c>
      <c r="CT11" s="23" t="n">
        <v>44.7</v>
      </c>
      <c r="CU11" s="23" t="n">
        <v>50.6</v>
      </c>
      <c r="CV11" s="23" t="n">
        <v>2.5</v>
      </c>
      <c r="CW11" s="23" t="n">
        <v>2.3</v>
      </c>
      <c r="CX11" s="23" t="n">
        <v>1.8</v>
      </c>
      <c r="CY11" s="23" t="n">
        <v>2.6</v>
      </c>
      <c r="CZ11" s="23" t="n">
        <v>19500000</v>
      </c>
      <c r="DA11" s="23" t="n">
        <v>6720000</v>
      </c>
      <c r="DB11" s="23" t="n">
        <v>2688000</v>
      </c>
      <c r="DC11" s="23" t="n">
        <v>18559200</v>
      </c>
      <c r="DD11" s="23" t="n">
        <v>234600000</v>
      </c>
      <c r="DE11" s="23" t="n">
        <v>9054000</v>
      </c>
      <c r="DF11" s="23" t="n">
        <v>2763000</v>
      </c>
      <c r="DG11" s="23" t="n">
        <v>222783000</v>
      </c>
      <c r="DH11" s="23" t="n">
        <v>0.22</v>
      </c>
      <c r="DI11" s="23" t="n">
        <v>0.16</v>
      </c>
      <c r="DJ11" s="23" t="n">
        <v>0.13</v>
      </c>
      <c r="DK11" s="23" t="n">
        <v>0.23</v>
      </c>
    </row>
    <row r="12" customFormat="false" ht="12.8" hidden="false" customHeight="false" outlineLevel="0" collapsed="false">
      <c r="A12" s="23" t="n">
        <v>8</v>
      </c>
      <c r="B12" s="23" t="s">
        <v>228</v>
      </c>
      <c r="C12" s="23" t="s">
        <v>225</v>
      </c>
      <c r="D12" s="23" t="n">
        <v>10625</v>
      </c>
      <c r="E12" s="23" t="n">
        <v>425</v>
      </c>
      <c r="F12" s="23" t="n">
        <v>1063</v>
      </c>
      <c r="G12" s="23" t="n">
        <v>9138</v>
      </c>
      <c r="H12" s="23" t="n">
        <v>0.958</v>
      </c>
      <c r="I12" s="23" t="n">
        <v>0.98</v>
      </c>
      <c r="J12" s="23" t="n">
        <v>0.9</v>
      </c>
      <c r="K12" s="23" t="n">
        <v>0.958</v>
      </c>
      <c r="L12" s="23" t="n">
        <v>0.004</v>
      </c>
      <c r="M12" s="23" t="n">
        <v>0.619</v>
      </c>
      <c r="N12" s="23" t="n">
        <v>0.678</v>
      </c>
      <c r="O12" s="23" t="n">
        <v>0.004</v>
      </c>
      <c r="P12" s="23" t="n">
        <v>0.042</v>
      </c>
      <c r="Q12" s="23" t="n">
        <v>0.02</v>
      </c>
      <c r="R12" s="23" t="n">
        <v>0.1</v>
      </c>
      <c r="S12" s="23" t="n">
        <v>0.042</v>
      </c>
      <c r="T12" s="23" t="n">
        <v>0.069</v>
      </c>
      <c r="U12" s="23" t="n">
        <v>0.033</v>
      </c>
      <c r="V12" s="23" t="n">
        <v>0.18</v>
      </c>
      <c r="W12" s="23" t="n">
        <v>0.069</v>
      </c>
      <c r="X12" s="23" t="n">
        <v>22</v>
      </c>
      <c r="Y12" s="23" t="n">
        <v>15</v>
      </c>
      <c r="Z12" s="23" t="n">
        <v>32</v>
      </c>
      <c r="AA12" s="23" t="n">
        <v>47520</v>
      </c>
      <c r="AB12" s="23" t="n">
        <v>32400</v>
      </c>
      <c r="AC12" s="23" t="n">
        <v>69120</v>
      </c>
      <c r="AD12" s="23" t="n">
        <v>21.56</v>
      </c>
      <c r="AE12" s="23" t="n">
        <v>15</v>
      </c>
      <c r="AF12" s="23" t="n">
        <v>31.36</v>
      </c>
      <c r="AG12" s="23" t="n">
        <v>46570</v>
      </c>
      <c r="AH12" s="23" t="n">
        <v>32400</v>
      </c>
      <c r="AI12" s="23" t="n">
        <v>67678</v>
      </c>
      <c r="AJ12" s="23" t="n">
        <v>18.7</v>
      </c>
      <c r="AK12" s="23" t="n">
        <v>15</v>
      </c>
      <c r="AL12" s="23" t="n">
        <v>27.2</v>
      </c>
      <c r="AM12" s="23" t="n">
        <v>40392</v>
      </c>
      <c r="AN12" s="23" t="n">
        <v>32400</v>
      </c>
      <c r="AO12" s="23" t="n">
        <v>58784</v>
      </c>
      <c r="AP12" s="23" t="n">
        <v>22</v>
      </c>
      <c r="AQ12" s="23" t="n">
        <v>15</v>
      </c>
      <c r="AR12" s="23" t="n">
        <v>32</v>
      </c>
      <c r="AS12" s="23" t="n">
        <v>47520</v>
      </c>
      <c r="AT12" s="23" t="n">
        <v>32400</v>
      </c>
      <c r="AU12" s="23" t="n">
        <v>69120</v>
      </c>
      <c r="AV12" s="23" t="n">
        <v>48750000</v>
      </c>
      <c r="AW12" s="23" t="n">
        <v>1680000</v>
      </c>
      <c r="AX12" s="23" t="n">
        <v>672000</v>
      </c>
      <c r="AY12" s="23" t="n">
        <v>46398000</v>
      </c>
      <c r="AZ12" s="23" t="n">
        <v>58650000</v>
      </c>
      <c r="BA12" s="23" t="n">
        <v>2263500</v>
      </c>
      <c r="BB12" s="23" t="n">
        <v>690750</v>
      </c>
      <c r="BC12" s="23" t="n">
        <v>55695750</v>
      </c>
      <c r="BD12" s="23" t="n">
        <v>2125000</v>
      </c>
      <c r="BE12" s="23" t="n">
        <v>1912500</v>
      </c>
      <c r="BF12" s="23" t="n">
        <v>0</v>
      </c>
      <c r="BG12" s="23" t="n">
        <v>212500</v>
      </c>
      <c r="BH12" s="23" t="n">
        <v>1700000</v>
      </c>
      <c r="BI12" s="23" t="n">
        <v>425000</v>
      </c>
      <c r="BJ12" s="23" t="n">
        <v>850000</v>
      </c>
      <c r="BK12" s="23" t="n">
        <v>425000</v>
      </c>
      <c r="BL12" s="23" t="n">
        <v>1275000</v>
      </c>
      <c r="BM12" s="23" t="n">
        <v>318750</v>
      </c>
      <c r="BN12" s="23" t="n">
        <v>63750</v>
      </c>
      <c r="BO12" s="23" t="n">
        <v>892500</v>
      </c>
      <c r="BP12" s="23" t="n">
        <v>10175</v>
      </c>
      <c r="BQ12" s="23" t="n">
        <v>428</v>
      </c>
      <c r="BR12" s="23" t="n">
        <v>995</v>
      </c>
      <c r="BS12" s="23" t="n">
        <v>8752</v>
      </c>
      <c r="BT12" s="23" t="n">
        <v>38</v>
      </c>
      <c r="BU12" s="23" t="n">
        <v>38.7</v>
      </c>
      <c r="BV12" s="23" t="n">
        <v>40</v>
      </c>
      <c r="BW12" s="23" t="n">
        <v>37.8</v>
      </c>
      <c r="BX12" s="23" t="n">
        <v>20</v>
      </c>
      <c r="BY12" s="23" t="n">
        <v>50</v>
      </c>
      <c r="BZ12" s="23" t="n">
        <v>0.62</v>
      </c>
      <c r="CA12" s="23" t="n">
        <v>0.65</v>
      </c>
      <c r="CB12" s="23" t="n">
        <v>0.7</v>
      </c>
      <c r="CC12" s="23" t="n">
        <v>0.61</v>
      </c>
      <c r="CD12" s="23" t="n">
        <v>0.38</v>
      </c>
      <c r="CE12" s="23" t="n">
        <v>0.35</v>
      </c>
      <c r="CF12" s="23" t="n">
        <v>0.3</v>
      </c>
      <c r="CG12" s="23" t="n">
        <v>0.39</v>
      </c>
      <c r="CH12" s="23" t="n">
        <v>3.5</v>
      </c>
      <c r="CI12" s="23" t="n">
        <v>3.2</v>
      </c>
      <c r="CJ12" s="23" t="n">
        <v>2.5</v>
      </c>
      <c r="CK12" s="23" t="n">
        <v>3.6</v>
      </c>
      <c r="CL12" s="23" t="n">
        <v>0.8</v>
      </c>
      <c r="CM12" s="23" t="n">
        <v>8</v>
      </c>
      <c r="CN12" s="23" t="n">
        <v>0.58</v>
      </c>
      <c r="CO12" s="23" t="n">
        <v>0.63</v>
      </c>
      <c r="CP12" s="23" t="n">
        <v>0.75</v>
      </c>
      <c r="CQ12" s="23" t="n">
        <v>0.57</v>
      </c>
      <c r="CR12" s="23" t="n">
        <v>50</v>
      </c>
      <c r="CS12" s="23" t="n">
        <v>47.5</v>
      </c>
      <c r="CT12" s="23" t="n">
        <v>44.7</v>
      </c>
      <c r="CU12" s="23" t="n">
        <v>50.6</v>
      </c>
      <c r="CV12" s="23" t="n">
        <v>2.5</v>
      </c>
      <c r="CW12" s="23" t="n">
        <v>2.3</v>
      </c>
      <c r="CX12" s="23" t="n">
        <v>1.8</v>
      </c>
      <c r="CY12" s="23" t="n">
        <v>2.6</v>
      </c>
      <c r="CZ12" s="23" t="n">
        <v>4875000</v>
      </c>
      <c r="DA12" s="23" t="n">
        <v>1680000</v>
      </c>
      <c r="DB12" s="23" t="n">
        <v>672000</v>
      </c>
      <c r="DC12" s="23" t="n">
        <v>4639800</v>
      </c>
      <c r="DD12" s="23" t="n">
        <v>58650000</v>
      </c>
      <c r="DE12" s="23" t="n">
        <v>2263500</v>
      </c>
      <c r="DF12" s="23" t="n">
        <v>690750</v>
      </c>
      <c r="DG12" s="23" t="n">
        <v>55695750</v>
      </c>
      <c r="DH12" s="23" t="n">
        <v>0.22</v>
      </c>
      <c r="DI12" s="23" t="n">
        <v>0.16</v>
      </c>
      <c r="DJ12" s="23" t="n">
        <v>0.13</v>
      </c>
      <c r="DK12" s="23" t="n">
        <v>0.23</v>
      </c>
    </row>
    <row r="13" customFormat="false" ht="12.8" hidden="false" customHeight="false" outlineLevel="0" collapsed="false">
      <c r="A13" s="23" t="n">
        <v>9</v>
      </c>
      <c r="B13" s="23" t="s">
        <v>229</v>
      </c>
      <c r="C13" s="23" t="s">
        <v>223</v>
      </c>
      <c r="D13" s="23" t="n">
        <v>149040</v>
      </c>
      <c r="E13" s="23" t="n">
        <v>5962</v>
      </c>
      <c r="F13" s="23" t="n">
        <v>11924</v>
      </c>
      <c r="G13" s="23" t="n">
        <v>131154</v>
      </c>
      <c r="H13" s="23" t="n">
        <v>0.958</v>
      </c>
      <c r="I13" s="23" t="n">
        <v>1.02</v>
      </c>
      <c r="J13" s="23" t="n">
        <v>0.92</v>
      </c>
      <c r="K13" s="23" t="n">
        <v>0.958</v>
      </c>
      <c r="L13" s="23" t="n">
        <v>0.061</v>
      </c>
      <c r="M13" s="23" t="n">
        <v>0.681</v>
      </c>
      <c r="N13" s="23" t="n">
        <v>0.712</v>
      </c>
      <c r="O13" s="23" t="n">
        <v>0.058</v>
      </c>
      <c r="P13" s="23" t="n">
        <v>0.042</v>
      </c>
      <c r="Q13" s="23" t="n">
        <v>0</v>
      </c>
      <c r="R13" s="23" t="n">
        <v>0.08</v>
      </c>
      <c r="S13" s="23" t="n">
        <v>0.042</v>
      </c>
      <c r="T13" s="23" t="n">
        <v>0.069</v>
      </c>
      <c r="U13" s="23" t="n">
        <v>0</v>
      </c>
      <c r="V13" s="23" t="n">
        <v>0.144</v>
      </c>
      <c r="W13" s="23" t="n">
        <v>0.069</v>
      </c>
      <c r="X13" s="23" t="n">
        <v>28.5</v>
      </c>
      <c r="Y13" s="23" t="n">
        <v>20</v>
      </c>
      <c r="Z13" s="23" t="n">
        <v>40</v>
      </c>
      <c r="AA13" s="23" t="n">
        <v>61560</v>
      </c>
      <c r="AB13" s="23" t="n">
        <v>43200</v>
      </c>
      <c r="AC13" s="23" t="n">
        <v>86400</v>
      </c>
      <c r="AD13" s="23" t="n">
        <v>26.25</v>
      </c>
      <c r="AE13" s="23" t="n">
        <v>20</v>
      </c>
      <c r="AF13" s="23" t="n">
        <v>37</v>
      </c>
      <c r="AG13" s="23" t="n">
        <v>56700</v>
      </c>
      <c r="AH13" s="23" t="n">
        <v>43200</v>
      </c>
      <c r="AI13" s="23" t="n">
        <v>79920</v>
      </c>
      <c r="AJ13" s="23" t="n">
        <v>23.5</v>
      </c>
      <c r="AK13" s="23" t="n">
        <v>20</v>
      </c>
      <c r="AL13" s="23" t="n">
        <v>32</v>
      </c>
      <c r="AM13" s="23" t="n">
        <v>50760</v>
      </c>
      <c r="AN13" s="23" t="n">
        <v>43200</v>
      </c>
      <c r="AO13" s="23" t="n">
        <v>69120</v>
      </c>
      <c r="AP13" s="23" t="n">
        <v>28.5</v>
      </c>
      <c r="AQ13" s="23" t="n">
        <v>20</v>
      </c>
      <c r="AR13" s="23" t="n">
        <v>40</v>
      </c>
      <c r="AS13" s="23" t="n">
        <v>61560</v>
      </c>
      <c r="AT13" s="23" t="n">
        <v>43200</v>
      </c>
      <c r="AU13" s="23" t="n">
        <v>86400</v>
      </c>
      <c r="AV13" s="23" t="n">
        <v>885000000</v>
      </c>
      <c r="AW13" s="23" t="n">
        <v>30450000</v>
      </c>
      <c r="AX13" s="23" t="n">
        <v>12180000</v>
      </c>
      <c r="AY13" s="23" t="n">
        <v>842070000</v>
      </c>
      <c r="AZ13" s="23" t="n">
        <v>1065000000</v>
      </c>
      <c r="BA13" s="23" t="n">
        <v>41085000</v>
      </c>
      <c r="BB13" s="23" t="n">
        <v>12523500</v>
      </c>
      <c r="BC13" s="23" t="n">
        <v>1012561500</v>
      </c>
      <c r="BD13" s="23" t="n">
        <v>40000000</v>
      </c>
      <c r="BE13" s="23" t="n">
        <v>36000000</v>
      </c>
      <c r="BF13" s="23" t="n">
        <v>0</v>
      </c>
      <c r="BG13" s="23" t="n">
        <v>4000000</v>
      </c>
      <c r="BH13" s="23" t="n">
        <v>32000000</v>
      </c>
      <c r="BI13" s="23" t="n">
        <v>8000000</v>
      </c>
      <c r="BJ13" s="23" t="n">
        <v>16000000</v>
      </c>
      <c r="BK13" s="23" t="n">
        <v>8000000</v>
      </c>
      <c r="BL13" s="23" t="n">
        <v>24000000</v>
      </c>
      <c r="BM13" s="23" t="n">
        <v>6000000</v>
      </c>
      <c r="BN13" s="23" t="n">
        <v>1200000</v>
      </c>
      <c r="BO13" s="23" t="n">
        <v>16800000</v>
      </c>
      <c r="BP13" s="23" t="n">
        <v>142800</v>
      </c>
      <c r="BQ13" s="23" t="n">
        <v>6000</v>
      </c>
      <c r="BR13" s="23" t="n">
        <v>11180</v>
      </c>
      <c r="BS13" s="23" t="n">
        <v>125620</v>
      </c>
      <c r="BT13" s="23" t="n">
        <v>41.2</v>
      </c>
      <c r="BU13" s="23" t="n">
        <v>42</v>
      </c>
      <c r="BV13" s="23" t="n">
        <v>43.2</v>
      </c>
      <c r="BW13" s="23" t="n">
        <v>41</v>
      </c>
      <c r="BX13" s="23" t="n">
        <v>30</v>
      </c>
      <c r="BY13" s="23" t="n">
        <v>55</v>
      </c>
      <c r="BZ13" s="23" t="n">
        <v>0.78</v>
      </c>
      <c r="CA13" s="23" t="n">
        <v>0.8</v>
      </c>
      <c r="CB13" s="23" t="n">
        <v>0.85</v>
      </c>
      <c r="CC13" s="23" t="n">
        <v>0.77</v>
      </c>
      <c r="CD13" s="23" t="n">
        <v>0.22</v>
      </c>
      <c r="CE13" s="23" t="n">
        <v>0.2</v>
      </c>
      <c r="CF13" s="23" t="n">
        <v>0.15</v>
      </c>
      <c r="CG13" s="23" t="n">
        <v>0.23</v>
      </c>
      <c r="CH13" s="23" t="n">
        <v>5</v>
      </c>
      <c r="CI13" s="23" t="n">
        <v>4.5</v>
      </c>
      <c r="CJ13" s="23" t="n">
        <v>3.6</v>
      </c>
      <c r="CK13" s="23" t="n">
        <v>5.1</v>
      </c>
      <c r="CL13" s="23" t="n">
        <v>1.5</v>
      </c>
      <c r="CM13" s="23" t="n">
        <v>10</v>
      </c>
      <c r="CN13" s="23" t="n">
        <v>0.4</v>
      </c>
      <c r="CO13" s="23" t="n">
        <v>0.45</v>
      </c>
      <c r="CP13" s="23" t="n">
        <v>0.55</v>
      </c>
      <c r="CQ13" s="23" t="n">
        <v>0.39</v>
      </c>
      <c r="CR13" s="23" t="n">
        <v>70</v>
      </c>
      <c r="CS13" s="23" t="n">
        <v>66.5</v>
      </c>
      <c r="CT13" s="23" t="n">
        <v>62.6</v>
      </c>
      <c r="CU13" s="23" t="n">
        <v>70.8</v>
      </c>
      <c r="CV13" s="23" t="n">
        <v>3.8</v>
      </c>
      <c r="CW13" s="23" t="n">
        <v>3.5</v>
      </c>
      <c r="CX13" s="23" t="n">
        <v>2.8</v>
      </c>
      <c r="CY13" s="23" t="n">
        <v>3.9</v>
      </c>
      <c r="CZ13" s="23" t="n">
        <v>88500000</v>
      </c>
      <c r="DA13" s="23" t="n">
        <v>30450000</v>
      </c>
      <c r="DB13" s="23" t="n">
        <v>12180000</v>
      </c>
      <c r="DC13" s="23" t="n">
        <v>84207000</v>
      </c>
      <c r="DD13" s="23" t="n">
        <v>1065000000</v>
      </c>
      <c r="DE13" s="23" t="n">
        <v>41085000</v>
      </c>
      <c r="DF13" s="23" t="n">
        <v>12523500</v>
      </c>
      <c r="DG13" s="23" t="n">
        <v>1012561500</v>
      </c>
      <c r="DH13" s="23" t="n">
        <v>0.1</v>
      </c>
      <c r="DI13" s="23" t="n">
        <v>0.07</v>
      </c>
      <c r="DJ13" s="23" t="n">
        <v>0.05</v>
      </c>
      <c r="DK13" s="23" t="n">
        <v>0.11</v>
      </c>
    </row>
    <row r="14" customFormat="false" ht="12.8" hidden="false" customHeight="false" outlineLevel="0" collapsed="false">
      <c r="A14" s="23" t="n">
        <v>10</v>
      </c>
      <c r="B14" s="23" t="s">
        <v>229</v>
      </c>
      <c r="C14" s="23" t="s">
        <v>225</v>
      </c>
      <c r="D14" s="23" t="n">
        <v>37921</v>
      </c>
      <c r="E14" s="23" t="n">
        <v>1517</v>
      </c>
      <c r="F14" s="23" t="n">
        <v>5309</v>
      </c>
      <c r="G14" s="23" t="n">
        <v>31095</v>
      </c>
      <c r="H14" s="23" t="n">
        <v>0.958</v>
      </c>
      <c r="I14" s="23" t="n">
        <v>1.02</v>
      </c>
      <c r="J14" s="23" t="n">
        <v>0.92</v>
      </c>
      <c r="K14" s="23" t="n">
        <v>0.958</v>
      </c>
      <c r="L14" s="23" t="n">
        <v>0.015</v>
      </c>
      <c r="M14" s="23" t="n">
        <v>0.681</v>
      </c>
      <c r="N14" s="23" t="n">
        <v>0.712</v>
      </c>
      <c r="O14" s="23" t="n">
        <v>0.014</v>
      </c>
      <c r="P14" s="23" t="n">
        <v>0.042</v>
      </c>
      <c r="Q14" s="23" t="n">
        <v>0</v>
      </c>
      <c r="R14" s="23" t="n">
        <v>0.08</v>
      </c>
      <c r="S14" s="23" t="n">
        <v>0.042</v>
      </c>
      <c r="T14" s="23" t="n">
        <v>0.069</v>
      </c>
      <c r="U14" s="23" t="n">
        <v>0</v>
      </c>
      <c r="V14" s="23" t="n">
        <v>0.144</v>
      </c>
      <c r="W14" s="23" t="n">
        <v>0.069</v>
      </c>
      <c r="X14" s="23" t="n">
        <v>28.5</v>
      </c>
      <c r="Y14" s="23" t="n">
        <v>20</v>
      </c>
      <c r="Z14" s="23" t="n">
        <v>40</v>
      </c>
      <c r="AA14" s="23" t="n">
        <v>61560</v>
      </c>
      <c r="AB14" s="23" t="n">
        <v>43200</v>
      </c>
      <c r="AC14" s="23" t="n">
        <v>86400</v>
      </c>
      <c r="AD14" s="23" t="n">
        <v>26.25</v>
      </c>
      <c r="AE14" s="23" t="n">
        <v>20</v>
      </c>
      <c r="AF14" s="23" t="n">
        <v>37</v>
      </c>
      <c r="AG14" s="23" t="n">
        <v>56700</v>
      </c>
      <c r="AH14" s="23" t="n">
        <v>43200</v>
      </c>
      <c r="AI14" s="23" t="n">
        <v>79920</v>
      </c>
      <c r="AJ14" s="23" t="n">
        <v>23.5</v>
      </c>
      <c r="AK14" s="23" t="n">
        <v>20</v>
      </c>
      <c r="AL14" s="23" t="n">
        <v>32</v>
      </c>
      <c r="AM14" s="23" t="n">
        <v>50760</v>
      </c>
      <c r="AN14" s="23" t="n">
        <v>43200</v>
      </c>
      <c r="AO14" s="23" t="n">
        <v>69120</v>
      </c>
      <c r="AP14" s="23" t="n">
        <v>28.5</v>
      </c>
      <c r="AQ14" s="23" t="n">
        <v>20</v>
      </c>
      <c r="AR14" s="23" t="n">
        <v>40</v>
      </c>
      <c r="AS14" s="23" t="n">
        <v>61560</v>
      </c>
      <c r="AT14" s="23" t="n">
        <v>43200</v>
      </c>
      <c r="AU14" s="23" t="n">
        <v>86400</v>
      </c>
      <c r="AV14" s="23" t="n">
        <v>240094933</v>
      </c>
      <c r="AW14" s="23" t="n">
        <v>11707</v>
      </c>
      <c r="AX14" s="23" t="n">
        <v>14341</v>
      </c>
      <c r="AY14" s="23" t="n">
        <v>174361875</v>
      </c>
      <c r="AZ14" s="23" t="n">
        <v>289210339</v>
      </c>
      <c r="BA14" s="23" t="n">
        <v>15954</v>
      </c>
      <c r="BB14" s="23" t="n">
        <v>14888</v>
      </c>
      <c r="BC14" s="23" t="n">
        <v>209458837</v>
      </c>
      <c r="BD14" s="23" t="n">
        <v>3894000</v>
      </c>
      <c r="BE14" s="23" t="n">
        <v>5607</v>
      </c>
      <c r="BF14" s="23" t="n">
        <v>0</v>
      </c>
      <c r="BG14" s="23" t="n">
        <v>295360</v>
      </c>
      <c r="BH14" s="23" t="n">
        <v>3115200</v>
      </c>
      <c r="BI14" s="23" t="n">
        <v>1246</v>
      </c>
      <c r="BJ14" s="23" t="n">
        <v>3816</v>
      </c>
      <c r="BK14" s="23" t="n">
        <v>590720</v>
      </c>
      <c r="BL14" s="23" t="n">
        <v>2076800</v>
      </c>
      <c r="BM14" s="23" t="n">
        <v>831</v>
      </c>
      <c r="BN14" s="23" t="n">
        <v>153</v>
      </c>
      <c r="BO14" s="23" t="n">
        <v>1102677</v>
      </c>
      <c r="BP14" s="23" t="n">
        <v>36328</v>
      </c>
      <c r="BQ14" s="23" t="n">
        <v>1453</v>
      </c>
      <c r="BR14" s="23" t="n">
        <v>5086</v>
      </c>
      <c r="BS14" s="23" t="n">
        <v>29789</v>
      </c>
      <c r="BT14" s="23" t="n">
        <v>41.2</v>
      </c>
      <c r="BU14" s="23" t="n">
        <v>42</v>
      </c>
      <c r="BV14" s="23" t="n">
        <v>43.2</v>
      </c>
      <c r="BW14" s="23" t="n">
        <v>41</v>
      </c>
      <c r="BX14" s="23" t="n">
        <v>30</v>
      </c>
      <c r="BY14" s="23" t="n">
        <v>55</v>
      </c>
      <c r="BZ14" s="23" t="n">
        <v>0.78</v>
      </c>
      <c r="CA14" s="23" t="n">
        <v>0.8</v>
      </c>
      <c r="CB14" s="23" t="n">
        <v>0.85</v>
      </c>
      <c r="CC14" s="23" t="n">
        <v>0.77</v>
      </c>
      <c r="CD14" s="23" t="n">
        <v>0.22</v>
      </c>
      <c r="CE14" s="23" t="n">
        <v>0.2</v>
      </c>
      <c r="CF14" s="23" t="n">
        <v>0.15</v>
      </c>
      <c r="CG14" s="23" t="n">
        <v>0.23</v>
      </c>
      <c r="CH14" s="23" t="n">
        <v>5</v>
      </c>
      <c r="CI14" s="23" t="n">
        <v>4.5</v>
      </c>
      <c r="CJ14" s="23" t="n">
        <v>3.6</v>
      </c>
      <c r="CK14" s="23" t="n">
        <v>5.1</v>
      </c>
      <c r="CL14" s="23" t="n">
        <v>1.5</v>
      </c>
      <c r="CM14" s="23" t="n">
        <v>10</v>
      </c>
      <c r="CN14" s="23" t="n">
        <v>0.4</v>
      </c>
      <c r="CO14" s="23" t="n">
        <v>0.45</v>
      </c>
      <c r="CP14" s="23" t="n">
        <v>0.55</v>
      </c>
      <c r="CQ14" s="23" t="n">
        <v>0.39</v>
      </c>
      <c r="CR14" s="23" t="n">
        <v>70</v>
      </c>
      <c r="CS14" s="23" t="n">
        <v>66.5</v>
      </c>
      <c r="CT14" s="23" t="n">
        <v>62.6</v>
      </c>
      <c r="CU14" s="23" t="n">
        <v>70.8</v>
      </c>
      <c r="CV14" s="23" t="n">
        <v>3.8</v>
      </c>
      <c r="CW14" s="23" t="n">
        <v>3.5</v>
      </c>
      <c r="CX14" s="23" t="n">
        <v>2.8</v>
      </c>
      <c r="CY14" s="23" t="n">
        <v>3.9</v>
      </c>
      <c r="CZ14" s="23" t="n">
        <v>240094933</v>
      </c>
      <c r="DA14" s="23" t="n">
        <v>11707</v>
      </c>
      <c r="DB14" s="23" t="n">
        <v>12620</v>
      </c>
      <c r="DC14" s="23" t="n">
        <v>174361875</v>
      </c>
      <c r="DD14" s="23" t="n">
        <v>578420678</v>
      </c>
      <c r="DE14" s="23" t="n">
        <v>31908</v>
      </c>
      <c r="DF14" s="23" t="n">
        <v>19354</v>
      </c>
      <c r="DG14" s="23" t="n">
        <v>418917674</v>
      </c>
      <c r="DH14" s="23" t="n">
        <v>0.1</v>
      </c>
      <c r="DI14" s="23" t="n">
        <v>0.07</v>
      </c>
      <c r="DJ14" s="23" t="n">
        <v>0.05</v>
      </c>
      <c r="DK14" s="23" t="n">
        <v>0.11</v>
      </c>
    </row>
    <row r="15" customFormat="false" ht="12.8" hidden="false" customHeight="false" outlineLevel="0" collapsed="false">
      <c r="A15" s="45" t="n">
        <v>11</v>
      </c>
      <c r="B15" s="45" t="s">
        <v>230</v>
      </c>
      <c r="C15" s="45" t="s">
        <v>223</v>
      </c>
      <c r="D15" s="45" t="n">
        <v>109556</v>
      </c>
      <c r="E15" s="45" t="n">
        <v>4382</v>
      </c>
      <c r="F15" s="45" t="n">
        <v>10956</v>
      </c>
      <c r="G15" s="45" t="n">
        <v>94218</v>
      </c>
      <c r="H15" s="45" t="n">
        <v>0.958</v>
      </c>
      <c r="I15" s="45" t="n">
        <v>1.02</v>
      </c>
      <c r="J15" s="45" t="n">
        <v>0.9</v>
      </c>
      <c r="K15" s="45" t="n">
        <v>0.958</v>
      </c>
      <c r="L15" s="45" t="n">
        <v>0.045</v>
      </c>
      <c r="M15" s="45" t="n">
        <v>0.681</v>
      </c>
      <c r="N15" s="45" t="n">
        <v>0.678</v>
      </c>
      <c r="O15" s="45" t="n">
        <v>0.042</v>
      </c>
      <c r="P15" s="45" t="n">
        <v>0.042</v>
      </c>
      <c r="Q15" s="45" t="n">
        <v>0</v>
      </c>
      <c r="R15" s="45" t="n">
        <v>0.1</v>
      </c>
      <c r="S15" s="45" t="n">
        <v>0.042</v>
      </c>
      <c r="T15" s="45" t="n">
        <v>0.069</v>
      </c>
      <c r="U15" s="45" t="n">
        <v>0.033</v>
      </c>
      <c r="V15" s="45" t="n">
        <v>0.18</v>
      </c>
      <c r="W15" s="45" t="n">
        <v>0.069</v>
      </c>
      <c r="X15" s="45" t="n">
        <v>30</v>
      </c>
      <c r="Y15" s="45" t="n">
        <v>22</v>
      </c>
      <c r="Z15" s="45" t="n">
        <v>45</v>
      </c>
      <c r="AA15" s="45" t="n">
        <v>64800</v>
      </c>
      <c r="AB15" s="45" t="n">
        <v>47520</v>
      </c>
      <c r="AC15" s="45" t="n">
        <v>97200</v>
      </c>
      <c r="AD15" s="45" t="n">
        <v>27.6</v>
      </c>
      <c r="AE15" s="45" t="n">
        <v>22</v>
      </c>
      <c r="AF15" s="45" t="n">
        <v>41.4</v>
      </c>
      <c r="AG15" s="45" t="n">
        <v>59616</v>
      </c>
      <c r="AH15" s="45" t="n">
        <v>47520</v>
      </c>
      <c r="AI15" s="45" t="n">
        <v>89424</v>
      </c>
      <c r="AJ15" s="45" t="n">
        <v>24.75</v>
      </c>
      <c r="AK15" s="45" t="n">
        <v>22</v>
      </c>
      <c r="AL15" s="45" t="n">
        <v>37.13</v>
      </c>
      <c r="AM15" s="45" t="n">
        <v>53460</v>
      </c>
      <c r="AN15" s="45" t="n">
        <v>47520</v>
      </c>
      <c r="AO15" s="45" t="n">
        <v>80190</v>
      </c>
      <c r="AP15" s="45" t="n">
        <v>30.5</v>
      </c>
      <c r="AQ15" s="45" t="n">
        <v>22</v>
      </c>
      <c r="AR15" s="45" t="n">
        <v>45</v>
      </c>
      <c r="AS15" s="45" t="n">
        <v>65880</v>
      </c>
      <c r="AT15" s="45" t="n">
        <v>47520</v>
      </c>
      <c r="AU15" s="45" t="n">
        <v>97200</v>
      </c>
      <c r="AV15" s="45" t="n">
        <v>780000000</v>
      </c>
      <c r="AW15" s="45" t="n">
        <v>26880000</v>
      </c>
      <c r="AX15" s="45" t="n">
        <v>10752000</v>
      </c>
      <c r="AY15" s="45" t="n">
        <v>742368000</v>
      </c>
      <c r="AZ15" s="45" t="n">
        <v>936000000</v>
      </c>
      <c r="BA15" s="45" t="n">
        <v>36288000</v>
      </c>
      <c r="BB15" s="45" t="n">
        <v>11059200</v>
      </c>
      <c r="BC15" s="45" t="n">
        <v>888652800</v>
      </c>
      <c r="BD15" s="45" t="n">
        <v>28000000</v>
      </c>
      <c r="BE15" s="45" t="n">
        <v>25200000</v>
      </c>
      <c r="BF15" s="45" t="n">
        <v>0</v>
      </c>
      <c r="BG15" s="45" t="n">
        <v>2800000</v>
      </c>
      <c r="BH15" s="45" t="n">
        <v>22400000</v>
      </c>
      <c r="BI15" s="45" t="n">
        <v>5600000</v>
      </c>
      <c r="BJ15" s="45" t="n">
        <v>11200000</v>
      </c>
      <c r="BK15" s="45" t="n">
        <v>5600000</v>
      </c>
      <c r="BL15" s="45" t="n">
        <v>16800000</v>
      </c>
      <c r="BM15" s="45" t="n">
        <v>4200000</v>
      </c>
      <c r="BN15" s="45" t="n">
        <v>840000</v>
      </c>
      <c r="BO15" s="45" t="n">
        <v>11760000</v>
      </c>
      <c r="BP15" s="45" t="n">
        <v>104900</v>
      </c>
      <c r="BQ15" s="45" t="n">
        <v>4382</v>
      </c>
      <c r="BR15" s="45" t="n">
        <v>9860</v>
      </c>
      <c r="BS15" s="45" t="n">
        <v>90658</v>
      </c>
      <c r="BT15" s="45" t="n">
        <v>40.5</v>
      </c>
      <c r="BU15" s="45" t="n">
        <v>41.3</v>
      </c>
      <c r="BV15" s="45" t="n">
        <v>42.5</v>
      </c>
      <c r="BW15" s="45" t="n">
        <v>40.2</v>
      </c>
      <c r="BX15" s="45" t="n">
        <v>25</v>
      </c>
      <c r="BY15" s="45" t="n">
        <v>60</v>
      </c>
      <c r="BZ15" s="45" t="n">
        <v>0.75</v>
      </c>
      <c r="CA15" s="45" t="n">
        <v>0.78</v>
      </c>
      <c r="CB15" s="45" t="n">
        <v>0.82</v>
      </c>
      <c r="CC15" s="45" t="n">
        <v>0.74</v>
      </c>
      <c r="CD15" s="45" t="n">
        <v>0.25</v>
      </c>
      <c r="CE15" s="45" t="n">
        <v>0.22</v>
      </c>
      <c r="CF15" s="45" t="n">
        <v>0.18</v>
      </c>
      <c r="CG15" s="45" t="n">
        <v>0.26</v>
      </c>
      <c r="CH15" s="45" t="n">
        <v>4.8</v>
      </c>
      <c r="CI15" s="45" t="n">
        <v>4.3</v>
      </c>
      <c r="CJ15" s="23" t="n">
        <v>3.4</v>
      </c>
      <c r="CK15" s="23" t="n">
        <v>4.9</v>
      </c>
      <c r="CL15" s="23" t="n">
        <v>1</v>
      </c>
      <c r="CM15" s="23" t="n">
        <v>9</v>
      </c>
      <c r="CN15" s="23" t="n">
        <v>0.42</v>
      </c>
      <c r="CO15" s="23" t="n">
        <v>0.47</v>
      </c>
      <c r="CP15" s="23" t="n">
        <v>0.58</v>
      </c>
      <c r="CQ15" s="23" t="n">
        <v>0.41</v>
      </c>
      <c r="CR15" s="23" t="n">
        <v>82</v>
      </c>
      <c r="CS15" s="23" t="n">
        <v>77.9</v>
      </c>
      <c r="CT15" s="23" t="n">
        <v>73.4</v>
      </c>
      <c r="CU15" s="23" t="n">
        <v>83</v>
      </c>
      <c r="CV15" s="23" t="n">
        <v>3.4</v>
      </c>
      <c r="CW15" s="23" t="n">
        <v>3.1</v>
      </c>
      <c r="CX15" s="23" t="n">
        <v>2.5</v>
      </c>
      <c r="CY15" s="23" t="n">
        <v>3.5</v>
      </c>
      <c r="CZ15" s="23" t="n">
        <v>78000000</v>
      </c>
      <c r="DA15" s="23" t="n">
        <v>26880000</v>
      </c>
      <c r="DB15" s="23" t="n">
        <v>10752000</v>
      </c>
      <c r="DC15" s="23" t="n">
        <v>74236800</v>
      </c>
      <c r="DD15" s="23" t="n">
        <v>936000000</v>
      </c>
      <c r="DE15" s="23" t="n">
        <v>36288000</v>
      </c>
      <c r="DF15" s="23" t="n">
        <v>11059200</v>
      </c>
      <c r="DG15" s="23" t="n">
        <v>888652800</v>
      </c>
      <c r="DH15" s="23" t="n">
        <v>0.14</v>
      </c>
      <c r="DI15" s="23" t="n">
        <v>0.1</v>
      </c>
      <c r="DJ15" s="23" t="n">
        <v>0.07</v>
      </c>
      <c r="DK15" s="23" t="n">
        <v>0.15</v>
      </c>
    </row>
    <row r="16" customFormat="false" ht="12.8" hidden="false" customHeight="false" outlineLevel="0" collapsed="false">
      <c r="A16" s="45" t="n">
        <v>12</v>
      </c>
      <c r="B16" s="45" t="s">
        <v>230</v>
      </c>
      <c r="C16" s="45" t="s">
        <v>225</v>
      </c>
      <c r="D16" s="45" t="n">
        <v>36519</v>
      </c>
      <c r="E16" s="45" t="n">
        <v>1461</v>
      </c>
      <c r="F16" s="45" t="n">
        <v>3652</v>
      </c>
      <c r="G16" s="45" t="n">
        <v>31406</v>
      </c>
      <c r="H16" s="45" t="n">
        <v>0.958</v>
      </c>
      <c r="I16" s="45" t="n">
        <v>1.02</v>
      </c>
      <c r="J16" s="45" t="n">
        <v>0.9</v>
      </c>
      <c r="K16" s="45" t="n">
        <v>0.958</v>
      </c>
      <c r="L16" s="45" t="n">
        <v>0.015</v>
      </c>
      <c r="M16" s="45" t="n">
        <v>0.681</v>
      </c>
      <c r="N16" s="45" t="n">
        <v>0.678</v>
      </c>
      <c r="O16" s="45" t="n">
        <v>0.014</v>
      </c>
      <c r="P16" s="45" t="n">
        <v>0.042</v>
      </c>
      <c r="Q16" s="45" t="n">
        <v>0</v>
      </c>
      <c r="R16" s="45" t="n">
        <v>0.1</v>
      </c>
      <c r="S16" s="45" t="n">
        <v>0.042</v>
      </c>
      <c r="T16" s="45" t="n">
        <v>0.069</v>
      </c>
      <c r="U16" s="45" t="n">
        <v>0.033</v>
      </c>
      <c r="V16" s="45" t="n">
        <v>0.18</v>
      </c>
      <c r="W16" s="45" t="n">
        <v>0.069</v>
      </c>
      <c r="X16" s="45" t="n">
        <v>30</v>
      </c>
      <c r="Y16" s="45" t="n">
        <v>22</v>
      </c>
      <c r="Z16" s="45" t="n">
        <v>45</v>
      </c>
      <c r="AA16" s="45" t="n">
        <v>64800</v>
      </c>
      <c r="AB16" s="45" t="n">
        <v>47520</v>
      </c>
      <c r="AC16" s="45" t="n">
        <v>97200</v>
      </c>
      <c r="AD16" s="45" t="n">
        <v>27.6</v>
      </c>
      <c r="AE16" s="45" t="n">
        <v>22</v>
      </c>
      <c r="AF16" s="45" t="n">
        <v>41.4</v>
      </c>
      <c r="AG16" s="45" t="n">
        <v>59616</v>
      </c>
      <c r="AH16" s="45" t="n">
        <v>47520</v>
      </c>
      <c r="AI16" s="45" t="n">
        <v>89424</v>
      </c>
      <c r="AJ16" s="45" t="n">
        <v>24.75</v>
      </c>
      <c r="AK16" s="45" t="n">
        <v>22</v>
      </c>
      <c r="AL16" s="45" t="n">
        <v>37.13</v>
      </c>
      <c r="AM16" s="45" t="n">
        <v>53460</v>
      </c>
      <c r="AN16" s="45" t="n">
        <v>47520</v>
      </c>
      <c r="AO16" s="45" t="n">
        <v>80190</v>
      </c>
      <c r="AP16" s="45" t="n">
        <v>30.5</v>
      </c>
      <c r="AQ16" s="45" t="n">
        <v>22</v>
      </c>
      <c r="AR16" s="45" t="n">
        <v>45</v>
      </c>
      <c r="AS16" s="45" t="n">
        <v>65880</v>
      </c>
      <c r="AT16" s="45" t="n">
        <v>47520</v>
      </c>
      <c r="AU16" s="45" t="n">
        <v>97200</v>
      </c>
      <c r="AV16" s="45" t="n">
        <v>260000000</v>
      </c>
      <c r="AW16" s="45" t="n">
        <v>8960000</v>
      </c>
      <c r="AX16" s="45" t="n">
        <v>3584000</v>
      </c>
      <c r="AY16" s="45" t="n">
        <v>247456000</v>
      </c>
      <c r="AZ16" s="45" t="n">
        <v>312000000</v>
      </c>
      <c r="BA16" s="45" t="n">
        <v>12096000</v>
      </c>
      <c r="BB16" s="45" t="n">
        <v>3686400</v>
      </c>
      <c r="BC16" s="45" t="n">
        <v>296217600</v>
      </c>
      <c r="BD16" s="45" t="n">
        <v>9333333</v>
      </c>
      <c r="BE16" s="45" t="n">
        <v>8400000</v>
      </c>
      <c r="BF16" s="45" t="n">
        <v>0</v>
      </c>
      <c r="BG16" s="45" t="n">
        <v>933333</v>
      </c>
      <c r="BH16" s="45" t="n">
        <v>7466667</v>
      </c>
      <c r="BI16" s="45" t="n">
        <v>1866667</v>
      </c>
      <c r="BJ16" s="45" t="n">
        <v>3733333</v>
      </c>
      <c r="BK16" s="45" t="n">
        <v>1866667</v>
      </c>
      <c r="BL16" s="45" t="n">
        <v>5600000</v>
      </c>
      <c r="BM16" s="45" t="n">
        <v>1400000</v>
      </c>
      <c r="BN16" s="45" t="n">
        <v>280000</v>
      </c>
      <c r="BO16" s="45" t="n">
        <v>3920000</v>
      </c>
      <c r="BP16" s="45" t="n">
        <v>34967</v>
      </c>
      <c r="BQ16" s="45" t="n">
        <v>1461</v>
      </c>
      <c r="BR16" s="45" t="n">
        <v>3287</v>
      </c>
      <c r="BS16" s="45" t="n">
        <v>30219</v>
      </c>
      <c r="BT16" s="45" t="n">
        <v>40.5</v>
      </c>
      <c r="BU16" s="45" t="n">
        <v>41.3</v>
      </c>
      <c r="BV16" s="45" t="n">
        <v>42.5</v>
      </c>
      <c r="BW16" s="45" t="n">
        <v>40.2</v>
      </c>
      <c r="BX16" s="45" t="n">
        <v>25</v>
      </c>
      <c r="BY16" s="45" t="n">
        <v>60</v>
      </c>
      <c r="BZ16" s="45" t="n">
        <v>0.75</v>
      </c>
      <c r="CA16" s="45" t="n">
        <v>0.78</v>
      </c>
      <c r="CB16" s="45" t="n">
        <v>0.82</v>
      </c>
      <c r="CC16" s="45" t="n">
        <v>0.74</v>
      </c>
      <c r="CD16" s="45" t="n">
        <v>0.25</v>
      </c>
      <c r="CE16" s="45" t="n">
        <v>0.22</v>
      </c>
      <c r="CF16" s="45" t="n">
        <v>0.18</v>
      </c>
      <c r="CG16" s="45" t="n">
        <v>0.26</v>
      </c>
      <c r="CH16" s="45" t="n">
        <v>4.8</v>
      </c>
      <c r="CI16" s="45" t="n">
        <v>4.3</v>
      </c>
      <c r="CJ16" s="23" t="n">
        <v>3.4</v>
      </c>
      <c r="CK16" s="23" t="n">
        <v>4.9</v>
      </c>
      <c r="CL16" s="23" t="n">
        <v>1</v>
      </c>
      <c r="CM16" s="23" t="n">
        <v>9</v>
      </c>
      <c r="CN16" s="23" t="n">
        <v>0.42</v>
      </c>
      <c r="CO16" s="23" t="n">
        <v>0.47</v>
      </c>
      <c r="CP16" s="23" t="n">
        <v>0.58</v>
      </c>
      <c r="CQ16" s="23" t="n">
        <v>0.41</v>
      </c>
      <c r="CR16" s="23" t="n">
        <v>82</v>
      </c>
      <c r="CS16" s="23" t="n">
        <v>77.9</v>
      </c>
      <c r="CT16" s="23" t="n">
        <v>73.4</v>
      </c>
      <c r="CU16" s="23" t="n">
        <v>83</v>
      </c>
      <c r="CV16" s="23" t="n">
        <v>3.4</v>
      </c>
      <c r="CW16" s="23" t="n">
        <v>3.1</v>
      </c>
      <c r="CX16" s="23" t="n">
        <v>2.5</v>
      </c>
      <c r="CY16" s="23" t="n">
        <v>3.5</v>
      </c>
      <c r="CZ16" s="23" t="n">
        <v>26000000</v>
      </c>
      <c r="DA16" s="23" t="n">
        <v>8960000</v>
      </c>
      <c r="DB16" s="23" t="n">
        <v>3584000</v>
      </c>
      <c r="DC16" s="23" t="n">
        <v>24745600</v>
      </c>
      <c r="DD16" s="23" t="n">
        <v>312000000</v>
      </c>
      <c r="DE16" s="23" t="n">
        <v>12096000</v>
      </c>
      <c r="DF16" s="23" t="n">
        <v>3686400</v>
      </c>
      <c r="DG16" s="23" t="n">
        <v>296217600</v>
      </c>
      <c r="DH16" s="23" t="n">
        <v>0.14</v>
      </c>
      <c r="DI16" s="23" t="n">
        <v>0.1</v>
      </c>
      <c r="DJ16" s="23" t="n">
        <v>0.07</v>
      </c>
      <c r="DK16" s="23" t="n">
        <v>0.15</v>
      </c>
    </row>
    <row r="17" customFormat="false" ht="12.8" hidden="false" customHeight="false" outlineLevel="0" collapsed="false">
      <c r="A17" s="45" t="n">
        <v>13</v>
      </c>
      <c r="B17" s="45" t="s">
        <v>231</v>
      </c>
      <c r="C17" s="45" t="s">
        <v>223</v>
      </c>
      <c r="D17" s="45" t="n">
        <v>122703</v>
      </c>
      <c r="E17" s="45" t="n">
        <v>4908</v>
      </c>
      <c r="F17" s="45" t="n">
        <v>9816</v>
      </c>
      <c r="G17" s="45" t="n">
        <v>107979</v>
      </c>
      <c r="H17" s="45" t="n">
        <v>0.958</v>
      </c>
      <c r="I17" s="45" t="n">
        <v>1</v>
      </c>
      <c r="J17" s="45" t="n">
        <v>0.9</v>
      </c>
      <c r="K17" s="45" t="n">
        <v>0.958</v>
      </c>
      <c r="L17" s="45" t="n">
        <v>0.05</v>
      </c>
      <c r="M17" s="45" t="n">
        <v>0.619</v>
      </c>
      <c r="N17" s="45" t="n">
        <v>0.678</v>
      </c>
      <c r="O17" s="45" t="n">
        <v>0.047</v>
      </c>
      <c r="P17" s="45" t="n">
        <v>0.042</v>
      </c>
      <c r="Q17" s="45" t="n">
        <v>0</v>
      </c>
      <c r="R17" s="45" t="n">
        <v>0.1</v>
      </c>
      <c r="S17" s="45" t="n">
        <v>0.042</v>
      </c>
      <c r="T17" s="45" t="n">
        <v>0.069</v>
      </c>
      <c r="U17" s="45" t="n">
        <v>0.033</v>
      </c>
      <c r="V17" s="45" t="n">
        <v>0.18</v>
      </c>
      <c r="W17" s="45" t="n">
        <v>0.069</v>
      </c>
      <c r="X17" s="45" t="n">
        <v>20.5</v>
      </c>
      <c r="Y17" s="45" t="n">
        <v>15</v>
      </c>
      <c r="Z17" s="45" t="n">
        <v>30</v>
      </c>
      <c r="AA17" s="45" t="n">
        <v>44280</v>
      </c>
      <c r="AB17" s="45" t="n">
        <v>32400</v>
      </c>
      <c r="AC17" s="45" t="n">
        <v>64800</v>
      </c>
      <c r="AD17" s="45" t="n">
        <v>19.49</v>
      </c>
      <c r="AE17" s="45" t="n">
        <v>15</v>
      </c>
      <c r="AF17" s="45" t="n">
        <v>28.44</v>
      </c>
      <c r="AG17" s="45" t="n">
        <v>42100</v>
      </c>
      <c r="AH17" s="45" t="n">
        <v>32400</v>
      </c>
      <c r="AI17" s="45" t="n">
        <v>61345</v>
      </c>
      <c r="AJ17" s="45" t="n">
        <v>16.91</v>
      </c>
      <c r="AK17" s="45" t="n">
        <v>15</v>
      </c>
      <c r="AL17" s="45" t="n">
        <v>24.7</v>
      </c>
      <c r="AM17" s="45" t="n">
        <v>36500</v>
      </c>
      <c r="AN17" s="45" t="n">
        <v>32400</v>
      </c>
      <c r="AO17" s="45" t="n">
        <v>53275</v>
      </c>
      <c r="AP17" s="45" t="n">
        <v>20.5</v>
      </c>
      <c r="AQ17" s="45" t="n">
        <v>15</v>
      </c>
      <c r="AR17" s="45" t="n">
        <v>30</v>
      </c>
      <c r="AS17" s="45" t="n">
        <v>44280</v>
      </c>
      <c r="AT17" s="45" t="n">
        <v>32400</v>
      </c>
      <c r="AU17" s="45" t="n">
        <v>64800</v>
      </c>
      <c r="AV17" s="45" t="n">
        <v>1040000000</v>
      </c>
      <c r="AW17" s="45" t="n">
        <v>35840000</v>
      </c>
      <c r="AX17" s="45" t="n">
        <v>14336000</v>
      </c>
      <c r="AY17" s="45" t="n">
        <v>989760000</v>
      </c>
      <c r="AZ17" s="45" t="n">
        <v>1248000000</v>
      </c>
      <c r="BA17" s="45" t="n">
        <v>48288000</v>
      </c>
      <c r="BB17" s="45" t="n">
        <v>14726400</v>
      </c>
      <c r="BC17" s="45" t="n">
        <v>1184985600</v>
      </c>
      <c r="BD17" s="45" t="n">
        <v>60000000</v>
      </c>
      <c r="BE17" s="45" t="n">
        <v>54000000</v>
      </c>
      <c r="BF17" s="45" t="n">
        <v>0</v>
      </c>
      <c r="BG17" s="45" t="n">
        <v>6000000</v>
      </c>
      <c r="BH17" s="45" t="n">
        <v>48000000</v>
      </c>
      <c r="BI17" s="45" t="n">
        <v>12000000</v>
      </c>
      <c r="BJ17" s="45" t="n">
        <v>24000000</v>
      </c>
      <c r="BK17" s="45" t="n">
        <v>12000000</v>
      </c>
      <c r="BL17" s="45" t="n">
        <v>36000000</v>
      </c>
      <c r="BM17" s="45" t="n">
        <v>9000000</v>
      </c>
      <c r="BN17" s="45" t="n">
        <v>1800000</v>
      </c>
      <c r="BO17" s="45" t="n">
        <v>25200000</v>
      </c>
      <c r="BP17" s="45" t="n">
        <v>117600</v>
      </c>
      <c r="BQ17" s="45" t="n">
        <v>4908</v>
      </c>
      <c r="BR17" s="45" t="n">
        <v>8834</v>
      </c>
      <c r="BS17" s="45" t="n">
        <v>103858</v>
      </c>
      <c r="BT17" s="45" t="n">
        <v>32</v>
      </c>
      <c r="BU17" s="45" t="n">
        <v>32.6</v>
      </c>
      <c r="BV17" s="45" t="n">
        <v>33.6</v>
      </c>
      <c r="BW17" s="45" t="n">
        <v>31.8</v>
      </c>
      <c r="BX17" s="45" t="n">
        <v>15</v>
      </c>
      <c r="BY17" s="45" t="n">
        <v>45</v>
      </c>
      <c r="BZ17" s="45" t="n">
        <v>0.55</v>
      </c>
      <c r="CA17" s="45" t="n">
        <v>0.58</v>
      </c>
      <c r="CB17" s="45" t="n">
        <v>0.65</v>
      </c>
      <c r="CC17" s="45" t="n">
        <v>0.54</v>
      </c>
      <c r="CD17" s="45" t="n">
        <v>0.45</v>
      </c>
      <c r="CE17" s="45" t="n">
        <v>0.42</v>
      </c>
      <c r="CF17" s="45" t="n">
        <v>0.35</v>
      </c>
      <c r="CG17" s="45" t="n">
        <v>0.46</v>
      </c>
      <c r="CH17" s="45" t="n">
        <v>3.9</v>
      </c>
      <c r="CI17" s="45" t="n">
        <v>3.5</v>
      </c>
      <c r="CJ17" s="23" t="n">
        <v>2.8</v>
      </c>
      <c r="CK17" s="23" t="n">
        <v>4</v>
      </c>
      <c r="CL17" s="23" t="n">
        <v>0.8</v>
      </c>
      <c r="CM17" s="23" t="n">
        <v>8</v>
      </c>
      <c r="CN17" s="23" t="n">
        <v>0.48</v>
      </c>
      <c r="CO17" s="23" t="n">
        <v>0.53</v>
      </c>
      <c r="CP17" s="23" t="n">
        <v>0.63</v>
      </c>
      <c r="CQ17" s="23" t="n">
        <v>0.47</v>
      </c>
      <c r="CR17" s="23" t="n">
        <v>48</v>
      </c>
      <c r="CS17" s="23" t="n">
        <v>45.6</v>
      </c>
      <c r="CT17" s="23" t="n">
        <v>42.9</v>
      </c>
      <c r="CU17" s="23" t="n">
        <v>48.6</v>
      </c>
      <c r="CV17" s="23" t="n">
        <v>2.6</v>
      </c>
      <c r="CW17" s="23" t="n">
        <v>2.4</v>
      </c>
      <c r="CX17" s="23" t="n">
        <v>1.9</v>
      </c>
      <c r="CY17" s="23" t="n">
        <v>2.7</v>
      </c>
      <c r="CZ17" s="23" t="n">
        <v>104000000</v>
      </c>
      <c r="DA17" s="23" t="n">
        <v>35840000</v>
      </c>
      <c r="DB17" s="23" t="n">
        <v>14336000</v>
      </c>
      <c r="DC17" s="23" t="n">
        <v>98976000</v>
      </c>
      <c r="DD17" s="23" t="n">
        <v>1248000000</v>
      </c>
      <c r="DE17" s="23" t="n">
        <v>48288000</v>
      </c>
      <c r="DF17" s="23" t="n">
        <v>14726400</v>
      </c>
      <c r="DG17" s="23" t="n">
        <v>1184985600</v>
      </c>
      <c r="DH17" s="23" t="n">
        <v>0.2</v>
      </c>
      <c r="DI17" s="23" t="n">
        <v>0.15</v>
      </c>
      <c r="DJ17" s="23" t="n">
        <v>0.12</v>
      </c>
      <c r="DK17" s="23" t="n">
        <v>0.21</v>
      </c>
    </row>
    <row r="18" customFormat="false" ht="12.8" hidden="false" customHeight="false" outlineLevel="0" collapsed="false">
      <c r="A18" s="45" t="n">
        <v>14</v>
      </c>
      <c r="B18" s="45" t="s">
        <v>231</v>
      </c>
      <c r="C18" s="45" t="s">
        <v>225</v>
      </c>
      <c r="D18" s="45" t="n">
        <v>52587</v>
      </c>
      <c r="E18" s="45" t="n">
        <v>2103</v>
      </c>
      <c r="F18" s="45" t="n">
        <v>4207</v>
      </c>
      <c r="G18" s="45" t="n">
        <v>46277</v>
      </c>
      <c r="H18" s="45" t="n">
        <v>0.958</v>
      </c>
      <c r="I18" s="45" t="n">
        <v>1</v>
      </c>
      <c r="J18" s="45" t="n">
        <v>0.9</v>
      </c>
      <c r="K18" s="45" t="n">
        <v>0.958</v>
      </c>
      <c r="L18" s="45" t="n">
        <v>0.021</v>
      </c>
      <c r="M18" s="45" t="n">
        <v>0.619</v>
      </c>
      <c r="N18" s="45" t="n">
        <v>0.678</v>
      </c>
      <c r="O18" s="45" t="n">
        <v>0.02</v>
      </c>
      <c r="P18" s="45" t="n">
        <v>0.042</v>
      </c>
      <c r="Q18" s="45" t="n">
        <v>0</v>
      </c>
      <c r="R18" s="45" t="n">
        <v>0.1</v>
      </c>
      <c r="S18" s="45" t="n">
        <v>0.042</v>
      </c>
      <c r="T18" s="45" t="n">
        <v>0.069</v>
      </c>
      <c r="U18" s="45" t="n">
        <v>0.033</v>
      </c>
      <c r="V18" s="45" t="n">
        <v>0.18</v>
      </c>
      <c r="W18" s="45" t="n">
        <v>0.069</v>
      </c>
      <c r="X18" s="45" t="n">
        <v>20.5</v>
      </c>
      <c r="Y18" s="45" t="n">
        <v>15</v>
      </c>
      <c r="Z18" s="45" t="n">
        <v>30</v>
      </c>
      <c r="AA18" s="45" t="n">
        <v>44280</v>
      </c>
      <c r="AB18" s="45" t="n">
        <v>32400</v>
      </c>
      <c r="AC18" s="45" t="n">
        <v>64800</v>
      </c>
      <c r="AD18" s="45" t="n">
        <v>19.49</v>
      </c>
      <c r="AE18" s="45" t="n">
        <v>15</v>
      </c>
      <c r="AF18" s="45" t="n">
        <v>28.44</v>
      </c>
      <c r="AG18" s="45" t="n">
        <v>42100</v>
      </c>
      <c r="AH18" s="45" t="n">
        <v>32400</v>
      </c>
      <c r="AI18" s="45" t="n">
        <v>61345</v>
      </c>
      <c r="AJ18" s="45" t="n">
        <v>16.91</v>
      </c>
      <c r="AK18" s="45" t="n">
        <v>15</v>
      </c>
      <c r="AL18" s="45" t="n">
        <v>24.7</v>
      </c>
      <c r="AM18" s="45" t="n">
        <v>36500</v>
      </c>
      <c r="AN18" s="45" t="n">
        <v>32400</v>
      </c>
      <c r="AO18" s="45" t="n">
        <v>53275</v>
      </c>
      <c r="AP18" s="45" t="n">
        <v>20.5</v>
      </c>
      <c r="AQ18" s="45" t="n">
        <v>15</v>
      </c>
      <c r="AR18" s="45" t="n">
        <v>30</v>
      </c>
      <c r="AS18" s="45" t="n">
        <v>44280</v>
      </c>
      <c r="AT18" s="45" t="n">
        <v>32400</v>
      </c>
      <c r="AU18" s="45" t="n">
        <v>64800</v>
      </c>
      <c r="AV18" s="45" t="n">
        <v>446000000</v>
      </c>
      <c r="AW18" s="45" t="n">
        <v>15360000</v>
      </c>
      <c r="AX18" s="45" t="n">
        <v>6144000</v>
      </c>
      <c r="AY18" s="45" t="n">
        <v>424704000</v>
      </c>
      <c r="AZ18" s="45" t="n">
        <v>535200000</v>
      </c>
      <c r="BA18" s="45" t="n">
        <v>20736000</v>
      </c>
      <c r="BB18" s="45" t="n">
        <v>6326400</v>
      </c>
      <c r="BC18" s="45" t="n">
        <v>508137600</v>
      </c>
      <c r="BD18" s="45" t="n">
        <v>25714286</v>
      </c>
      <c r="BE18" s="45" t="n">
        <v>23142857</v>
      </c>
      <c r="BF18" s="45" t="n">
        <v>0</v>
      </c>
      <c r="BG18" s="45" t="n">
        <v>2571429</v>
      </c>
      <c r="BH18" s="45" t="n">
        <v>20571429</v>
      </c>
      <c r="BI18" s="45" t="n">
        <v>5142857</v>
      </c>
      <c r="BJ18" s="45" t="n">
        <v>10285714</v>
      </c>
      <c r="BK18" s="45" t="n">
        <v>5142857</v>
      </c>
      <c r="BL18" s="45" t="n">
        <v>15428571</v>
      </c>
      <c r="BM18" s="45" t="n">
        <v>3857143</v>
      </c>
      <c r="BN18" s="45" t="n">
        <v>771429</v>
      </c>
      <c r="BO18" s="45" t="n">
        <v>10800000</v>
      </c>
      <c r="BP18" s="45" t="n">
        <v>50400</v>
      </c>
      <c r="BQ18" s="45" t="n">
        <v>2103</v>
      </c>
      <c r="BR18" s="45" t="n">
        <v>3786</v>
      </c>
      <c r="BS18" s="45" t="n">
        <v>44511</v>
      </c>
      <c r="BT18" s="45" t="n">
        <v>32</v>
      </c>
      <c r="BU18" s="45" t="n">
        <v>32.6</v>
      </c>
      <c r="BV18" s="45" t="n">
        <v>33.6</v>
      </c>
      <c r="BW18" s="45" t="n">
        <v>31.8</v>
      </c>
      <c r="BX18" s="45" t="n">
        <v>15</v>
      </c>
      <c r="BY18" s="45" t="n">
        <v>45</v>
      </c>
      <c r="BZ18" s="45" t="n">
        <v>0.55</v>
      </c>
      <c r="CA18" s="45" t="n">
        <v>0.58</v>
      </c>
      <c r="CB18" s="45" t="n">
        <v>0.65</v>
      </c>
      <c r="CC18" s="45" t="n">
        <v>0.54</v>
      </c>
      <c r="CD18" s="45" t="n">
        <v>0.45</v>
      </c>
      <c r="CE18" s="45" t="n">
        <v>0.42</v>
      </c>
      <c r="CF18" s="45" t="n">
        <v>0.35</v>
      </c>
      <c r="CG18" s="45" t="n">
        <v>0.46</v>
      </c>
      <c r="CH18" s="45" t="n">
        <v>3.9</v>
      </c>
      <c r="CI18" s="45" t="n">
        <v>3.5</v>
      </c>
      <c r="CJ18" s="23" t="n">
        <v>2.8</v>
      </c>
      <c r="CK18" s="23" t="n">
        <v>4</v>
      </c>
      <c r="CL18" s="23" t="n">
        <v>0.8</v>
      </c>
      <c r="CM18" s="23" t="n">
        <v>8</v>
      </c>
      <c r="CN18" s="23" t="n">
        <v>0.48</v>
      </c>
      <c r="CO18" s="23" t="n">
        <v>0.53</v>
      </c>
      <c r="CP18" s="23" t="n">
        <v>0.63</v>
      </c>
      <c r="CQ18" s="23" t="n">
        <v>0.47</v>
      </c>
      <c r="CR18" s="23" t="n">
        <v>48</v>
      </c>
      <c r="CS18" s="23" t="n">
        <v>45.6</v>
      </c>
      <c r="CT18" s="23" t="n">
        <v>42.9</v>
      </c>
      <c r="CU18" s="23" t="n">
        <v>48.6</v>
      </c>
      <c r="CV18" s="23" t="n">
        <v>2.6</v>
      </c>
      <c r="CW18" s="23" t="n">
        <v>2.4</v>
      </c>
      <c r="CX18" s="23" t="n">
        <v>1.9</v>
      </c>
      <c r="CY18" s="23" t="n">
        <v>2.7</v>
      </c>
      <c r="CZ18" s="23" t="n">
        <v>44600000</v>
      </c>
      <c r="DA18" s="23" t="n">
        <v>15360000</v>
      </c>
      <c r="DB18" s="23" t="n">
        <v>6144000</v>
      </c>
      <c r="DC18" s="23" t="n">
        <v>42470400</v>
      </c>
      <c r="DD18" s="23" t="n">
        <v>535200000</v>
      </c>
      <c r="DE18" s="23" t="n">
        <v>20736000</v>
      </c>
      <c r="DF18" s="23" t="n">
        <v>6326400</v>
      </c>
      <c r="DG18" s="23" t="n">
        <v>508137600</v>
      </c>
      <c r="DH18" s="23" t="n">
        <v>0.2</v>
      </c>
      <c r="DI18" s="23" t="n">
        <v>0.15</v>
      </c>
      <c r="DJ18" s="23" t="n">
        <v>0.12</v>
      </c>
      <c r="DK18" s="23" t="n">
        <v>0.21</v>
      </c>
    </row>
    <row r="19" customFormat="false" ht="12.8" hidden="false" customHeight="false" outlineLevel="0" collapsed="false">
      <c r="A19" s="45" t="n">
        <v>15</v>
      </c>
      <c r="B19" s="45" t="s">
        <v>232</v>
      </c>
      <c r="C19" s="45" t="s">
        <v>223</v>
      </c>
      <c r="D19" s="45" t="n">
        <v>18625</v>
      </c>
      <c r="E19" s="45" t="n">
        <v>745</v>
      </c>
      <c r="F19" s="45" t="n">
        <v>2794</v>
      </c>
      <c r="G19" s="45" t="n">
        <v>15086</v>
      </c>
      <c r="H19" s="45" t="n">
        <v>0.958</v>
      </c>
      <c r="I19" s="45" t="n">
        <v>0.98</v>
      </c>
      <c r="J19" s="45" t="n">
        <v>0.85</v>
      </c>
      <c r="K19" s="45" t="n">
        <v>0.958</v>
      </c>
      <c r="L19" s="45" t="n">
        <v>0.008</v>
      </c>
      <c r="M19" s="45" t="n">
        <v>0.619</v>
      </c>
      <c r="N19" s="45" t="n">
        <v>0.678</v>
      </c>
      <c r="O19" s="45" t="n">
        <v>0.007</v>
      </c>
      <c r="P19" s="45" t="n">
        <v>0.042</v>
      </c>
      <c r="Q19" s="45" t="n">
        <v>0.02</v>
      </c>
      <c r="R19" s="45" t="n">
        <v>0.15</v>
      </c>
      <c r="S19" s="45" t="n">
        <v>0.042</v>
      </c>
      <c r="T19" s="45" t="n">
        <v>0.069</v>
      </c>
      <c r="U19" s="45" t="n">
        <v>0.033</v>
      </c>
      <c r="V19" s="45" t="n">
        <v>0.27</v>
      </c>
      <c r="W19" s="45" t="n">
        <v>0.069</v>
      </c>
      <c r="X19" s="45" t="n">
        <v>24</v>
      </c>
      <c r="Y19" s="45" t="n">
        <v>18</v>
      </c>
      <c r="Z19" s="45" t="n">
        <v>36</v>
      </c>
      <c r="AA19" s="45" t="n">
        <v>51840</v>
      </c>
      <c r="AB19" s="45" t="n">
        <v>38880</v>
      </c>
      <c r="AC19" s="45" t="n">
        <v>77760</v>
      </c>
      <c r="AD19" s="45" t="n">
        <v>23.52</v>
      </c>
      <c r="AE19" s="45" t="n">
        <v>18</v>
      </c>
      <c r="AF19" s="45" t="n">
        <v>35.28</v>
      </c>
      <c r="AG19" s="45" t="n">
        <v>51494</v>
      </c>
      <c r="AH19" s="45" t="n">
        <v>38880</v>
      </c>
      <c r="AI19" s="45" t="n">
        <v>77241</v>
      </c>
      <c r="AJ19" s="45" t="n">
        <v>20.4</v>
      </c>
      <c r="AK19" s="45" t="n">
        <v>18</v>
      </c>
      <c r="AL19" s="45" t="n">
        <v>30.6</v>
      </c>
      <c r="AM19" s="45" t="n">
        <v>44664</v>
      </c>
      <c r="AN19" s="45" t="n">
        <v>38880</v>
      </c>
      <c r="AO19" s="45" t="n">
        <v>66996</v>
      </c>
      <c r="AP19" s="45" t="n">
        <v>24</v>
      </c>
      <c r="AQ19" s="45" t="n">
        <v>18</v>
      </c>
      <c r="AR19" s="45" t="n">
        <v>36</v>
      </c>
      <c r="AS19" s="45" t="n">
        <v>51840</v>
      </c>
      <c r="AT19" s="45" t="n">
        <v>38880</v>
      </c>
      <c r="AU19" s="45" t="n">
        <v>77760</v>
      </c>
      <c r="AV19" s="45" t="n">
        <v>170000000</v>
      </c>
      <c r="AW19" s="45" t="n">
        <v>5850000</v>
      </c>
      <c r="AX19" s="45" t="n">
        <v>2340000</v>
      </c>
      <c r="AY19" s="45" t="n">
        <v>161850000</v>
      </c>
      <c r="AZ19" s="45" t="n">
        <v>204000000</v>
      </c>
      <c r="BA19" s="45" t="n">
        <v>7020000</v>
      </c>
      <c r="BB19" s="45" t="n">
        <v>2140800</v>
      </c>
      <c r="BC19" s="45" t="n">
        <v>194839200</v>
      </c>
      <c r="BD19" s="45" t="n">
        <v>7000000</v>
      </c>
      <c r="BE19" s="45" t="n">
        <v>6300000</v>
      </c>
      <c r="BF19" s="45" t="n">
        <v>0</v>
      </c>
      <c r="BG19" s="45" t="n">
        <v>700000</v>
      </c>
      <c r="BH19" s="45" t="n">
        <v>5600000</v>
      </c>
      <c r="BI19" s="45" t="n">
        <v>1400000</v>
      </c>
      <c r="BJ19" s="45" t="n">
        <v>2800000</v>
      </c>
      <c r="BK19" s="45" t="n">
        <v>1400000</v>
      </c>
      <c r="BL19" s="45" t="n">
        <v>4200000</v>
      </c>
      <c r="BM19" s="45" t="n">
        <v>1050000</v>
      </c>
      <c r="BN19" s="45" t="n">
        <v>210000</v>
      </c>
      <c r="BO19" s="45" t="n">
        <v>2940000</v>
      </c>
      <c r="BP19" s="45" t="n">
        <v>17850</v>
      </c>
      <c r="BQ19" s="45" t="n">
        <v>750</v>
      </c>
      <c r="BR19" s="45" t="n">
        <v>2374</v>
      </c>
      <c r="BS19" s="45" t="n">
        <v>14726</v>
      </c>
      <c r="BT19" s="45" t="n">
        <v>36</v>
      </c>
      <c r="BU19" s="45" t="n">
        <v>36.7</v>
      </c>
      <c r="BV19" s="45" t="n">
        <v>37.8</v>
      </c>
      <c r="BW19" s="45" t="n">
        <v>35.8</v>
      </c>
      <c r="BX19" s="45" t="n">
        <v>20</v>
      </c>
      <c r="BY19" s="45" t="n">
        <v>50</v>
      </c>
      <c r="BZ19" s="45" t="n">
        <v>0.6</v>
      </c>
      <c r="CA19" s="45" t="n">
        <v>0.63</v>
      </c>
      <c r="CB19" s="45" t="n">
        <v>0.7</v>
      </c>
      <c r="CC19" s="45" t="n">
        <v>0.59</v>
      </c>
      <c r="CD19" s="45" t="n">
        <v>0.4</v>
      </c>
      <c r="CE19" s="45" t="n">
        <v>0.37</v>
      </c>
      <c r="CF19" s="45" t="n">
        <v>0.3</v>
      </c>
      <c r="CG19" s="45" t="n">
        <v>0.41</v>
      </c>
      <c r="CH19" s="45" t="n">
        <v>3.1</v>
      </c>
      <c r="CI19" s="45" t="n">
        <v>2.8</v>
      </c>
      <c r="CJ19" s="23" t="n">
        <v>2.2</v>
      </c>
      <c r="CK19" s="23" t="n">
        <v>3.2</v>
      </c>
      <c r="CL19" s="23" t="n">
        <v>0.8</v>
      </c>
      <c r="CM19" s="23" t="n">
        <v>8</v>
      </c>
      <c r="CN19" s="23" t="n">
        <v>0.62</v>
      </c>
      <c r="CO19" s="23" t="n">
        <v>0.67</v>
      </c>
      <c r="CP19" s="23" t="n">
        <v>0.8</v>
      </c>
      <c r="CQ19" s="23" t="n">
        <v>0.61</v>
      </c>
      <c r="CR19" s="23" t="n">
        <v>52</v>
      </c>
      <c r="CS19" s="23" t="n">
        <v>49.4</v>
      </c>
      <c r="CT19" s="23" t="n">
        <v>46.5</v>
      </c>
      <c r="CU19" s="23" t="n">
        <v>52.7</v>
      </c>
      <c r="CV19" s="23" t="n">
        <v>2.4</v>
      </c>
      <c r="CW19" s="23" t="n">
        <v>2.2</v>
      </c>
      <c r="CX19" s="23" t="n">
        <v>1.7</v>
      </c>
      <c r="CY19" s="23" t="n">
        <v>2.5</v>
      </c>
      <c r="CZ19" s="23" t="n">
        <v>17000000</v>
      </c>
      <c r="DA19" s="23" t="n">
        <v>5850000</v>
      </c>
      <c r="DB19" s="23" t="n">
        <v>2340000</v>
      </c>
      <c r="DC19" s="23" t="n">
        <v>16185000</v>
      </c>
      <c r="DD19" s="23" t="n">
        <v>204000000</v>
      </c>
      <c r="DE19" s="23" t="n">
        <v>7020000</v>
      </c>
      <c r="DF19" s="23" t="n">
        <v>2140800</v>
      </c>
      <c r="DG19" s="23" t="n">
        <v>194839200</v>
      </c>
      <c r="DH19" s="23" t="n">
        <v>0.24</v>
      </c>
      <c r="DI19" s="23" t="n">
        <v>0.18</v>
      </c>
      <c r="DJ19" s="23" t="n">
        <v>0.15</v>
      </c>
      <c r="DK19" s="23" t="n">
        <v>0.25</v>
      </c>
    </row>
    <row r="20" customFormat="false" ht="12.8" hidden="false" customHeight="false" outlineLevel="0" collapsed="false">
      <c r="A20" s="45" t="n">
        <v>16</v>
      </c>
      <c r="B20" s="45" t="s">
        <v>232</v>
      </c>
      <c r="C20" s="45" t="s">
        <v>225</v>
      </c>
      <c r="D20" s="45" t="n">
        <v>3287</v>
      </c>
      <c r="E20" s="45" t="n">
        <v>131</v>
      </c>
      <c r="F20" s="45" t="n">
        <v>493</v>
      </c>
      <c r="G20" s="45" t="n">
        <v>2662</v>
      </c>
      <c r="H20" s="45" t="n">
        <v>0.958</v>
      </c>
      <c r="I20" s="45" t="n">
        <v>0.98</v>
      </c>
      <c r="J20" s="45" t="n">
        <v>0.85</v>
      </c>
      <c r="K20" s="45" t="n">
        <v>0.958</v>
      </c>
      <c r="L20" s="45" t="n">
        <v>0.001</v>
      </c>
      <c r="M20" s="45" t="n">
        <v>0.619</v>
      </c>
      <c r="N20" s="45" t="n">
        <v>0.678</v>
      </c>
      <c r="O20" s="45" t="n">
        <v>0.001</v>
      </c>
      <c r="P20" s="45" t="n">
        <v>0.042</v>
      </c>
      <c r="Q20" s="45" t="n">
        <v>0.02</v>
      </c>
      <c r="R20" s="45" t="n">
        <v>0.15</v>
      </c>
      <c r="S20" s="45" t="n">
        <v>0.042</v>
      </c>
      <c r="T20" s="45" t="n">
        <v>0.069</v>
      </c>
      <c r="U20" s="45" t="n">
        <v>0.033</v>
      </c>
      <c r="V20" s="45" t="n">
        <v>0.27</v>
      </c>
      <c r="W20" s="45" t="n">
        <v>0.069</v>
      </c>
      <c r="X20" s="45" t="n">
        <v>24</v>
      </c>
      <c r="Y20" s="45" t="n">
        <v>18</v>
      </c>
      <c r="Z20" s="45" t="n">
        <v>36</v>
      </c>
      <c r="AA20" s="45" t="n">
        <v>51840</v>
      </c>
      <c r="AB20" s="45" t="n">
        <v>38880</v>
      </c>
      <c r="AC20" s="45" t="n">
        <v>77760</v>
      </c>
      <c r="AD20" s="45" t="n">
        <v>23.52</v>
      </c>
      <c r="AE20" s="45" t="n">
        <v>18</v>
      </c>
      <c r="AF20" s="45" t="n">
        <v>35.28</v>
      </c>
      <c r="AG20" s="45" t="n">
        <v>51494</v>
      </c>
      <c r="AH20" s="45" t="n">
        <v>38880</v>
      </c>
      <c r="AI20" s="45" t="n">
        <v>77241</v>
      </c>
      <c r="AJ20" s="45" t="n">
        <v>20.4</v>
      </c>
      <c r="AK20" s="45" t="n">
        <v>18</v>
      </c>
      <c r="AL20" s="45" t="n">
        <v>30.6</v>
      </c>
      <c r="AM20" s="45" t="n">
        <v>44664</v>
      </c>
      <c r="AN20" s="45" t="n">
        <v>38880</v>
      </c>
      <c r="AO20" s="45" t="n">
        <v>66996</v>
      </c>
      <c r="AP20" s="45" t="n">
        <v>24</v>
      </c>
      <c r="AQ20" s="45" t="n">
        <v>18</v>
      </c>
      <c r="AR20" s="45" t="n">
        <v>36</v>
      </c>
      <c r="AS20" s="45" t="n">
        <v>51840</v>
      </c>
      <c r="AT20" s="45" t="n">
        <v>38880</v>
      </c>
      <c r="AU20" s="45" t="n">
        <v>77760</v>
      </c>
      <c r="AV20" s="45" t="n">
        <v>30000000</v>
      </c>
      <c r="AW20" s="45" t="n">
        <v>1035000</v>
      </c>
      <c r="AX20" s="45" t="n">
        <v>414000</v>
      </c>
      <c r="AY20" s="45" t="n">
        <v>28551000</v>
      </c>
      <c r="AZ20" s="45" t="n">
        <v>36000000</v>
      </c>
      <c r="BA20" s="45" t="n">
        <v>1242000</v>
      </c>
      <c r="BB20" s="45" t="n">
        <v>379200</v>
      </c>
      <c r="BC20" s="45" t="n">
        <v>34378800</v>
      </c>
      <c r="BD20" s="45" t="n">
        <v>1234286</v>
      </c>
      <c r="BE20" s="45" t="n">
        <v>1110857</v>
      </c>
      <c r="BF20" s="45" t="n">
        <v>0</v>
      </c>
      <c r="BG20" s="45" t="n">
        <v>123429</v>
      </c>
      <c r="BH20" s="45" t="n">
        <v>987429</v>
      </c>
      <c r="BI20" s="45" t="n">
        <v>246786</v>
      </c>
      <c r="BJ20" s="45" t="n">
        <v>493571</v>
      </c>
      <c r="BK20" s="45" t="n">
        <v>246786</v>
      </c>
      <c r="BL20" s="45" t="n">
        <v>740357</v>
      </c>
      <c r="BM20" s="45" t="n">
        <v>185089</v>
      </c>
      <c r="BN20" s="45" t="n">
        <v>37018</v>
      </c>
      <c r="BO20" s="45" t="n">
        <v>518250</v>
      </c>
      <c r="BP20" s="45" t="n">
        <v>3150</v>
      </c>
      <c r="BQ20" s="45" t="n">
        <v>132</v>
      </c>
      <c r="BR20" s="45" t="n">
        <v>419</v>
      </c>
      <c r="BS20" s="45" t="n">
        <v>2599</v>
      </c>
      <c r="BT20" s="45" t="n">
        <v>36</v>
      </c>
      <c r="BU20" s="45" t="n">
        <v>36.7</v>
      </c>
      <c r="BV20" s="45" t="n">
        <v>37.8</v>
      </c>
      <c r="BW20" s="45" t="n">
        <v>35.8</v>
      </c>
      <c r="BX20" s="45" t="n">
        <v>20</v>
      </c>
      <c r="BY20" s="45" t="n">
        <v>50</v>
      </c>
      <c r="BZ20" s="45" t="n">
        <v>0.6</v>
      </c>
      <c r="CA20" s="45" t="n">
        <v>0.63</v>
      </c>
      <c r="CB20" s="45" t="n">
        <v>0.7</v>
      </c>
      <c r="CC20" s="45" t="n">
        <v>0.59</v>
      </c>
      <c r="CD20" s="45" t="n">
        <v>0.4</v>
      </c>
      <c r="CE20" s="45" t="n">
        <v>0.37</v>
      </c>
      <c r="CF20" s="45" t="n">
        <v>0.3</v>
      </c>
      <c r="CG20" s="45" t="n">
        <v>0.41</v>
      </c>
      <c r="CH20" s="45" t="n">
        <v>3.1</v>
      </c>
      <c r="CI20" s="45" t="n">
        <v>2.8</v>
      </c>
      <c r="CJ20" s="23" t="n">
        <v>2.2</v>
      </c>
      <c r="CK20" s="23" t="n">
        <v>3.2</v>
      </c>
      <c r="CL20" s="23" t="n">
        <v>0.8</v>
      </c>
      <c r="CM20" s="23" t="n">
        <v>8</v>
      </c>
      <c r="CN20" s="23" t="n">
        <v>0.62</v>
      </c>
      <c r="CO20" s="23" t="n">
        <v>0.67</v>
      </c>
      <c r="CP20" s="23" t="n">
        <v>0.8</v>
      </c>
      <c r="CQ20" s="23" t="n">
        <v>0.61</v>
      </c>
      <c r="CR20" s="23" t="n">
        <v>52</v>
      </c>
      <c r="CS20" s="23" t="n">
        <v>49.4</v>
      </c>
      <c r="CT20" s="23" t="n">
        <v>46.5</v>
      </c>
      <c r="CU20" s="23" t="n">
        <v>52.7</v>
      </c>
      <c r="CV20" s="23" t="n">
        <v>2.4</v>
      </c>
      <c r="CW20" s="23" t="n">
        <v>2.2</v>
      </c>
      <c r="CX20" s="23" t="n">
        <v>1.7</v>
      </c>
      <c r="CY20" s="23" t="n">
        <v>2.5</v>
      </c>
      <c r="CZ20" s="23" t="n">
        <v>3000000</v>
      </c>
      <c r="DA20" s="23" t="n">
        <v>1035000</v>
      </c>
      <c r="DB20" s="23" t="n">
        <v>414000</v>
      </c>
      <c r="DC20" s="23" t="n">
        <v>2855100</v>
      </c>
      <c r="DD20" s="23" t="n">
        <v>36000000</v>
      </c>
      <c r="DE20" s="23" t="n">
        <v>1242000</v>
      </c>
      <c r="DF20" s="23" t="n">
        <v>379200</v>
      </c>
      <c r="DG20" s="23" t="n">
        <v>34378800</v>
      </c>
      <c r="DH20" s="23" t="n">
        <v>0.24</v>
      </c>
      <c r="DI20" s="23" t="n">
        <v>0.18</v>
      </c>
      <c r="DJ20" s="23" t="n">
        <v>0.15</v>
      </c>
      <c r="DK20" s="23" t="n">
        <v>0.25</v>
      </c>
    </row>
    <row r="21" customFormat="false" ht="12.8" hidden="false" customHeight="false" outlineLevel="0" collapsed="false">
      <c r="A21" s="45" t="n">
        <v>17</v>
      </c>
      <c r="B21" s="45" t="s">
        <v>233</v>
      </c>
      <c r="C21" s="45" t="s">
        <v>223</v>
      </c>
      <c r="D21" s="45" t="n">
        <v>23372</v>
      </c>
      <c r="E21" s="45" t="n">
        <v>935</v>
      </c>
      <c r="F21" s="45" t="n">
        <v>2805</v>
      </c>
      <c r="G21" s="45" t="n">
        <v>19633</v>
      </c>
      <c r="H21" s="45" t="n">
        <v>0.958</v>
      </c>
      <c r="I21" s="45" t="n">
        <v>1.02</v>
      </c>
      <c r="J21" s="45" t="n">
        <v>0.88</v>
      </c>
      <c r="K21" s="45" t="n">
        <v>0.958</v>
      </c>
      <c r="L21" s="45" t="n">
        <v>0.01</v>
      </c>
      <c r="M21" s="45" t="n">
        <v>0.681</v>
      </c>
      <c r="N21" s="45" t="n">
        <v>0.712</v>
      </c>
      <c r="O21" s="45" t="n">
        <v>0.009</v>
      </c>
      <c r="P21" s="45" t="n">
        <v>0.042</v>
      </c>
      <c r="Q21" s="45" t="n">
        <v>0</v>
      </c>
      <c r="R21" s="45" t="n">
        <v>0.12</v>
      </c>
      <c r="S21" s="45" t="n">
        <v>0.042</v>
      </c>
      <c r="T21" s="45" t="n">
        <v>0.069</v>
      </c>
      <c r="U21" s="45" t="n">
        <v>0.033</v>
      </c>
      <c r="V21" s="45" t="n">
        <v>0.216</v>
      </c>
      <c r="W21" s="45" t="n">
        <v>0.069</v>
      </c>
      <c r="X21" s="45" t="n">
        <v>26</v>
      </c>
      <c r="Y21" s="45" t="n">
        <v>20</v>
      </c>
      <c r="Z21" s="45" t="n">
        <v>38</v>
      </c>
      <c r="AA21" s="45" t="n">
        <v>56160</v>
      </c>
      <c r="AB21" s="45" t="n">
        <v>43200</v>
      </c>
      <c r="AC21" s="45" t="n">
        <v>82080</v>
      </c>
      <c r="AD21" s="45" t="n">
        <v>25.48</v>
      </c>
      <c r="AE21" s="45" t="n">
        <v>20</v>
      </c>
      <c r="AF21" s="45" t="n">
        <v>38.22</v>
      </c>
      <c r="AG21" s="45" t="n">
        <v>55140</v>
      </c>
      <c r="AH21" s="45" t="n">
        <v>43200</v>
      </c>
      <c r="AI21" s="45" t="n">
        <v>82710</v>
      </c>
      <c r="AJ21" s="45" t="n">
        <v>22.1</v>
      </c>
      <c r="AK21" s="45" t="n">
        <v>20</v>
      </c>
      <c r="AL21" s="45" t="n">
        <v>33.15</v>
      </c>
      <c r="AM21" s="45" t="n">
        <v>47736</v>
      </c>
      <c r="AN21" s="45" t="n">
        <v>43200</v>
      </c>
      <c r="AO21" s="45" t="n">
        <v>71504</v>
      </c>
      <c r="AP21" s="45" t="n">
        <v>26</v>
      </c>
      <c r="AQ21" s="45" t="n">
        <v>20</v>
      </c>
      <c r="AR21" s="45" t="n">
        <v>38</v>
      </c>
      <c r="AS21" s="45" t="n">
        <v>56160</v>
      </c>
      <c r="AT21" s="45" t="n">
        <v>43200</v>
      </c>
      <c r="AU21" s="45" t="n">
        <v>82080</v>
      </c>
      <c r="AV21" s="45" t="n">
        <v>120000000</v>
      </c>
      <c r="AW21" s="45" t="n">
        <v>3456000</v>
      </c>
      <c r="AX21" s="45" t="n">
        <v>1864800</v>
      </c>
      <c r="AY21" s="45" t="n">
        <v>114679200</v>
      </c>
      <c r="AZ21" s="45" t="n">
        <v>144000000</v>
      </c>
      <c r="BA21" s="45" t="n">
        <v>4147200</v>
      </c>
      <c r="BB21" s="45" t="n">
        <v>2244000</v>
      </c>
      <c r="BC21" s="45" t="n">
        <v>137608800</v>
      </c>
      <c r="BD21" s="45" t="n">
        <v>2400000</v>
      </c>
      <c r="BE21" s="45" t="n">
        <v>3456</v>
      </c>
      <c r="BF21" s="45" t="n">
        <v>0</v>
      </c>
      <c r="BG21" s="45" t="n">
        <v>186480</v>
      </c>
      <c r="BH21" s="45" t="n">
        <v>1920000</v>
      </c>
      <c r="BI21" s="45" t="n">
        <v>6912</v>
      </c>
      <c r="BJ21" s="45" t="n">
        <v>3072</v>
      </c>
      <c r="BK21" s="45" t="n">
        <v>1849536</v>
      </c>
      <c r="BL21" s="45" t="n">
        <v>1440000</v>
      </c>
      <c r="BM21" s="45" t="n">
        <v>5760</v>
      </c>
      <c r="BN21" s="45" t="n">
        <v>2304</v>
      </c>
      <c r="BO21" s="45" t="n">
        <v>1387152</v>
      </c>
      <c r="BP21" s="45" t="n">
        <v>22380</v>
      </c>
      <c r="BQ21" s="45" t="n">
        <v>940</v>
      </c>
      <c r="BR21" s="45" t="n">
        <v>2468</v>
      </c>
      <c r="BS21" s="45" t="n">
        <v>18972</v>
      </c>
      <c r="BT21" s="45" t="n">
        <v>38.5</v>
      </c>
      <c r="BU21" s="45" t="n">
        <v>39.2</v>
      </c>
      <c r="BV21" s="45" t="n">
        <v>40.5</v>
      </c>
      <c r="BW21" s="45" t="n">
        <v>38.3</v>
      </c>
      <c r="BX21" s="45" t="n">
        <v>20</v>
      </c>
      <c r="BY21" s="45" t="n">
        <v>50</v>
      </c>
      <c r="BZ21" s="45" t="n">
        <v>0.7</v>
      </c>
      <c r="CA21" s="45" t="n">
        <v>0.73</v>
      </c>
      <c r="CB21" s="45" t="n">
        <v>0.78</v>
      </c>
      <c r="CC21" s="45" t="n">
        <v>0.69</v>
      </c>
      <c r="CD21" s="45" t="n">
        <v>0.3</v>
      </c>
      <c r="CE21" s="45" t="n">
        <v>0.27</v>
      </c>
      <c r="CF21" s="45" t="n">
        <v>0.22</v>
      </c>
      <c r="CG21" s="45" t="n">
        <v>0.31</v>
      </c>
      <c r="CH21" s="45" t="n">
        <v>4.1</v>
      </c>
      <c r="CI21" s="45" t="n">
        <v>3.7</v>
      </c>
      <c r="CJ21" s="23" t="n">
        <v>2.9</v>
      </c>
      <c r="CK21" s="23" t="n">
        <v>4.2</v>
      </c>
      <c r="CL21" s="23" t="n">
        <v>1</v>
      </c>
      <c r="CM21" s="23" t="n">
        <v>9</v>
      </c>
      <c r="CN21" s="23" t="n">
        <v>0.52</v>
      </c>
      <c r="CO21" s="23" t="n">
        <v>0.57</v>
      </c>
      <c r="CP21" s="23" t="n">
        <v>0.68</v>
      </c>
      <c r="CQ21" s="23" t="n">
        <v>0.51</v>
      </c>
      <c r="CR21" s="23" t="n">
        <v>58</v>
      </c>
      <c r="CS21" s="23" t="n">
        <v>55.1</v>
      </c>
      <c r="CT21" s="23" t="n">
        <v>51.9</v>
      </c>
      <c r="CU21" s="23" t="n">
        <v>58.7</v>
      </c>
      <c r="CV21" s="23" t="n">
        <v>3</v>
      </c>
      <c r="CW21" s="23" t="n">
        <v>2.7</v>
      </c>
      <c r="CX21" s="23" t="n">
        <v>2.2</v>
      </c>
      <c r="CY21" s="23" t="n">
        <v>3.1</v>
      </c>
      <c r="CZ21" s="23" t="n">
        <v>12000000</v>
      </c>
      <c r="DA21" s="23" t="n">
        <v>3456000</v>
      </c>
      <c r="DB21" s="23" t="n">
        <v>1864800</v>
      </c>
      <c r="DC21" s="23" t="n">
        <v>114679200</v>
      </c>
      <c r="DD21" s="23" t="n">
        <v>144000000</v>
      </c>
      <c r="DE21" s="23" t="n">
        <v>4147200</v>
      </c>
      <c r="DF21" s="23" t="n">
        <v>2244000</v>
      </c>
      <c r="DG21" s="23" t="n">
        <v>137608800</v>
      </c>
      <c r="DH21" s="23" t="n">
        <v>0.18</v>
      </c>
      <c r="DI21" s="23" t="n">
        <v>0.13</v>
      </c>
      <c r="DJ21" s="23" t="n">
        <v>0.1</v>
      </c>
      <c r="DK21" s="23" t="n">
        <v>0.19</v>
      </c>
    </row>
    <row r="22" customFormat="false" ht="12.8" hidden="false" customHeight="false" outlineLevel="0" collapsed="false">
      <c r="A22" s="45" t="n">
        <v>18</v>
      </c>
      <c r="B22" s="45" t="s">
        <v>233</v>
      </c>
      <c r="C22" s="45" t="s">
        <v>225</v>
      </c>
      <c r="D22" s="45" t="n">
        <v>5843</v>
      </c>
      <c r="E22" s="45" t="n">
        <v>234</v>
      </c>
      <c r="F22" s="45" t="n">
        <v>701</v>
      </c>
      <c r="G22" s="45" t="n">
        <v>4908</v>
      </c>
      <c r="H22" s="45" t="n">
        <v>0.958</v>
      </c>
      <c r="I22" s="45" t="n">
        <v>1.02</v>
      </c>
      <c r="J22" s="45" t="n">
        <v>0.88</v>
      </c>
      <c r="K22" s="45" t="n">
        <v>0.958</v>
      </c>
      <c r="L22" s="45" t="n">
        <v>0.002</v>
      </c>
      <c r="M22" s="45" t="n">
        <v>0.681</v>
      </c>
      <c r="N22" s="45" t="n">
        <v>0.712</v>
      </c>
      <c r="O22" s="45" t="n">
        <v>0.002</v>
      </c>
      <c r="P22" s="45" t="n">
        <v>0.042</v>
      </c>
      <c r="Q22" s="45" t="n">
        <v>0</v>
      </c>
      <c r="R22" s="45" t="n">
        <v>0.12</v>
      </c>
      <c r="S22" s="45" t="n">
        <v>0.042</v>
      </c>
      <c r="T22" s="45" t="n">
        <v>0.069</v>
      </c>
      <c r="U22" s="45" t="n">
        <v>0.033</v>
      </c>
      <c r="V22" s="45" t="n">
        <v>0.216</v>
      </c>
      <c r="W22" s="45" t="n">
        <v>0.069</v>
      </c>
      <c r="X22" s="45" t="n">
        <v>26</v>
      </c>
      <c r="Y22" s="45" t="n">
        <v>20</v>
      </c>
      <c r="Z22" s="45" t="n">
        <v>38</v>
      </c>
      <c r="AA22" s="45" t="n">
        <v>56160</v>
      </c>
      <c r="AB22" s="45" t="n">
        <v>43200</v>
      </c>
      <c r="AC22" s="45" t="n">
        <v>82080</v>
      </c>
      <c r="AD22" s="45" t="n">
        <v>25.48</v>
      </c>
      <c r="AE22" s="45" t="n">
        <v>20</v>
      </c>
      <c r="AF22" s="45" t="n">
        <v>38.22</v>
      </c>
      <c r="AG22" s="45" t="n">
        <v>55140</v>
      </c>
      <c r="AH22" s="45" t="n">
        <v>43200</v>
      </c>
      <c r="AI22" s="45" t="n">
        <v>82710</v>
      </c>
      <c r="AJ22" s="45" t="n">
        <v>22.1</v>
      </c>
      <c r="AK22" s="45" t="n">
        <v>20</v>
      </c>
      <c r="AL22" s="45" t="n">
        <v>33.15</v>
      </c>
      <c r="AM22" s="45" t="n">
        <v>47736</v>
      </c>
      <c r="AN22" s="45" t="n">
        <v>43200</v>
      </c>
      <c r="AO22" s="45" t="n">
        <v>71504</v>
      </c>
      <c r="AP22" s="45" t="n">
        <v>26</v>
      </c>
      <c r="AQ22" s="45" t="n">
        <v>20</v>
      </c>
      <c r="AR22" s="45" t="n">
        <v>38</v>
      </c>
      <c r="AS22" s="45" t="n">
        <v>56160</v>
      </c>
      <c r="AT22" s="45" t="n">
        <v>43200</v>
      </c>
      <c r="AU22" s="45" t="n">
        <v>82080</v>
      </c>
      <c r="AV22" s="45" t="n">
        <v>30000000</v>
      </c>
      <c r="AW22" s="45" t="n">
        <v>864000</v>
      </c>
      <c r="AX22" s="45" t="n">
        <v>466200</v>
      </c>
      <c r="AY22" s="45" t="n">
        <v>28669800</v>
      </c>
      <c r="AZ22" s="45" t="n">
        <v>36000000</v>
      </c>
      <c r="BA22" s="45" t="n">
        <v>1036800</v>
      </c>
      <c r="BB22" s="45" t="n">
        <v>561000</v>
      </c>
      <c r="BC22" s="45" t="n">
        <v>34402200</v>
      </c>
      <c r="BD22" s="45" t="n">
        <v>600000</v>
      </c>
      <c r="BE22" s="45" t="n">
        <v>864</v>
      </c>
      <c r="BF22" s="45" t="n">
        <v>0</v>
      </c>
      <c r="BG22" s="45" t="n">
        <v>46620</v>
      </c>
      <c r="BH22" s="45" t="n">
        <v>480000</v>
      </c>
      <c r="BI22" s="45" t="n">
        <v>1728</v>
      </c>
      <c r="BJ22" s="45" t="n">
        <v>768</v>
      </c>
      <c r="BK22" s="45" t="n">
        <v>462384</v>
      </c>
      <c r="BL22" s="45" t="n">
        <v>360000</v>
      </c>
      <c r="BM22" s="45" t="n">
        <v>1440</v>
      </c>
      <c r="BN22" s="45" t="n">
        <v>576</v>
      </c>
      <c r="BO22" s="45" t="n">
        <v>346788</v>
      </c>
      <c r="BP22" s="45" t="n">
        <v>5595</v>
      </c>
      <c r="BQ22" s="45" t="n">
        <v>235</v>
      </c>
      <c r="BR22" s="45" t="n">
        <v>617</v>
      </c>
      <c r="BS22" s="45" t="n">
        <v>4743</v>
      </c>
      <c r="BT22" s="45" t="n">
        <v>38.5</v>
      </c>
      <c r="BU22" s="45" t="n">
        <v>39.2</v>
      </c>
      <c r="BV22" s="45" t="n">
        <v>40.5</v>
      </c>
      <c r="BW22" s="45" t="n">
        <v>38.3</v>
      </c>
      <c r="BX22" s="45" t="n">
        <v>20</v>
      </c>
      <c r="BY22" s="45" t="n">
        <v>50</v>
      </c>
      <c r="BZ22" s="45" t="n">
        <v>0.7</v>
      </c>
      <c r="CA22" s="45" t="n">
        <v>0.73</v>
      </c>
      <c r="CB22" s="45" t="n">
        <v>0.78</v>
      </c>
      <c r="CC22" s="45" t="n">
        <v>0.69</v>
      </c>
      <c r="CD22" s="45" t="n">
        <v>0.3</v>
      </c>
      <c r="CE22" s="45" t="n">
        <v>0.27</v>
      </c>
      <c r="CF22" s="45" t="n">
        <v>0.22</v>
      </c>
      <c r="CG22" s="45" t="n">
        <v>0.31</v>
      </c>
      <c r="CH22" s="45" t="n">
        <v>4.1</v>
      </c>
      <c r="CI22" s="45" t="n">
        <v>3.7</v>
      </c>
      <c r="CJ22" s="23" t="n">
        <v>2.9</v>
      </c>
      <c r="CK22" s="23" t="n">
        <v>4.2</v>
      </c>
      <c r="CL22" s="23" t="n">
        <v>1</v>
      </c>
      <c r="CM22" s="23" t="n">
        <v>9</v>
      </c>
      <c r="CN22" s="23" t="n">
        <v>0.52</v>
      </c>
      <c r="CO22" s="23" t="n">
        <v>0.57</v>
      </c>
      <c r="CP22" s="23" t="n">
        <v>0.68</v>
      </c>
      <c r="CQ22" s="23" t="n">
        <v>0.51</v>
      </c>
      <c r="CR22" s="23" t="n">
        <v>58</v>
      </c>
      <c r="CS22" s="23" t="n">
        <v>55.1</v>
      </c>
      <c r="CT22" s="23" t="n">
        <v>51.9</v>
      </c>
      <c r="CU22" s="23" t="n">
        <v>58.7</v>
      </c>
      <c r="CV22" s="23" t="n">
        <v>3</v>
      </c>
      <c r="CW22" s="23" t="n">
        <v>2.7</v>
      </c>
      <c r="CX22" s="23" t="n">
        <v>2.2</v>
      </c>
      <c r="CY22" s="23" t="n">
        <v>3.1</v>
      </c>
      <c r="CZ22" s="23" t="n">
        <v>3000000</v>
      </c>
      <c r="DA22" s="23" t="n">
        <v>864000</v>
      </c>
      <c r="DB22" s="23" t="n">
        <v>466200</v>
      </c>
      <c r="DC22" s="23" t="n">
        <v>2866980</v>
      </c>
      <c r="DD22" s="23" t="n">
        <v>36000000</v>
      </c>
      <c r="DE22" s="23" t="n">
        <v>1036800</v>
      </c>
      <c r="DF22" s="23" t="n">
        <v>561000</v>
      </c>
      <c r="DG22" s="23" t="n">
        <v>34402200</v>
      </c>
      <c r="DH22" s="23" t="n">
        <v>0.18</v>
      </c>
      <c r="DI22" s="23" t="n">
        <v>0.13</v>
      </c>
      <c r="DJ22" s="23" t="n">
        <v>0.1</v>
      </c>
      <c r="DK22" s="23" t="n">
        <v>0.19</v>
      </c>
    </row>
    <row r="23" customFormat="false" ht="12.8" hidden="false" customHeight="false" outlineLevel="0" collapsed="false">
      <c r="A23" s="45" t="n">
        <v>19</v>
      </c>
      <c r="B23" s="45" t="s">
        <v>234</v>
      </c>
      <c r="C23" s="45" t="s">
        <v>223</v>
      </c>
      <c r="D23" s="45" t="n">
        <v>175290</v>
      </c>
      <c r="E23" s="45" t="n">
        <v>7012</v>
      </c>
      <c r="F23" s="45" t="n">
        <v>8765</v>
      </c>
      <c r="G23" s="45" t="n">
        <v>159514</v>
      </c>
      <c r="H23" s="45" t="n">
        <v>0.958</v>
      </c>
      <c r="I23" s="45" t="n">
        <v>1.02</v>
      </c>
      <c r="J23" s="45" t="n">
        <v>0.92</v>
      </c>
      <c r="K23" s="45" t="n">
        <v>0.958</v>
      </c>
      <c r="L23" s="45" t="n">
        <v>0.072</v>
      </c>
      <c r="M23" s="45" t="n">
        <v>0.681</v>
      </c>
      <c r="N23" s="45" t="n">
        <v>0.712</v>
      </c>
      <c r="O23" s="45" t="n">
        <v>0.065</v>
      </c>
      <c r="P23" s="45" t="n">
        <v>0.042</v>
      </c>
      <c r="Q23" s="45" t="n">
        <v>0</v>
      </c>
      <c r="R23" s="45" t="n">
        <v>0.08</v>
      </c>
      <c r="S23" s="45" t="n">
        <v>0.042</v>
      </c>
      <c r="T23" s="45" t="n">
        <v>0.069</v>
      </c>
      <c r="U23" s="45" t="n">
        <v>0</v>
      </c>
      <c r="V23" s="45" t="n">
        <v>0.144</v>
      </c>
      <c r="W23" s="45" t="n">
        <v>0.069</v>
      </c>
      <c r="X23" s="45" t="n">
        <v>32</v>
      </c>
      <c r="Y23" s="45" t="n">
        <v>25</v>
      </c>
      <c r="Z23" s="45" t="n">
        <v>45</v>
      </c>
      <c r="AA23" s="45" t="n">
        <v>69120</v>
      </c>
      <c r="AB23" s="45" t="n">
        <v>51840</v>
      </c>
      <c r="AC23" s="45" t="n">
        <v>98280</v>
      </c>
      <c r="AD23" s="45" t="n">
        <v>29.45</v>
      </c>
      <c r="AE23" s="45" t="n">
        <v>25</v>
      </c>
      <c r="AF23" s="45" t="n">
        <v>44.18</v>
      </c>
      <c r="AG23" s="45" t="n">
        <v>63612</v>
      </c>
      <c r="AH23" s="45" t="n">
        <v>51840</v>
      </c>
      <c r="AI23" s="45" t="n">
        <v>95418</v>
      </c>
      <c r="AJ23" s="45" t="n">
        <v>26.35</v>
      </c>
      <c r="AK23" s="45" t="n">
        <v>25</v>
      </c>
      <c r="AL23" s="45" t="n">
        <v>39.53</v>
      </c>
      <c r="AM23" s="45" t="n">
        <v>56916</v>
      </c>
      <c r="AN23" s="45" t="n">
        <v>51840</v>
      </c>
      <c r="AO23" s="45" t="n">
        <v>85374</v>
      </c>
      <c r="AP23" s="45" t="n">
        <v>32.5</v>
      </c>
      <c r="AQ23" s="45" t="n">
        <v>25</v>
      </c>
      <c r="AR23" s="45" t="n">
        <v>45</v>
      </c>
      <c r="AS23" s="45" t="n">
        <v>70200</v>
      </c>
      <c r="AT23" s="45" t="n">
        <v>51840</v>
      </c>
      <c r="AU23" s="45" t="n">
        <v>98280</v>
      </c>
      <c r="AV23" s="45" t="n">
        <v>1200000000</v>
      </c>
      <c r="AW23" s="45" t="n">
        <v>41280000</v>
      </c>
      <c r="AX23" s="45" t="n">
        <v>16512000</v>
      </c>
      <c r="AY23" s="45" t="n">
        <v>1142208000</v>
      </c>
      <c r="AZ23" s="45" t="n">
        <v>1440000000</v>
      </c>
      <c r="BA23" s="45" t="n">
        <v>55728000</v>
      </c>
      <c r="BB23" s="45" t="n">
        <v>16998400</v>
      </c>
      <c r="BC23" s="45" t="n">
        <v>1367273600</v>
      </c>
      <c r="BD23" s="45" t="n">
        <v>48000000</v>
      </c>
      <c r="BE23" s="45" t="n">
        <v>43200000</v>
      </c>
      <c r="BF23" s="45" t="n">
        <v>0</v>
      </c>
      <c r="BG23" s="45" t="n">
        <v>4800000</v>
      </c>
      <c r="BH23" s="45" t="n">
        <v>38400000</v>
      </c>
      <c r="BI23" s="45" t="n">
        <v>9600000</v>
      </c>
      <c r="BJ23" s="45" t="n">
        <v>19200000</v>
      </c>
      <c r="BK23" s="45" t="n">
        <v>9600000</v>
      </c>
      <c r="BL23" s="45" t="n">
        <v>28800000</v>
      </c>
      <c r="BM23" s="45" t="n">
        <v>7200000</v>
      </c>
      <c r="BN23" s="45" t="n">
        <v>1440000</v>
      </c>
      <c r="BO23" s="45" t="n">
        <v>20160000</v>
      </c>
      <c r="BP23" s="45" t="n">
        <v>167900</v>
      </c>
      <c r="BQ23" s="45" t="n">
        <v>7012</v>
      </c>
      <c r="BR23" s="45" t="n">
        <v>8065</v>
      </c>
      <c r="BS23" s="45" t="n">
        <v>152823</v>
      </c>
      <c r="BT23" s="45" t="n">
        <v>37.5</v>
      </c>
      <c r="BU23" s="45" t="n">
        <v>38.2</v>
      </c>
      <c r="BV23" s="45" t="n">
        <v>39.4</v>
      </c>
      <c r="BW23" s="45" t="n">
        <v>37.3</v>
      </c>
      <c r="BX23" s="45" t="n">
        <v>25</v>
      </c>
      <c r="BY23" s="45" t="n">
        <v>55</v>
      </c>
      <c r="BZ23" s="45" t="n">
        <v>0.8</v>
      </c>
      <c r="CA23" s="45" t="n">
        <v>0.82</v>
      </c>
      <c r="CB23" s="45" t="n">
        <v>0.87</v>
      </c>
      <c r="CC23" s="45" t="n">
        <v>0.79</v>
      </c>
      <c r="CD23" s="45" t="n">
        <v>0.2</v>
      </c>
      <c r="CE23" s="45" t="n">
        <v>0.18</v>
      </c>
      <c r="CF23" s="45" t="n">
        <v>0.13</v>
      </c>
      <c r="CG23" s="45" t="n">
        <v>0.21</v>
      </c>
      <c r="CH23" s="45" t="n">
        <v>5.2</v>
      </c>
      <c r="CI23" s="45" t="n">
        <v>4.7</v>
      </c>
      <c r="CJ23" s="23" t="n">
        <v>3.8</v>
      </c>
      <c r="CK23" s="23" t="n">
        <v>5.3</v>
      </c>
      <c r="CL23" s="23" t="n">
        <v>1.5</v>
      </c>
      <c r="CM23" s="23" t="n">
        <v>10</v>
      </c>
      <c r="CN23" s="23" t="n">
        <v>0.38</v>
      </c>
      <c r="CO23" s="23" t="n">
        <v>0.43</v>
      </c>
      <c r="CP23" s="23" t="n">
        <v>0.52</v>
      </c>
      <c r="CQ23" s="23" t="n">
        <v>0.37</v>
      </c>
      <c r="CR23" s="23" t="n">
        <v>78</v>
      </c>
      <c r="CS23" s="23" t="n">
        <v>74.1</v>
      </c>
      <c r="CT23" s="23" t="n">
        <v>69.8</v>
      </c>
      <c r="CU23" s="23" t="n">
        <v>78.9</v>
      </c>
      <c r="CV23" s="23" t="n">
        <v>4.2</v>
      </c>
      <c r="CW23" s="23" t="n">
        <v>3.8</v>
      </c>
      <c r="CX23" s="23" t="n">
        <v>3.1</v>
      </c>
      <c r="CY23" s="23" t="n">
        <v>4.3</v>
      </c>
      <c r="CZ23" s="23" t="n">
        <v>120000000</v>
      </c>
      <c r="DA23" s="23" t="n">
        <v>41280000</v>
      </c>
      <c r="DB23" s="23" t="n">
        <v>16512000</v>
      </c>
      <c r="DC23" s="23" t="n">
        <v>1142208000</v>
      </c>
      <c r="DD23" s="23" t="n">
        <v>1440000000</v>
      </c>
      <c r="DE23" s="23" t="n">
        <v>55728000</v>
      </c>
      <c r="DF23" s="23" t="n">
        <v>16998400</v>
      </c>
      <c r="DG23" s="23" t="n">
        <v>1367273600</v>
      </c>
      <c r="DH23" s="23" t="n">
        <v>0.09</v>
      </c>
      <c r="DI23" s="23" t="n">
        <v>0.06</v>
      </c>
      <c r="DJ23" s="23" t="n">
        <v>0.04</v>
      </c>
      <c r="DK23" s="23" t="n">
        <v>0.1</v>
      </c>
    </row>
    <row r="24" customFormat="false" ht="12.8" hidden="false" customHeight="false" outlineLevel="0" collapsed="false">
      <c r="A24" s="45" t="n">
        <v>20</v>
      </c>
      <c r="B24" s="45" t="s">
        <v>234</v>
      </c>
      <c r="C24" s="45" t="s">
        <v>225</v>
      </c>
      <c r="D24" s="45" t="n">
        <v>43823</v>
      </c>
      <c r="E24" s="45" t="n">
        <v>1753</v>
      </c>
      <c r="F24" s="45" t="n">
        <v>2191</v>
      </c>
      <c r="G24" s="45" t="n">
        <v>39879</v>
      </c>
      <c r="H24" s="45" t="n">
        <v>0.958</v>
      </c>
      <c r="I24" s="45" t="n">
        <v>1.02</v>
      </c>
      <c r="J24" s="45" t="n">
        <v>0.92</v>
      </c>
      <c r="K24" s="45" t="n">
        <v>0.958</v>
      </c>
      <c r="L24" s="45" t="n">
        <v>0.018</v>
      </c>
      <c r="M24" s="45" t="n">
        <v>0.681</v>
      </c>
      <c r="N24" s="45" t="n">
        <v>0.712</v>
      </c>
      <c r="O24" s="45" t="n">
        <v>0.016</v>
      </c>
      <c r="P24" s="45" t="n">
        <v>0.042</v>
      </c>
      <c r="Q24" s="45" t="n">
        <v>0</v>
      </c>
      <c r="R24" s="45" t="n">
        <v>0.08</v>
      </c>
      <c r="S24" s="45" t="n">
        <v>0.042</v>
      </c>
      <c r="T24" s="45" t="n">
        <v>0.069</v>
      </c>
      <c r="U24" s="45" t="n">
        <v>0</v>
      </c>
      <c r="V24" s="45" t="n">
        <v>0.144</v>
      </c>
      <c r="W24" s="45" t="n">
        <v>0.069</v>
      </c>
      <c r="X24" s="45" t="n">
        <v>32</v>
      </c>
      <c r="Y24" s="45" t="n">
        <v>25</v>
      </c>
      <c r="Z24" s="45" t="n">
        <v>45</v>
      </c>
      <c r="AA24" s="45" t="n">
        <v>69120</v>
      </c>
      <c r="AB24" s="45" t="n">
        <v>51840</v>
      </c>
      <c r="AC24" s="45" t="n">
        <v>98280</v>
      </c>
      <c r="AD24" s="45" t="n">
        <v>29.45</v>
      </c>
      <c r="AE24" s="45" t="n">
        <v>25</v>
      </c>
      <c r="AF24" s="45" t="n">
        <v>44.18</v>
      </c>
      <c r="AG24" s="45" t="n">
        <v>63612</v>
      </c>
      <c r="AH24" s="45" t="n">
        <v>51840</v>
      </c>
      <c r="AI24" s="45" t="n">
        <v>95418</v>
      </c>
      <c r="AJ24" s="45" t="n">
        <v>26.35</v>
      </c>
      <c r="AK24" s="45" t="n">
        <v>25</v>
      </c>
      <c r="AL24" s="45" t="n">
        <v>39.53</v>
      </c>
      <c r="AM24" s="45" t="n">
        <v>56916</v>
      </c>
      <c r="AN24" s="45" t="n">
        <v>51840</v>
      </c>
      <c r="AO24" s="45" t="n">
        <v>85374</v>
      </c>
      <c r="AP24" s="45" t="n">
        <v>32.5</v>
      </c>
      <c r="AQ24" s="45" t="n">
        <v>25</v>
      </c>
      <c r="AR24" s="45" t="n">
        <v>45</v>
      </c>
      <c r="AS24" s="45" t="n">
        <v>70200</v>
      </c>
      <c r="AT24" s="45" t="n">
        <v>51840</v>
      </c>
      <c r="AU24" s="45" t="n">
        <v>98280</v>
      </c>
      <c r="AV24" s="45" t="n">
        <v>300000000</v>
      </c>
      <c r="AW24" s="45" t="n">
        <v>10320000</v>
      </c>
      <c r="AX24" s="45" t="n">
        <v>4128000</v>
      </c>
      <c r="AY24" s="45" t="n">
        <v>285552000</v>
      </c>
      <c r="AZ24" s="45" t="n">
        <v>360000000</v>
      </c>
      <c r="BA24" s="45" t="n">
        <v>13932000</v>
      </c>
      <c r="BB24" s="45" t="n">
        <v>4249600</v>
      </c>
      <c r="BC24" s="45" t="n">
        <v>341818400</v>
      </c>
      <c r="BD24" s="45" t="n">
        <v>12000000</v>
      </c>
      <c r="BE24" s="45" t="n">
        <v>10800000</v>
      </c>
      <c r="BF24" s="45" t="n">
        <v>0</v>
      </c>
      <c r="BG24" s="45" t="n">
        <v>1200000</v>
      </c>
      <c r="BH24" s="45" t="n">
        <v>9600000</v>
      </c>
      <c r="BI24" s="45" t="n">
        <v>2400000</v>
      </c>
      <c r="BJ24" s="45" t="n">
        <v>4800000</v>
      </c>
      <c r="BK24" s="45" t="n">
        <v>2400000</v>
      </c>
      <c r="BL24" s="45" t="n">
        <v>7200000</v>
      </c>
      <c r="BM24" s="45" t="n">
        <v>1800000</v>
      </c>
      <c r="BN24" s="45" t="n">
        <v>360000</v>
      </c>
      <c r="BO24" s="45" t="n">
        <v>5040000</v>
      </c>
      <c r="BP24" s="45" t="n">
        <v>41975</v>
      </c>
      <c r="BQ24" s="45" t="n">
        <v>1753</v>
      </c>
      <c r="BR24" s="45" t="n">
        <v>2016</v>
      </c>
      <c r="BS24" s="45" t="n">
        <v>38206</v>
      </c>
      <c r="BT24" s="45" t="n">
        <v>37.5</v>
      </c>
      <c r="BU24" s="45" t="n">
        <v>38.2</v>
      </c>
      <c r="BV24" s="45" t="n">
        <v>39.4</v>
      </c>
      <c r="BW24" s="45" t="n">
        <v>37.3</v>
      </c>
      <c r="BX24" s="45" t="n">
        <v>25</v>
      </c>
      <c r="BY24" s="45" t="n">
        <v>55</v>
      </c>
      <c r="BZ24" s="45" t="n">
        <v>0.8</v>
      </c>
      <c r="CA24" s="45" t="n">
        <v>0.82</v>
      </c>
      <c r="CB24" s="45" t="n">
        <v>0.87</v>
      </c>
      <c r="CC24" s="45" t="n">
        <v>0.79</v>
      </c>
      <c r="CD24" s="45" t="n">
        <v>0.2</v>
      </c>
      <c r="CE24" s="45" t="n">
        <v>0.18</v>
      </c>
      <c r="CF24" s="45" t="n">
        <v>0.13</v>
      </c>
      <c r="CG24" s="45" t="n">
        <v>0.21</v>
      </c>
      <c r="CH24" s="45" t="n">
        <v>5.2</v>
      </c>
      <c r="CI24" s="45" t="n">
        <v>4.7</v>
      </c>
      <c r="CJ24" s="23" t="n">
        <v>3.8</v>
      </c>
      <c r="CK24" s="23" t="n">
        <v>5.3</v>
      </c>
      <c r="CL24" s="23" t="n">
        <v>1.5</v>
      </c>
      <c r="CM24" s="23" t="n">
        <v>10</v>
      </c>
      <c r="CN24" s="23" t="n">
        <v>0.38</v>
      </c>
      <c r="CO24" s="23" t="n">
        <v>0.43</v>
      </c>
      <c r="CP24" s="23" t="n">
        <v>0.52</v>
      </c>
      <c r="CQ24" s="23" t="n">
        <v>0.37</v>
      </c>
      <c r="CR24" s="23" t="n">
        <v>78</v>
      </c>
      <c r="CS24" s="23" t="n">
        <v>74.1</v>
      </c>
      <c r="CT24" s="23" t="n">
        <v>69.8</v>
      </c>
      <c r="CU24" s="23" t="n">
        <v>78.9</v>
      </c>
      <c r="CV24" s="23" t="n">
        <v>4.2</v>
      </c>
      <c r="CW24" s="23" t="n">
        <v>3.8</v>
      </c>
      <c r="CX24" s="23" t="n">
        <v>3.1</v>
      </c>
      <c r="CY24" s="23" t="n">
        <v>4.3</v>
      </c>
      <c r="CZ24" s="23" t="n">
        <v>30000000</v>
      </c>
      <c r="DA24" s="23" t="n">
        <v>10320000</v>
      </c>
      <c r="DB24" s="23" t="n">
        <v>4128000</v>
      </c>
      <c r="DC24" s="23" t="n">
        <v>285552000</v>
      </c>
      <c r="DD24" s="23" t="n">
        <v>360000000</v>
      </c>
      <c r="DE24" s="23" t="n">
        <v>13932000</v>
      </c>
      <c r="DF24" s="23" t="n">
        <v>4249600</v>
      </c>
      <c r="DG24" s="23" t="n">
        <v>341818400</v>
      </c>
      <c r="DH24" s="23" t="n">
        <v>0.09</v>
      </c>
      <c r="DI24" s="23" t="n">
        <v>0.06</v>
      </c>
      <c r="DJ24" s="23" t="n">
        <v>0.04</v>
      </c>
      <c r="DK24" s="23" t="n">
        <v>0.1</v>
      </c>
    </row>
    <row r="25" customFormat="false" ht="12.8" hidden="false" customHeight="false" outlineLevel="0" collapsed="false">
      <c r="A25" s="45" t="n">
        <v>21</v>
      </c>
      <c r="B25" s="45" t="s">
        <v>235</v>
      </c>
      <c r="C25" s="45" t="s">
        <v>223</v>
      </c>
      <c r="D25" s="45" t="n">
        <v>85000</v>
      </c>
      <c r="E25" s="45" t="n">
        <v>3400</v>
      </c>
      <c r="F25" s="45" t="n">
        <v>6800</v>
      </c>
      <c r="G25" s="45" t="n">
        <v>74800</v>
      </c>
      <c r="H25" s="45" t="n">
        <v>0.958</v>
      </c>
      <c r="I25" s="45" t="n">
        <v>1.02</v>
      </c>
      <c r="J25" s="45" t="n">
        <v>0.92</v>
      </c>
      <c r="K25" s="45" t="n">
        <v>0.958</v>
      </c>
      <c r="L25" s="45" t="n">
        <v>0.035</v>
      </c>
      <c r="M25" s="45" t="n">
        <v>0.681</v>
      </c>
      <c r="N25" s="45" t="n">
        <v>0.712</v>
      </c>
      <c r="O25" s="45" t="n">
        <v>0.033</v>
      </c>
      <c r="P25" s="45" t="n">
        <v>0.042</v>
      </c>
      <c r="Q25" s="45" t="n">
        <v>0</v>
      </c>
      <c r="R25" s="45" t="n">
        <v>0.08</v>
      </c>
      <c r="S25" s="45" t="n">
        <v>0.042</v>
      </c>
      <c r="T25" s="45" t="n">
        <v>0.069</v>
      </c>
      <c r="U25" s="45" t="n">
        <v>0</v>
      </c>
      <c r="V25" s="45" t="n">
        <v>0.144</v>
      </c>
      <c r="W25" s="45" t="n">
        <v>0.069</v>
      </c>
      <c r="X25" s="45" t="n">
        <v>35</v>
      </c>
      <c r="Y25" s="45" t="n">
        <v>28</v>
      </c>
      <c r="Z25" s="45" t="n">
        <v>50</v>
      </c>
      <c r="AA25" s="45" t="n">
        <v>75600</v>
      </c>
      <c r="AB25" s="45" t="n">
        <v>60480</v>
      </c>
      <c r="AC25" s="45" t="n">
        <v>108000</v>
      </c>
      <c r="AD25" s="45" t="n">
        <v>32.2</v>
      </c>
      <c r="AE25" s="45" t="n">
        <v>28</v>
      </c>
      <c r="AF25" s="45" t="n">
        <v>48.3</v>
      </c>
      <c r="AG25" s="45" t="n">
        <v>69552</v>
      </c>
      <c r="AH25" s="45" t="n">
        <v>60480</v>
      </c>
      <c r="AI25" s="45" t="n">
        <v>104328</v>
      </c>
      <c r="AJ25" s="45" t="n">
        <v>28.8</v>
      </c>
      <c r="AK25" s="45" t="n">
        <v>28</v>
      </c>
      <c r="AL25" s="45" t="n">
        <v>43.2</v>
      </c>
      <c r="AM25" s="45" t="n">
        <v>62208</v>
      </c>
      <c r="AN25" s="45" t="n">
        <v>60480</v>
      </c>
      <c r="AO25" s="45" t="n">
        <v>93312</v>
      </c>
      <c r="AP25" s="45" t="n">
        <v>35.5</v>
      </c>
      <c r="AQ25" s="45" t="n">
        <v>28</v>
      </c>
      <c r="AR25" s="45" t="n">
        <v>50</v>
      </c>
      <c r="AS25" s="45" t="n">
        <v>76680</v>
      </c>
      <c r="AT25" s="45" t="n">
        <v>60480</v>
      </c>
      <c r="AU25" s="45" t="n">
        <v>108000</v>
      </c>
      <c r="AV25" s="45" t="n">
        <v>600000000</v>
      </c>
      <c r="AW25" s="45" t="n">
        <v>20640000</v>
      </c>
      <c r="AX25" s="45" t="n">
        <v>8256000</v>
      </c>
      <c r="AY25" s="45" t="n">
        <v>570984000</v>
      </c>
      <c r="AZ25" s="45" t="n">
        <v>722000000</v>
      </c>
      <c r="BA25" s="45" t="n">
        <v>27888000</v>
      </c>
      <c r="BB25" s="45" t="n">
        <v>8500800</v>
      </c>
      <c r="BC25" s="45" t="n">
        <v>686131200</v>
      </c>
      <c r="BD25" s="45" t="n">
        <v>20000000</v>
      </c>
      <c r="BE25" s="45" t="n">
        <v>18000000</v>
      </c>
      <c r="BF25" s="45" t="n">
        <v>0</v>
      </c>
      <c r="BG25" s="45" t="n">
        <v>2000000</v>
      </c>
      <c r="BH25" s="45" t="n">
        <v>16000000</v>
      </c>
      <c r="BI25" s="45" t="n">
        <v>4000000</v>
      </c>
      <c r="BJ25" s="45" t="n">
        <v>8000000</v>
      </c>
      <c r="BK25" s="45" t="n">
        <v>4000000</v>
      </c>
      <c r="BL25" s="45" t="n">
        <v>12000000</v>
      </c>
      <c r="BM25" s="45" t="n">
        <v>3000000</v>
      </c>
      <c r="BN25" s="45" t="n">
        <v>600000</v>
      </c>
      <c r="BO25" s="45" t="n">
        <v>8400000</v>
      </c>
      <c r="BP25" s="45" t="n">
        <v>81380</v>
      </c>
      <c r="BQ25" s="45" t="n">
        <v>3400</v>
      </c>
      <c r="BR25" s="45" t="n">
        <v>6370</v>
      </c>
      <c r="BS25" s="45" t="n">
        <v>71644</v>
      </c>
      <c r="BT25" s="45" t="n">
        <v>38.5</v>
      </c>
      <c r="BU25" s="45" t="n">
        <v>39.2</v>
      </c>
      <c r="BV25" s="45" t="n">
        <v>40.5</v>
      </c>
      <c r="BW25" s="45" t="n">
        <v>38.3</v>
      </c>
      <c r="BX25" s="45" t="n">
        <v>25</v>
      </c>
      <c r="BY25" s="45" t="n">
        <v>55</v>
      </c>
      <c r="BZ25" s="45" t="n">
        <v>0.85</v>
      </c>
      <c r="CA25" s="45" t="n">
        <v>0.87</v>
      </c>
      <c r="CB25" s="45" t="n">
        <v>0.9</v>
      </c>
      <c r="CC25" s="45" t="n">
        <v>0.84</v>
      </c>
      <c r="CD25" s="45" t="n">
        <v>0.15</v>
      </c>
      <c r="CE25" s="45" t="n">
        <v>0.13</v>
      </c>
      <c r="CF25" s="45" t="n">
        <v>0.1</v>
      </c>
      <c r="CG25" s="45" t="n">
        <v>0.16</v>
      </c>
      <c r="CH25" s="45" t="n">
        <v>6.5</v>
      </c>
      <c r="CI25" s="45" t="n">
        <v>5.9</v>
      </c>
      <c r="CJ25" s="23" t="n">
        <v>4.8</v>
      </c>
      <c r="CK25" s="23" t="n">
        <v>6.6</v>
      </c>
      <c r="CL25" s="23" t="n">
        <v>1.5</v>
      </c>
      <c r="CM25" s="23" t="n">
        <v>12</v>
      </c>
      <c r="CN25" s="23" t="n">
        <v>0.28</v>
      </c>
      <c r="CO25" s="23" t="n">
        <v>0.33</v>
      </c>
      <c r="CP25" s="23" t="n">
        <v>0.43</v>
      </c>
      <c r="CQ25" s="23" t="n">
        <v>0.27</v>
      </c>
      <c r="CR25" s="23" t="n">
        <v>90</v>
      </c>
      <c r="CS25" s="23" t="n">
        <v>85.5</v>
      </c>
      <c r="CT25" s="23" t="n">
        <v>80.5</v>
      </c>
      <c r="CU25" s="23" t="n">
        <v>91.2</v>
      </c>
      <c r="CV25" s="23" t="n">
        <v>4.5</v>
      </c>
      <c r="CW25" s="23" t="n">
        <v>4.2</v>
      </c>
      <c r="CX25" s="23" t="n">
        <v>3.4</v>
      </c>
      <c r="CY25" s="23" t="n">
        <v>4.6</v>
      </c>
      <c r="CZ25" s="23" t="n">
        <v>60000000</v>
      </c>
      <c r="DA25" s="23" t="n">
        <v>20640000</v>
      </c>
      <c r="DB25" s="23" t="n">
        <v>8256000</v>
      </c>
      <c r="DC25" s="23" t="n">
        <v>570984000</v>
      </c>
      <c r="DD25" s="23" t="n">
        <v>722000000</v>
      </c>
      <c r="DE25" s="23" t="n">
        <v>27888000</v>
      </c>
      <c r="DF25" s="23" t="n">
        <v>8500800</v>
      </c>
      <c r="DG25" s="23" t="n">
        <v>686131200</v>
      </c>
      <c r="DH25" s="23" t="n">
        <v>0.07</v>
      </c>
      <c r="DI25" s="23" t="n">
        <v>0.05</v>
      </c>
      <c r="DJ25" s="23" t="n">
        <v>0.03</v>
      </c>
      <c r="DK25" s="23" t="n">
        <v>0.08</v>
      </c>
    </row>
    <row r="26" customFormat="false" ht="12.8" hidden="false" customHeight="false" outlineLevel="0" collapsed="false">
      <c r="A26" s="45" t="n">
        <v>22</v>
      </c>
      <c r="B26" s="45" t="s">
        <v>235</v>
      </c>
      <c r="C26" s="45" t="s">
        <v>225</v>
      </c>
      <c r="D26" s="45" t="n">
        <v>21250</v>
      </c>
      <c r="E26" s="45" t="n">
        <v>850</v>
      </c>
      <c r="F26" s="45" t="n">
        <v>1700</v>
      </c>
      <c r="G26" s="45" t="n">
        <v>18700</v>
      </c>
      <c r="H26" s="45" t="n">
        <v>0.958</v>
      </c>
      <c r="I26" s="45" t="n">
        <v>1.02</v>
      </c>
      <c r="J26" s="45" t="n">
        <v>0.92</v>
      </c>
      <c r="K26" s="45" t="n">
        <v>0.958</v>
      </c>
      <c r="L26" s="45" t="n">
        <v>0.009</v>
      </c>
      <c r="M26" s="45" t="n">
        <v>0.681</v>
      </c>
      <c r="N26" s="45" t="n">
        <v>0.712</v>
      </c>
      <c r="O26" s="45" t="n">
        <v>0.008</v>
      </c>
      <c r="P26" s="45" t="n">
        <v>0.042</v>
      </c>
      <c r="Q26" s="45" t="n">
        <v>0</v>
      </c>
      <c r="R26" s="45" t="n">
        <v>0.08</v>
      </c>
      <c r="S26" s="45" t="n">
        <v>0.042</v>
      </c>
      <c r="T26" s="45" t="n">
        <v>0.069</v>
      </c>
      <c r="U26" s="45" t="n">
        <v>0</v>
      </c>
      <c r="V26" s="45" t="n">
        <v>0.144</v>
      </c>
      <c r="W26" s="45" t="n">
        <v>0.069</v>
      </c>
      <c r="X26" s="45" t="n">
        <v>35</v>
      </c>
      <c r="Y26" s="45" t="n">
        <v>28</v>
      </c>
      <c r="Z26" s="45" t="n">
        <v>50</v>
      </c>
      <c r="AA26" s="45" t="n">
        <v>75600</v>
      </c>
      <c r="AB26" s="45" t="n">
        <v>60480</v>
      </c>
      <c r="AC26" s="45" t="n">
        <v>108000</v>
      </c>
      <c r="AD26" s="45" t="n">
        <v>32.2</v>
      </c>
      <c r="AE26" s="45" t="n">
        <v>28</v>
      </c>
      <c r="AF26" s="45" t="n">
        <v>48.3</v>
      </c>
      <c r="AG26" s="45" t="n">
        <v>69552</v>
      </c>
      <c r="AH26" s="45" t="n">
        <v>60480</v>
      </c>
      <c r="AI26" s="45" t="n">
        <v>104328</v>
      </c>
      <c r="AJ26" s="45" t="n">
        <v>28.8</v>
      </c>
      <c r="AK26" s="45" t="n">
        <v>28</v>
      </c>
      <c r="AL26" s="45" t="n">
        <v>43.2</v>
      </c>
      <c r="AM26" s="45" t="n">
        <v>62208</v>
      </c>
      <c r="AN26" s="45" t="n">
        <v>60480</v>
      </c>
      <c r="AO26" s="45" t="n">
        <v>93312</v>
      </c>
      <c r="AP26" s="45" t="n">
        <v>35.5</v>
      </c>
      <c r="AQ26" s="45" t="n">
        <v>28</v>
      </c>
      <c r="AR26" s="45" t="n">
        <v>50</v>
      </c>
      <c r="AS26" s="45" t="n">
        <v>76680</v>
      </c>
      <c r="AT26" s="45" t="n">
        <v>60480</v>
      </c>
      <c r="AU26" s="45" t="n">
        <v>108000</v>
      </c>
      <c r="AV26" s="45" t="n">
        <v>150000000</v>
      </c>
      <c r="AW26" s="45" t="n">
        <v>5160000</v>
      </c>
      <c r="AX26" s="45" t="n">
        <v>2064000</v>
      </c>
      <c r="AY26" s="45" t="n">
        <v>142746000</v>
      </c>
      <c r="AZ26" s="45" t="n">
        <v>180500000</v>
      </c>
      <c r="BA26" s="45" t="n">
        <v>6967200</v>
      </c>
      <c r="BB26" s="45" t="n">
        <v>2125200</v>
      </c>
      <c r="BC26" s="45" t="n">
        <v>171532800</v>
      </c>
      <c r="BD26" s="45" t="n">
        <v>5000000</v>
      </c>
      <c r="BE26" s="45" t="n">
        <v>4500000</v>
      </c>
      <c r="BF26" s="45" t="n">
        <v>0</v>
      </c>
      <c r="BG26" s="45" t="n">
        <v>500000</v>
      </c>
      <c r="BH26" s="45" t="n">
        <v>4000000</v>
      </c>
      <c r="BI26" s="45" t="n">
        <v>1000000</v>
      </c>
      <c r="BJ26" s="45" t="n">
        <v>2000000</v>
      </c>
      <c r="BK26" s="45" t="n">
        <v>1000000</v>
      </c>
      <c r="BL26" s="45" t="n">
        <v>3000000</v>
      </c>
      <c r="BM26" s="45" t="n">
        <v>750000</v>
      </c>
      <c r="BN26" s="45" t="n">
        <v>150000</v>
      </c>
      <c r="BO26" s="45" t="n">
        <v>2100000</v>
      </c>
      <c r="BP26" s="45" t="n">
        <v>20358</v>
      </c>
      <c r="BQ26" s="45" t="n">
        <v>850</v>
      </c>
      <c r="BR26" s="45" t="n">
        <v>1592</v>
      </c>
      <c r="BS26" s="45" t="n">
        <v>17911</v>
      </c>
      <c r="BT26" s="45" t="n">
        <v>38.5</v>
      </c>
      <c r="BU26" s="45" t="n">
        <v>39.2</v>
      </c>
      <c r="BV26" s="45" t="n">
        <v>40.5</v>
      </c>
      <c r="BW26" s="45" t="n">
        <v>38.3</v>
      </c>
      <c r="BX26" s="45" t="n">
        <v>25</v>
      </c>
      <c r="BY26" s="45" t="n">
        <v>55</v>
      </c>
      <c r="BZ26" s="45" t="n">
        <v>0.85</v>
      </c>
      <c r="CA26" s="45" t="n">
        <v>0.87</v>
      </c>
      <c r="CB26" s="45" t="n">
        <v>0.9</v>
      </c>
      <c r="CC26" s="45" t="n">
        <v>0.84</v>
      </c>
      <c r="CD26" s="45" t="n">
        <v>0.15</v>
      </c>
      <c r="CE26" s="45" t="n">
        <v>0.13</v>
      </c>
      <c r="CF26" s="45" t="n">
        <v>0.1</v>
      </c>
      <c r="CG26" s="45" t="n">
        <v>0.16</v>
      </c>
      <c r="CH26" s="45" t="n">
        <v>6.5</v>
      </c>
      <c r="CI26" s="45" t="n">
        <v>5.9</v>
      </c>
      <c r="CJ26" s="23" t="n">
        <v>4.8</v>
      </c>
      <c r="CK26" s="23" t="n">
        <v>6.6</v>
      </c>
      <c r="CL26" s="23" t="n">
        <v>1.5</v>
      </c>
      <c r="CM26" s="23" t="n">
        <v>12</v>
      </c>
      <c r="CN26" s="23" t="n">
        <v>0.28</v>
      </c>
      <c r="CO26" s="23" t="n">
        <v>0.33</v>
      </c>
      <c r="CP26" s="23" t="n">
        <v>0.43</v>
      </c>
      <c r="CQ26" s="23" t="n">
        <v>0.27</v>
      </c>
      <c r="CR26" s="23" t="n">
        <v>90</v>
      </c>
      <c r="CS26" s="23" t="n">
        <v>85.5</v>
      </c>
      <c r="CT26" s="23" t="n">
        <v>80.5</v>
      </c>
      <c r="CU26" s="23" t="n">
        <v>91.2</v>
      </c>
      <c r="CV26" s="23" t="n">
        <v>4.5</v>
      </c>
      <c r="CW26" s="23" t="n">
        <v>4.2</v>
      </c>
      <c r="CX26" s="23" t="n">
        <v>3.4</v>
      </c>
      <c r="CY26" s="23" t="n">
        <v>4.6</v>
      </c>
      <c r="CZ26" s="23" t="n">
        <v>15000000</v>
      </c>
      <c r="DA26" s="23" t="n">
        <v>5160000</v>
      </c>
      <c r="DB26" s="23" t="n">
        <v>2064000</v>
      </c>
      <c r="DC26" s="23" t="n">
        <v>142746000</v>
      </c>
      <c r="DD26" s="23" t="n">
        <v>180500000</v>
      </c>
      <c r="DE26" s="23" t="n">
        <v>6967200</v>
      </c>
      <c r="DF26" s="23" t="n">
        <v>2125200</v>
      </c>
      <c r="DG26" s="23" t="n">
        <v>171532800</v>
      </c>
      <c r="DH26" s="23" t="n">
        <v>0.07</v>
      </c>
      <c r="DI26" s="23" t="n">
        <v>0.05</v>
      </c>
      <c r="DJ26" s="23" t="n">
        <v>0.03</v>
      </c>
      <c r="DK26" s="23" t="n">
        <v>0.08</v>
      </c>
    </row>
    <row r="27" customFormat="false" ht="12.8" hidden="false" customHeight="false" outlineLevel="0" collapsed="false">
      <c r="A27" s="45" t="n">
        <v>23</v>
      </c>
      <c r="B27" s="45" t="s">
        <v>236</v>
      </c>
      <c r="C27" s="45" t="s">
        <v>223</v>
      </c>
      <c r="D27" s="45" t="n">
        <v>85000</v>
      </c>
      <c r="E27" s="45" t="n">
        <v>3400</v>
      </c>
      <c r="F27" s="45" t="n">
        <v>6800</v>
      </c>
      <c r="G27" s="45" t="n">
        <v>74800</v>
      </c>
      <c r="H27" s="45" t="n">
        <v>0.958</v>
      </c>
      <c r="I27" s="45" t="n">
        <v>1.02</v>
      </c>
      <c r="J27" s="45" t="n">
        <v>0.92</v>
      </c>
      <c r="K27" s="45" t="n">
        <v>0.958</v>
      </c>
      <c r="L27" s="45" t="n">
        <v>0.035</v>
      </c>
      <c r="M27" s="45" t="n">
        <v>0.681</v>
      </c>
      <c r="N27" s="45" t="n">
        <v>0.712</v>
      </c>
      <c r="O27" s="45" t="n">
        <v>0.033</v>
      </c>
      <c r="P27" s="45" t="n">
        <v>0.042</v>
      </c>
      <c r="Q27" s="45" t="n">
        <v>0</v>
      </c>
      <c r="R27" s="45" t="n">
        <v>0.08</v>
      </c>
      <c r="S27" s="45" t="n">
        <v>0.042</v>
      </c>
      <c r="T27" s="45" t="n">
        <v>0.069</v>
      </c>
      <c r="U27" s="45" t="n">
        <v>0</v>
      </c>
      <c r="V27" s="45" t="n">
        <v>0.144</v>
      </c>
      <c r="W27" s="45" t="n">
        <v>0.069</v>
      </c>
      <c r="X27" s="45" t="n">
        <v>32</v>
      </c>
      <c r="Y27" s="45" t="n">
        <v>25</v>
      </c>
      <c r="Z27" s="45" t="n">
        <v>45</v>
      </c>
      <c r="AA27" s="45" t="n">
        <v>69120</v>
      </c>
      <c r="AB27" s="45" t="n">
        <v>51840</v>
      </c>
      <c r="AC27" s="45" t="n">
        <v>98280</v>
      </c>
      <c r="AD27" s="45" t="n">
        <v>29.45</v>
      </c>
      <c r="AE27" s="45" t="n">
        <v>25</v>
      </c>
      <c r="AF27" s="45" t="n">
        <v>44.18</v>
      </c>
      <c r="AG27" s="45" t="n">
        <v>63612</v>
      </c>
      <c r="AH27" s="45" t="n">
        <v>51840</v>
      </c>
      <c r="AI27" s="45" t="n">
        <v>95418</v>
      </c>
      <c r="AJ27" s="45" t="n">
        <v>26.35</v>
      </c>
      <c r="AK27" s="45" t="n">
        <v>25</v>
      </c>
      <c r="AL27" s="45" t="n">
        <v>39.53</v>
      </c>
      <c r="AM27" s="45" t="n">
        <v>56916</v>
      </c>
      <c r="AN27" s="45" t="n">
        <v>51840</v>
      </c>
      <c r="AO27" s="45" t="n">
        <v>85374</v>
      </c>
      <c r="AP27" s="45" t="n">
        <v>32.5</v>
      </c>
      <c r="AQ27" s="45" t="n">
        <v>25</v>
      </c>
      <c r="AR27" s="45" t="n">
        <v>45</v>
      </c>
      <c r="AS27" s="45" t="n">
        <v>70200</v>
      </c>
      <c r="AT27" s="45" t="n">
        <v>51840</v>
      </c>
      <c r="AU27" s="45" t="n">
        <v>98280</v>
      </c>
      <c r="AV27" s="45" t="n">
        <v>600000000</v>
      </c>
      <c r="AW27" s="45" t="n">
        <v>20640000</v>
      </c>
      <c r="AX27" s="45" t="n">
        <v>8256000</v>
      </c>
      <c r="AY27" s="45" t="n">
        <v>570984000</v>
      </c>
      <c r="AZ27" s="45" t="n">
        <v>722000000</v>
      </c>
      <c r="BA27" s="45" t="n">
        <v>27888000</v>
      </c>
      <c r="BB27" s="45" t="n">
        <v>8500800</v>
      </c>
      <c r="BC27" s="45" t="n">
        <v>686131200</v>
      </c>
      <c r="BD27" s="45" t="n">
        <v>20000000</v>
      </c>
      <c r="BE27" s="45" t="n">
        <v>18000000</v>
      </c>
      <c r="BF27" s="45" t="n">
        <v>0</v>
      </c>
      <c r="BG27" s="45" t="n">
        <v>2000000</v>
      </c>
      <c r="BH27" s="45" t="n">
        <v>16000000</v>
      </c>
      <c r="BI27" s="45" t="n">
        <v>4000000</v>
      </c>
      <c r="BJ27" s="45" t="n">
        <v>8000000</v>
      </c>
      <c r="BK27" s="45" t="n">
        <v>4000000</v>
      </c>
      <c r="BL27" s="45" t="n">
        <v>12000000</v>
      </c>
      <c r="BM27" s="45" t="n">
        <v>3000000</v>
      </c>
      <c r="BN27" s="45" t="n">
        <v>600000</v>
      </c>
      <c r="BO27" s="45" t="n">
        <v>8400000</v>
      </c>
      <c r="BP27" s="45" t="n">
        <v>81380</v>
      </c>
      <c r="BQ27" s="45" t="n">
        <v>3400</v>
      </c>
      <c r="BR27" s="45" t="n">
        <v>6370</v>
      </c>
      <c r="BS27" s="45" t="n">
        <v>71644</v>
      </c>
      <c r="BT27" s="45" t="n">
        <v>37.5</v>
      </c>
      <c r="BU27" s="45" t="n">
        <v>38.2</v>
      </c>
      <c r="BV27" s="45" t="n">
        <v>39.4</v>
      </c>
      <c r="BW27" s="45" t="n">
        <v>37.3</v>
      </c>
      <c r="BX27" s="45" t="n">
        <v>25</v>
      </c>
      <c r="BY27" s="45" t="n">
        <v>55</v>
      </c>
      <c r="BZ27" s="45" t="n">
        <v>0.8</v>
      </c>
      <c r="CA27" s="45" t="n">
        <v>0.82</v>
      </c>
      <c r="CB27" s="45" t="n">
        <v>0.87</v>
      </c>
      <c r="CC27" s="45" t="n">
        <v>0.79</v>
      </c>
      <c r="CD27" s="45" t="n">
        <v>0.2</v>
      </c>
      <c r="CE27" s="45" t="n">
        <v>0.18</v>
      </c>
      <c r="CF27" s="45" t="n">
        <v>0.13</v>
      </c>
      <c r="CG27" s="45" t="n">
        <v>0.21</v>
      </c>
      <c r="CH27" s="45" t="n">
        <v>5.2</v>
      </c>
      <c r="CI27" s="45" t="n">
        <v>4.7</v>
      </c>
      <c r="CJ27" s="23" t="n">
        <v>3.8</v>
      </c>
      <c r="CK27" s="23" t="n">
        <v>5.3</v>
      </c>
      <c r="CL27" s="23" t="n">
        <v>1.5</v>
      </c>
      <c r="CM27" s="23" t="n">
        <v>10</v>
      </c>
      <c r="CN27" s="23" t="n">
        <v>0.38</v>
      </c>
      <c r="CO27" s="23" t="n">
        <v>0.43</v>
      </c>
      <c r="CP27" s="23" t="n">
        <v>0.52</v>
      </c>
      <c r="CQ27" s="23" t="n">
        <v>0.37</v>
      </c>
      <c r="CR27" s="23" t="n">
        <v>78</v>
      </c>
      <c r="CS27" s="23" t="n">
        <v>74.1</v>
      </c>
      <c r="CT27" s="23" t="n">
        <v>69.8</v>
      </c>
      <c r="CU27" s="23" t="n">
        <v>78.9</v>
      </c>
      <c r="CV27" s="23" t="n">
        <v>4.2</v>
      </c>
      <c r="CW27" s="23" t="n">
        <v>3.8</v>
      </c>
      <c r="CX27" s="23" t="n">
        <v>3.1</v>
      </c>
      <c r="CY27" s="23" t="n">
        <v>4.3</v>
      </c>
      <c r="CZ27" s="23" t="n">
        <v>60000000</v>
      </c>
      <c r="DA27" s="23" t="n">
        <v>20640000</v>
      </c>
      <c r="DB27" s="23" t="n">
        <v>8256000</v>
      </c>
      <c r="DC27" s="23" t="n">
        <v>570984000</v>
      </c>
      <c r="DD27" s="23" t="n">
        <v>722000000</v>
      </c>
      <c r="DE27" s="23" t="n">
        <v>27888000</v>
      </c>
      <c r="DF27" s="23" t="n">
        <v>8500800</v>
      </c>
      <c r="DG27" s="23" t="n">
        <v>686131200</v>
      </c>
      <c r="DH27" s="23" t="n">
        <v>0.09</v>
      </c>
      <c r="DI27" s="23" t="n">
        <v>0.06</v>
      </c>
      <c r="DJ27" s="23" t="n">
        <v>0.04</v>
      </c>
      <c r="DK27" s="23" t="n">
        <v>0.1</v>
      </c>
    </row>
    <row r="28" customFormat="false" ht="12.8" hidden="false" customHeight="false" outlineLevel="0" collapsed="false">
      <c r="A28" s="45" t="n">
        <v>24</v>
      </c>
      <c r="B28" s="45" t="s">
        <v>236</v>
      </c>
      <c r="C28" s="45" t="s">
        <v>225</v>
      </c>
      <c r="D28" s="45" t="n">
        <v>21250</v>
      </c>
      <c r="E28" s="45" t="n">
        <v>850</v>
      </c>
      <c r="F28" s="45" t="n">
        <v>1700</v>
      </c>
      <c r="G28" s="45" t="n">
        <v>18700</v>
      </c>
      <c r="H28" s="45" t="n">
        <v>0.958</v>
      </c>
      <c r="I28" s="45" t="n">
        <v>1.02</v>
      </c>
      <c r="J28" s="45" t="n">
        <v>0.92</v>
      </c>
      <c r="K28" s="45" t="n">
        <v>0.958</v>
      </c>
      <c r="L28" s="45" t="n">
        <v>0.009</v>
      </c>
      <c r="M28" s="45" t="n">
        <v>0.681</v>
      </c>
      <c r="N28" s="45" t="n">
        <v>0.712</v>
      </c>
      <c r="O28" s="45" t="n">
        <v>0.008</v>
      </c>
      <c r="P28" s="45" t="n">
        <v>0.042</v>
      </c>
      <c r="Q28" s="45" t="n">
        <v>0</v>
      </c>
      <c r="R28" s="45" t="n">
        <v>0.08</v>
      </c>
      <c r="S28" s="45" t="n">
        <v>0.042</v>
      </c>
      <c r="T28" s="45" t="n">
        <v>0.069</v>
      </c>
      <c r="U28" s="45" t="n">
        <v>0</v>
      </c>
      <c r="V28" s="45" t="n">
        <v>0.144</v>
      </c>
      <c r="W28" s="45" t="n">
        <v>0.069</v>
      </c>
      <c r="X28" s="45" t="n">
        <v>32</v>
      </c>
      <c r="Y28" s="45" t="n">
        <v>25</v>
      </c>
      <c r="Z28" s="45" t="n">
        <v>45</v>
      </c>
      <c r="AA28" s="45" t="n">
        <v>69120</v>
      </c>
      <c r="AB28" s="45" t="n">
        <v>51840</v>
      </c>
      <c r="AC28" s="45" t="n">
        <v>98280</v>
      </c>
      <c r="AD28" s="45" t="n">
        <v>29.45</v>
      </c>
      <c r="AE28" s="45" t="n">
        <v>25</v>
      </c>
      <c r="AF28" s="45" t="n">
        <v>44.18</v>
      </c>
      <c r="AG28" s="45" t="n">
        <v>63612</v>
      </c>
      <c r="AH28" s="45" t="n">
        <v>51840</v>
      </c>
      <c r="AI28" s="45" t="n">
        <v>95418</v>
      </c>
      <c r="AJ28" s="45" t="n">
        <v>26.35</v>
      </c>
      <c r="AK28" s="45" t="n">
        <v>25</v>
      </c>
      <c r="AL28" s="45" t="n">
        <v>39.53</v>
      </c>
      <c r="AM28" s="45" t="n">
        <v>56916</v>
      </c>
      <c r="AN28" s="45" t="n">
        <v>51840</v>
      </c>
      <c r="AO28" s="45" t="n">
        <v>85374</v>
      </c>
      <c r="AP28" s="45" t="n">
        <v>32.5</v>
      </c>
      <c r="AQ28" s="45" t="n">
        <v>25</v>
      </c>
      <c r="AR28" s="45" t="n">
        <v>45</v>
      </c>
      <c r="AS28" s="45" t="n">
        <v>70200</v>
      </c>
      <c r="AT28" s="45" t="n">
        <v>51840</v>
      </c>
      <c r="AU28" s="45" t="n">
        <v>98280</v>
      </c>
      <c r="AV28" s="45" t="n">
        <v>150000000</v>
      </c>
      <c r="AW28" s="45" t="n">
        <v>5160000</v>
      </c>
      <c r="AX28" s="45" t="n">
        <v>2064000</v>
      </c>
      <c r="AY28" s="45" t="n">
        <v>142746000</v>
      </c>
      <c r="AZ28" s="45" t="n">
        <v>180500000</v>
      </c>
      <c r="BA28" s="45" t="n">
        <v>6967200</v>
      </c>
      <c r="BB28" s="45" t="n">
        <v>2125200</v>
      </c>
      <c r="BC28" s="45" t="n">
        <v>171532800</v>
      </c>
      <c r="BD28" s="45" t="n">
        <v>5000000</v>
      </c>
      <c r="BE28" s="45" t="n">
        <v>4500000</v>
      </c>
      <c r="BF28" s="45" t="n">
        <v>0</v>
      </c>
      <c r="BG28" s="45" t="n">
        <v>500000</v>
      </c>
      <c r="BH28" s="45" t="n">
        <v>4000000</v>
      </c>
      <c r="BI28" s="45" t="n">
        <v>1000000</v>
      </c>
      <c r="BJ28" s="45" t="n">
        <v>2000000</v>
      </c>
      <c r="BK28" s="45" t="n">
        <v>1000000</v>
      </c>
      <c r="BL28" s="45" t="n">
        <v>3000000</v>
      </c>
      <c r="BM28" s="45" t="n">
        <v>750000</v>
      </c>
      <c r="BN28" s="45" t="n">
        <v>150000</v>
      </c>
      <c r="BO28" s="45" t="n">
        <v>2100000</v>
      </c>
      <c r="BP28" s="45" t="n">
        <v>20358</v>
      </c>
      <c r="BQ28" s="45" t="n">
        <v>850</v>
      </c>
      <c r="BR28" s="45" t="n">
        <v>1592</v>
      </c>
      <c r="BS28" s="45" t="n">
        <v>17911</v>
      </c>
      <c r="BT28" s="45" t="n">
        <v>37.5</v>
      </c>
      <c r="BU28" s="45" t="n">
        <v>38.2</v>
      </c>
      <c r="BV28" s="45" t="n">
        <v>39.4</v>
      </c>
      <c r="BW28" s="45" t="n">
        <v>37.3</v>
      </c>
      <c r="BX28" s="45" t="n">
        <v>25</v>
      </c>
      <c r="BY28" s="45" t="n">
        <v>55</v>
      </c>
      <c r="BZ28" s="45" t="n">
        <v>0.8</v>
      </c>
      <c r="CA28" s="45" t="n">
        <v>0.82</v>
      </c>
      <c r="CB28" s="45" t="n">
        <v>0.87</v>
      </c>
      <c r="CC28" s="45" t="n">
        <v>0.79</v>
      </c>
      <c r="CD28" s="45" t="n">
        <v>0.2</v>
      </c>
      <c r="CE28" s="45" t="n">
        <v>0.18</v>
      </c>
      <c r="CF28" s="45" t="n">
        <v>0.13</v>
      </c>
      <c r="CG28" s="45" t="n">
        <v>0.21</v>
      </c>
      <c r="CH28" s="45" t="n">
        <v>5.2</v>
      </c>
      <c r="CI28" s="45" t="n">
        <v>4.7</v>
      </c>
      <c r="CJ28" s="23" t="n">
        <v>3.8</v>
      </c>
      <c r="CK28" s="23" t="n">
        <v>5.3</v>
      </c>
      <c r="CL28" s="23" t="n">
        <v>1.5</v>
      </c>
      <c r="CM28" s="23" t="n">
        <v>10</v>
      </c>
      <c r="CN28" s="23" t="n">
        <v>0.38</v>
      </c>
      <c r="CO28" s="23" t="n">
        <v>0.43</v>
      </c>
      <c r="CP28" s="23" t="n">
        <v>0.52</v>
      </c>
      <c r="CQ28" s="23" t="n">
        <v>0.37</v>
      </c>
      <c r="CR28" s="23" t="n">
        <v>78</v>
      </c>
      <c r="CS28" s="23" t="n">
        <v>74.1</v>
      </c>
      <c r="CT28" s="23" t="n">
        <v>69.8</v>
      </c>
      <c r="CU28" s="23" t="n">
        <v>78.9</v>
      </c>
      <c r="CV28" s="23" t="n">
        <v>4.2</v>
      </c>
      <c r="CW28" s="23" t="n">
        <v>3.8</v>
      </c>
      <c r="CX28" s="23" t="n">
        <v>3.1</v>
      </c>
      <c r="CY28" s="23" t="n">
        <v>4.3</v>
      </c>
      <c r="CZ28" s="23" t="n">
        <v>15000000</v>
      </c>
      <c r="DA28" s="23" t="n">
        <v>5160000</v>
      </c>
      <c r="DB28" s="23" t="n">
        <v>2064000</v>
      </c>
      <c r="DC28" s="23" t="n">
        <v>142746000</v>
      </c>
      <c r="DD28" s="23" t="n">
        <v>180500000</v>
      </c>
      <c r="DE28" s="23" t="n">
        <v>6967200</v>
      </c>
      <c r="DF28" s="23" t="n">
        <v>2125200</v>
      </c>
      <c r="DG28" s="23" t="n">
        <v>171532800</v>
      </c>
      <c r="DH28" s="23" t="n">
        <v>0.09</v>
      </c>
      <c r="DI28" s="23" t="n">
        <v>0.06</v>
      </c>
      <c r="DJ28" s="23" t="n">
        <v>0.04</v>
      </c>
      <c r="DK28" s="23" t="n">
        <v>0.1</v>
      </c>
    </row>
    <row r="29" customFormat="false" ht="12.8" hidden="false" customHeight="false" outlineLevel="0" collapsed="false">
      <c r="A29" s="45" t="n">
        <v>25</v>
      </c>
      <c r="B29" s="45" t="s">
        <v>237</v>
      </c>
      <c r="C29" s="45" t="s">
        <v>223</v>
      </c>
      <c r="D29" s="45" t="n">
        <v>42500</v>
      </c>
      <c r="E29" s="45" t="n">
        <v>1700</v>
      </c>
      <c r="F29" s="45" t="n">
        <v>3400</v>
      </c>
      <c r="G29" s="45" t="n">
        <v>37400</v>
      </c>
      <c r="H29" s="45" t="n">
        <v>0.958</v>
      </c>
      <c r="I29" s="45" t="n">
        <v>1.02</v>
      </c>
      <c r="J29" s="45" t="n">
        <v>0.92</v>
      </c>
      <c r="K29" s="45" t="n">
        <v>0.958</v>
      </c>
      <c r="L29" s="45" t="n">
        <v>0.017</v>
      </c>
      <c r="M29" s="45" t="n">
        <v>0.681</v>
      </c>
      <c r="N29" s="45" t="n">
        <v>0.712</v>
      </c>
      <c r="O29" s="45" t="n">
        <v>0.016</v>
      </c>
      <c r="P29" s="45" t="n">
        <v>0.042</v>
      </c>
      <c r="Q29" s="45" t="n">
        <v>0</v>
      </c>
      <c r="R29" s="45" t="n">
        <v>0.08</v>
      </c>
      <c r="S29" s="45" t="n">
        <v>0.042</v>
      </c>
      <c r="T29" s="45" t="n">
        <v>0.069</v>
      </c>
      <c r="U29" s="45" t="n">
        <v>0</v>
      </c>
      <c r="V29" s="45" t="n">
        <v>0.144</v>
      </c>
      <c r="W29" s="45" t="n">
        <v>0.069</v>
      </c>
      <c r="X29" s="45" t="n">
        <v>38</v>
      </c>
      <c r="Y29" s="45" t="n">
        <v>30</v>
      </c>
      <c r="Z29" s="45" t="n">
        <v>55</v>
      </c>
      <c r="AA29" s="45" t="n">
        <v>82080</v>
      </c>
      <c r="AB29" s="45" t="n">
        <v>64800</v>
      </c>
      <c r="AC29" s="45" t="n">
        <v>118800</v>
      </c>
      <c r="AD29" s="45" t="n">
        <v>35</v>
      </c>
      <c r="AE29" s="45" t="n">
        <v>30</v>
      </c>
      <c r="AF29" s="45" t="n">
        <v>52.5</v>
      </c>
      <c r="AG29" s="45" t="n">
        <v>75600</v>
      </c>
      <c r="AH29" s="45" t="n">
        <v>64800</v>
      </c>
      <c r="AI29" s="45" t="n">
        <v>113400</v>
      </c>
      <c r="AJ29" s="45" t="n">
        <v>31.3</v>
      </c>
      <c r="AK29" s="45" t="n">
        <v>30</v>
      </c>
      <c r="AL29" s="45" t="n">
        <v>46.95</v>
      </c>
      <c r="AM29" s="45" t="n">
        <v>67704</v>
      </c>
      <c r="AN29" s="45" t="n">
        <v>64800</v>
      </c>
      <c r="AO29" s="45" t="n">
        <v>101556</v>
      </c>
      <c r="AP29" s="45" t="n">
        <v>38.5</v>
      </c>
      <c r="AQ29" s="45" t="n">
        <v>30</v>
      </c>
      <c r="AR29" s="45" t="n">
        <v>55</v>
      </c>
      <c r="AS29" s="45" t="n">
        <v>83160</v>
      </c>
      <c r="AT29" s="45" t="n">
        <v>64800</v>
      </c>
      <c r="AU29" s="45" t="n">
        <v>118800</v>
      </c>
      <c r="AV29" s="45" t="n">
        <v>350000000</v>
      </c>
      <c r="AW29" s="45" t="n">
        <v>12040000</v>
      </c>
      <c r="AX29" s="45" t="n">
        <v>4816000</v>
      </c>
      <c r="AY29" s="45" t="n">
        <v>333132000</v>
      </c>
      <c r="AZ29" s="45" t="n">
        <v>420000000</v>
      </c>
      <c r="BA29" s="45" t="n">
        <v>16248000</v>
      </c>
      <c r="BB29" s="45" t="n">
        <v>4953600</v>
      </c>
      <c r="BC29" s="45" t="n">
        <v>401131200</v>
      </c>
      <c r="BD29" s="45" t="n">
        <v>14000000</v>
      </c>
      <c r="BE29" s="45" t="n">
        <v>12600000</v>
      </c>
      <c r="BF29" s="45" t="n">
        <v>0</v>
      </c>
      <c r="BG29" s="45" t="n">
        <v>1400000</v>
      </c>
      <c r="BH29" s="45" t="n">
        <v>11200000</v>
      </c>
      <c r="BI29" s="45" t="n">
        <v>2800000</v>
      </c>
      <c r="BJ29" s="45" t="n">
        <v>5600000</v>
      </c>
      <c r="BK29" s="45" t="n">
        <v>2800000</v>
      </c>
      <c r="BL29" s="45" t="n">
        <v>8400000</v>
      </c>
      <c r="BM29" s="45" t="n">
        <v>2100000</v>
      </c>
      <c r="BN29" s="45" t="n">
        <v>420000</v>
      </c>
      <c r="BO29" s="45" t="n">
        <v>5880000</v>
      </c>
      <c r="BP29" s="45" t="n">
        <v>40700</v>
      </c>
      <c r="BQ29" s="45" t="n">
        <v>1700</v>
      </c>
      <c r="BR29" s="45" t="n">
        <v>2980</v>
      </c>
      <c r="BS29" s="45" t="n">
        <v>36820</v>
      </c>
      <c r="BT29" s="45" t="n">
        <v>42</v>
      </c>
      <c r="BU29" s="45" t="n">
        <v>42.8</v>
      </c>
      <c r="BV29" s="45" t="n">
        <v>44.1</v>
      </c>
      <c r="BW29" s="45" t="n">
        <v>41.8</v>
      </c>
      <c r="BX29" s="45" t="n">
        <v>30</v>
      </c>
      <c r="BY29" s="45" t="n">
        <v>60</v>
      </c>
      <c r="BZ29" s="45" t="n">
        <v>0.88</v>
      </c>
      <c r="CA29" s="45" t="n">
        <v>0.9</v>
      </c>
      <c r="CB29" s="45" t="n">
        <v>0.93</v>
      </c>
      <c r="CC29" s="45" t="n">
        <v>0.87</v>
      </c>
      <c r="CD29" s="45" t="n">
        <v>0.12</v>
      </c>
      <c r="CE29" s="45" t="n">
        <v>0.1</v>
      </c>
      <c r="CF29" s="45" t="n">
        <v>0.07</v>
      </c>
      <c r="CG29" s="45" t="n">
        <v>0.13</v>
      </c>
      <c r="CH29" s="45" t="n">
        <v>6</v>
      </c>
      <c r="CI29" s="45" t="n">
        <v>5.5</v>
      </c>
      <c r="CJ29" s="23" t="n">
        <v>4.4</v>
      </c>
      <c r="CK29" s="23" t="n">
        <v>6.1</v>
      </c>
      <c r="CL29" s="23" t="n">
        <v>2</v>
      </c>
      <c r="CM29" s="23" t="n">
        <v>12</v>
      </c>
      <c r="CN29" s="23" t="n">
        <v>0.35</v>
      </c>
      <c r="CO29" s="23" t="n">
        <v>0.4</v>
      </c>
      <c r="CP29" s="23" t="n">
        <v>0.5</v>
      </c>
      <c r="CQ29" s="23" t="n">
        <v>0.34</v>
      </c>
      <c r="CR29" s="23" t="n">
        <v>95</v>
      </c>
      <c r="CS29" s="23" t="n">
        <v>90.25</v>
      </c>
      <c r="CT29" s="23" t="n">
        <v>85</v>
      </c>
      <c r="CU29" s="23" t="n">
        <v>96.25</v>
      </c>
      <c r="CV29" s="23" t="n">
        <v>4</v>
      </c>
      <c r="CW29" s="23" t="n">
        <v>3.7</v>
      </c>
      <c r="CX29" s="23" t="n">
        <v>3</v>
      </c>
      <c r="CY29" s="23" t="n">
        <v>4.1</v>
      </c>
      <c r="CZ29" s="23" t="n">
        <v>35000000</v>
      </c>
      <c r="DA29" s="23" t="n">
        <v>12040000</v>
      </c>
      <c r="DB29" s="23" t="n">
        <v>4816000</v>
      </c>
      <c r="DC29" s="23" t="n">
        <v>333132000</v>
      </c>
      <c r="DD29" s="23" t="n">
        <v>420000000</v>
      </c>
      <c r="DE29" s="23" t="n">
        <v>16248000</v>
      </c>
      <c r="DF29" s="23" t="n">
        <v>4953600</v>
      </c>
      <c r="DG29" s="23" t="n">
        <v>401131200</v>
      </c>
      <c r="DH29" s="23" t="n">
        <v>0.08</v>
      </c>
      <c r="DI29" s="23" t="n">
        <v>0.06</v>
      </c>
      <c r="DJ29" s="23" t="n">
        <v>0.04</v>
      </c>
      <c r="DK29" s="23" t="n">
        <v>0.09</v>
      </c>
    </row>
    <row r="30" customFormat="false" ht="12.8" hidden="false" customHeight="false" outlineLevel="0" collapsed="false">
      <c r="A30" s="45" t="n">
        <v>26</v>
      </c>
      <c r="B30" s="45" t="s">
        <v>237</v>
      </c>
      <c r="C30" s="45" t="s">
        <v>225</v>
      </c>
      <c r="D30" s="45" t="n">
        <v>10625</v>
      </c>
      <c r="E30" s="45" t="n">
        <v>425</v>
      </c>
      <c r="F30" s="45" t="n">
        <v>850</v>
      </c>
      <c r="G30" s="45" t="n">
        <v>9350</v>
      </c>
      <c r="H30" s="45" t="n">
        <v>0.958</v>
      </c>
      <c r="I30" s="45" t="n">
        <v>1.02</v>
      </c>
      <c r="J30" s="45" t="n">
        <v>0.92</v>
      </c>
      <c r="K30" s="45" t="n">
        <v>0.958</v>
      </c>
      <c r="L30" s="45" t="n">
        <v>0.004</v>
      </c>
      <c r="M30" s="45" t="n">
        <v>0.681</v>
      </c>
      <c r="N30" s="45" t="n">
        <v>0.712</v>
      </c>
      <c r="O30" s="45" t="n">
        <v>0.004</v>
      </c>
      <c r="P30" s="45" t="n">
        <v>0.042</v>
      </c>
      <c r="Q30" s="45" t="n">
        <v>0</v>
      </c>
      <c r="R30" s="45" t="n">
        <v>0.08</v>
      </c>
      <c r="S30" s="45" t="n">
        <v>0.042</v>
      </c>
      <c r="T30" s="45" t="n">
        <v>0.069</v>
      </c>
      <c r="U30" s="45" t="n">
        <v>0</v>
      </c>
      <c r="V30" s="45" t="n">
        <v>0.144</v>
      </c>
      <c r="W30" s="45" t="n">
        <v>0.069</v>
      </c>
      <c r="X30" s="45" t="n">
        <v>38</v>
      </c>
      <c r="Y30" s="45" t="n">
        <v>30</v>
      </c>
      <c r="Z30" s="45" t="n">
        <v>55</v>
      </c>
      <c r="AA30" s="45" t="n">
        <v>82080</v>
      </c>
      <c r="AB30" s="45" t="n">
        <v>64800</v>
      </c>
      <c r="AC30" s="45" t="n">
        <v>118800</v>
      </c>
      <c r="AD30" s="45" t="n">
        <v>35</v>
      </c>
      <c r="AE30" s="45" t="n">
        <v>30</v>
      </c>
      <c r="AF30" s="45" t="n">
        <v>52.5</v>
      </c>
      <c r="AG30" s="45" t="n">
        <v>75600</v>
      </c>
      <c r="AH30" s="45" t="n">
        <v>64800</v>
      </c>
      <c r="AI30" s="45" t="n">
        <v>113400</v>
      </c>
      <c r="AJ30" s="45" t="n">
        <v>31.3</v>
      </c>
      <c r="AK30" s="45" t="n">
        <v>30</v>
      </c>
      <c r="AL30" s="45" t="n">
        <v>46.95</v>
      </c>
      <c r="AM30" s="45" t="n">
        <v>67704</v>
      </c>
      <c r="AN30" s="45" t="n">
        <v>64800</v>
      </c>
      <c r="AO30" s="45" t="n">
        <v>101556</v>
      </c>
      <c r="AP30" s="45" t="n">
        <v>38.5</v>
      </c>
      <c r="AQ30" s="45" t="n">
        <v>30</v>
      </c>
      <c r="AR30" s="45" t="n">
        <v>55</v>
      </c>
      <c r="AS30" s="45" t="n">
        <v>83160</v>
      </c>
      <c r="AT30" s="45" t="n">
        <v>64800</v>
      </c>
      <c r="AU30" s="45" t="n">
        <v>118800</v>
      </c>
      <c r="AV30" s="45" t="n">
        <v>87500000</v>
      </c>
      <c r="AW30" s="45" t="n">
        <v>3010000</v>
      </c>
      <c r="AX30" s="45" t="n">
        <v>1204000</v>
      </c>
      <c r="AY30" s="45" t="n">
        <v>83283000</v>
      </c>
      <c r="AZ30" s="45" t="n">
        <v>105000000</v>
      </c>
      <c r="BA30" s="45" t="n">
        <v>4062000</v>
      </c>
      <c r="BB30" s="45" t="n">
        <v>1238400</v>
      </c>
      <c r="BC30" s="45" t="n">
        <v>100282800</v>
      </c>
      <c r="BD30" s="45" t="n">
        <v>3500000</v>
      </c>
      <c r="BE30" s="45" t="n">
        <v>3150000</v>
      </c>
      <c r="BF30" s="45" t="n">
        <v>0</v>
      </c>
      <c r="BG30" s="45" t="n">
        <v>350000</v>
      </c>
      <c r="BH30" s="45" t="n">
        <v>2800000</v>
      </c>
      <c r="BI30" s="45" t="n">
        <v>700000</v>
      </c>
      <c r="BJ30" s="45" t="n">
        <v>1400000</v>
      </c>
      <c r="BK30" s="45" t="n">
        <v>700000</v>
      </c>
      <c r="BL30" s="45" t="n">
        <v>2100000</v>
      </c>
      <c r="BM30" s="45" t="n">
        <v>525000</v>
      </c>
      <c r="BN30" s="45" t="n">
        <v>105000</v>
      </c>
      <c r="BO30" s="45" t="n">
        <v>1470000</v>
      </c>
      <c r="BP30" s="45" t="n">
        <v>10175</v>
      </c>
      <c r="BQ30" s="45" t="n">
        <v>425</v>
      </c>
      <c r="BR30" s="45" t="n">
        <v>745</v>
      </c>
      <c r="BS30" s="45" t="n">
        <v>9205</v>
      </c>
      <c r="BT30" s="45" t="n">
        <v>42</v>
      </c>
      <c r="BU30" s="45" t="n">
        <v>42.8</v>
      </c>
      <c r="BV30" s="45" t="n">
        <v>44.1</v>
      </c>
      <c r="BW30" s="45" t="n">
        <v>41.8</v>
      </c>
      <c r="BX30" s="45" t="n">
        <v>30</v>
      </c>
      <c r="BY30" s="45" t="n">
        <v>60</v>
      </c>
      <c r="BZ30" s="45" t="n">
        <v>0.88</v>
      </c>
      <c r="CA30" s="45" t="n">
        <v>0.9</v>
      </c>
      <c r="CB30" s="45" t="n">
        <v>0.93</v>
      </c>
      <c r="CC30" s="45" t="n">
        <v>0.87</v>
      </c>
      <c r="CD30" s="45" t="n">
        <v>0.12</v>
      </c>
      <c r="CE30" s="45" t="n">
        <v>0.1</v>
      </c>
      <c r="CF30" s="45" t="n">
        <v>0.07</v>
      </c>
      <c r="CG30" s="45" t="n">
        <v>0.13</v>
      </c>
      <c r="CH30" s="45" t="n">
        <v>6</v>
      </c>
      <c r="CI30" s="45" t="n">
        <v>5.5</v>
      </c>
      <c r="CJ30" s="23" t="n">
        <v>4.4</v>
      </c>
      <c r="CK30" s="23" t="n">
        <v>6.1</v>
      </c>
      <c r="CL30" s="23" t="n">
        <v>2</v>
      </c>
      <c r="CM30" s="23" t="n">
        <v>12</v>
      </c>
      <c r="CN30" s="23" t="n">
        <v>0.35</v>
      </c>
      <c r="CO30" s="23" t="n">
        <v>0.4</v>
      </c>
      <c r="CP30" s="23" t="n">
        <v>0.5</v>
      </c>
      <c r="CQ30" s="23" t="n">
        <v>0.34</v>
      </c>
      <c r="CR30" s="23" t="n">
        <v>95</v>
      </c>
      <c r="CS30" s="23" t="n">
        <v>90.25</v>
      </c>
      <c r="CT30" s="23" t="n">
        <v>85</v>
      </c>
      <c r="CU30" s="23" t="n">
        <v>96.25</v>
      </c>
      <c r="CV30" s="23" t="n">
        <v>4</v>
      </c>
      <c r="CW30" s="23" t="n">
        <v>3.7</v>
      </c>
      <c r="CX30" s="23" t="n">
        <v>3</v>
      </c>
      <c r="CY30" s="23" t="n">
        <v>4.1</v>
      </c>
      <c r="CZ30" s="23" t="n">
        <v>8750000</v>
      </c>
      <c r="DA30" s="23" t="n">
        <v>3010000</v>
      </c>
      <c r="DB30" s="23" t="n">
        <v>1204000</v>
      </c>
      <c r="DC30" s="23" t="n">
        <v>8328300</v>
      </c>
      <c r="DD30" s="23" t="n">
        <v>105000000</v>
      </c>
      <c r="DE30" s="23" t="n">
        <v>4062000</v>
      </c>
      <c r="DF30" s="23" t="n">
        <v>1238400</v>
      </c>
      <c r="DG30" s="23" t="n">
        <v>100282800</v>
      </c>
      <c r="DH30" s="23" t="n">
        <v>0.08</v>
      </c>
      <c r="DI30" s="23" t="n">
        <v>0.06</v>
      </c>
      <c r="DJ30" s="23" t="n">
        <v>0.04</v>
      </c>
      <c r="DK30" s="23" t="n">
        <v>0.09</v>
      </c>
    </row>
    <row r="31" customFormat="false" ht="12.8" hidden="false" customHeight="false" outlineLevel="0" collapsed="false">
      <c r="A31" s="45" t="n">
        <v>27</v>
      </c>
      <c r="B31" s="45" t="s">
        <v>238</v>
      </c>
      <c r="C31" s="45" t="s">
        <v>223</v>
      </c>
      <c r="D31" s="45" t="n">
        <v>21250</v>
      </c>
      <c r="E31" s="45" t="n">
        <v>850</v>
      </c>
      <c r="F31" s="45" t="n">
        <v>1700</v>
      </c>
      <c r="G31" s="45" t="n">
        <v>18700</v>
      </c>
      <c r="H31" s="45" t="n">
        <v>0.958</v>
      </c>
      <c r="I31" s="45" t="n">
        <v>1.02</v>
      </c>
      <c r="J31" s="45" t="n">
        <v>0.92</v>
      </c>
      <c r="K31" s="45" t="n">
        <v>0.958</v>
      </c>
      <c r="L31" s="45" t="n">
        <v>0.009</v>
      </c>
      <c r="M31" s="45" t="n">
        <v>0.681</v>
      </c>
      <c r="N31" s="45" t="n">
        <v>0.712</v>
      </c>
      <c r="O31" s="45" t="n">
        <v>0.008</v>
      </c>
      <c r="P31" s="45" t="n">
        <v>0.042</v>
      </c>
      <c r="Q31" s="45" t="n">
        <v>0</v>
      </c>
      <c r="R31" s="45" t="n">
        <v>0.08</v>
      </c>
      <c r="S31" s="45" t="n">
        <v>0.042</v>
      </c>
      <c r="T31" s="45" t="n">
        <v>0.069</v>
      </c>
      <c r="U31" s="45" t="n">
        <v>0</v>
      </c>
      <c r="V31" s="45" t="n">
        <v>0.144</v>
      </c>
      <c r="W31" s="45" t="n">
        <v>0.069</v>
      </c>
      <c r="X31" s="45" t="n">
        <v>42</v>
      </c>
      <c r="Y31" s="45" t="n">
        <v>35</v>
      </c>
      <c r="Z31" s="45" t="n">
        <v>60</v>
      </c>
      <c r="AA31" s="45" t="n">
        <v>90720</v>
      </c>
      <c r="AB31" s="45" t="n">
        <v>75600</v>
      </c>
      <c r="AC31" s="45" t="n">
        <v>136080</v>
      </c>
      <c r="AD31" s="45" t="n">
        <v>38.65</v>
      </c>
      <c r="AE31" s="45" t="n">
        <v>35</v>
      </c>
      <c r="AF31" s="45" t="n">
        <v>57.98</v>
      </c>
      <c r="AG31" s="45" t="n">
        <v>83556</v>
      </c>
      <c r="AH31" s="45" t="n">
        <v>75600</v>
      </c>
      <c r="AI31" s="45" t="n">
        <v>125334</v>
      </c>
      <c r="AJ31" s="45" t="n">
        <v>34.6</v>
      </c>
      <c r="AK31" s="45" t="n">
        <v>35</v>
      </c>
      <c r="AL31" s="45" t="n">
        <v>51.9</v>
      </c>
      <c r="AM31" s="45" t="n">
        <v>74736</v>
      </c>
      <c r="AN31" s="45" t="n">
        <v>75600</v>
      </c>
      <c r="AO31" s="45" t="n">
        <v>112104</v>
      </c>
      <c r="AP31" s="45" t="n">
        <v>42.5</v>
      </c>
      <c r="AQ31" s="45" t="n">
        <v>35</v>
      </c>
      <c r="AR31" s="45" t="n">
        <v>60</v>
      </c>
      <c r="AS31" s="45" t="n">
        <v>91800</v>
      </c>
      <c r="AT31" s="45" t="n">
        <v>75600</v>
      </c>
      <c r="AU31" s="45" t="n">
        <v>136080</v>
      </c>
      <c r="AV31" s="45" t="n">
        <v>150000000</v>
      </c>
      <c r="AW31" s="45" t="n">
        <v>5160000</v>
      </c>
      <c r="AX31" s="45" t="n">
        <v>2064000</v>
      </c>
      <c r="AY31" s="45" t="n">
        <v>142746000</v>
      </c>
      <c r="AZ31" s="45" t="n">
        <v>180000000</v>
      </c>
      <c r="BA31" s="45" t="n">
        <v>6967200</v>
      </c>
      <c r="BB31" s="45" t="n">
        <v>2125200</v>
      </c>
      <c r="BC31" s="45" t="n">
        <v>171532800</v>
      </c>
      <c r="BD31" s="45" t="n">
        <v>4000000</v>
      </c>
      <c r="BE31" s="45" t="n">
        <v>3600000</v>
      </c>
      <c r="BF31" s="45" t="n">
        <v>0</v>
      </c>
      <c r="BG31" s="45" t="n">
        <v>400000</v>
      </c>
      <c r="BH31" s="45" t="n">
        <v>3200000</v>
      </c>
      <c r="BI31" s="45" t="n">
        <v>800000</v>
      </c>
      <c r="BJ31" s="45" t="n">
        <v>1600000</v>
      </c>
      <c r="BK31" s="45" t="n">
        <v>800000</v>
      </c>
      <c r="BL31" s="45" t="n">
        <v>2400000</v>
      </c>
      <c r="BM31" s="45" t="n">
        <v>600000</v>
      </c>
      <c r="BN31" s="45" t="n">
        <v>120000</v>
      </c>
      <c r="BO31" s="45" t="n">
        <v>1680000</v>
      </c>
      <c r="BP31" s="45" t="n">
        <v>20358</v>
      </c>
      <c r="BQ31" s="45" t="n">
        <v>850</v>
      </c>
      <c r="BR31" s="45" t="n">
        <v>1592</v>
      </c>
      <c r="BS31" s="45" t="n">
        <v>17911</v>
      </c>
      <c r="BT31" s="45" t="n">
        <v>45</v>
      </c>
      <c r="BU31" s="45" t="n">
        <v>45.9</v>
      </c>
      <c r="BV31" s="45" t="n">
        <v>47.3</v>
      </c>
      <c r="BW31" s="45" t="n">
        <v>44.8</v>
      </c>
      <c r="BX31" s="45" t="n">
        <v>30</v>
      </c>
      <c r="BY31" s="45" t="n">
        <v>60</v>
      </c>
      <c r="BZ31" s="45" t="n">
        <v>0.9</v>
      </c>
      <c r="CA31" s="45" t="n">
        <v>0.92</v>
      </c>
      <c r="CB31" s="45" t="n">
        <v>0.95</v>
      </c>
      <c r="CC31" s="45" t="n">
        <v>0.89</v>
      </c>
      <c r="CD31" s="45" t="n">
        <v>0.1</v>
      </c>
      <c r="CE31" s="45" t="n">
        <v>0.08</v>
      </c>
      <c r="CF31" s="45" t="n">
        <v>0.05</v>
      </c>
      <c r="CG31" s="45" t="n">
        <v>0.11</v>
      </c>
      <c r="CH31" s="45" t="n">
        <v>7</v>
      </c>
      <c r="CI31" s="45" t="n">
        <v>6.4</v>
      </c>
      <c r="CJ31" s="23" t="n">
        <v>5.1</v>
      </c>
      <c r="CK31" s="23" t="n">
        <v>7.2</v>
      </c>
      <c r="CL31" s="23" t="n">
        <v>2.5</v>
      </c>
      <c r="CM31" s="23" t="n">
        <v>15</v>
      </c>
      <c r="CN31" s="23" t="n">
        <v>0.3</v>
      </c>
      <c r="CO31" s="23" t="n">
        <v>0.35</v>
      </c>
      <c r="CP31" s="23" t="n">
        <v>0.45</v>
      </c>
      <c r="CQ31" s="23" t="n">
        <v>0.29</v>
      </c>
      <c r="CR31" s="23" t="n">
        <v>110</v>
      </c>
      <c r="CS31" s="23" t="n">
        <v>104.5</v>
      </c>
      <c r="CT31" s="23" t="n">
        <v>98.4</v>
      </c>
      <c r="CU31" s="23" t="n">
        <v>111.4</v>
      </c>
      <c r="CV31" s="23" t="n">
        <v>4.8</v>
      </c>
      <c r="CW31" s="23" t="n">
        <v>4.4</v>
      </c>
      <c r="CX31" s="23" t="n">
        <v>3.6</v>
      </c>
      <c r="CY31" s="23" t="n">
        <v>4.9</v>
      </c>
      <c r="CZ31" s="23" t="n">
        <v>15000000</v>
      </c>
      <c r="DA31" s="23" t="n">
        <v>5160000</v>
      </c>
      <c r="DB31" s="23" t="n">
        <v>2064000</v>
      </c>
      <c r="DC31" s="23" t="n">
        <v>142746000</v>
      </c>
      <c r="DD31" s="23" t="n">
        <v>180000000</v>
      </c>
      <c r="DE31" s="23" t="n">
        <v>6967200</v>
      </c>
      <c r="DF31" s="23" t="n">
        <v>2125200</v>
      </c>
      <c r="DG31" s="23" t="n">
        <v>171532800</v>
      </c>
      <c r="DH31" s="23" t="n">
        <v>0.06</v>
      </c>
      <c r="DI31" s="23" t="n">
        <v>0.04</v>
      </c>
      <c r="DJ31" s="23" t="n">
        <v>0.03</v>
      </c>
      <c r="DK31" s="23" t="n">
        <v>0.07</v>
      </c>
    </row>
    <row r="32" customFormat="false" ht="12.8" hidden="false" customHeight="false" outlineLevel="0" collapsed="false">
      <c r="A32" s="45" t="n">
        <v>28</v>
      </c>
      <c r="B32" s="45" t="s">
        <v>238</v>
      </c>
      <c r="C32" s="45" t="s">
        <v>225</v>
      </c>
      <c r="D32" s="45" t="n">
        <v>5312</v>
      </c>
      <c r="E32" s="45" t="n">
        <v>212</v>
      </c>
      <c r="F32" s="45" t="n">
        <v>425</v>
      </c>
      <c r="G32" s="45" t="n">
        <v>4675</v>
      </c>
      <c r="H32" s="45" t="n">
        <v>0.958</v>
      </c>
      <c r="I32" s="45" t="n">
        <v>1.02</v>
      </c>
      <c r="J32" s="45" t="n">
        <v>0.92</v>
      </c>
      <c r="K32" s="45" t="n">
        <v>0.958</v>
      </c>
      <c r="L32" s="45" t="n">
        <v>0.002</v>
      </c>
      <c r="M32" s="45" t="n">
        <v>0.681</v>
      </c>
      <c r="N32" s="45" t="n">
        <v>0.712</v>
      </c>
      <c r="O32" s="45" t="n">
        <v>0.002</v>
      </c>
      <c r="P32" s="45" t="n">
        <v>0.042</v>
      </c>
      <c r="Q32" s="45" t="n">
        <v>0</v>
      </c>
      <c r="R32" s="45" t="n">
        <v>0.08</v>
      </c>
      <c r="S32" s="45" t="n">
        <v>0.042</v>
      </c>
      <c r="T32" s="45" t="n">
        <v>0.069</v>
      </c>
      <c r="U32" s="45" t="n">
        <v>0</v>
      </c>
      <c r="V32" s="45" t="n">
        <v>0.144</v>
      </c>
      <c r="W32" s="45" t="n">
        <v>0.069</v>
      </c>
      <c r="X32" s="45" t="n">
        <v>42</v>
      </c>
      <c r="Y32" s="45" t="n">
        <v>35</v>
      </c>
      <c r="Z32" s="45" t="n">
        <v>60</v>
      </c>
      <c r="AA32" s="45" t="n">
        <v>90720</v>
      </c>
      <c r="AB32" s="45" t="n">
        <v>75600</v>
      </c>
      <c r="AC32" s="45" t="n">
        <v>136080</v>
      </c>
      <c r="AD32" s="45" t="n">
        <v>38.65</v>
      </c>
      <c r="AE32" s="45" t="n">
        <v>35</v>
      </c>
      <c r="AF32" s="45" t="n">
        <v>57.98</v>
      </c>
      <c r="AG32" s="45" t="n">
        <v>83556</v>
      </c>
      <c r="AH32" s="45" t="n">
        <v>75600</v>
      </c>
      <c r="AI32" s="45" t="n">
        <v>125334</v>
      </c>
      <c r="AJ32" s="45" t="n">
        <v>34.6</v>
      </c>
      <c r="AK32" s="45" t="n">
        <v>35</v>
      </c>
      <c r="AL32" s="45" t="n">
        <v>51.9</v>
      </c>
      <c r="AM32" s="45" t="n">
        <v>74736</v>
      </c>
      <c r="AN32" s="45" t="n">
        <v>75600</v>
      </c>
      <c r="AO32" s="45" t="n">
        <v>112104</v>
      </c>
      <c r="AP32" s="45" t="n">
        <v>42.5</v>
      </c>
      <c r="AQ32" s="45" t="n">
        <v>35</v>
      </c>
      <c r="AR32" s="45" t="n">
        <v>60</v>
      </c>
      <c r="AS32" s="45" t="n">
        <v>91800</v>
      </c>
      <c r="AT32" s="45" t="n">
        <v>75600</v>
      </c>
      <c r="AU32" s="45" t="n">
        <v>136080</v>
      </c>
      <c r="AV32" s="45" t="n">
        <v>37500000</v>
      </c>
      <c r="AW32" s="45" t="n">
        <v>1290000</v>
      </c>
      <c r="AX32" s="45" t="n">
        <v>516000</v>
      </c>
      <c r="AY32" s="45" t="n">
        <v>35686500</v>
      </c>
      <c r="AZ32" s="45" t="n">
        <v>45000000</v>
      </c>
      <c r="BA32" s="45" t="n">
        <v>1743000</v>
      </c>
      <c r="BB32" s="45" t="n">
        <v>531300</v>
      </c>
      <c r="BC32" s="45" t="n">
        <v>42883200</v>
      </c>
      <c r="BD32" s="45" t="n">
        <v>1000000</v>
      </c>
      <c r="BE32" s="45" t="n">
        <v>900000</v>
      </c>
      <c r="BF32" s="45" t="n">
        <v>0</v>
      </c>
      <c r="BG32" s="45" t="n">
        <v>100000</v>
      </c>
      <c r="BH32" s="45" t="n">
        <v>800000</v>
      </c>
      <c r="BI32" s="45" t="n">
        <v>200000</v>
      </c>
      <c r="BJ32" s="45" t="n">
        <v>400000</v>
      </c>
      <c r="BK32" s="45" t="n">
        <v>200000</v>
      </c>
      <c r="BL32" s="45" t="n">
        <v>600000</v>
      </c>
      <c r="BM32" s="45" t="n">
        <v>150000</v>
      </c>
      <c r="BN32" s="45" t="n">
        <v>30000</v>
      </c>
      <c r="BO32" s="45" t="n">
        <v>420000</v>
      </c>
      <c r="BP32" s="45" t="n">
        <v>5089</v>
      </c>
      <c r="BQ32" s="45" t="n">
        <v>212</v>
      </c>
      <c r="BR32" s="45" t="n">
        <v>398</v>
      </c>
      <c r="BS32" s="45" t="n">
        <v>4478</v>
      </c>
      <c r="BT32" s="45" t="n">
        <v>45</v>
      </c>
      <c r="BU32" s="45" t="n">
        <v>45.9</v>
      </c>
      <c r="BV32" s="45" t="n">
        <v>47.3</v>
      </c>
      <c r="BW32" s="45" t="n">
        <v>44.8</v>
      </c>
      <c r="BX32" s="45" t="n">
        <v>30</v>
      </c>
      <c r="BY32" s="45" t="n">
        <v>60</v>
      </c>
      <c r="BZ32" s="45" t="n">
        <v>0.9</v>
      </c>
      <c r="CA32" s="45" t="n">
        <v>0.92</v>
      </c>
      <c r="CB32" s="45" t="n">
        <v>0.95</v>
      </c>
      <c r="CC32" s="45" t="n">
        <v>0.89</v>
      </c>
      <c r="CD32" s="45" t="n">
        <v>0.1</v>
      </c>
      <c r="CE32" s="45" t="n">
        <v>0.08</v>
      </c>
      <c r="CF32" s="45" t="n">
        <v>0.05</v>
      </c>
      <c r="CG32" s="45" t="n">
        <v>0.11</v>
      </c>
      <c r="CH32" s="45" t="n">
        <v>7</v>
      </c>
      <c r="CI32" s="45" t="n">
        <v>6.4</v>
      </c>
      <c r="CJ32" s="23" t="n">
        <v>5.1</v>
      </c>
      <c r="CK32" s="23" t="n">
        <v>7.2</v>
      </c>
      <c r="CL32" s="23" t="n">
        <v>2.5</v>
      </c>
      <c r="CM32" s="23" t="n">
        <v>15</v>
      </c>
      <c r="CN32" s="23" t="n">
        <v>0.3</v>
      </c>
      <c r="CO32" s="23" t="n">
        <v>0.35</v>
      </c>
      <c r="CP32" s="23" t="n">
        <v>0.45</v>
      </c>
      <c r="CQ32" s="23" t="n">
        <v>0.29</v>
      </c>
      <c r="CR32" s="23" t="n">
        <v>110</v>
      </c>
      <c r="CS32" s="23" t="n">
        <v>104.5</v>
      </c>
      <c r="CT32" s="23" t="n">
        <v>98.4</v>
      </c>
      <c r="CU32" s="23" t="n">
        <v>111.4</v>
      </c>
      <c r="CV32" s="23" t="n">
        <v>4.8</v>
      </c>
      <c r="CW32" s="23" t="n">
        <v>4.4</v>
      </c>
      <c r="CX32" s="23" t="n">
        <v>3.6</v>
      </c>
      <c r="CY32" s="23" t="n">
        <v>4.9</v>
      </c>
      <c r="CZ32" s="23" t="n">
        <v>3750000</v>
      </c>
      <c r="DA32" s="23" t="n">
        <v>1290000</v>
      </c>
      <c r="DB32" s="23" t="n">
        <v>516000</v>
      </c>
      <c r="DC32" s="23" t="n">
        <v>3568650</v>
      </c>
      <c r="DD32" s="23" t="n">
        <v>45000000</v>
      </c>
      <c r="DE32" s="23" t="n">
        <v>1743000</v>
      </c>
      <c r="DF32" s="23" t="n">
        <v>531300</v>
      </c>
      <c r="DG32" s="23" t="n">
        <v>42883200</v>
      </c>
      <c r="DH32" s="23" t="n">
        <v>0.06</v>
      </c>
      <c r="DI32" s="23" t="n">
        <v>0.04</v>
      </c>
      <c r="DJ32" s="23" t="n">
        <v>0.03</v>
      </c>
      <c r="DK32" s="23" t="n">
        <v>0.07</v>
      </c>
    </row>
    <row r="33" customFormat="false" ht="12.8" hidden="false" customHeight="false" outlineLevel="0" collapsed="false">
      <c r="A33" s="45" t="n">
        <v>29</v>
      </c>
      <c r="B33" s="45" t="s">
        <v>239</v>
      </c>
      <c r="C33" s="45" t="s">
        <v>223</v>
      </c>
      <c r="D33" s="45" t="n">
        <v>85000</v>
      </c>
      <c r="E33" s="45" t="n">
        <v>3400</v>
      </c>
      <c r="F33" s="45" t="n">
        <v>6800</v>
      </c>
      <c r="G33" s="45" t="n">
        <v>74800</v>
      </c>
      <c r="H33" s="45" t="n">
        <v>0.958</v>
      </c>
      <c r="I33" s="45" t="n">
        <v>1.02</v>
      </c>
      <c r="J33" s="45" t="n">
        <v>0.92</v>
      </c>
      <c r="K33" s="45" t="n">
        <v>0.958</v>
      </c>
      <c r="L33" s="45" t="n">
        <v>0.035</v>
      </c>
      <c r="M33" s="45" t="n">
        <v>0.681</v>
      </c>
      <c r="N33" s="45" t="n">
        <v>0.712</v>
      </c>
      <c r="O33" s="45" t="n">
        <v>0.033</v>
      </c>
      <c r="P33" s="45" t="n">
        <v>0.042</v>
      </c>
      <c r="Q33" s="45" t="n">
        <v>0</v>
      </c>
      <c r="R33" s="45" t="n">
        <v>0.08</v>
      </c>
      <c r="S33" s="45" t="n">
        <v>0.042</v>
      </c>
      <c r="T33" s="45" t="n">
        <v>0.069</v>
      </c>
      <c r="U33" s="45" t="n">
        <v>0</v>
      </c>
      <c r="V33" s="45" t="n">
        <v>0.144</v>
      </c>
      <c r="W33" s="45" t="n">
        <v>0.069</v>
      </c>
      <c r="X33" s="45" t="n">
        <v>35</v>
      </c>
      <c r="Y33" s="45" t="n">
        <v>28</v>
      </c>
      <c r="Z33" s="45" t="n">
        <v>50</v>
      </c>
      <c r="AA33" s="45" t="n">
        <v>75600</v>
      </c>
      <c r="AB33" s="45" t="n">
        <v>60480</v>
      </c>
      <c r="AC33" s="45" t="n">
        <v>108000</v>
      </c>
      <c r="AD33" s="45" t="n">
        <v>32.2</v>
      </c>
      <c r="AE33" s="45" t="n">
        <v>28</v>
      </c>
      <c r="AF33" s="45" t="n">
        <v>48.3</v>
      </c>
      <c r="AG33" s="45" t="n">
        <v>69552</v>
      </c>
      <c r="AH33" s="45" t="n">
        <v>60480</v>
      </c>
      <c r="AI33" s="45" t="n">
        <v>104328</v>
      </c>
      <c r="AJ33" s="45" t="n">
        <v>28.8</v>
      </c>
      <c r="AK33" s="45" t="n">
        <v>28</v>
      </c>
      <c r="AL33" s="45" t="n">
        <v>43.2</v>
      </c>
      <c r="AM33" s="45" t="n">
        <v>62208</v>
      </c>
      <c r="AN33" s="45" t="n">
        <v>60480</v>
      </c>
      <c r="AO33" s="45" t="n">
        <v>93312</v>
      </c>
      <c r="AP33" s="45" t="n">
        <v>35.5</v>
      </c>
      <c r="AQ33" s="45" t="n">
        <v>28</v>
      </c>
      <c r="AR33" s="45" t="n">
        <v>50</v>
      </c>
      <c r="AS33" s="45" t="n">
        <v>76680</v>
      </c>
      <c r="AT33" s="45" t="n">
        <v>60480</v>
      </c>
      <c r="AU33" s="45" t="n">
        <v>108000</v>
      </c>
      <c r="AV33" s="45" t="n">
        <v>600000000</v>
      </c>
      <c r="AW33" s="45" t="n">
        <v>20640000</v>
      </c>
      <c r="AX33" s="45" t="n">
        <v>8256000</v>
      </c>
      <c r="AY33" s="45" t="n">
        <v>570984000</v>
      </c>
      <c r="AZ33" s="45" t="n">
        <v>722000000</v>
      </c>
      <c r="BA33" s="45" t="n">
        <v>27888000</v>
      </c>
      <c r="BB33" s="45" t="n">
        <v>8500800</v>
      </c>
      <c r="BC33" s="45" t="n">
        <v>686131200</v>
      </c>
      <c r="BD33" s="45" t="n">
        <v>20000000</v>
      </c>
      <c r="BE33" s="45" t="n">
        <v>18000000</v>
      </c>
      <c r="BF33" s="45" t="n">
        <v>0</v>
      </c>
      <c r="BG33" s="45" t="n">
        <v>2000000</v>
      </c>
      <c r="BH33" s="45" t="n">
        <v>16000000</v>
      </c>
      <c r="BI33" s="45" t="n">
        <v>4000000</v>
      </c>
      <c r="BJ33" s="45" t="n">
        <v>8000000</v>
      </c>
      <c r="BK33" s="45" t="n">
        <v>4000000</v>
      </c>
      <c r="BL33" s="45" t="n">
        <v>12000000</v>
      </c>
      <c r="BM33" s="45" t="n">
        <v>3000000</v>
      </c>
      <c r="BN33" s="45" t="n">
        <v>600000</v>
      </c>
      <c r="BO33" s="45" t="n">
        <v>8400000</v>
      </c>
      <c r="BP33" s="45" t="n">
        <v>81380</v>
      </c>
      <c r="BQ33" s="45" t="n">
        <v>3400</v>
      </c>
      <c r="BR33" s="45" t="n">
        <v>6370</v>
      </c>
      <c r="BS33" s="45" t="n">
        <v>71644</v>
      </c>
      <c r="BT33" s="45" t="n">
        <v>38.5</v>
      </c>
      <c r="BU33" s="45" t="n">
        <v>39.2</v>
      </c>
      <c r="BV33" s="45" t="n">
        <v>40.5</v>
      </c>
      <c r="BW33" s="45" t="n">
        <v>38.3</v>
      </c>
      <c r="BX33" s="45" t="n">
        <v>25</v>
      </c>
      <c r="BY33" s="45" t="n">
        <v>55</v>
      </c>
      <c r="BZ33" s="45" t="n">
        <v>0.85</v>
      </c>
      <c r="CA33" s="45" t="n">
        <v>0.87</v>
      </c>
      <c r="CB33" s="45" t="n">
        <v>0.9</v>
      </c>
      <c r="CC33" s="45" t="n">
        <v>0.84</v>
      </c>
      <c r="CD33" s="45" t="n">
        <v>0.15</v>
      </c>
      <c r="CE33" s="45" t="n">
        <v>0.13</v>
      </c>
      <c r="CF33" s="45" t="n">
        <v>0.1</v>
      </c>
      <c r="CG33" s="45" t="n">
        <v>0.16</v>
      </c>
      <c r="CH33" s="45" t="n">
        <v>6.5</v>
      </c>
      <c r="CI33" s="45" t="n">
        <v>5.9</v>
      </c>
      <c r="CJ33" s="23" t="n">
        <v>4.8</v>
      </c>
      <c r="CK33" s="23" t="n">
        <v>6.6</v>
      </c>
      <c r="CL33" s="23" t="n">
        <v>1.5</v>
      </c>
      <c r="CM33" s="23" t="n">
        <v>12</v>
      </c>
      <c r="CN33" s="23" t="n">
        <v>0.28</v>
      </c>
      <c r="CO33" s="23" t="n">
        <v>0.33</v>
      </c>
      <c r="CP33" s="23" t="n">
        <v>0.43</v>
      </c>
      <c r="CQ33" s="23" t="n">
        <v>0.27</v>
      </c>
      <c r="CR33" s="23" t="n">
        <v>90</v>
      </c>
      <c r="CS33" s="23" t="n">
        <v>85.5</v>
      </c>
      <c r="CT33" s="23" t="n">
        <v>80.5</v>
      </c>
      <c r="CU33" s="23" t="n">
        <v>91.2</v>
      </c>
      <c r="CV33" s="23" t="n">
        <v>4.5</v>
      </c>
      <c r="CW33" s="23" t="n">
        <v>4.2</v>
      </c>
      <c r="CX33" s="23" t="n">
        <v>3.4</v>
      </c>
      <c r="CY33" s="23" t="n">
        <v>4.6</v>
      </c>
      <c r="CZ33" s="23" t="n">
        <v>60000000</v>
      </c>
      <c r="DA33" s="23" t="n">
        <v>20640000</v>
      </c>
      <c r="DB33" s="23" t="n">
        <v>8256000</v>
      </c>
      <c r="DC33" s="23" t="n">
        <v>570984000</v>
      </c>
      <c r="DD33" s="23" t="n">
        <v>722000000</v>
      </c>
      <c r="DE33" s="23" t="n">
        <v>27888000</v>
      </c>
      <c r="DF33" s="23" t="n">
        <v>8500800</v>
      </c>
      <c r="DG33" s="23" t="n">
        <v>686131200</v>
      </c>
      <c r="DH33" s="23" t="n">
        <v>0.07</v>
      </c>
      <c r="DI33" s="23" t="n">
        <v>0.05</v>
      </c>
      <c r="DJ33" s="23" t="n">
        <v>0.03</v>
      </c>
      <c r="DK33" s="23" t="n">
        <v>0.08</v>
      </c>
    </row>
    <row r="34" customFormat="false" ht="12.8" hidden="false" customHeight="false" outlineLevel="0" collapsed="false">
      <c r="A34" s="45" t="n">
        <v>30</v>
      </c>
      <c r="B34" s="45" t="s">
        <v>239</v>
      </c>
      <c r="C34" s="45" t="s">
        <v>225</v>
      </c>
      <c r="D34" s="45" t="n">
        <v>21250</v>
      </c>
      <c r="E34" s="45" t="n">
        <v>850</v>
      </c>
      <c r="F34" s="45" t="n">
        <v>1700</v>
      </c>
      <c r="G34" s="45" t="n">
        <v>18700</v>
      </c>
      <c r="H34" s="45" t="n">
        <v>0.958</v>
      </c>
      <c r="I34" s="45" t="n">
        <v>1.02</v>
      </c>
      <c r="J34" s="45" t="n">
        <v>0.92</v>
      </c>
      <c r="K34" s="45" t="n">
        <v>0.958</v>
      </c>
      <c r="L34" s="45" t="n">
        <v>0.009</v>
      </c>
      <c r="M34" s="45" t="n">
        <v>0.681</v>
      </c>
      <c r="N34" s="45" t="n">
        <v>0.712</v>
      </c>
      <c r="O34" s="45" t="n">
        <v>0.008</v>
      </c>
      <c r="P34" s="45" t="n">
        <v>0.042</v>
      </c>
      <c r="Q34" s="45" t="n">
        <v>0</v>
      </c>
      <c r="R34" s="45" t="n">
        <v>0.08</v>
      </c>
      <c r="S34" s="45" t="n">
        <v>0.042</v>
      </c>
      <c r="T34" s="45" t="n">
        <v>0.069</v>
      </c>
      <c r="U34" s="45" t="n">
        <v>0</v>
      </c>
      <c r="V34" s="45" t="n">
        <v>0.144</v>
      </c>
      <c r="W34" s="45" t="n">
        <v>0.069</v>
      </c>
      <c r="X34" s="45" t="n">
        <v>35</v>
      </c>
      <c r="Y34" s="45" t="n">
        <v>28</v>
      </c>
      <c r="Z34" s="45" t="n">
        <v>50</v>
      </c>
      <c r="AA34" s="45" t="n">
        <v>75600</v>
      </c>
      <c r="AB34" s="45" t="n">
        <v>60480</v>
      </c>
      <c r="AC34" s="45" t="n">
        <v>108000</v>
      </c>
      <c r="AD34" s="45" t="n">
        <v>32.2</v>
      </c>
      <c r="AE34" s="45" t="n">
        <v>28</v>
      </c>
      <c r="AF34" s="45" t="n">
        <v>48.3</v>
      </c>
      <c r="AG34" s="45" t="n">
        <v>69552</v>
      </c>
      <c r="AH34" s="45" t="n">
        <v>60480</v>
      </c>
      <c r="AI34" s="45" t="n">
        <v>104328</v>
      </c>
      <c r="AJ34" s="45" t="n">
        <v>28.8</v>
      </c>
      <c r="AK34" s="45" t="n">
        <v>28</v>
      </c>
      <c r="AL34" s="45" t="n">
        <v>43.2</v>
      </c>
      <c r="AM34" s="45" t="n">
        <v>62208</v>
      </c>
      <c r="AN34" s="45" t="n">
        <v>60480</v>
      </c>
      <c r="AO34" s="45" t="n">
        <v>93312</v>
      </c>
      <c r="AP34" s="45" t="n">
        <v>35.5</v>
      </c>
      <c r="AQ34" s="45" t="n">
        <v>28</v>
      </c>
      <c r="AR34" s="45" t="n">
        <v>50</v>
      </c>
      <c r="AS34" s="45" t="n">
        <v>76680</v>
      </c>
      <c r="AT34" s="45" t="n">
        <v>60480</v>
      </c>
      <c r="AU34" s="45" t="n">
        <v>108000</v>
      </c>
      <c r="AV34" s="45" t="n">
        <v>150000000</v>
      </c>
      <c r="AW34" s="45" t="n">
        <v>5160000</v>
      </c>
      <c r="AX34" s="45" t="n">
        <v>2064000</v>
      </c>
      <c r="AY34" s="45" t="n">
        <v>142746000</v>
      </c>
      <c r="AZ34" s="45" t="n">
        <v>180500000</v>
      </c>
      <c r="BA34" s="45" t="n">
        <v>6967200</v>
      </c>
      <c r="BB34" s="45" t="n">
        <v>2125200</v>
      </c>
      <c r="BC34" s="45" t="n">
        <v>171532800</v>
      </c>
      <c r="BD34" s="45" t="n">
        <v>5000000</v>
      </c>
      <c r="BE34" s="45" t="n">
        <v>4500000</v>
      </c>
      <c r="BF34" s="45" t="n">
        <v>0</v>
      </c>
      <c r="BG34" s="45" t="n">
        <v>500000</v>
      </c>
      <c r="BH34" s="45" t="n">
        <v>4000000</v>
      </c>
      <c r="BI34" s="45" t="n">
        <v>1000000</v>
      </c>
      <c r="BJ34" s="45" t="n">
        <v>2000000</v>
      </c>
      <c r="BK34" s="45" t="n">
        <v>1000000</v>
      </c>
      <c r="BL34" s="45" t="n">
        <v>3000000</v>
      </c>
      <c r="BM34" s="45" t="n">
        <v>750000</v>
      </c>
      <c r="BN34" s="45" t="n">
        <v>150000</v>
      </c>
      <c r="BO34" s="45" t="n">
        <v>2100000</v>
      </c>
      <c r="BP34" s="45" t="n">
        <v>20358</v>
      </c>
      <c r="BQ34" s="45" t="n">
        <v>850</v>
      </c>
      <c r="BR34" s="45" t="n">
        <v>1592</v>
      </c>
      <c r="BS34" s="45" t="n">
        <v>17911</v>
      </c>
      <c r="BT34" s="45" t="n">
        <v>38.5</v>
      </c>
      <c r="BU34" s="45" t="n">
        <v>39.2</v>
      </c>
      <c r="BV34" s="45" t="n">
        <v>40.5</v>
      </c>
      <c r="BW34" s="45" t="n">
        <v>38.3</v>
      </c>
      <c r="BX34" s="45" t="n">
        <v>25</v>
      </c>
      <c r="BY34" s="45" t="n">
        <v>55</v>
      </c>
      <c r="BZ34" s="45" t="n">
        <v>0.85</v>
      </c>
      <c r="CA34" s="45" t="n">
        <v>0.87</v>
      </c>
      <c r="CB34" s="45" t="n">
        <v>0.9</v>
      </c>
      <c r="CC34" s="45" t="n">
        <v>0.84</v>
      </c>
      <c r="CD34" s="45" t="n">
        <v>0.15</v>
      </c>
      <c r="CE34" s="45" t="n">
        <v>0.13</v>
      </c>
      <c r="CF34" s="45" t="n">
        <v>0.1</v>
      </c>
      <c r="CG34" s="45" t="n">
        <v>0.16</v>
      </c>
      <c r="CH34" s="45" t="n">
        <v>6.5</v>
      </c>
      <c r="CI34" s="45" t="n">
        <v>5.9</v>
      </c>
      <c r="CJ34" s="23" t="n">
        <v>4.8</v>
      </c>
      <c r="CK34" s="23" t="n">
        <v>6.6</v>
      </c>
      <c r="CL34" s="23" t="n">
        <v>1.5</v>
      </c>
      <c r="CM34" s="23" t="n">
        <v>12</v>
      </c>
      <c r="CN34" s="23" t="n">
        <v>0.28</v>
      </c>
      <c r="CO34" s="23" t="n">
        <v>0.33</v>
      </c>
      <c r="CP34" s="23" t="n">
        <v>0.43</v>
      </c>
      <c r="CQ34" s="23" t="n">
        <v>0.27</v>
      </c>
      <c r="CR34" s="23" t="n">
        <v>90</v>
      </c>
      <c r="CS34" s="23" t="n">
        <v>85.5</v>
      </c>
      <c r="CT34" s="23" t="n">
        <v>80.5</v>
      </c>
      <c r="CU34" s="23" t="n">
        <v>91.2</v>
      </c>
      <c r="CV34" s="23" t="n">
        <v>4.5</v>
      </c>
      <c r="CW34" s="23" t="n">
        <v>4.2</v>
      </c>
      <c r="CX34" s="23" t="n">
        <v>3.4</v>
      </c>
      <c r="CY34" s="23" t="n">
        <v>4.6</v>
      </c>
      <c r="CZ34" s="23" t="n">
        <v>15000000</v>
      </c>
      <c r="DA34" s="23" t="n">
        <v>5160000</v>
      </c>
      <c r="DB34" s="23" t="n">
        <v>2064000</v>
      </c>
      <c r="DC34" s="23" t="n">
        <v>142746000</v>
      </c>
      <c r="DD34" s="23" t="n">
        <v>180500000</v>
      </c>
      <c r="DE34" s="23" t="n">
        <v>6967200</v>
      </c>
      <c r="DF34" s="23" t="n">
        <v>2125200</v>
      </c>
      <c r="DG34" s="23" t="n">
        <v>171532800</v>
      </c>
      <c r="DH34" s="23" t="n">
        <v>0.07</v>
      </c>
      <c r="DI34" s="23" t="n">
        <v>0.05</v>
      </c>
      <c r="DJ34" s="23" t="n">
        <v>0.03</v>
      </c>
      <c r="DK34" s="23" t="n">
        <v>0.08</v>
      </c>
    </row>
    <row r="35" customFormat="false" ht="12.8" hidden="false" customHeight="false" outlineLevel="0" collapsed="false">
      <c r="A35" s="45" t="n">
        <v>31</v>
      </c>
      <c r="B35" s="45" t="s">
        <v>240</v>
      </c>
      <c r="C35" s="45" t="s">
        <v>225</v>
      </c>
      <c r="D35" s="45" t="n">
        <v>85000</v>
      </c>
      <c r="E35" s="45" t="n">
        <v>3400</v>
      </c>
      <c r="F35" s="45" t="n">
        <v>6800</v>
      </c>
      <c r="G35" s="45" t="n">
        <v>74800</v>
      </c>
      <c r="H35" s="45" t="n">
        <v>0.958</v>
      </c>
      <c r="I35" s="45" t="n">
        <v>1.02</v>
      </c>
      <c r="J35" s="45" t="n">
        <v>0.92</v>
      </c>
      <c r="K35" s="45" t="n">
        <v>0.958</v>
      </c>
      <c r="L35" s="45" t="n">
        <v>0.035</v>
      </c>
      <c r="M35" s="45" t="n">
        <v>0.681</v>
      </c>
      <c r="N35" s="45" t="n">
        <v>0.712</v>
      </c>
      <c r="O35" s="45" t="n">
        <v>0.033</v>
      </c>
      <c r="P35" s="45" t="n">
        <v>0.042</v>
      </c>
      <c r="Q35" s="45" t="n">
        <v>0</v>
      </c>
      <c r="R35" s="45" t="n">
        <v>0.08</v>
      </c>
      <c r="S35" s="45" t="n">
        <v>0.042</v>
      </c>
      <c r="T35" s="45" t="n">
        <v>0.069</v>
      </c>
      <c r="U35" s="45" t="n">
        <v>0</v>
      </c>
      <c r="V35" s="45" t="n">
        <v>0.144</v>
      </c>
      <c r="W35" s="45" t="n">
        <v>0.069</v>
      </c>
      <c r="X35" s="45" t="n">
        <v>35</v>
      </c>
      <c r="Y35" s="45" t="n">
        <v>28</v>
      </c>
      <c r="Z35" s="45" t="n">
        <v>50</v>
      </c>
      <c r="AA35" s="45" t="n">
        <v>75600</v>
      </c>
      <c r="AB35" s="45" t="n">
        <v>60480</v>
      </c>
      <c r="AC35" s="45" t="n">
        <v>108000</v>
      </c>
      <c r="AD35" s="45" t="n">
        <v>32.2</v>
      </c>
      <c r="AE35" s="45" t="n">
        <v>28</v>
      </c>
      <c r="AF35" s="45" t="n">
        <v>48.3</v>
      </c>
      <c r="AG35" s="45" t="n">
        <v>69552</v>
      </c>
      <c r="AH35" s="45" t="n">
        <v>60480</v>
      </c>
      <c r="AI35" s="45" t="n">
        <v>104328</v>
      </c>
      <c r="AJ35" s="45" t="n">
        <v>28.8</v>
      </c>
      <c r="AK35" s="45" t="n">
        <v>28</v>
      </c>
      <c r="AL35" s="45" t="n">
        <v>43.2</v>
      </c>
      <c r="AM35" s="45" t="n">
        <v>62208</v>
      </c>
      <c r="AN35" s="45" t="n">
        <v>60480</v>
      </c>
      <c r="AO35" s="45" t="n">
        <v>93312</v>
      </c>
      <c r="AP35" s="45" t="n">
        <v>35.5</v>
      </c>
      <c r="AQ35" s="45" t="n">
        <v>28</v>
      </c>
      <c r="AR35" s="45" t="n">
        <v>50</v>
      </c>
      <c r="AS35" s="45" t="n">
        <v>76680</v>
      </c>
      <c r="AT35" s="45" t="n">
        <v>60480</v>
      </c>
      <c r="AU35" s="45" t="n">
        <v>108000</v>
      </c>
      <c r="AV35" s="45" t="n">
        <v>600000000</v>
      </c>
      <c r="AW35" s="45" t="n">
        <v>20640000</v>
      </c>
      <c r="AX35" s="45" t="n">
        <v>8256000</v>
      </c>
      <c r="AY35" s="45" t="n">
        <v>570984000</v>
      </c>
      <c r="AZ35" s="45" t="n">
        <v>722000000</v>
      </c>
      <c r="BA35" s="45" t="n">
        <v>27888000</v>
      </c>
      <c r="BB35" s="45" t="n">
        <v>8500800</v>
      </c>
      <c r="BC35" s="45" t="n">
        <v>686131200</v>
      </c>
      <c r="BD35" s="45" t="n">
        <v>20000000</v>
      </c>
      <c r="BE35" s="45" t="n">
        <v>18000000</v>
      </c>
      <c r="BF35" s="45" t="n">
        <v>0</v>
      </c>
      <c r="BG35" s="45" t="n">
        <v>2000000</v>
      </c>
      <c r="BH35" s="45" t="n">
        <v>16000000</v>
      </c>
      <c r="BI35" s="45" t="n">
        <v>4000000</v>
      </c>
      <c r="BJ35" s="45" t="n">
        <v>8000000</v>
      </c>
      <c r="BK35" s="45" t="n">
        <v>4000000</v>
      </c>
      <c r="BL35" s="45" t="n">
        <v>12000000</v>
      </c>
      <c r="BM35" s="45" t="n">
        <v>3000000</v>
      </c>
      <c r="BN35" s="45" t="n">
        <v>600000</v>
      </c>
      <c r="BO35" s="45" t="n">
        <v>8400000</v>
      </c>
      <c r="BP35" s="45" t="n">
        <v>81380</v>
      </c>
      <c r="BQ35" s="45" t="n">
        <v>3400</v>
      </c>
      <c r="BR35" s="45" t="n">
        <v>6370</v>
      </c>
      <c r="BS35" s="45" t="n">
        <v>71644</v>
      </c>
      <c r="BT35" s="45" t="n">
        <v>40</v>
      </c>
      <c r="BU35" s="45" t="n">
        <v>40.8</v>
      </c>
      <c r="BV35" s="45" t="n">
        <v>42</v>
      </c>
      <c r="BW35" s="45" t="n">
        <v>39.8</v>
      </c>
      <c r="BX35" s="45" t="n">
        <v>25</v>
      </c>
      <c r="BY35" s="45" t="n">
        <v>55</v>
      </c>
      <c r="BZ35" s="45" t="n">
        <v>0.78</v>
      </c>
      <c r="CA35" s="45" t="n">
        <v>0.8</v>
      </c>
      <c r="CB35" s="45" t="n">
        <v>0.85</v>
      </c>
      <c r="CC35" s="45" t="n">
        <v>0.77</v>
      </c>
      <c r="CD35" s="45" t="n">
        <v>0.22</v>
      </c>
      <c r="CE35" s="45" t="n">
        <v>0.2</v>
      </c>
      <c r="CF35" s="45" t="n">
        <v>0.15</v>
      </c>
      <c r="CG35" s="45" t="n">
        <v>0.23</v>
      </c>
      <c r="CH35" s="45" t="n">
        <v>5.5</v>
      </c>
      <c r="CI35" s="45" t="n">
        <v>5</v>
      </c>
      <c r="CJ35" s="23" t="n">
        <v>4</v>
      </c>
      <c r="CK35" s="23" t="n">
        <v>5.6</v>
      </c>
      <c r="CL35" s="23" t="n">
        <v>1.5</v>
      </c>
      <c r="CM35" s="23" t="n">
        <v>10</v>
      </c>
      <c r="CN35" s="23" t="n">
        <v>0.4</v>
      </c>
      <c r="CO35" s="23" t="n">
        <v>0.45</v>
      </c>
      <c r="CP35" s="23" t="n">
        <v>0.55</v>
      </c>
      <c r="CQ35" s="23" t="n">
        <v>0.39</v>
      </c>
      <c r="CR35" s="23" t="n">
        <v>85</v>
      </c>
      <c r="CS35" s="23" t="n">
        <v>80.75</v>
      </c>
      <c r="CT35" s="23" t="n">
        <v>76</v>
      </c>
      <c r="CU35" s="23" t="n">
        <v>86</v>
      </c>
      <c r="CV35" s="23" t="n">
        <v>3.6</v>
      </c>
      <c r="CW35" s="23" t="n">
        <v>3.3</v>
      </c>
      <c r="CX35" s="23" t="n">
        <v>2.7</v>
      </c>
      <c r="CY35" s="23" t="n">
        <v>3.7</v>
      </c>
      <c r="CZ35" s="23" t="n">
        <v>60000000</v>
      </c>
      <c r="DA35" s="23" t="n">
        <v>20640000</v>
      </c>
      <c r="DB35" s="23" t="n">
        <v>8256000</v>
      </c>
      <c r="DC35" s="23" t="n">
        <v>570984000</v>
      </c>
      <c r="DD35" s="23" t="n">
        <v>722000000</v>
      </c>
      <c r="DE35" s="23" t="n">
        <v>27888000</v>
      </c>
      <c r="DF35" s="23" t="n">
        <v>8500800</v>
      </c>
      <c r="DG35" s="23" t="n">
        <v>686131200</v>
      </c>
      <c r="DH35" s="23" t="n">
        <v>0.12</v>
      </c>
      <c r="DI35" s="23" t="n">
        <v>0.09</v>
      </c>
      <c r="DJ35" s="23" t="n">
        <v>0.06</v>
      </c>
      <c r="DK35" s="23" t="n">
        <v>0.13</v>
      </c>
    </row>
    <row r="36" customFormat="false" ht="12.8" hidden="false" customHeight="false" outlineLevel="0" collapsed="false">
      <c r="A36" s="45" t="n">
        <v>32</v>
      </c>
      <c r="B36" s="45" t="s">
        <v>240</v>
      </c>
      <c r="C36" s="45" t="s">
        <v>223</v>
      </c>
      <c r="D36" s="45" t="n">
        <v>212500</v>
      </c>
      <c r="E36" s="45" t="n">
        <v>8500</v>
      </c>
      <c r="F36" s="45" t="n">
        <v>17000</v>
      </c>
      <c r="G36" s="45" t="n">
        <v>187000</v>
      </c>
      <c r="H36" s="45" t="n">
        <v>0.958</v>
      </c>
      <c r="I36" s="45" t="n">
        <v>1.02</v>
      </c>
      <c r="J36" s="45" t="n">
        <v>0.92</v>
      </c>
      <c r="K36" s="45" t="n">
        <v>0.958</v>
      </c>
      <c r="L36" s="45" t="n">
        <v>0.087</v>
      </c>
      <c r="M36" s="45" t="n">
        <v>0.681</v>
      </c>
      <c r="N36" s="45" t="n">
        <v>0.712</v>
      </c>
      <c r="O36" s="45" t="n">
        <v>0.083</v>
      </c>
      <c r="P36" s="45" t="n">
        <v>0.042</v>
      </c>
      <c r="Q36" s="45" t="n">
        <v>0</v>
      </c>
      <c r="R36" s="45" t="n">
        <v>0.08</v>
      </c>
      <c r="S36" s="45" t="n">
        <v>0.042</v>
      </c>
      <c r="T36" s="45" t="n">
        <v>0.069</v>
      </c>
      <c r="U36" s="45" t="n">
        <v>0</v>
      </c>
      <c r="V36" s="45" t="n">
        <v>0.144</v>
      </c>
      <c r="W36" s="45" t="n">
        <v>0.069</v>
      </c>
      <c r="X36" s="45" t="n">
        <v>35</v>
      </c>
      <c r="Y36" s="45" t="n">
        <v>28</v>
      </c>
      <c r="Z36" s="45" t="n">
        <v>50</v>
      </c>
      <c r="AA36" s="45" t="n">
        <v>75600</v>
      </c>
      <c r="AB36" s="45" t="n">
        <v>60480</v>
      </c>
      <c r="AC36" s="45" t="n">
        <v>108000</v>
      </c>
      <c r="AD36" s="45" t="n">
        <v>32.2</v>
      </c>
      <c r="AE36" s="45" t="n">
        <v>28</v>
      </c>
      <c r="AF36" s="45" t="n">
        <v>48.3</v>
      </c>
      <c r="AG36" s="45" t="n">
        <v>69552</v>
      </c>
      <c r="AH36" s="45" t="n">
        <v>60480</v>
      </c>
      <c r="AI36" s="45" t="n">
        <v>104328</v>
      </c>
      <c r="AJ36" s="45" t="n">
        <v>28.8</v>
      </c>
      <c r="AK36" s="45" t="n">
        <v>28</v>
      </c>
      <c r="AL36" s="45" t="n">
        <v>43.2</v>
      </c>
      <c r="AM36" s="45" t="n">
        <v>62208</v>
      </c>
      <c r="AN36" s="45" t="n">
        <v>60480</v>
      </c>
      <c r="AO36" s="45" t="n">
        <v>93312</v>
      </c>
      <c r="AP36" s="45" t="n">
        <v>35.5</v>
      </c>
      <c r="AQ36" s="45" t="n">
        <v>28</v>
      </c>
      <c r="AR36" s="45" t="n">
        <v>50</v>
      </c>
      <c r="AS36" s="45" t="n">
        <v>76680</v>
      </c>
      <c r="AT36" s="45" t="n">
        <v>60480</v>
      </c>
      <c r="AU36" s="45" t="n">
        <v>108000</v>
      </c>
      <c r="AV36" s="45" t="n">
        <v>1500000000</v>
      </c>
      <c r="AW36" s="45" t="n">
        <v>51600000</v>
      </c>
      <c r="AX36" s="45" t="n">
        <v>20640000</v>
      </c>
      <c r="AY36" s="45" t="n">
        <v>1427760000</v>
      </c>
      <c r="AZ36" s="45" t="n">
        <v>1805000000</v>
      </c>
      <c r="BA36" s="45" t="n">
        <v>69672000</v>
      </c>
      <c r="BB36" s="45" t="n">
        <v>21252000</v>
      </c>
      <c r="BC36" s="45" t="n">
        <v>1715328000</v>
      </c>
      <c r="BD36" s="45" t="n">
        <v>62500000</v>
      </c>
      <c r="BE36" s="45" t="n">
        <v>56250000</v>
      </c>
      <c r="BF36" s="45" t="n">
        <v>0</v>
      </c>
      <c r="BG36" s="45" t="n">
        <v>6250000</v>
      </c>
      <c r="BH36" s="45" t="n">
        <v>50000000</v>
      </c>
      <c r="BI36" s="45" t="n">
        <v>12500000</v>
      </c>
      <c r="BJ36" s="45" t="n">
        <v>25000000</v>
      </c>
      <c r="BK36" s="45" t="n">
        <v>12500000</v>
      </c>
      <c r="BL36" s="45" t="n">
        <v>37500000</v>
      </c>
      <c r="BM36" s="45" t="n">
        <v>9375000</v>
      </c>
      <c r="BN36" s="45" t="n">
        <v>1875000</v>
      </c>
      <c r="BO36" s="45" t="n">
        <v>26250000</v>
      </c>
      <c r="BP36" s="45" t="n">
        <v>203575</v>
      </c>
      <c r="BQ36" s="45" t="n">
        <v>8500</v>
      </c>
      <c r="BR36" s="45" t="n">
        <v>15640</v>
      </c>
      <c r="BS36" s="45" t="n">
        <v>179435</v>
      </c>
      <c r="BT36" s="45" t="n">
        <v>40</v>
      </c>
      <c r="BU36" s="45" t="n">
        <v>40.8</v>
      </c>
      <c r="BV36" s="45" t="n">
        <v>42</v>
      </c>
      <c r="BW36" s="45" t="n">
        <v>39.8</v>
      </c>
      <c r="BX36" s="45" t="n">
        <v>25</v>
      </c>
      <c r="BY36" s="45" t="n">
        <v>55</v>
      </c>
      <c r="BZ36" s="45" t="n">
        <v>0.78</v>
      </c>
      <c r="CA36" s="45" t="n">
        <v>0.8</v>
      </c>
      <c r="CB36" s="45" t="n">
        <v>0.85</v>
      </c>
      <c r="CC36" s="45" t="n">
        <v>0.77</v>
      </c>
      <c r="CD36" s="45" t="n">
        <v>0.22</v>
      </c>
      <c r="CE36" s="45" t="n">
        <v>0.2</v>
      </c>
      <c r="CF36" s="45" t="n">
        <v>0.15</v>
      </c>
      <c r="CG36" s="45" t="n">
        <v>0.23</v>
      </c>
      <c r="CH36" s="45" t="n">
        <v>5.5</v>
      </c>
      <c r="CI36" s="45" t="n">
        <v>5</v>
      </c>
      <c r="CJ36" s="23" t="n">
        <v>4</v>
      </c>
      <c r="CK36" s="23" t="n">
        <v>5.6</v>
      </c>
      <c r="CL36" s="23" t="n">
        <v>1.5</v>
      </c>
      <c r="CM36" s="23" t="n">
        <v>10</v>
      </c>
      <c r="CN36" s="23" t="n">
        <v>0.4</v>
      </c>
      <c r="CO36" s="23" t="n">
        <v>0.45</v>
      </c>
      <c r="CP36" s="23" t="n">
        <v>0.55</v>
      </c>
      <c r="CQ36" s="23" t="n">
        <v>0.39</v>
      </c>
      <c r="CR36" s="23" t="n">
        <v>85</v>
      </c>
      <c r="CS36" s="23" t="n">
        <v>80.75</v>
      </c>
      <c r="CT36" s="23" t="n">
        <v>76</v>
      </c>
      <c r="CU36" s="23" t="n">
        <v>86</v>
      </c>
      <c r="CV36" s="23" t="n">
        <v>3.6</v>
      </c>
      <c r="CW36" s="23" t="n">
        <v>3.3</v>
      </c>
      <c r="CX36" s="23" t="n">
        <v>2.7</v>
      </c>
      <c r="CY36" s="23" t="n">
        <v>3.7</v>
      </c>
      <c r="CZ36" s="23" t="n">
        <v>150000000</v>
      </c>
      <c r="DA36" s="23" t="n">
        <v>51600000</v>
      </c>
      <c r="DB36" s="23" t="n">
        <v>20640000</v>
      </c>
      <c r="DC36" s="23" t="n">
        <v>1427760000</v>
      </c>
      <c r="DD36" s="23" t="n">
        <v>1805000000</v>
      </c>
      <c r="DE36" s="23" t="n">
        <v>69672000</v>
      </c>
      <c r="DF36" s="23" t="n">
        <v>21252000</v>
      </c>
      <c r="DG36" s="23" t="n">
        <v>1715328000</v>
      </c>
      <c r="DH36" s="23" t="n">
        <v>0.12</v>
      </c>
      <c r="DI36" s="23" t="n">
        <v>0.09</v>
      </c>
      <c r="DJ36" s="23" t="n">
        <v>0.06</v>
      </c>
      <c r="DK36" s="23" t="n">
        <v>0.13</v>
      </c>
    </row>
    <row r="37" customFormat="false" ht="12.8" hidden="false" customHeight="false" outlineLevel="0" collapsed="false">
      <c r="A37" s="45" t="n">
        <v>33</v>
      </c>
      <c r="B37" s="45" t="s">
        <v>241</v>
      </c>
      <c r="C37" s="45" t="s">
        <v>225</v>
      </c>
      <c r="D37" s="45" t="n">
        <v>17000</v>
      </c>
      <c r="E37" s="45" t="n">
        <v>680</v>
      </c>
      <c r="F37" s="45" t="n">
        <v>1360</v>
      </c>
      <c r="G37" s="45" t="n">
        <v>14960</v>
      </c>
      <c r="H37" s="45" t="n">
        <v>0.958</v>
      </c>
      <c r="I37" s="45" t="n">
        <v>0.98</v>
      </c>
      <c r="J37" s="45" t="n">
        <v>0.85</v>
      </c>
      <c r="K37" s="45" t="n">
        <v>0.958</v>
      </c>
      <c r="L37" s="45" t="n">
        <v>0.007</v>
      </c>
      <c r="M37" s="45" t="n">
        <v>0.619</v>
      </c>
      <c r="N37" s="45" t="n">
        <v>0.678</v>
      </c>
      <c r="O37" s="45" t="n">
        <v>0.007</v>
      </c>
      <c r="P37" s="45" t="n">
        <v>0.042</v>
      </c>
      <c r="Q37" s="45" t="n">
        <v>0.02</v>
      </c>
      <c r="R37" s="45" t="n">
        <v>0.15</v>
      </c>
      <c r="S37" s="45" t="n">
        <v>0.042</v>
      </c>
      <c r="T37" s="45" t="n">
        <v>0.069</v>
      </c>
      <c r="U37" s="45" t="n">
        <v>0.033</v>
      </c>
      <c r="V37" s="45" t="n">
        <v>0.27</v>
      </c>
      <c r="W37" s="45" t="n">
        <v>0.069</v>
      </c>
      <c r="X37" s="45" t="n">
        <v>24</v>
      </c>
      <c r="Y37" s="45" t="n">
        <v>18</v>
      </c>
      <c r="Z37" s="45" t="n">
        <v>36</v>
      </c>
      <c r="AA37" s="45" t="n">
        <v>51840</v>
      </c>
      <c r="AB37" s="45" t="n">
        <v>38880</v>
      </c>
      <c r="AC37" s="45" t="n">
        <v>77760</v>
      </c>
      <c r="AD37" s="45" t="n">
        <v>22.1</v>
      </c>
      <c r="AE37" s="45" t="n">
        <v>18</v>
      </c>
      <c r="AF37" s="45" t="n">
        <v>33.15</v>
      </c>
      <c r="AG37" s="45" t="n">
        <v>47736</v>
      </c>
      <c r="AH37" s="45" t="n">
        <v>38880</v>
      </c>
      <c r="AI37" s="45" t="n">
        <v>71604</v>
      </c>
      <c r="AJ37" s="45" t="n">
        <v>19.7</v>
      </c>
      <c r="AK37" s="45" t="n">
        <v>18</v>
      </c>
      <c r="AL37" s="45" t="n">
        <v>29.55</v>
      </c>
      <c r="AM37" s="45" t="n">
        <v>42552</v>
      </c>
      <c r="AN37" s="45" t="n">
        <v>38880</v>
      </c>
      <c r="AO37" s="45" t="n">
        <v>63828</v>
      </c>
      <c r="AP37" s="45" t="n">
        <v>24.5</v>
      </c>
      <c r="AQ37" s="45" t="n">
        <v>18</v>
      </c>
      <c r="AR37" s="45" t="n">
        <v>36</v>
      </c>
      <c r="AS37" s="45" t="n">
        <v>52920</v>
      </c>
      <c r="AT37" s="45" t="n">
        <v>38880</v>
      </c>
      <c r="AU37" s="45" t="n">
        <v>77760</v>
      </c>
      <c r="AV37" s="45" t="n">
        <v>87500000</v>
      </c>
      <c r="AW37" s="45" t="n">
        <v>3012000</v>
      </c>
      <c r="AX37" s="45" t="n">
        <v>1204800</v>
      </c>
      <c r="AY37" s="45" t="n">
        <v>83283000</v>
      </c>
      <c r="AZ37" s="45" t="n">
        <v>105000000</v>
      </c>
      <c r="BA37" s="45" t="n">
        <v>3614400</v>
      </c>
      <c r="BB37" s="45" t="n">
        <v>1102800</v>
      </c>
      <c r="BC37" s="45" t="n">
        <v>100282800</v>
      </c>
      <c r="BD37" s="45" t="n">
        <v>3500000</v>
      </c>
      <c r="BE37" s="45" t="n">
        <v>3150000</v>
      </c>
      <c r="BF37" s="45" t="n">
        <v>0</v>
      </c>
      <c r="BG37" s="45" t="n">
        <v>350000</v>
      </c>
      <c r="BH37" s="45" t="n">
        <v>2800000</v>
      </c>
      <c r="BI37" s="45" t="n">
        <v>700000</v>
      </c>
      <c r="BJ37" s="45" t="n">
        <v>1400000</v>
      </c>
      <c r="BK37" s="45" t="n">
        <v>700000</v>
      </c>
      <c r="BL37" s="45" t="n">
        <v>2100000</v>
      </c>
      <c r="BM37" s="45" t="n">
        <v>525000</v>
      </c>
      <c r="BN37" s="45" t="n">
        <v>105000</v>
      </c>
      <c r="BO37" s="45" t="n">
        <v>1470000</v>
      </c>
      <c r="BP37" s="45" t="n">
        <v>16286</v>
      </c>
      <c r="BQ37" s="45" t="n">
        <v>680</v>
      </c>
      <c r="BR37" s="45" t="n">
        <v>1156</v>
      </c>
      <c r="BS37" s="45" t="n">
        <v>14450</v>
      </c>
      <c r="BT37" s="45" t="n">
        <v>36</v>
      </c>
      <c r="BU37" s="45" t="n">
        <v>36.7</v>
      </c>
      <c r="BV37" s="45" t="n">
        <v>37.8</v>
      </c>
      <c r="BW37" s="45" t="n">
        <v>35.8</v>
      </c>
      <c r="BX37" s="45" t="n">
        <v>20</v>
      </c>
      <c r="BY37" s="45" t="n">
        <v>50</v>
      </c>
      <c r="BZ37" s="45" t="n">
        <v>0.6</v>
      </c>
      <c r="CA37" s="45" t="n">
        <v>0.63</v>
      </c>
      <c r="CB37" s="45" t="n">
        <v>0.7</v>
      </c>
      <c r="CC37" s="45" t="n">
        <v>0.59</v>
      </c>
      <c r="CD37" s="45" t="n">
        <v>0.4</v>
      </c>
      <c r="CE37" s="45" t="n">
        <v>0.37</v>
      </c>
      <c r="CF37" s="45" t="n">
        <v>0.3</v>
      </c>
      <c r="CG37" s="45" t="n">
        <v>0.41</v>
      </c>
      <c r="CH37" s="45" t="n">
        <v>3.1</v>
      </c>
      <c r="CI37" s="45" t="n">
        <v>2.8</v>
      </c>
      <c r="CJ37" s="23" t="n">
        <v>2.2</v>
      </c>
      <c r="CK37" s="23" t="n">
        <v>3.2</v>
      </c>
      <c r="CL37" s="23" t="n">
        <v>0.8</v>
      </c>
      <c r="CM37" s="23" t="n">
        <v>8</v>
      </c>
      <c r="CN37" s="23" t="n">
        <v>0.62</v>
      </c>
      <c r="CO37" s="23" t="n">
        <v>0.67</v>
      </c>
      <c r="CP37" s="23" t="n">
        <v>0.8</v>
      </c>
      <c r="CQ37" s="23" t="n">
        <v>0.61</v>
      </c>
      <c r="CR37" s="23" t="n">
        <v>52</v>
      </c>
      <c r="CS37" s="23" t="n">
        <v>49.4</v>
      </c>
      <c r="CT37" s="23" t="n">
        <v>46.5</v>
      </c>
      <c r="CU37" s="23" t="n">
        <v>52.7</v>
      </c>
      <c r="CV37" s="23" t="n">
        <v>2.4</v>
      </c>
      <c r="CW37" s="23" t="n">
        <v>2.2</v>
      </c>
      <c r="CX37" s="23" t="n">
        <v>1.7</v>
      </c>
      <c r="CY37" s="23" t="n">
        <v>2.5</v>
      </c>
      <c r="CZ37" s="23" t="n">
        <v>8750000</v>
      </c>
      <c r="DA37" s="23" t="n">
        <v>3012000</v>
      </c>
      <c r="DB37" s="23" t="n">
        <v>1204800</v>
      </c>
      <c r="DC37" s="23" t="n">
        <v>8328300</v>
      </c>
      <c r="DD37" s="23" t="n">
        <v>105000000</v>
      </c>
      <c r="DE37" s="23" t="n">
        <v>3614400</v>
      </c>
      <c r="DF37" s="23" t="n">
        <v>1102800</v>
      </c>
      <c r="DG37" s="23" t="n">
        <v>100282800</v>
      </c>
      <c r="DH37" s="23" t="n">
        <v>0.24</v>
      </c>
      <c r="DI37" s="23" t="n">
        <v>0.18</v>
      </c>
      <c r="DJ37" s="23" t="n">
        <v>0.15</v>
      </c>
      <c r="DK37" s="23" t="n">
        <v>0.25</v>
      </c>
      <c r="DL37" s="23"/>
      <c r="DM37" s="23"/>
    </row>
    <row r="38" customFormat="false" ht="12.8" hidden="false" customHeight="false" outlineLevel="0" collapsed="false">
      <c r="A38" s="45" t="n">
        <v>34</v>
      </c>
      <c r="B38" s="45" t="s">
        <v>241</v>
      </c>
      <c r="C38" s="45" t="s">
        <v>223</v>
      </c>
      <c r="D38" s="45" t="n">
        <v>68000</v>
      </c>
      <c r="E38" s="45" t="n">
        <v>2720</v>
      </c>
      <c r="F38" s="45" t="n">
        <v>5440</v>
      </c>
      <c r="G38" s="45" t="n">
        <v>59840</v>
      </c>
      <c r="H38" s="45" t="n">
        <v>0.958</v>
      </c>
      <c r="I38" s="45" t="n">
        <v>0.98</v>
      </c>
      <c r="J38" s="45" t="n">
        <v>0.85</v>
      </c>
      <c r="K38" s="45" t="n">
        <v>0.958</v>
      </c>
      <c r="L38" s="45" t="n">
        <v>0.028</v>
      </c>
      <c r="M38" s="45" t="n">
        <v>0.619</v>
      </c>
      <c r="N38" s="45" t="n">
        <v>0.678</v>
      </c>
      <c r="O38" s="45" t="n">
        <v>0.026</v>
      </c>
      <c r="P38" s="45" t="n">
        <v>0.042</v>
      </c>
      <c r="Q38" s="45" t="n">
        <v>0.02</v>
      </c>
      <c r="R38" s="45" t="n">
        <v>0.15</v>
      </c>
      <c r="S38" s="45" t="n">
        <v>0.042</v>
      </c>
      <c r="T38" s="45" t="n">
        <v>0.069</v>
      </c>
      <c r="U38" s="45" t="n">
        <v>0.033</v>
      </c>
      <c r="V38" s="45" t="n">
        <v>0.27</v>
      </c>
      <c r="W38" s="45" t="n">
        <v>0.069</v>
      </c>
      <c r="X38" s="45" t="n">
        <v>24</v>
      </c>
      <c r="Y38" s="45" t="n">
        <v>18</v>
      </c>
      <c r="Z38" s="45" t="n">
        <v>36</v>
      </c>
      <c r="AA38" s="45" t="n">
        <v>51840</v>
      </c>
      <c r="AB38" s="45" t="n">
        <v>38880</v>
      </c>
      <c r="AC38" s="45" t="n">
        <v>77760</v>
      </c>
      <c r="AD38" s="45" t="n">
        <v>22.1</v>
      </c>
      <c r="AE38" s="45" t="n">
        <v>18</v>
      </c>
      <c r="AF38" s="45" t="n">
        <v>33.15</v>
      </c>
      <c r="AG38" s="45" t="n">
        <v>47736</v>
      </c>
      <c r="AH38" s="45" t="n">
        <v>38880</v>
      </c>
      <c r="AI38" s="45" t="n">
        <v>71604</v>
      </c>
      <c r="AJ38" s="45" t="n">
        <v>19.7</v>
      </c>
      <c r="AK38" s="45" t="n">
        <v>18</v>
      </c>
      <c r="AL38" s="45" t="n">
        <v>29.55</v>
      </c>
      <c r="AM38" s="45" t="n">
        <v>42552</v>
      </c>
      <c r="AN38" s="45" t="n">
        <v>38880</v>
      </c>
      <c r="AO38" s="45" t="n">
        <v>63828</v>
      </c>
      <c r="AP38" s="45" t="n">
        <v>24.5</v>
      </c>
      <c r="AQ38" s="45" t="n">
        <v>18</v>
      </c>
      <c r="AR38" s="45" t="n">
        <v>36</v>
      </c>
      <c r="AS38" s="45" t="n">
        <v>52920</v>
      </c>
      <c r="AT38" s="45" t="n">
        <v>38880</v>
      </c>
      <c r="AU38" s="45" t="n">
        <v>77760</v>
      </c>
      <c r="AV38" s="45" t="n">
        <v>350000000</v>
      </c>
      <c r="AW38" s="45" t="n">
        <v>12048000</v>
      </c>
      <c r="AX38" s="45" t="n">
        <v>4819200</v>
      </c>
      <c r="AY38" s="45" t="n">
        <v>333132800</v>
      </c>
      <c r="AZ38" s="45" t="n">
        <v>420000000</v>
      </c>
      <c r="BA38" s="45" t="n">
        <v>14457600</v>
      </c>
      <c r="BB38" s="45" t="n">
        <v>4411200</v>
      </c>
      <c r="BC38" s="45" t="n">
        <v>401131200</v>
      </c>
      <c r="BD38" s="45" t="n">
        <v>14000000</v>
      </c>
      <c r="BE38" s="45" t="n">
        <v>12600000</v>
      </c>
      <c r="BF38" s="45" t="n">
        <v>0</v>
      </c>
      <c r="BG38" s="45" t="n">
        <v>1400000</v>
      </c>
      <c r="BH38" s="45" t="n">
        <v>11200000</v>
      </c>
      <c r="BI38" s="45" t="n">
        <v>2800000</v>
      </c>
      <c r="BJ38" s="45" t="n">
        <v>5600000</v>
      </c>
      <c r="BK38" s="45" t="n">
        <v>2800000</v>
      </c>
      <c r="BL38" s="45" t="n">
        <v>8400000</v>
      </c>
      <c r="BM38" s="45" t="n">
        <v>2100000</v>
      </c>
      <c r="BN38" s="45" t="n">
        <v>420000</v>
      </c>
      <c r="BO38" s="45" t="n">
        <v>5880000</v>
      </c>
      <c r="BP38" s="45" t="n">
        <v>65144</v>
      </c>
      <c r="BQ38" s="45" t="n">
        <v>2720</v>
      </c>
      <c r="BR38" s="45" t="n">
        <v>4624</v>
      </c>
      <c r="BS38" s="45" t="n">
        <v>57800</v>
      </c>
      <c r="BT38" s="45" t="n">
        <v>36</v>
      </c>
      <c r="BU38" s="45" t="n">
        <v>36.7</v>
      </c>
      <c r="BV38" s="45" t="n">
        <v>37.8</v>
      </c>
      <c r="BW38" s="45" t="n">
        <v>35.8</v>
      </c>
      <c r="BX38" s="45" t="n">
        <v>20</v>
      </c>
      <c r="BY38" s="45" t="n">
        <v>50</v>
      </c>
      <c r="BZ38" s="45" t="n">
        <v>0.6</v>
      </c>
      <c r="CA38" s="45" t="n">
        <v>0.63</v>
      </c>
      <c r="CB38" s="45" t="n">
        <v>0.7</v>
      </c>
      <c r="CC38" s="45" t="n">
        <v>0.59</v>
      </c>
      <c r="CD38" s="45" t="n">
        <v>0.4</v>
      </c>
      <c r="CE38" s="45" t="n">
        <v>0.37</v>
      </c>
      <c r="CF38" s="45" t="n">
        <v>0.3</v>
      </c>
      <c r="CG38" s="45" t="n">
        <v>0.41</v>
      </c>
      <c r="CH38" s="45" t="n">
        <v>3.1</v>
      </c>
      <c r="CI38" s="45" t="n">
        <v>2.8</v>
      </c>
      <c r="CJ38" s="23" t="n">
        <v>2.2</v>
      </c>
      <c r="CK38" s="23" t="n">
        <v>3.2</v>
      </c>
      <c r="CL38" s="23" t="n">
        <v>0.8</v>
      </c>
      <c r="CM38" s="23" t="n">
        <v>8</v>
      </c>
      <c r="CN38" s="23" t="n">
        <v>0.62</v>
      </c>
      <c r="CO38" s="23" t="n">
        <v>0.67</v>
      </c>
      <c r="CP38" s="23" t="n">
        <v>0.8</v>
      </c>
      <c r="CQ38" s="23" t="n">
        <v>0.61</v>
      </c>
      <c r="CR38" s="23" t="n">
        <v>52</v>
      </c>
      <c r="CS38" s="23" t="n">
        <v>49.4</v>
      </c>
      <c r="CT38" s="23" t="n">
        <v>46.5</v>
      </c>
      <c r="CU38" s="23" t="n">
        <v>52.7</v>
      </c>
      <c r="CV38" s="23" t="n">
        <v>2.4</v>
      </c>
      <c r="CW38" s="23" t="n">
        <v>2.2</v>
      </c>
      <c r="CX38" s="23" t="n">
        <v>1.7</v>
      </c>
      <c r="CY38" s="23" t="n">
        <v>2.5</v>
      </c>
      <c r="CZ38" s="23" t="n">
        <v>35000000</v>
      </c>
      <c r="DA38" s="23" t="n">
        <v>12048000</v>
      </c>
      <c r="DB38" s="23" t="n">
        <v>4819200</v>
      </c>
      <c r="DC38" s="23" t="n">
        <v>333132800</v>
      </c>
      <c r="DD38" s="23" t="n">
        <v>420000000</v>
      </c>
      <c r="DE38" s="23" t="n">
        <v>14457600</v>
      </c>
      <c r="DF38" s="23" t="n">
        <v>4411200</v>
      </c>
      <c r="DG38" s="23" t="n">
        <v>401131200</v>
      </c>
      <c r="DH38" s="23" t="n">
        <v>0.24</v>
      </c>
      <c r="DI38" s="23" t="n">
        <v>0.18</v>
      </c>
      <c r="DJ38" s="23" t="n">
        <v>0.15</v>
      </c>
      <c r="DK38" s="23" t="n">
        <v>0.25</v>
      </c>
      <c r="DL38" s="23"/>
      <c r="DM38" s="23"/>
    </row>
    <row r="39" customFormat="false" ht="12.8" hidden="false" customHeight="false" outlineLevel="0" collapsed="false">
      <c r="A39" s="45" t="n">
        <v>35</v>
      </c>
      <c r="B39" s="45" t="s">
        <v>242</v>
      </c>
      <c r="C39" s="45" t="s">
        <v>225</v>
      </c>
      <c r="D39" s="45" t="n">
        <v>8500</v>
      </c>
      <c r="E39" s="45" t="n">
        <v>340</v>
      </c>
      <c r="F39" s="45" t="n">
        <v>680</v>
      </c>
      <c r="G39" s="45" t="n">
        <v>7480</v>
      </c>
      <c r="H39" s="45" t="n">
        <v>0.958</v>
      </c>
      <c r="I39" s="45" t="n">
        <v>0.98</v>
      </c>
      <c r="J39" s="45" t="n">
        <v>0.85</v>
      </c>
      <c r="K39" s="45" t="n">
        <v>0.958</v>
      </c>
      <c r="L39" s="45" t="n">
        <v>0.003</v>
      </c>
      <c r="M39" s="45" t="n">
        <v>0.619</v>
      </c>
      <c r="N39" s="45" t="n">
        <v>0.678</v>
      </c>
      <c r="O39" s="45" t="n">
        <v>0.003</v>
      </c>
      <c r="P39" s="45" t="n">
        <v>0.042</v>
      </c>
      <c r="Q39" s="45" t="n">
        <v>0.02</v>
      </c>
      <c r="R39" s="45" t="n">
        <v>0.15</v>
      </c>
      <c r="S39" s="45" t="n">
        <v>0.042</v>
      </c>
      <c r="T39" s="45" t="n">
        <v>0.069</v>
      </c>
      <c r="U39" s="45" t="n">
        <v>0.033</v>
      </c>
      <c r="V39" s="45" t="n">
        <v>0.27</v>
      </c>
      <c r="W39" s="45" t="n">
        <v>0.069</v>
      </c>
      <c r="X39" s="45" t="n">
        <v>35</v>
      </c>
      <c r="Y39" s="45" t="n">
        <v>28</v>
      </c>
      <c r="Z39" s="45" t="n">
        <v>50</v>
      </c>
      <c r="AA39" s="45" t="n">
        <v>75600</v>
      </c>
      <c r="AB39" s="45" t="n">
        <v>60480</v>
      </c>
      <c r="AC39" s="45" t="n">
        <v>108000</v>
      </c>
      <c r="AD39" s="45" t="n">
        <v>32.2</v>
      </c>
      <c r="AE39" s="45" t="n">
        <v>28</v>
      </c>
      <c r="AF39" s="45" t="n">
        <v>48.3</v>
      </c>
      <c r="AG39" s="45" t="n">
        <v>69552</v>
      </c>
      <c r="AH39" s="45" t="n">
        <v>60480</v>
      </c>
      <c r="AI39" s="45" t="n">
        <v>104328</v>
      </c>
      <c r="AJ39" s="45" t="n">
        <v>28.8</v>
      </c>
      <c r="AK39" s="45" t="n">
        <v>28</v>
      </c>
      <c r="AL39" s="45" t="n">
        <v>43.2</v>
      </c>
      <c r="AM39" s="45" t="n">
        <v>62208</v>
      </c>
      <c r="AN39" s="45" t="n">
        <v>60480</v>
      </c>
      <c r="AO39" s="45" t="n">
        <v>93312</v>
      </c>
      <c r="AP39" s="45" t="n">
        <v>35.5</v>
      </c>
      <c r="AQ39" s="45" t="n">
        <v>28</v>
      </c>
      <c r="AR39" s="45" t="n">
        <v>50</v>
      </c>
      <c r="AS39" s="45" t="n">
        <v>76680</v>
      </c>
      <c r="AT39" s="45" t="n">
        <v>60480</v>
      </c>
      <c r="AU39" s="45" t="n">
        <v>108000</v>
      </c>
      <c r="AV39" s="45" t="n">
        <v>60000000</v>
      </c>
      <c r="AW39" s="45" t="n">
        <v>2064000</v>
      </c>
      <c r="AX39" s="45" t="n">
        <v>825600</v>
      </c>
      <c r="AY39" s="45" t="n">
        <v>57098400</v>
      </c>
      <c r="AZ39" s="45" t="n">
        <v>72200000</v>
      </c>
      <c r="BA39" s="45" t="n">
        <v>2788800</v>
      </c>
      <c r="BB39" s="45" t="n">
        <v>850080</v>
      </c>
      <c r="BC39" s="45" t="n">
        <v>68613120</v>
      </c>
      <c r="BD39" s="45" t="n">
        <v>2000000</v>
      </c>
      <c r="BE39" s="45" t="n">
        <v>1800000</v>
      </c>
      <c r="BF39" s="45" t="n">
        <v>0</v>
      </c>
      <c r="BG39" s="45" t="n">
        <v>200000</v>
      </c>
      <c r="BH39" s="45" t="n">
        <v>1600000</v>
      </c>
      <c r="BI39" s="45" t="n">
        <v>400000</v>
      </c>
      <c r="BJ39" s="45" t="n">
        <v>800000</v>
      </c>
      <c r="BK39" s="45" t="n">
        <v>400000</v>
      </c>
      <c r="BL39" s="45" t="n">
        <v>1200000</v>
      </c>
      <c r="BM39" s="45" t="n">
        <v>300000</v>
      </c>
      <c r="BN39" s="45" t="n">
        <v>60000</v>
      </c>
      <c r="BO39" s="45" t="n">
        <v>840000</v>
      </c>
      <c r="BP39" s="45" t="n">
        <v>8143</v>
      </c>
      <c r="BQ39" s="45" t="n">
        <v>340</v>
      </c>
      <c r="BR39" s="45" t="n">
        <v>578</v>
      </c>
      <c r="BS39" s="45" t="n">
        <v>7225</v>
      </c>
      <c r="BT39" s="45" t="n">
        <v>40</v>
      </c>
      <c r="BU39" s="45" t="n">
        <v>40.8</v>
      </c>
      <c r="BV39" s="45" t="n">
        <v>42</v>
      </c>
      <c r="BW39" s="45" t="n">
        <v>39.8</v>
      </c>
      <c r="BX39" s="45" t="n">
        <v>25</v>
      </c>
      <c r="BY39" s="45" t="n">
        <v>55</v>
      </c>
      <c r="BZ39" s="45" t="n">
        <v>0.78</v>
      </c>
      <c r="CA39" s="45" t="n">
        <v>0.8</v>
      </c>
      <c r="CB39" s="45" t="n">
        <v>0.85</v>
      </c>
      <c r="CC39" s="45" t="n">
        <v>0.77</v>
      </c>
      <c r="CD39" s="45" t="n">
        <v>0.22</v>
      </c>
      <c r="CE39" s="45" t="n">
        <v>0.2</v>
      </c>
      <c r="CF39" s="45" t="n">
        <v>0.15</v>
      </c>
      <c r="CG39" s="45" t="n">
        <v>0.23</v>
      </c>
      <c r="CH39" s="45" t="n">
        <v>5.5</v>
      </c>
      <c r="CI39" s="45" t="n">
        <v>5</v>
      </c>
      <c r="CJ39" s="23" t="n">
        <v>4</v>
      </c>
      <c r="CK39" s="23" t="n">
        <v>5.6</v>
      </c>
      <c r="CL39" s="23" t="n">
        <v>1.5</v>
      </c>
      <c r="CM39" s="23" t="n">
        <v>10</v>
      </c>
      <c r="CN39" s="23" t="n">
        <v>0.4</v>
      </c>
      <c r="CO39" s="23" t="n">
        <v>0.45</v>
      </c>
      <c r="CP39" s="23" t="n">
        <v>0.55</v>
      </c>
      <c r="CQ39" s="23" t="n">
        <v>0.39</v>
      </c>
      <c r="CR39" s="23" t="n">
        <v>85</v>
      </c>
      <c r="CS39" s="23" t="n">
        <v>80.75</v>
      </c>
      <c r="CT39" s="23" t="n">
        <v>76</v>
      </c>
      <c r="CU39" s="23" t="n">
        <v>86</v>
      </c>
      <c r="CV39" s="23" t="n">
        <v>3.6</v>
      </c>
      <c r="CW39" s="23" t="n">
        <v>3.3</v>
      </c>
      <c r="CX39" s="23" t="n">
        <v>2.7</v>
      </c>
      <c r="CY39" s="23" t="n">
        <v>3.7</v>
      </c>
      <c r="CZ39" s="23" t="n">
        <v>6000000</v>
      </c>
      <c r="DA39" s="23" t="n">
        <v>2064000</v>
      </c>
      <c r="DB39" s="23" t="n">
        <v>825600</v>
      </c>
      <c r="DC39" s="23" t="n">
        <v>57098400</v>
      </c>
      <c r="DD39" s="23" t="n">
        <v>72200000</v>
      </c>
      <c r="DE39" s="23" t="n">
        <v>2788800</v>
      </c>
      <c r="DF39" s="23" t="n">
        <v>850080</v>
      </c>
      <c r="DG39" s="23" t="n">
        <v>68613120</v>
      </c>
      <c r="DH39" s="23" t="n">
        <v>0.12</v>
      </c>
      <c r="DI39" s="23" t="n">
        <v>0.09</v>
      </c>
      <c r="DJ39" s="23" t="n">
        <v>0.06</v>
      </c>
      <c r="DK39" s="23" t="n">
        <v>0.13</v>
      </c>
      <c r="DL39" s="23"/>
      <c r="DM39" s="23"/>
    </row>
    <row r="40" customFormat="false" ht="12.8" hidden="false" customHeight="false" outlineLevel="0" collapsed="false">
      <c r="A40" s="45" t="n">
        <v>36</v>
      </c>
      <c r="B40" s="45" t="s">
        <v>242</v>
      </c>
      <c r="C40" s="45" t="s">
        <v>223</v>
      </c>
      <c r="D40" s="45" t="n">
        <v>21250</v>
      </c>
      <c r="E40" s="45" t="n">
        <v>850</v>
      </c>
      <c r="F40" s="45" t="n">
        <v>1700</v>
      </c>
      <c r="G40" s="45" t="n">
        <v>18700</v>
      </c>
      <c r="H40" s="45" t="n">
        <v>0.958</v>
      </c>
      <c r="I40" s="45" t="n">
        <v>0.98</v>
      </c>
      <c r="J40" s="45" t="n">
        <v>0.85</v>
      </c>
      <c r="K40" s="45" t="n">
        <v>0.958</v>
      </c>
      <c r="L40" s="45" t="n">
        <v>0.009</v>
      </c>
      <c r="M40" s="45" t="n">
        <v>0.619</v>
      </c>
      <c r="N40" s="45" t="n">
        <v>0.678</v>
      </c>
      <c r="O40" s="45" t="n">
        <v>0.009</v>
      </c>
      <c r="P40" s="45" t="n">
        <v>0.042</v>
      </c>
      <c r="Q40" s="45" t="n">
        <v>0.02</v>
      </c>
      <c r="R40" s="45" t="n">
        <v>0.15</v>
      </c>
      <c r="S40" s="45" t="n">
        <v>0.042</v>
      </c>
      <c r="T40" s="45" t="n">
        <v>0.069</v>
      </c>
      <c r="U40" s="45" t="n">
        <v>0.033</v>
      </c>
      <c r="V40" s="45" t="n">
        <v>0.27</v>
      </c>
      <c r="W40" s="45" t="n">
        <v>0.069</v>
      </c>
      <c r="X40" s="45" t="n">
        <v>35</v>
      </c>
      <c r="Y40" s="45" t="n">
        <v>28</v>
      </c>
      <c r="Z40" s="45" t="n">
        <v>50</v>
      </c>
      <c r="AA40" s="45" t="n">
        <v>75600</v>
      </c>
      <c r="AB40" s="45" t="n">
        <v>60480</v>
      </c>
      <c r="AC40" s="45" t="n">
        <v>108000</v>
      </c>
      <c r="AD40" s="45" t="n">
        <v>32.2</v>
      </c>
      <c r="AE40" s="45" t="n">
        <v>28</v>
      </c>
      <c r="AF40" s="45" t="n">
        <v>48.3</v>
      </c>
      <c r="AG40" s="45" t="n">
        <v>69552</v>
      </c>
      <c r="AH40" s="45" t="n">
        <v>60480</v>
      </c>
      <c r="AI40" s="45" t="n">
        <v>104328</v>
      </c>
      <c r="AJ40" s="45" t="n">
        <v>28.8</v>
      </c>
      <c r="AK40" s="45" t="n">
        <v>28</v>
      </c>
      <c r="AL40" s="45" t="n">
        <v>43.2</v>
      </c>
      <c r="AM40" s="45" t="n">
        <v>62208</v>
      </c>
      <c r="AN40" s="45" t="n">
        <v>60480</v>
      </c>
      <c r="AO40" s="45" t="n">
        <v>93312</v>
      </c>
      <c r="AP40" s="45" t="n">
        <v>35.5</v>
      </c>
      <c r="AQ40" s="45" t="n">
        <v>28</v>
      </c>
      <c r="AR40" s="45" t="n">
        <v>50</v>
      </c>
      <c r="AS40" s="45" t="n">
        <v>76680</v>
      </c>
      <c r="AT40" s="45" t="n">
        <v>60480</v>
      </c>
      <c r="AU40" s="45" t="n">
        <v>108000</v>
      </c>
      <c r="AV40" s="45" t="n">
        <v>150000000</v>
      </c>
      <c r="AW40" s="45" t="n">
        <v>5160000</v>
      </c>
      <c r="AX40" s="45" t="n">
        <v>2064000</v>
      </c>
      <c r="AY40" s="45" t="n">
        <v>142746000</v>
      </c>
      <c r="AZ40" s="45" t="n">
        <v>180500000</v>
      </c>
      <c r="BA40" s="45" t="n">
        <v>6967200</v>
      </c>
      <c r="BB40" s="45" t="n">
        <v>2125200</v>
      </c>
      <c r="BC40" s="45" t="n">
        <v>171532800</v>
      </c>
      <c r="BD40" s="45" t="n">
        <v>5000000</v>
      </c>
      <c r="BE40" s="45" t="n">
        <v>4500000</v>
      </c>
      <c r="BF40" s="45" t="n">
        <v>0</v>
      </c>
      <c r="BG40" s="45" t="n">
        <v>500000</v>
      </c>
      <c r="BH40" s="45" t="n">
        <v>4000000</v>
      </c>
      <c r="BI40" s="45" t="n">
        <v>1000000</v>
      </c>
      <c r="BJ40" s="45" t="n">
        <v>2000000</v>
      </c>
      <c r="BK40" s="45" t="n">
        <v>1000000</v>
      </c>
      <c r="BL40" s="45" t="n">
        <v>3000000</v>
      </c>
      <c r="BM40" s="45" t="n">
        <v>750000</v>
      </c>
      <c r="BN40" s="45" t="n">
        <v>150000</v>
      </c>
      <c r="BO40" s="45" t="n">
        <v>2100000</v>
      </c>
      <c r="BP40" s="45" t="n">
        <v>20358</v>
      </c>
      <c r="BQ40" s="45" t="n">
        <v>850</v>
      </c>
      <c r="BR40" s="45" t="n">
        <v>1445</v>
      </c>
      <c r="BS40" s="45" t="n">
        <v>18063</v>
      </c>
      <c r="BT40" s="45" t="n">
        <v>40</v>
      </c>
      <c r="BU40" s="45" t="n">
        <v>40.8</v>
      </c>
      <c r="BV40" s="45" t="n">
        <v>42</v>
      </c>
      <c r="BW40" s="45" t="n">
        <v>39.8</v>
      </c>
      <c r="BX40" s="45" t="n">
        <v>25</v>
      </c>
      <c r="BY40" s="45" t="n">
        <v>55</v>
      </c>
      <c r="BZ40" s="45" t="n">
        <v>0.78</v>
      </c>
      <c r="CA40" s="45" t="n">
        <v>0.8</v>
      </c>
      <c r="CB40" s="45" t="n">
        <v>0.85</v>
      </c>
      <c r="CC40" s="45" t="n">
        <v>0.77</v>
      </c>
      <c r="CD40" s="45" t="n">
        <v>0.22</v>
      </c>
      <c r="CE40" s="45" t="n">
        <v>0.2</v>
      </c>
      <c r="CF40" s="45" t="n">
        <v>0.15</v>
      </c>
      <c r="CG40" s="45" t="n">
        <v>0.23</v>
      </c>
      <c r="CH40" s="45" t="n">
        <v>5.5</v>
      </c>
      <c r="CI40" s="45" t="n">
        <v>5</v>
      </c>
      <c r="CJ40" s="23" t="n">
        <v>4</v>
      </c>
      <c r="CK40" s="23" t="n">
        <v>5.6</v>
      </c>
      <c r="CL40" s="23" t="n">
        <v>1.5</v>
      </c>
      <c r="CM40" s="23" t="n">
        <v>10</v>
      </c>
      <c r="CN40" s="23" t="n">
        <v>0.4</v>
      </c>
      <c r="CO40" s="23" t="n">
        <v>0.45</v>
      </c>
      <c r="CP40" s="23" t="n">
        <v>0.55</v>
      </c>
      <c r="CQ40" s="23" t="n">
        <v>0.39</v>
      </c>
      <c r="CR40" s="23" t="n">
        <v>85</v>
      </c>
      <c r="CS40" s="23" t="n">
        <v>80.75</v>
      </c>
      <c r="CT40" s="23" t="n">
        <v>76</v>
      </c>
      <c r="CU40" s="23" t="n">
        <v>86</v>
      </c>
      <c r="CV40" s="23" t="n">
        <v>3.6</v>
      </c>
      <c r="CW40" s="23" t="n">
        <v>3.3</v>
      </c>
      <c r="CX40" s="23" t="n">
        <v>2.7</v>
      </c>
      <c r="CY40" s="23" t="n">
        <v>3.7</v>
      </c>
      <c r="CZ40" s="23" t="n">
        <v>15000000</v>
      </c>
      <c r="DA40" s="23" t="n">
        <v>5160000</v>
      </c>
      <c r="DB40" s="23" t="n">
        <v>2064000</v>
      </c>
      <c r="DC40" s="23" t="n">
        <v>142746000</v>
      </c>
      <c r="DD40" s="23" t="n">
        <v>180500000</v>
      </c>
      <c r="DE40" s="23" t="n">
        <v>6967200</v>
      </c>
      <c r="DF40" s="23" t="n">
        <v>2125200</v>
      </c>
      <c r="DG40" s="23" t="n">
        <v>171532800</v>
      </c>
      <c r="DH40" s="23" t="n">
        <v>0.12</v>
      </c>
      <c r="DI40" s="23" t="n">
        <v>0.09</v>
      </c>
      <c r="DJ40" s="23" t="n">
        <v>0.06</v>
      </c>
      <c r="DK40" s="23" t="n">
        <v>0.13</v>
      </c>
      <c r="DL40" s="23"/>
      <c r="DM40" s="23"/>
    </row>
    <row r="41" customFormat="false" ht="12.8" hidden="false" customHeight="false" outlineLevel="0" collapsed="false">
      <c r="A41" s="45" t="n">
        <v>37</v>
      </c>
      <c r="B41" s="45" t="s">
        <v>243</v>
      </c>
      <c r="C41" s="45" t="s">
        <v>225</v>
      </c>
      <c r="D41" s="45" t="n">
        <v>4250</v>
      </c>
      <c r="E41" s="45" t="n">
        <v>170</v>
      </c>
      <c r="F41" s="45" t="n">
        <v>340</v>
      </c>
      <c r="G41" s="45" t="n">
        <v>3740</v>
      </c>
      <c r="H41" s="45" t="n">
        <v>0.958</v>
      </c>
      <c r="I41" s="45" t="n">
        <v>1</v>
      </c>
      <c r="J41" s="45" t="n">
        <v>0.92</v>
      </c>
      <c r="K41" s="45" t="n">
        <v>0.958</v>
      </c>
      <c r="L41" s="45" t="n">
        <v>0.002</v>
      </c>
      <c r="M41" s="45" t="n">
        <v>0.681</v>
      </c>
      <c r="N41" s="45" t="n">
        <v>0.712</v>
      </c>
      <c r="O41" s="45" t="n">
        <v>0.002</v>
      </c>
      <c r="P41" s="45" t="n">
        <v>0.042</v>
      </c>
      <c r="Q41" s="45" t="n">
        <v>0</v>
      </c>
      <c r="R41" s="45" t="n">
        <v>0.08</v>
      </c>
      <c r="S41" s="45" t="n">
        <v>0.042</v>
      </c>
      <c r="T41" s="45" t="n">
        <v>0.069</v>
      </c>
      <c r="U41" s="45" t="n">
        <v>0</v>
      </c>
      <c r="V41" s="45" t="n">
        <v>0.144</v>
      </c>
      <c r="W41" s="45" t="n">
        <v>0.069</v>
      </c>
      <c r="X41" s="45" t="n">
        <v>38</v>
      </c>
      <c r="Y41" s="45" t="n">
        <v>30</v>
      </c>
      <c r="Z41" s="45" t="n">
        <v>55</v>
      </c>
      <c r="AA41" s="45" t="n">
        <v>82080</v>
      </c>
      <c r="AB41" s="45" t="n">
        <v>64800</v>
      </c>
      <c r="AC41" s="45" t="n">
        <v>118800</v>
      </c>
      <c r="AD41" s="45" t="n">
        <v>35</v>
      </c>
      <c r="AE41" s="45" t="n">
        <v>30</v>
      </c>
      <c r="AF41" s="45" t="n">
        <v>52.5</v>
      </c>
      <c r="AG41" s="45" t="n">
        <v>75600</v>
      </c>
      <c r="AH41" s="45" t="n">
        <v>64800</v>
      </c>
      <c r="AI41" s="45" t="n">
        <v>113400</v>
      </c>
      <c r="AJ41" s="45" t="n">
        <v>31.3</v>
      </c>
      <c r="AK41" s="45" t="n">
        <v>30</v>
      </c>
      <c r="AL41" s="45" t="n">
        <v>46.95</v>
      </c>
      <c r="AM41" s="45" t="n">
        <v>67704</v>
      </c>
      <c r="AN41" s="45" t="n">
        <v>64800</v>
      </c>
      <c r="AO41" s="45" t="n">
        <v>101556</v>
      </c>
      <c r="AP41" s="45" t="n">
        <v>38.5</v>
      </c>
      <c r="AQ41" s="45" t="n">
        <v>30</v>
      </c>
      <c r="AR41" s="45" t="n">
        <v>55</v>
      </c>
      <c r="AS41" s="45" t="n">
        <v>83160</v>
      </c>
      <c r="AT41" s="45" t="n">
        <v>64800</v>
      </c>
      <c r="AU41" s="45" t="n">
        <v>118800</v>
      </c>
      <c r="AV41" s="45" t="n">
        <v>32500000</v>
      </c>
      <c r="AW41" s="45" t="n">
        <v>1118000</v>
      </c>
      <c r="AX41" s="45" t="n">
        <v>447200</v>
      </c>
      <c r="AY41" s="45" t="n">
        <v>30934800</v>
      </c>
      <c r="AZ41" s="45" t="n">
        <v>39000000</v>
      </c>
      <c r="BA41" s="45" t="n">
        <v>1512000</v>
      </c>
      <c r="BB41" s="45" t="n">
        <v>461200</v>
      </c>
      <c r="BC41" s="45" t="n">
        <v>37026800</v>
      </c>
      <c r="BD41" s="45" t="n">
        <v>1000000</v>
      </c>
      <c r="BE41" s="45" t="n">
        <v>900000</v>
      </c>
      <c r="BF41" s="45" t="n">
        <v>0</v>
      </c>
      <c r="BG41" s="45" t="n">
        <v>100000</v>
      </c>
      <c r="BH41" s="45" t="n">
        <v>800000</v>
      </c>
      <c r="BI41" s="45" t="n">
        <v>200000</v>
      </c>
      <c r="BJ41" s="45" t="n">
        <v>400000</v>
      </c>
      <c r="BK41" s="45" t="n">
        <v>200000</v>
      </c>
      <c r="BL41" s="45" t="n">
        <v>600000</v>
      </c>
      <c r="BM41" s="45" t="n">
        <v>150000</v>
      </c>
      <c r="BN41" s="45" t="n">
        <v>30000</v>
      </c>
      <c r="BO41" s="45" t="n">
        <v>420000</v>
      </c>
      <c r="BP41" s="45" t="n">
        <v>4072</v>
      </c>
      <c r="BQ41" s="45" t="n">
        <v>170</v>
      </c>
      <c r="BR41" s="45" t="n">
        <v>313</v>
      </c>
      <c r="BS41" s="45" t="n">
        <v>3589</v>
      </c>
      <c r="BT41" s="45" t="n">
        <v>42</v>
      </c>
      <c r="BU41" s="45" t="n">
        <v>42.8</v>
      </c>
      <c r="BV41" s="45" t="n">
        <v>44.1</v>
      </c>
      <c r="BW41" s="45" t="n">
        <v>41.8</v>
      </c>
      <c r="BX41" s="45" t="n">
        <v>30</v>
      </c>
      <c r="BY41" s="45" t="n">
        <v>60</v>
      </c>
      <c r="BZ41" s="45" t="n">
        <v>0.88</v>
      </c>
      <c r="CA41" s="45" t="n">
        <v>0.9</v>
      </c>
      <c r="CB41" s="45" t="n">
        <v>0.93</v>
      </c>
      <c r="CC41" s="45" t="n">
        <v>0.87</v>
      </c>
      <c r="CD41" s="45" t="n">
        <v>0.12</v>
      </c>
      <c r="CE41" s="45" t="n">
        <v>0.1</v>
      </c>
      <c r="CF41" s="45" t="n">
        <v>0.07</v>
      </c>
      <c r="CG41" s="45" t="n">
        <v>0.13</v>
      </c>
      <c r="CH41" s="45" t="n">
        <v>6</v>
      </c>
      <c r="CI41" s="45" t="n">
        <v>5.5</v>
      </c>
      <c r="CJ41" s="23" t="n">
        <v>4.4</v>
      </c>
      <c r="CK41" s="23" t="n">
        <v>6.1</v>
      </c>
      <c r="CL41" s="23" t="n">
        <v>2</v>
      </c>
      <c r="CM41" s="23" t="n">
        <v>12</v>
      </c>
      <c r="CN41" s="23" t="n">
        <v>0.35</v>
      </c>
      <c r="CO41" s="23" t="n">
        <v>0.4</v>
      </c>
      <c r="CP41" s="23" t="n">
        <v>0.5</v>
      </c>
      <c r="CQ41" s="23" t="n">
        <v>0.34</v>
      </c>
      <c r="CR41" s="23" t="n">
        <v>95</v>
      </c>
      <c r="CS41" s="23" t="n">
        <v>90.25</v>
      </c>
      <c r="CT41" s="23" t="n">
        <v>85</v>
      </c>
      <c r="CU41" s="23" t="n">
        <v>96.25</v>
      </c>
      <c r="CV41" s="23" t="n">
        <v>4</v>
      </c>
      <c r="CW41" s="23" t="n">
        <v>3.7</v>
      </c>
      <c r="CX41" s="23" t="n">
        <v>3</v>
      </c>
      <c r="CY41" s="23" t="n">
        <v>4.1</v>
      </c>
      <c r="CZ41" s="23" t="n">
        <v>3250000</v>
      </c>
      <c r="DA41" s="23" t="n">
        <v>1118000</v>
      </c>
      <c r="DB41" s="23" t="n">
        <v>447200</v>
      </c>
      <c r="DC41" s="23" t="n">
        <v>30934800</v>
      </c>
      <c r="DD41" s="23" t="n">
        <v>39000000</v>
      </c>
      <c r="DE41" s="23" t="n">
        <v>1512000</v>
      </c>
      <c r="DF41" s="23" t="n">
        <v>461200</v>
      </c>
      <c r="DG41" s="23" t="n">
        <v>37026800</v>
      </c>
      <c r="DH41" s="23" t="n">
        <v>0.08</v>
      </c>
      <c r="DI41" s="23" t="n">
        <v>0.06</v>
      </c>
      <c r="DJ41" s="23" t="n">
        <v>0.04</v>
      </c>
      <c r="DK41" s="23" t="n">
        <v>0.09</v>
      </c>
      <c r="DL41" s="23"/>
      <c r="DM41" s="23"/>
    </row>
    <row r="42" customFormat="false" ht="12.8" hidden="false" customHeight="false" outlineLevel="0" collapsed="false">
      <c r="A42" s="45" t="n">
        <v>38</v>
      </c>
      <c r="B42" s="45" t="s">
        <v>243</v>
      </c>
      <c r="C42" s="45" t="s">
        <v>223</v>
      </c>
      <c r="D42" s="45" t="n">
        <v>17000</v>
      </c>
      <c r="E42" s="45" t="n">
        <v>680</v>
      </c>
      <c r="F42" s="45" t="n">
        <v>1360</v>
      </c>
      <c r="G42" s="45" t="n">
        <v>14960</v>
      </c>
      <c r="H42" s="45" t="n">
        <v>0.958</v>
      </c>
      <c r="I42" s="45" t="n">
        <v>1</v>
      </c>
      <c r="J42" s="45" t="n">
        <v>0.92</v>
      </c>
      <c r="K42" s="45" t="n">
        <v>0.958</v>
      </c>
      <c r="L42" s="45" t="n">
        <v>0.007</v>
      </c>
      <c r="M42" s="45" t="n">
        <v>0.681</v>
      </c>
      <c r="N42" s="45" t="n">
        <v>0.712</v>
      </c>
      <c r="O42" s="45" t="n">
        <v>0.007</v>
      </c>
      <c r="P42" s="45" t="n">
        <v>0.042</v>
      </c>
      <c r="Q42" s="45" t="n">
        <v>0</v>
      </c>
      <c r="R42" s="45" t="n">
        <v>0.08</v>
      </c>
      <c r="S42" s="45" t="n">
        <v>0.042</v>
      </c>
      <c r="T42" s="45" t="n">
        <v>0.069</v>
      </c>
      <c r="U42" s="45" t="n">
        <v>0</v>
      </c>
      <c r="V42" s="45" t="n">
        <v>0.144</v>
      </c>
      <c r="W42" s="45" t="n">
        <v>0.069</v>
      </c>
      <c r="X42" s="45" t="n">
        <v>38</v>
      </c>
      <c r="Y42" s="45" t="n">
        <v>30</v>
      </c>
      <c r="Z42" s="45" t="n">
        <v>55</v>
      </c>
      <c r="AA42" s="45" t="n">
        <v>82080</v>
      </c>
      <c r="AB42" s="45" t="n">
        <v>64800</v>
      </c>
      <c r="AC42" s="45" t="n">
        <v>118800</v>
      </c>
      <c r="AD42" s="45" t="n">
        <v>35</v>
      </c>
      <c r="AE42" s="45" t="n">
        <v>30</v>
      </c>
      <c r="AF42" s="45" t="n">
        <v>52.5</v>
      </c>
      <c r="AG42" s="45" t="n">
        <v>75600</v>
      </c>
      <c r="AH42" s="45" t="n">
        <v>64800</v>
      </c>
      <c r="AI42" s="45" t="n">
        <v>113400</v>
      </c>
      <c r="AJ42" s="45" t="n">
        <v>31.3</v>
      </c>
      <c r="AK42" s="45" t="n">
        <v>30</v>
      </c>
      <c r="AL42" s="45" t="n">
        <v>46.95</v>
      </c>
      <c r="AM42" s="45" t="n">
        <v>67704</v>
      </c>
      <c r="AN42" s="45" t="n">
        <v>64800</v>
      </c>
      <c r="AO42" s="45" t="n">
        <v>101556</v>
      </c>
      <c r="AP42" s="45" t="n">
        <v>38.5</v>
      </c>
      <c r="AQ42" s="45" t="n">
        <v>30</v>
      </c>
      <c r="AR42" s="45" t="n">
        <v>55</v>
      </c>
      <c r="AS42" s="45" t="n">
        <v>83160</v>
      </c>
      <c r="AT42" s="45" t="n">
        <v>64800</v>
      </c>
      <c r="AU42" s="45" t="n">
        <v>118800</v>
      </c>
      <c r="AV42" s="45" t="n">
        <v>130000000</v>
      </c>
      <c r="AW42" s="45" t="n">
        <v>4472000</v>
      </c>
      <c r="AX42" s="45" t="n">
        <v>1788800</v>
      </c>
      <c r="AY42" s="45" t="n">
        <v>123739200</v>
      </c>
      <c r="AZ42" s="45" t="n">
        <v>156000000</v>
      </c>
      <c r="BA42" s="45" t="n">
        <v>6048000</v>
      </c>
      <c r="BB42" s="45" t="n">
        <v>1844800</v>
      </c>
      <c r="BC42" s="45" t="n">
        <v>148107200</v>
      </c>
      <c r="BD42" s="45" t="n">
        <v>4000000</v>
      </c>
      <c r="BE42" s="45" t="n">
        <v>3600000</v>
      </c>
      <c r="BF42" s="45" t="n">
        <v>0</v>
      </c>
      <c r="BG42" s="45" t="n">
        <v>400000</v>
      </c>
      <c r="BH42" s="45" t="n">
        <v>3200000</v>
      </c>
      <c r="BI42" s="45" t="n">
        <v>800000</v>
      </c>
      <c r="BJ42" s="45" t="n">
        <v>1600000</v>
      </c>
      <c r="BK42" s="45" t="n">
        <v>800000</v>
      </c>
      <c r="BL42" s="45" t="n">
        <v>2400000</v>
      </c>
      <c r="BM42" s="45" t="n">
        <v>600000</v>
      </c>
      <c r="BN42" s="45" t="n">
        <v>120000</v>
      </c>
      <c r="BO42" s="45" t="n">
        <v>1680000</v>
      </c>
      <c r="BP42" s="45" t="n">
        <v>16286</v>
      </c>
      <c r="BQ42" s="45" t="n">
        <v>680</v>
      </c>
      <c r="BR42" s="45" t="n">
        <v>1251</v>
      </c>
      <c r="BS42" s="45" t="n">
        <v>14355</v>
      </c>
      <c r="BT42" s="45" t="n">
        <v>42</v>
      </c>
      <c r="BU42" s="45" t="n">
        <v>42.8</v>
      </c>
      <c r="BV42" s="45" t="n">
        <v>44.1</v>
      </c>
      <c r="BW42" s="45" t="n">
        <v>41.8</v>
      </c>
      <c r="BX42" s="45" t="n">
        <v>30</v>
      </c>
      <c r="BY42" s="45" t="n">
        <v>60</v>
      </c>
      <c r="BZ42" s="45" t="n">
        <v>0.88</v>
      </c>
      <c r="CA42" s="45" t="n">
        <v>0.9</v>
      </c>
      <c r="CB42" s="45" t="n">
        <v>0.93</v>
      </c>
      <c r="CC42" s="45" t="n">
        <v>0.87</v>
      </c>
      <c r="CD42" s="45" t="n">
        <v>0.12</v>
      </c>
      <c r="CE42" s="45" t="n">
        <v>0.1</v>
      </c>
      <c r="CF42" s="45" t="n">
        <v>0.07</v>
      </c>
      <c r="CG42" s="45" t="n">
        <v>0.13</v>
      </c>
      <c r="CH42" s="45" t="n">
        <v>6</v>
      </c>
      <c r="CI42" s="45" t="n">
        <v>5.5</v>
      </c>
      <c r="CJ42" s="23" t="n">
        <v>4.4</v>
      </c>
      <c r="CK42" s="23" t="n">
        <v>6.1</v>
      </c>
      <c r="CL42" s="23" t="n">
        <v>2</v>
      </c>
      <c r="CM42" s="23" t="n">
        <v>12</v>
      </c>
      <c r="CN42" s="23" t="n">
        <v>0.35</v>
      </c>
      <c r="CO42" s="23" t="n">
        <v>0.4</v>
      </c>
      <c r="CP42" s="23" t="n">
        <v>0.5</v>
      </c>
      <c r="CQ42" s="23" t="n">
        <v>0.34</v>
      </c>
      <c r="CR42" s="23" t="n">
        <v>95</v>
      </c>
      <c r="CS42" s="23" t="n">
        <v>90.25</v>
      </c>
      <c r="CT42" s="23" t="n">
        <v>85</v>
      </c>
      <c r="CU42" s="23" t="n">
        <v>96.25</v>
      </c>
      <c r="CV42" s="23" t="n">
        <v>4</v>
      </c>
      <c r="CW42" s="23" t="n">
        <v>3.7</v>
      </c>
      <c r="CX42" s="23" t="n">
        <v>3</v>
      </c>
      <c r="CY42" s="23" t="n">
        <v>4.1</v>
      </c>
      <c r="CZ42" s="23" t="n">
        <v>13000000</v>
      </c>
      <c r="DA42" s="23" t="n">
        <v>4472000</v>
      </c>
      <c r="DB42" s="23" t="n">
        <v>1788800</v>
      </c>
      <c r="DC42" s="23" t="n">
        <v>123739200</v>
      </c>
      <c r="DD42" s="23" t="n">
        <v>156000000</v>
      </c>
      <c r="DE42" s="23" t="n">
        <v>6048000</v>
      </c>
      <c r="DF42" s="23" t="n">
        <v>1844800</v>
      </c>
      <c r="DG42" s="23" t="n">
        <v>148107200</v>
      </c>
      <c r="DH42" s="23" t="n">
        <v>0.08</v>
      </c>
      <c r="DI42" s="23" t="n">
        <v>0.06</v>
      </c>
      <c r="DJ42" s="23" t="n">
        <v>0.04</v>
      </c>
      <c r="DK42" s="23" t="n">
        <v>0.09</v>
      </c>
      <c r="DL42" s="23"/>
      <c r="DM42" s="23"/>
    </row>
    <row r="43" customFormat="false" ht="12.8" hidden="false" customHeight="false" outlineLevel="0" collapsed="false">
      <c r="A43" s="45" t="n">
        <v>39</v>
      </c>
      <c r="B43" s="45" t="s">
        <v>244</v>
      </c>
      <c r="C43" s="45" t="s">
        <v>225</v>
      </c>
      <c r="D43" s="45" t="n">
        <v>21250</v>
      </c>
      <c r="E43" s="45" t="n">
        <v>850</v>
      </c>
      <c r="F43" s="45" t="n">
        <v>1700</v>
      </c>
      <c r="G43" s="45" t="n">
        <v>18700</v>
      </c>
      <c r="H43" s="45" t="n">
        <v>0.958</v>
      </c>
      <c r="I43" s="45" t="n">
        <v>1</v>
      </c>
      <c r="J43" s="45" t="n">
        <v>0.92</v>
      </c>
      <c r="K43" s="45" t="n">
        <v>0.958</v>
      </c>
      <c r="L43" s="45" t="n">
        <v>0.009</v>
      </c>
      <c r="M43" s="45" t="n">
        <v>0.681</v>
      </c>
      <c r="N43" s="45" t="n">
        <v>0.712</v>
      </c>
      <c r="O43" s="45" t="n">
        <v>0.008</v>
      </c>
      <c r="P43" s="45" t="n">
        <v>0.042</v>
      </c>
      <c r="Q43" s="45" t="n">
        <v>0</v>
      </c>
      <c r="R43" s="45" t="n">
        <v>0.08</v>
      </c>
      <c r="S43" s="45" t="n">
        <v>0.042</v>
      </c>
      <c r="T43" s="45" t="n">
        <v>0.069</v>
      </c>
      <c r="U43" s="45" t="n">
        <v>0</v>
      </c>
      <c r="V43" s="45" t="n">
        <v>0.144</v>
      </c>
      <c r="W43" s="45" t="n">
        <v>0.069</v>
      </c>
      <c r="X43" s="45" t="n">
        <v>32</v>
      </c>
      <c r="Y43" s="45" t="n">
        <v>25</v>
      </c>
      <c r="Z43" s="45" t="n">
        <v>45</v>
      </c>
      <c r="AA43" s="45" t="n">
        <v>69120</v>
      </c>
      <c r="AB43" s="45" t="n">
        <v>51840</v>
      </c>
      <c r="AC43" s="45" t="n">
        <v>98280</v>
      </c>
      <c r="AD43" s="45" t="n">
        <v>29.45</v>
      </c>
      <c r="AE43" s="45" t="n">
        <v>25</v>
      </c>
      <c r="AF43" s="45" t="n">
        <v>44.18</v>
      </c>
      <c r="AG43" s="45" t="n">
        <v>63612</v>
      </c>
      <c r="AH43" s="45" t="n">
        <v>51840</v>
      </c>
      <c r="AI43" s="45" t="n">
        <v>95418</v>
      </c>
      <c r="AJ43" s="45" t="n">
        <v>26.35</v>
      </c>
      <c r="AK43" s="45" t="n">
        <v>25</v>
      </c>
      <c r="AL43" s="45" t="n">
        <v>39.53</v>
      </c>
      <c r="AM43" s="45" t="n">
        <v>56916</v>
      </c>
      <c r="AN43" s="45" t="n">
        <v>51840</v>
      </c>
      <c r="AO43" s="45" t="n">
        <v>85374</v>
      </c>
      <c r="AP43" s="45" t="n">
        <v>32.5</v>
      </c>
      <c r="AQ43" s="45" t="n">
        <v>25</v>
      </c>
      <c r="AR43" s="45" t="n">
        <v>45</v>
      </c>
      <c r="AS43" s="45" t="n">
        <v>70200</v>
      </c>
      <c r="AT43" s="45" t="n">
        <v>51840</v>
      </c>
      <c r="AU43" s="45" t="n">
        <v>98280</v>
      </c>
      <c r="AV43" s="45" t="n">
        <v>137500000</v>
      </c>
      <c r="AW43" s="45" t="n">
        <v>4730000</v>
      </c>
      <c r="AX43" s="45" t="n">
        <v>1892000</v>
      </c>
      <c r="AY43" s="45" t="n">
        <v>130888000</v>
      </c>
      <c r="AZ43" s="45" t="n">
        <v>165000000</v>
      </c>
      <c r="BA43" s="45" t="n">
        <v>6385500</v>
      </c>
      <c r="BB43" s="45" t="n">
        <v>1948000</v>
      </c>
      <c r="BC43" s="45" t="n">
        <v>156666500</v>
      </c>
      <c r="BD43" s="45" t="n">
        <v>5500000</v>
      </c>
      <c r="BE43" s="45" t="n">
        <v>4950000</v>
      </c>
      <c r="BF43" s="45" t="n">
        <v>0</v>
      </c>
      <c r="BG43" s="45" t="n">
        <v>550000</v>
      </c>
      <c r="BH43" s="45" t="n">
        <v>4400000</v>
      </c>
      <c r="BI43" s="45" t="n">
        <v>1100000</v>
      </c>
      <c r="BJ43" s="45" t="n">
        <v>2200000</v>
      </c>
      <c r="BK43" s="45" t="n">
        <v>1100000</v>
      </c>
      <c r="BL43" s="45" t="n">
        <v>3300000</v>
      </c>
      <c r="BM43" s="45" t="n">
        <v>825000</v>
      </c>
      <c r="BN43" s="45" t="n">
        <v>165000</v>
      </c>
      <c r="BO43" s="45" t="n">
        <v>2310000</v>
      </c>
      <c r="BP43" s="45" t="n">
        <v>20358</v>
      </c>
      <c r="BQ43" s="45" t="n">
        <v>850</v>
      </c>
      <c r="BR43" s="45" t="n">
        <v>1564</v>
      </c>
      <c r="BS43" s="45" t="n">
        <v>17944</v>
      </c>
      <c r="BT43" s="45" t="n">
        <v>40</v>
      </c>
      <c r="BU43" s="45" t="n">
        <v>40.8</v>
      </c>
      <c r="BV43" s="45" t="n">
        <v>42</v>
      </c>
      <c r="BW43" s="45" t="n">
        <v>39.8</v>
      </c>
      <c r="BX43" s="45" t="n">
        <v>25</v>
      </c>
      <c r="BY43" s="45" t="n">
        <v>55</v>
      </c>
      <c r="BZ43" s="45" t="n">
        <v>0.78</v>
      </c>
      <c r="CA43" s="45" t="n">
        <v>0.8</v>
      </c>
      <c r="CB43" s="45" t="n">
        <v>0.85</v>
      </c>
      <c r="CC43" s="45" t="n">
        <v>0.77</v>
      </c>
      <c r="CD43" s="45" t="n">
        <v>0.22</v>
      </c>
      <c r="CE43" s="45" t="n">
        <v>0.2</v>
      </c>
      <c r="CF43" s="45" t="n">
        <v>0.15</v>
      </c>
      <c r="CG43" s="45" t="n">
        <v>0.23</v>
      </c>
      <c r="CH43" s="45" t="n">
        <v>5.5</v>
      </c>
      <c r="CI43" s="45" t="n">
        <v>5</v>
      </c>
      <c r="CJ43" s="23" t="n">
        <v>4</v>
      </c>
      <c r="CK43" s="23" t="n">
        <v>5.6</v>
      </c>
      <c r="CL43" s="23" t="n">
        <v>1.5</v>
      </c>
      <c r="CM43" s="23" t="n">
        <v>10</v>
      </c>
      <c r="CN43" s="23" t="n">
        <v>0.4</v>
      </c>
      <c r="CO43" s="23" t="n">
        <v>0.45</v>
      </c>
      <c r="CP43" s="23" t="n">
        <v>0.55</v>
      </c>
      <c r="CQ43" s="23" t="n">
        <v>0.39</v>
      </c>
      <c r="CR43" s="23" t="n">
        <v>85</v>
      </c>
      <c r="CS43" s="23" t="n">
        <v>80.75</v>
      </c>
      <c r="CT43" s="23" t="n">
        <v>76</v>
      </c>
      <c r="CU43" s="23" t="n">
        <v>86</v>
      </c>
      <c r="CV43" s="23" t="n">
        <v>3.6</v>
      </c>
      <c r="CW43" s="23" t="n">
        <v>3.3</v>
      </c>
      <c r="CX43" s="23" t="n">
        <v>2.7</v>
      </c>
      <c r="CY43" s="23" t="n">
        <v>3.7</v>
      </c>
      <c r="CZ43" s="23" t="n">
        <v>13750000</v>
      </c>
      <c r="DA43" s="23" t="n">
        <v>4730000</v>
      </c>
      <c r="DB43" s="23" t="n">
        <v>1892000</v>
      </c>
      <c r="DC43" s="23" t="n">
        <v>130888000</v>
      </c>
      <c r="DD43" s="23" t="n">
        <v>165000000</v>
      </c>
      <c r="DE43" s="23" t="n">
        <v>6385500</v>
      </c>
      <c r="DF43" s="23" t="n">
        <v>1948000</v>
      </c>
      <c r="DG43" s="23" t="n">
        <v>156666500</v>
      </c>
      <c r="DH43" s="23" t="n">
        <v>0.12</v>
      </c>
      <c r="DI43" s="23" t="n">
        <v>0.09</v>
      </c>
      <c r="DJ43" s="23" t="n">
        <v>0.06</v>
      </c>
      <c r="DK43" s="23" t="n">
        <v>0.13</v>
      </c>
      <c r="DL43" s="23"/>
      <c r="DM43" s="23"/>
    </row>
    <row r="44" customFormat="false" ht="12.8" hidden="false" customHeight="false" outlineLevel="0" collapsed="false">
      <c r="A44" s="45" t="n">
        <v>40</v>
      </c>
      <c r="B44" s="45" t="s">
        <v>244</v>
      </c>
      <c r="C44" s="45" t="s">
        <v>223</v>
      </c>
      <c r="D44" s="45" t="n">
        <v>85000</v>
      </c>
      <c r="E44" s="45" t="n">
        <v>3400</v>
      </c>
      <c r="F44" s="45" t="n">
        <v>6800</v>
      </c>
      <c r="G44" s="45" t="n">
        <v>74800</v>
      </c>
      <c r="H44" s="45" t="n">
        <v>0.958</v>
      </c>
      <c r="I44" s="45" t="n">
        <v>1</v>
      </c>
      <c r="J44" s="45" t="n">
        <v>0.92</v>
      </c>
      <c r="K44" s="45" t="n">
        <v>0.958</v>
      </c>
      <c r="L44" s="45" t="n">
        <v>0.035</v>
      </c>
      <c r="M44" s="45" t="n">
        <v>0.681</v>
      </c>
      <c r="N44" s="45" t="n">
        <v>0.712</v>
      </c>
      <c r="O44" s="45" t="n">
        <v>0.033</v>
      </c>
      <c r="P44" s="45" t="n">
        <v>0.042</v>
      </c>
      <c r="Q44" s="45" t="n">
        <v>0</v>
      </c>
      <c r="R44" s="45" t="n">
        <v>0.08</v>
      </c>
      <c r="S44" s="45" t="n">
        <v>0.042</v>
      </c>
      <c r="T44" s="45" t="n">
        <v>0.069</v>
      </c>
      <c r="U44" s="45" t="n">
        <v>0</v>
      </c>
      <c r="V44" s="45" t="n">
        <v>0.144</v>
      </c>
      <c r="W44" s="45" t="n">
        <v>0.069</v>
      </c>
      <c r="X44" s="45" t="n">
        <v>32</v>
      </c>
      <c r="Y44" s="45" t="n">
        <v>25</v>
      </c>
      <c r="Z44" s="45" t="n">
        <v>45</v>
      </c>
      <c r="AA44" s="45" t="n">
        <v>69120</v>
      </c>
      <c r="AB44" s="45" t="n">
        <v>51840</v>
      </c>
      <c r="AC44" s="45" t="n">
        <v>98280</v>
      </c>
      <c r="AD44" s="45" t="n">
        <v>29.45</v>
      </c>
      <c r="AE44" s="45" t="n">
        <v>25</v>
      </c>
      <c r="AF44" s="45" t="n">
        <v>44.18</v>
      </c>
      <c r="AG44" s="45" t="n">
        <v>63612</v>
      </c>
      <c r="AH44" s="45" t="n">
        <v>51840</v>
      </c>
      <c r="AI44" s="45" t="n">
        <v>95418</v>
      </c>
      <c r="AJ44" s="45" t="n">
        <v>26.35</v>
      </c>
      <c r="AK44" s="45" t="n">
        <v>25</v>
      </c>
      <c r="AL44" s="45" t="n">
        <v>39.53</v>
      </c>
      <c r="AM44" s="45" t="n">
        <v>56916</v>
      </c>
      <c r="AN44" s="45" t="n">
        <v>51840</v>
      </c>
      <c r="AO44" s="45" t="n">
        <v>85374</v>
      </c>
      <c r="AP44" s="45" t="n">
        <v>32.5</v>
      </c>
      <c r="AQ44" s="45" t="n">
        <v>25</v>
      </c>
      <c r="AR44" s="45" t="n">
        <v>45</v>
      </c>
      <c r="AS44" s="45" t="n">
        <v>70200</v>
      </c>
      <c r="AT44" s="45" t="n">
        <v>51840</v>
      </c>
      <c r="AU44" s="45" t="n">
        <v>98280</v>
      </c>
      <c r="AV44" s="45" t="n">
        <v>550000000</v>
      </c>
      <c r="AW44" s="45" t="n">
        <v>18920000</v>
      </c>
      <c r="AX44" s="45" t="n">
        <v>7568000</v>
      </c>
      <c r="AY44" s="45" t="n">
        <v>521552000</v>
      </c>
      <c r="AZ44" s="45" t="n">
        <v>660000000</v>
      </c>
      <c r="BA44" s="45" t="n">
        <v>25542000</v>
      </c>
      <c r="BB44" s="45" t="n">
        <v>7792000</v>
      </c>
      <c r="BC44" s="45" t="n">
        <v>626666000</v>
      </c>
      <c r="BD44" s="45" t="n">
        <v>22000000</v>
      </c>
      <c r="BE44" s="45" t="n">
        <v>19800000</v>
      </c>
      <c r="BF44" s="45" t="n">
        <v>0</v>
      </c>
      <c r="BG44" s="45" t="n">
        <v>2200000</v>
      </c>
      <c r="BH44" s="45" t="n">
        <v>17600000</v>
      </c>
      <c r="BI44" s="45" t="n">
        <v>4400000</v>
      </c>
      <c r="BJ44" s="45" t="n">
        <v>8800000</v>
      </c>
      <c r="BK44" s="45" t="n">
        <v>4400000</v>
      </c>
      <c r="BL44" s="45" t="n">
        <v>13200000</v>
      </c>
      <c r="BM44" s="45" t="n">
        <v>3300000</v>
      </c>
      <c r="BN44" s="45" t="n">
        <v>660000</v>
      </c>
      <c r="BO44" s="45" t="n">
        <v>9240000</v>
      </c>
      <c r="BP44" s="45" t="n">
        <v>81380</v>
      </c>
      <c r="BQ44" s="45" t="n">
        <v>3400</v>
      </c>
      <c r="BR44" s="45" t="n">
        <v>6370</v>
      </c>
      <c r="BS44" s="45" t="n">
        <v>71644</v>
      </c>
      <c r="BT44" s="45" t="n">
        <v>40</v>
      </c>
      <c r="BU44" s="45" t="n">
        <v>40.8</v>
      </c>
      <c r="BV44" s="45" t="n">
        <v>42</v>
      </c>
      <c r="BW44" s="45" t="n">
        <v>39.8</v>
      </c>
      <c r="BX44" s="45" t="n">
        <v>25</v>
      </c>
      <c r="BY44" s="45" t="n">
        <v>55</v>
      </c>
      <c r="BZ44" s="45" t="n">
        <v>0.78</v>
      </c>
      <c r="CA44" s="45" t="n">
        <v>0.8</v>
      </c>
      <c r="CB44" s="45" t="n">
        <v>0.85</v>
      </c>
      <c r="CC44" s="45" t="n">
        <v>0.77</v>
      </c>
      <c r="CD44" s="45" t="n">
        <v>0.22</v>
      </c>
      <c r="CE44" s="45" t="n">
        <v>0.2</v>
      </c>
      <c r="CF44" s="45" t="n">
        <v>0.15</v>
      </c>
      <c r="CG44" s="45" t="n">
        <v>0.23</v>
      </c>
      <c r="CH44" s="45" t="n">
        <v>5.5</v>
      </c>
      <c r="CI44" s="45" t="n">
        <v>5</v>
      </c>
      <c r="CJ44" s="23" t="n">
        <v>4</v>
      </c>
      <c r="CK44" s="23" t="n">
        <v>5.6</v>
      </c>
      <c r="CL44" s="23" t="n">
        <v>1.5</v>
      </c>
      <c r="CM44" s="23" t="n">
        <v>10</v>
      </c>
      <c r="CN44" s="23" t="n">
        <v>0.4</v>
      </c>
      <c r="CO44" s="23" t="n">
        <v>0.45</v>
      </c>
      <c r="CP44" s="23" t="n">
        <v>0.55</v>
      </c>
      <c r="CQ44" s="23" t="n">
        <v>0.39</v>
      </c>
      <c r="CR44" s="23" t="n">
        <v>85</v>
      </c>
      <c r="CS44" s="23" t="n">
        <v>80.75</v>
      </c>
      <c r="CT44" s="23" t="n">
        <v>76</v>
      </c>
      <c r="CU44" s="23" t="n">
        <v>86</v>
      </c>
      <c r="CV44" s="23" t="n">
        <v>3.6</v>
      </c>
      <c r="CW44" s="23" t="n">
        <v>3.3</v>
      </c>
      <c r="CX44" s="23" t="n">
        <v>2.7</v>
      </c>
      <c r="CY44" s="23" t="n">
        <v>3.7</v>
      </c>
      <c r="CZ44" s="23" t="n">
        <v>55000000</v>
      </c>
      <c r="DA44" s="23" t="n">
        <v>18920000</v>
      </c>
      <c r="DB44" s="23" t="n">
        <v>7568000</v>
      </c>
      <c r="DC44" s="23" t="n">
        <v>521552000</v>
      </c>
      <c r="DD44" s="23" t="n">
        <v>660000000</v>
      </c>
      <c r="DE44" s="23" t="n">
        <v>25542000</v>
      </c>
      <c r="DF44" s="23" t="n">
        <v>7792000</v>
      </c>
      <c r="DG44" s="23" t="n">
        <v>626666000</v>
      </c>
      <c r="DH44" s="23" t="n">
        <v>0.12</v>
      </c>
      <c r="DI44" s="23" t="n">
        <v>0.09</v>
      </c>
      <c r="DJ44" s="23" t="n">
        <v>0.06</v>
      </c>
      <c r="DK44" s="23" t="n">
        <v>0.13</v>
      </c>
      <c r="DL44" s="23"/>
      <c r="DM44" s="23"/>
    </row>
    <row r="45" customFormat="false" ht="12.8" hidden="false" customHeight="false" outlineLevel="0" collapsed="false">
      <c r="A45" s="45" t="n">
        <v>41</v>
      </c>
      <c r="B45" s="45" t="s">
        <v>245</v>
      </c>
      <c r="C45" s="45" t="s">
        <v>225</v>
      </c>
      <c r="D45" s="45" t="n">
        <v>4250</v>
      </c>
      <c r="E45" s="45" t="n">
        <v>170</v>
      </c>
      <c r="F45" s="45" t="n">
        <v>340</v>
      </c>
      <c r="G45" s="45" t="n">
        <v>3740</v>
      </c>
      <c r="H45" s="45" t="n">
        <v>0.958</v>
      </c>
      <c r="I45" s="45" t="n">
        <v>1.02</v>
      </c>
      <c r="J45" s="45" t="n">
        <v>0.92</v>
      </c>
      <c r="K45" s="45" t="n">
        <v>0.958</v>
      </c>
      <c r="L45" s="45" t="n">
        <v>0.002</v>
      </c>
      <c r="M45" s="45" t="n">
        <v>0.681</v>
      </c>
      <c r="N45" s="45" t="n">
        <v>0.712</v>
      </c>
      <c r="O45" s="45" t="n">
        <v>0.002</v>
      </c>
      <c r="P45" s="45" t="n">
        <v>0.042</v>
      </c>
      <c r="Q45" s="45" t="n">
        <v>0</v>
      </c>
      <c r="R45" s="45" t="n">
        <v>0.08</v>
      </c>
      <c r="S45" s="45" t="n">
        <v>0.042</v>
      </c>
      <c r="T45" s="45" t="n">
        <v>0.069</v>
      </c>
      <c r="U45" s="45" t="n">
        <v>0</v>
      </c>
      <c r="V45" s="45" t="n">
        <v>0.144</v>
      </c>
      <c r="W45" s="45" t="n">
        <v>0.069</v>
      </c>
      <c r="X45" s="45" t="n">
        <v>42</v>
      </c>
      <c r="Y45" s="45" t="n">
        <v>35</v>
      </c>
      <c r="Z45" s="45" t="n">
        <v>60</v>
      </c>
      <c r="AA45" s="45" t="n">
        <v>90720</v>
      </c>
      <c r="AB45" s="45" t="n">
        <v>75600</v>
      </c>
      <c r="AC45" s="45" t="n">
        <v>136080</v>
      </c>
      <c r="AD45" s="45" t="n">
        <v>38.65</v>
      </c>
      <c r="AE45" s="45" t="n">
        <v>35</v>
      </c>
      <c r="AF45" s="45" t="n">
        <v>57.98</v>
      </c>
      <c r="AG45" s="45" t="n">
        <v>83556</v>
      </c>
      <c r="AH45" s="45" t="n">
        <v>75600</v>
      </c>
      <c r="AI45" s="45" t="n">
        <v>125334</v>
      </c>
      <c r="AJ45" s="45" t="n">
        <v>34.6</v>
      </c>
      <c r="AK45" s="45" t="n">
        <v>35</v>
      </c>
      <c r="AL45" s="45" t="n">
        <v>51.9</v>
      </c>
      <c r="AM45" s="45" t="n">
        <v>74736</v>
      </c>
      <c r="AN45" s="45" t="n">
        <v>75600</v>
      </c>
      <c r="AO45" s="45" t="n">
        <v>112104</v>
      </c>
      <c r="AP45" s="45" t="n">
        <v>42.5</v>
      </c>
      <c r="AQ45" s="45" t="n">
        <v>35</v>
      </c>
      <c r="AR45" s="45" t="n">
        <v>60</v>
      </c>
      <c r="AS45" s="45" t="n">
        <v>91800</v>
      </c>
      <c r="AT45" s="45" t="n">
        <v>75600</v>
      </c>
      <c r="AU45" s="45" t="n">
        <v>136080</v>
      </c>
      <c r="AV45" s="45" t="n">
        <v>37500000</v>
      </c>
      <c r="AW45" s="45" t="n">
        <v>1290000</v>
      </c>
      <c r="AX45" s="45" t="n">
        <v>516000</v>
      </c>
      <c r="AY45" s="45" t="n">
        <v>35686500</v>
      </c>
      <c r="AZ45" s="45" t="n">
        <v>45000000</v>
      </c>
      <c r="BA45" s="45" t="n">
        <v>1743000</v>
      </c>
      <c r="BB45" s="45" t="n">
        <v>531300</v>
      </c>
      <c r="BC45" s="45" t="n">
        <v>42883200</v>
      </c>
      <c r="BD45" s="45" t="n">
        <v>1000000</v>
      </c>
      <c r="BE45" s="45" t="n">
        <v>900000</v>
      </c>
      <c r="BF45" s="45" t="n">
        <v>0</v>
      </c>
      <c r="BG45" s="45" t="n">
        <v>100000</v>
      </c>
      <c r="BH45" s="45" t="n">
        <v>800000</v>
      </c>
      <c r="BI45" s="45" t="n">
        <v>200000</v>
      </c>
      <c r="BJ45" s="45" t="n">
        <v>400000</v>
      </c>
      <c r="BK45" s="45" t="n">
        <v>200000</v>
      </c>
      <c r="BL45" s="45" t="n">
        <v>600000</v>
      </c>
      <c r="BM45" s="45" t="n">
        <v>150000</v>
      </c>
      <c r="BN45" s="45" t="n">
        <v>30000</v>
      </c>
      <c r="BO45" s="45" t="n">
        <v>420000</v>
      </c>
      <c r="BP45" s="45" t="n">
        <v>4072</v>
      </c>
      <c r="BQ45" s="45" t="n">
        <v>170</v>
      </c>
      <c r="BR45" s="45" t="n">
        <v>313</v>
      </c>
      <c r="BS45" s="45" t="n">
        <v>3589</v>
      </c>
      <c r="BT45" s="45" t="n">
        <v>45</v>
      </c>
      <c r="BU45" s="45" t="n">
        <v>45.9</v>
      </c>
      <c r="BV45" s="45" t="n">
        <v>47.3</v>
      </c>
      <c r="BW45" s="45" t="n">
        <v>44.8</v>
      </c>
      <c r="BX45" s="45" t="n">
        <v>30</v>
      </c>
      <c r="BY45" s="45" t="n">
        <v>60</v>
      </c>
      <c r="BZ45" s="45" t="n">
        <v>0.9</v>
      </c>
      <c r="CA45" s="45" t="n">
        <v>0.92</v>
      </c>
      <c r="CB45" s="45" t="n">
        <v>0.95</v>
      </c>
      <c r="CC45" s="45" t="n">
        <v>0.89</v>
      </c>
      <c r="CD45" s="45" t="n">
        <v>0.1</v>
      </c>
      <c r="CE45" s="45" t="n">
        <v>0.08</v>
      </c>
      <c r="CF45" s="45" t="n">
        <v>0.05</v>
      </c>
      <c r="CG45" s="45" t="n">
        <v>0.11</v>
      </c>
      <c r="CH45" s="45" t="n">
        <v>7</v>
      </c>
      <c r="CI45" s="45" t="n">
        <v>6.4</v>
      </c>
      <c r="CJ45" s="23" t="n">
        <v>5.1</v>
      </c>
      <c r="CK45" s="23" t="n">
        <v>7.2</v>
      </c>
      <c r="CL45" s="23" t="n">
        <v>2.5</v>
      </c>
      <c r="CM45" s="23" t="n">
        <v>15</v>
      </c>
      <c r="CN45" s="23" t="n">
        <v>0.3</v>
      </c>
      <c r="CO45" s="23" t="n">
        <v>0.35</v>
      </c>
      <c r="CP45" s="23" t="n">
        <v>0.45</v>
      </c>
      <c r="CQ45" s="23" t="n">
        <v>0.29</v>
      </c>
      <c r="CR45" s="23" t="n">
        <v>110</v>
      </c>
      <c r="CS45" s="23" t="n">
        <v>104.5</v>
      </c>
      <c r="CT45" s="23" t="n">
        <v>98.4</v>
      </c>
      <c r="CU45" s="23" t="n">
        <v>111.4</v>
      </c>
      <c r="CV45" s="23" t="n">
        <v>4.8</v>
      </c>
      <c r="CW45" s="23" t="n">
        <v>4.4</v>
      </c>
      <c r="CX45" s="23" t="n">
        <v>3.6</v>
      </c>
      <c r="CY45" s="23" t="n">
        <v>4.9</v>
      </c>
      <c r="CZ45" s="23" t="n">
        <v>3750000</v>
      </c>
      <c r="DA45" s="23" t="n">
        <v>1290000</v>
      </c>
      <c r="DB45" s="23" t="n">
        <v>516000</v>
      </c>
      <c r="DC45" s="23" t="n">
        <v>3568650</v>
      </c>
      <c r="DD45" s="23" t="n">
        <v>45000000</v>
      </c>
      <c r="DE45" s="23" t="n">
        <v>1743000</v>
      </c>
      <c r="DF45" s="23" t="n">
        <v>531300</v>
      </c>
      <c r="DG45" s="23" t="n">
        <v>42883200</v>
      </c>
      <c r="DH45" s="23" t="n">
        <v>0.06</v>
      </c>
      <c r="DI45" s="23" t="n">
        <v>0.04</v>
      </c>
      <c r="DJ45" s="23" t="n">
        <v>0.03</v>
      </c>
      <c r="DK45" s="23" t="n">
        <v>0.07</v>
      </c>
      <c r="DL45" s="23"/>
      <c r="DM45" s="23"/>
    </row>
    <row r="46" customFormat="false" ht="12.8" hidden="false" customHeight="false" outlineLevel="0" collapsed="false">
      <c r="A46" s="45" t="n">
        <v>42</v>
      </c>
      <c r="B46" s="45" t="s">
        <v>245</v>
      </c>
      <c r="C46" s="45" t="s">
        <v>223</v>
      </c>
      <c r="D46" s="45" t="n">
        <v>17000</v>
      </c>
      <c r="E46" s="45" t="n">
        <v>680</v>
      </c>
      <c r="F46" s="45" t="n">
        <v>1360</v>
      </c>
      <c r="G46" s="45" t="n">
        <v>14960</v>
      </c>
      <c r="H46" s="45" t="n">
        <v>0.958</v>
      </c>
      <c r="I46" s="45" t="n">
        <v>1.02</v>
      </c>
      <c r="J46" s="45" t="n">
        <v>0.92</v>
      </c>
      <c r="K46" s="45" t="n">
        <v>0.958</v>
      </c>
      <c r="L46" s="45" t="n">
        <v>0.007</v>
      </c>
      <c r="M46" s="45" t="n">
        <v>0.681</v>
      </c>
      <c r="N46" s="45" t="n">
        <v>0.712</v>
      </c>
      <c r="O46" s="45" t="n">
        <v>0.007</v>
      </c>
      <c r="P46" s="45" t="n">
        <v>0.042</v>
      </c>
      <c r="Q46" s="45" t="n">
        <v>0</v>
      </c>
      <c r="R46" s="45" t="n">
        <v>0.08</v>
      </c>
      <c r="S46" s="45" t="n">
        <v>0.042</v>
      </c>
      <c r="T46" s="45" t="n">
        <v>0.069</v>
      </c>
      <c r="U46" s="45" t="n">
        <v>0</v>
      </c>
      <c r="V46" s="45" t="n">
        <v>0.144</v>
      </c>
      <c r="W46" s="45" t="n">
        <v>0.069</v>
      </c>
      <c r="X46" s="45" t="n">
        <v>42</v>
      </c>
      <c r="Y46" s="45" t="n">
        <v>35</v>
      </c>
      <c r="Z46" s="45" t="n">
        <v>60</v>
      </c>
      <c r="AA46" s="45" t="n">
        <v>90720</v>
      </c>
      <c r="AB46" s="45" t="n">
        <v>75600</v>
      </c>
      <c r="AC46" s="45" t="n">
        <v>136080</v>
      </c>
      <c r="AD46" s="45" t="n">
        <v>38.65</v>
      </c>
      <c r="AE46" s="45" t="n">
        <v>35</v>
      </c>
      <c r="AF46" s="45" t="n">
        <v>57.98</v>
      </c>
      <c r="AG46" s="45" t="n">
        <v>83556</v>
      </c>
      <c r="AH46" s="45" t="n">
        <v>75600</v>
      </c>
      <c r="AI46" s="45" t="n">
        <v>125334</v>
      </c>
      <c r="AJ46" s="45" t="n">
        <v>34.6</v>
      </c>
      <c r="AK46" s="45" t="n">
        <v>35</v>
      </c>
      <c r="AL46" s="45" t="n">
        <v>51.9</v>
      </c>
      <c r="AM46" s="45" t="n">
        <v>74736</v>
      </c>
      <c r="AN46" s="45" t="n">
        <v>75600</v>
      </c>
      <c r="AO46" s="45" t="n">
        <v>112104</v>
      </c>
      <c r="AP46" s="45" t="n">
        <v>42.5</v>
      </c>
      <c r="AQ46" s="45" t="n">
        <v>35</v>
      </c>
      <c r="AR46" s="45" t="n">
        <v>60</v>
      </c>
      <c r="AS46" s="45" t="n">
        <v>91800</v>
      </c>
      <c r="AT46" s="45" t="n">
        <v>75600</v>
      </c>
      <c r="AU46" s="45" t="n">
        <v>136080</v>
      </c>
      <c r="AV46" s="45" t="n">
        <v>150000000</v>
      </c>
      <c r="AW46" s="45" t="n">
        <v>5160000</v>
      </c>
      <c r="AX46" s="45" t="n">
        <v>2064000</v>
      </c>
      <c r="AY46" s="45" t="n">
        <v>142746000</v>
      </c>
      <c r="AZ46" s="45" t="n">
        <v>180000000</v>
      </c>
      <c r="BA46" s="45" t="n">
        <v>6967200</v>
      </c>
      <c r="BB46" s="45" t="n">
        <v>2125200</v>
      </c>
      <c r="BC46" s="45" t="n">
        <v>171532800</v>
      </c>
      <c r="BD46" s="45" t="n">
        <v>4000000</v>
      </c>
      <c r="BE46" s="45" t="n">
        <v>3600000</v>
      </c>
      <c r="BF46" s="45" t="n">
        <v>0</v>
      </c>
      <c r="BG46" s="45" t="n">
        <v>400000</v>
      </c>
      <c r="BH46" s="45" t="n">
        <v>3200000</v>
      </c>
      <c r="BI46" s="45" t="n">
        <v>800000</v>
      </c>
      <c r="BJ46" s="45" t="n">
        <v>1600000</v>
      </c>
      <c r="BK46" s="45" t="n">
        <v>800000</v>
      </c>
      <c r="BL46" s="45" t="n">
        <v>2400000</v>
      </c>
      <c r="BM46" s="45" t="n">
        <v>600000</v>
      </c>
      <c r="BN46" s="45" t="n">
        <v>120000</v>
      </c>
      <c r="BO46" s="45" t="n">
        <v>1680000</v>
      </c>
      <c r="BP46" s="45" t="n">
        <v>16286</v>
      </c>
      <c r="BQ46" s="45" t="n">
        <v>680</v>
      </c>
      <c r="BR46" s="45" t="n">
        <v>1251</v>
      </c>
      <c r="BS46" s="45" t="n">
        <v>14355</v>
      </c>
      <c r="BT46" s="45" t="n">
        <v>45</v>
      </c>
      <c r="BU46" s="45" t="n">
        <v>45.9</v>
      </c>
      <c r="BV46" s="45" t="n">
        <v>47.3</v>
      </c>
      <c r="BW46" s="45" t="n">
        <v>44.8</v>
      </c>
      <c r="BX46" s="45" t="n">
        <v>30</v>
      </c>
      <c r="BY46" s="45" t="n">
        <v>60</v>
      </c>
      <c r="BZ46" s="45" t="n">
        <v>0.9</v>
      </c>
      <c r="CA46" s="45" t="n">
        <v>0.92</v>
      </c>
      <c r="CB46" s="45" t="n">
        <v>0.95</v>
      </c>
      <c r="CC46" s="45" t="n">
        <v>0.89</v>
      </c>
      <c r="CD46" s="45" t="n">
        <v>0.1</v>
      </c>
      <c r="CE46" s="45" t="n">
        <v>0.08</v>
      </c>
      <c r="CF46" s="45" t="n">
        <v>0.05</v>
      </c>
      <c r="CG46" s="45" t="n">
        <v>0.11</v>
      </c>
      <c r="CH46" s="45" t="n">
        <v>7</v>
      </c>
      <c r="CI46" s="45" t="n">
        <v>6.4</v>
      </c>
      <c r="CJ46" s="23" t="n">
        <v>5.1</v>
      </c>
      <c r="CK46" s="23" t="n">
        <v>7.2</v>
      </c>
      <c r="CL46" s="23" t="n">
        <v>2.5</v>
      </c>
      <c r="CM46" s="23" t="n">
        <v>15</v>
      </c>
      <c r="CN46" s="23" t="n">
        <v>0.3</v>
      </c>
      <c r="CO46" s="23" t="n">
        <v>0.35</v>
      </c>
      <c r="CP46" s="23" t="n">
        <v>0.45</v>
      </c>
      <c r="CQ46" s="23" t="n">
        <v>0.29</v>
      </c>
      <c r="CR46" s="23" t="n">
        <v>110</v>
      </c>
      <c r="CS46" s="23" t="n">
        <v>104.5</v>
      </c>
      <c r="CT46" s="23" t="n">
        <v>98.4</v>
      </c>
      <c r="CU46" s="23" t="n">
        <v>111.4</v>
      </c>
      <c r="CV46" s="23" t="n">
        <v>4.8</v>
      </c>
      <c r="CW46" s="23" t="n">
        <v>4.4</v>
      </c>
      <c r="CX46" s="23" t="n">
        <v>3.6</v>
      </c>
      <c r="CY46" s="23" t="n">
        <v>4.9</v>
      </c>
      <c r="CZ46" s="23" t="n">
        <v>15000000</v>
      </c>
      <c r="DA46" s="23" t="n">
        <v>5160000</v>
      </c>
      <c r="DB46" s="23" t="n">
        <v>2064000</v>
      </c>
      <c r="DC46" s="23" t="n">
        <v>142746000</v>
      </c>
      <c r="DD46" s="23" t="n">
        <v>180000000</v>
      </c>
      <c r="DE46" s="23" t="n">
        <v>6967200</v>
      </c>
      <c r="DF46" s="23" t="n">
        <v>2125200</v>
      </c>
      <c r="DG46" s="23" t="n">
        <v>171532800</v>
      </c>
      <c r="DH46" s="23" t="n">
        <v>0.06</v>
      </c>
      <c r="DI46" s="23" t="n">
        <v>0.04</v>
      </c>
      <c r="DJ46" s="23" t="n">
        <v>0.03</v>
      </c>
      <c r="DK46" s="23" t="n">
        <v>0.07</v>
      </c>
      <c r="DL46" s="23"/>
      <c r="DM46" s="23"/>
    </row>
    <row r="47" customFormat="false" ht="12.8" hidden="false" customHeight="false" outlineLevel="0" collapsed="false">
      <c r="A47" s="45" t="n">
        <v>43</v>
      </c>
      <c r="B47" s="45" t="s">
        <v>246</v>
      </c>
      <c r="C47" s="45" t="s">
        <v>225</v>
      </c>
      <c r="D47" s="45" t="n">
        <v>8500</v>
      </c>
      <c r="E47" s="45" t="n">
        <v>340</v>
      </c>
      <c r="F47" s="45" t="n">
        <v>680</v>
      </c>
      <c r="G47" s="45" t="n">
        <v>7480</v>
      </c>
      <c r="H47" s="45" t="n">
        <v>0.958</v>
      </c>
      <c r="I47" s="45" t="n">
        <v>1.02</v>
      </c>
      <c r="J47" s="45" t="n">
        <v>0.92</v>
      </c>
      <c r="K47" s="45" t="n">
        <v>0.958</v>
      </c>
      <c r="L47" s="45" t="n">
        <v>0.003</v>
      </c>
      <c r="M47" s="45" t="n">
        <v>0.681</v>
      </c>
      <c r="N47" s="45" t="n">
        <v>0.712</v>
      </c>
      <c r="O47" s="45" t="n">
        <v>0.003</v>
      </c>
      <c r="P47" s="45" t="n">
        <v>0.042</v>
      </c>
      <c r="Q47" s="45" t="n">
        <v>0</v>
      </c>
      <c r="R47" s="45" t="n">
        <v>0.08</v>
      </c>
      <c r="S47" s="45" t="n">
        <v>0.042</v>
      </c>
      <c r="T47" s="45" t="n">
        <v>0.069</v>
      </c>
      <c r="U47" s="45" t="n">
        <v>0</v>
      </c>
      <c r="V47" s="45" t="n">
        <v>0.144</v>
      </c>
      <c r="W47" s="45" t="n">
        <v>0.069</v>
      </c>
      <c r="X47" s="45" t="n">
        <v>30</v>
      </c>
      <c r="Y47" s="45" t="n">
        <v>22</v>
      </c>
      <c r="Z47" s="45" t="n">
        <v>45</v>
      </c>
      <c r="AA47" s="45" t="n">
        <v>64800</v>
      </c>
      <c r="AB47" s="45" t="n">
        <v>47520</v>
      </c>
      <c r="AC47" s="45" t="n">
        <v>97200</v>
      </c>
      <c r="AD47" s="45" t="n">
        <v>27.6</v>
      </c>
      <c r="AE47" s="45" t="n">
        <v>22</v>
      </c>
      <c r="AF47" s="45" t="n">
        <v>41.4</v>
      </c>
      <c r="AG47" s="45" t="n">
        <v>59616</v>
      </c>
      <c r="AH47" s="45" t="n">
        <v>47520</v>
      </c>
      <c r="AI47" s="45" t="n">
        <v>89424</v>
      </c>
      <c r="AJ47" s="45" t="n">
        <v>24.75</v>
      </c>
      <c r="AK47" s="45" t="n">
        <v>22</v>
      </c>
      <c r="AL47" s="45" t="n">
        <v>37.13</v>
      </c>
      <c r="AM47" s="45" t="n">
        <v>53460</v>
      </c>
      <c r="AN47" s="45" t="n">
        <v>47520</v>
      </c>
      <c r="AO47" s="45" t="n">
        <v>80190</v>
      </c>
      <c r="AP47" s="45" t="n">
        <v>30.5</v>
      </c>
      <c r="AQ47" s="45" t="n">
        <v>22</v>
      </c>
      <c r="AR47" s="45" t="n">
        <v>45</v>
      </c>
      <c r="AS47" s="45" t="n">
        <v>65880</v>
      </c>
      <c r="AT47" s="45" t="n">
        <v>47520</v>
      </c>
      <c r="AU47" s="45" t="n">
        <v>97200</v>
      </c>
      <c r="AV47" s="45" t="n">
        <v>52500000</v>
      </c>
      <c r="AW47" s="45" t="n">
        <v>1806000</v>
      </c>
      <c r="AX47" s="45" t="n">
        <v>722400</v>
      </c>
      <c r="AY47" s="45" t="n">
        <v>49971600</v>
      </c>
      <c r="AZ47" s="45" t="n">
        <v>63000000</v>
      </c>
      <c r="BA47" s="45" t="n">
        <v>2440800</v>
      </c>
      <c r="BB47" s="45" t="n">
        <v>743800</v>
      </c>
      <c r="BC47" s="45" t="n">
        <v>59815400</v>
      </c>
      <c r="BD47" s="45" t="n">
        <v>2000000</v>
      </c>
      <c r="BE47" s="45" t="n">
        <v>1800000</v>
      </c>
      <c r="BF47" s="45" t="n">
        <v>0</v>
      </c>
      <c r="BG47" s="45" t="n">
        <v>200000</v>
      </c>
      <c r="BH47" s="45" t="n">
        <v>1600000</v>
      </c>
      <c r="BI47" s="45" t="n">
        <v>400000</v>
      </c>
      <c r="BJ47" s="45" t="n">
        <v>800000</v>
      </c>
      <c r="BK47" s="45" t="n">
        <v>400000</v>
      </c>
      <c r="BL47" s="45" t="n">
        <v>1200000</v>
      </c>
      <c r="BM47" s="45" t="n">
        <v>300000</v>
      </c>
      <c r="BN47" s="45" t="n">
        <v>60000</v>
      </c>
      <c r="BO47" s="45" t="n">
        <v>840000</v>
      </c>
      <c r="BP47" s="45" t="n">
        <v>8143</v>
      </c>
      <c r="BQ47" s="45" t="n">
        <v>340</v>
      </c>
      <c r="BR47" s="45" t="n">
        <v>626</v>
      </c>
      <c r="BS47" s="45" t="n">
        <v>7177</v>
      </c>
      <c r="BT47" s="45" t="n">
        <v>38</v>
      </c>
      <c r="BU47" s="45" t="n">
        <v>38.7</v>
      </c>
      <c r="BV47" s="45" t="n">
        <v>40</v>
      </c>
      <c r="BW47" s="45" t="n">
        <v>37.8</v>
      </c>
      <c r="BX47" s="45" t="n">
        <v>20</v>
      </c>
      <c r="BY47" s="45" t="n">
        <v>50</v>
      </c>
      <c r="BZ47" s="45" t="n">
        <v>0.75</v>
      </c>
      <c r="CA47" s="45" t="n">
        <v>0.78</v>
      </c>
      <c r="CB47" s="45" t="n">
        <v>0.82</v>
      </c>
      <c r="CC47" s="45" t="n">
        <v>0.74</v>
      </c>
      <c r="CD47" s="45" t="n">
        <v>0.25</v>
      </c>
      <c r="CE47" s="45" t="n">
        <v>0.22</v>
      </c>
      <c r="CF47" s="45" t="n">
        <v>0.18</v>
      </c>
      <c r="CG47" s="45" t="n">
        <v>0.26</v>
      </c>
      <c r="CH47" s="45" t="n">
        <v>4.8</v>
      </c>
      <c r="CI47" s="45" t="n">
        <v>4.3</v>
      </c>
      <c r="CJ47" s="23" t="n">
        <v>3.4</v>
      </c>
      <c r="CK47" s="23" t="n">
        <v>4.9</v>
      </c>
      <c r="CL47" s="23" t="n">
        <v>1</v>
      </c>
      <c r="CM47" s="23" t="n">
        <v>9</v>
      </c>
      <c r="CN47" s="23" t="n">
        <v>0.42</v>
      </c>
      <c r="CO47" s="23" t="n">
        <v>0.47</v>
      </c>
      <c r="CP47" s="23" t="n">
        <v>0.58</v>
      </c>
      <c r="CQ47" s="23" t="n">
        <v>0.41</v>
      </c>
      <c r="CR47" s="23" t="n">
        <v>75</v>
      </c>
      <c r="CS47" s="23" t="n">
        <v>71.25</v>
      </c>
      <c r="CT47" s="23" t="n">
        <v>67.1</v>
      </c>
      <c r="CU47" s="23" t="n">
        <v>75.9</v>
      </c>
      <c r="CV47" s="23" t="n">
        <v>3.5</v>
      </c>
      <c r="CW47" s="23" t="n">
        <v>3.2</v>
      </c>
      <c r="CX47" s="23" t="n">
        <v>2.5</v>
      </c>
      <c r="CY47" s="23" t="n">
        <v>3.6</v>
      </c>
      <c r="CZ47" s="23" t="n">
        <v>5250000</v>
      </c>
      <c r="DA47" s="23" t="n">
        <v>1806000</v>
      </c>
      <c r="DB47" s="23" t="n">
        <v>722400</v>
      </c>
      <c r="DC47" s="23" t="n">
        <v>49971600</v>
      </c>
      <c r="DD47" s="23" t="n">
        <v>63000000</v>
      </c>
      <c r="DE47" s="23" t="n">
        <v>2440800</v>
      </c>
      <c r="DF47" s="23" t="n">
        <v>743800</v>
      </c>
      <c r="DG47" s="23" t="n">
        <v>59815400</v>
      </c>
      <c r="DH47" s="23" t="n">
        <v>0.15</v>
      </c>
      <c r="DI47" s="23" t="n">
        <v>0.1</v>
      </c>
      <c r="DJ47" s="23" t="n">
        <v>0.08</v>
      </c>
      <c r="DK47" s="23" t="n">
        <v>0.16</v>
      </c>
      <c r="DL47" s="23"/>
      <c r="DM47" s="23"/>
    </row>
    <row r="48" customFormat="false" ht="12.8" hidden="false" customHeight="false" outlineLevel="0" collapsed="false">
      <c r="A48" s="45" t="n">
        <v>44</v>
      </c>
      <c r="B48" s="45" t="s">
        <v>246</v>
      </c>
      <c r="C48" s="45" t="s">
        <v>223</v>
      </c>
      <c r="D48" s="45" t="n">
        <v>34000</v>
      </c>
      <c r="E48" s="45" t="n">
        <v>1360</v>
      </c>
      <c r="F48" s="45" t="n">
        <v>2720</v>
      </c>
      <c r="G48" s="45" t="n">
        <v>29920</v>
      </c>
      <c r="H48" s="45" t="n">
        <v>0.958</v>
      </c>
      <c r="I48" s="45" t="n">
        <v>1.02</v>
      </c>
      <c r="J48" s="45" t="n">
        <v>0.92</v>
      </c>
      <c r="K48" s="45" t="n">
        <v>0.958</v>
      </c>
      <c r="L48" s="45" t="n">
        <v>0.014</v>
      </c>
      <c r="M48" s="45" t="n">
        <v>0.681</v>
      </c>
      <c r="N48" s="45" t="n">
        <v>0.712</v>
      </c>
      <c r="O48" s="45" t="n">
        <v>0.013</v>
      </c>
      <c r="P48" s="45" t="n">
        <v>0.042</v>
      </c>
      <c r="Q48" s="45" t="n">
        <v>0</v>
      </c>
      <c r="R48" s="45" t="n">
        <v>0.08</v>
      </c>
      <c r="S48" s="45" t="n">
        <v>0.042</v>
      </c>
      <c r="T48" s="45" t="n">
        <v>0.069</v>
      </c>
      <c r="U48" s="45" t="n">
        <v>0</v>
      </c>
      <c r="V48" s="45" t="n">
        <v>0.144</v>
      </c>
      <c r="W48" s="45" t="n">
        <v>0.069</v>
      </c>
      <c r="X48" s="45" t="n">
        <v>30</v>
      </c>
      <c r="Y48" s="45" t="n">
        <v>22</v>
      </c>
      <c r="Z48" s="45" t="n">
        <v>45</v>
      </c>
      <c r="AA48" s="45" t="n">
        <v>64800</v>
      </c>
      <c r="AB48" s="45" t="n">
        <v>47520</v>
      </c>
      <c r="AC48" s="45" t="n">
        <v>97200</v>
      </c>
      <c r="AD48" s="45" t="n">
        <v>27.6</v>
      </c>
      <c r="AE48" s="45" t="n">
        <v>22</v>
      </c>
      <c r="AF48" s="45" t="n">
        <v>41.4</v>
      </c>
      <c r="AG48" s="45" t="n">
        <v>59616</v>
      </c>
      <c r="AH48" s="45" t="n">
        <v>47520</v>
      </c>
      <c r="AI48" s="45" t="n">
        <v>89424</v>
      </c>
      <c r="AJ48" s="45" t="n">
        <v>24.75</v>
      </c>
      <c r="AK48" s="45" t="n">
        <v>22</v>
      </c>
      <c r="AL48" s="45" t="n">
        <v>37.13</v>
      </c>
      <c r="AM48" s="45" t="n">
        <v>53460</v>
      </c>
      <c r="AN48" s="45" t="n">
        <v>47520</v>
      </c>
      <c r="AO48" s="45" t="n">
        <v>80190</v>
      </c>
      <c r="AP48" s="45" t="n">
        <v>30.5</v>
      </c>
      <c r="AQ48" s="45" t="n">
        <v>22</v>
      </c>
      <c r="AR48" s="45" t="n">
        <v>45</v>
      </c>
      <c r="AS48" s="45" t="n">
        <v>65880</v>
      </c>
      <c r="AT48" s="45" t="n">
        <v>47520</v>
      </c>
      <c r="AU48" s="45" t="n">
        <v>97200</v>
      </c>
      <c r="AV48" s="45" t="n">
        <v>210000000</v>
      </c>
      <c r="AW48" s="45" t="n">
        <v>7224000</v>
      </c>
      <c r="AX48" s="45" t="n">
        <v>2889600</v>
      </c>
      <c r="AY48" s="45" t="n">
        <v>199886400</v>
      </c>
      <c r="AZ48" s="45" t="n">
        <v>252000000</v>
      </c>
      <c r="BA48" s="45" t="n">
        <v>9763200</v>
      </c>
      <c r="BB48" s="45" t="n">
        <v>2975200</v>
      </c>
      <c r="BC48" s="45" t="n">
        <v>239261600</v>
      </c>
      <c r="BD48" s="45" t="n">
        <v>8000000</v>
      </c>
      <c r="BE48" s="45" t="n">
        <v>7200000</v>
      </c>
      <c r="BF48" s="45" t="n">
        <v>0</v>
      </c>
      <c r="BG48" s="45" t="n">
        <v>800000</v>
      </c>
      <c r="BH48" s="45" t="n">
        <v>6400000</v>
      </c>
      <c r="BI48" s="45" t="n">
        <v>1600000</v>
      </c>
      <c r="BJ48" s="45" t="n">
        <v>3200000</v>
      </c>
      <c r="BK48" s="45" t="n">
        <v>1600000</v>
      </c>
      <c r="BL48" s="45" t="n">
        <v>4800000</v>
      </c>
      <c r="BM48" s="45" t="n">
        <v>1200000</v>
      </c>
      <c r="BN48" s="45" t="n">
        <v>240000</v>
      </c>
      <c r="BO48" s="45" t="n">
        <v>3360000</v>
      </c>
      <c r="BP48" s="45" t="n">
        <v>32572</v>
      </c>
      <c r="BQ48" s="45" t="n">
        <v>1360</v>
      </c>
      <c r="BR48" s="45" t="n">
        <v>2502</v>
      </c>
      <c r="BS48" s="45" t="n">
        <v>28710</v>
      </c>
      <c r="BT48" s="45" t="n">
        <v>38</v>
      </c>
      <c r="BU48" s="45" t="n">
        <v>38.7</v>
      </c>
      <c r="BV48" s="45" t="n">
        <v>40</v>
      </c>
      <c r="BW48" s="45" t="n">
        <v>37.8</v>
      </c>
      <c r="BX48" s="45" t="n">
        <v>20</v>
      </c>
      <c r="BY48" s="45" t="n">
        <v>50</v>
      </c>
      <c r="BZ48" s="45" t="n">
        <v>0.75</v>
      </c>
      <c r="CA48" s="45" t="n">
        <v>0.78</v>
      </c>
      <c r="CB48" s="45" t="n">
        <v>0.82</v>
      </c>
      <c r="CC48" s="45" t="n">
        <v>0.74</v>
      </c>
      <c r="CD48" s="45" t="n">
        <v>0.25</v>
      </c>
      <c r="CE48" s="45" t="n">
        <v>0.22</v>
      </c>
      <c r="CF48" s="45" t="n">
        <v>0.18</v>
      </c>
      <c r="CG48" s="45" t="n">
        <v>0.26</v>
      </c>
      <c r="CH48" s="45" t="n">
        <v>4.8</v>
      </c>
      <c r="CI48" s="45" t="n">
        <v>4.3</v>
      </c>
      <c r="CJ48" s="23" t="n">
        <v>3.4</v>
      </c>
      <c r="CK48" s="23" t="n">
        <v>4.9</v>
      </c>
      <c r="CL48" s="23" t="n">
        <v>1</v>
      </c>
      <c r="CM48" s="23" t="n">
        <v>9</v>
      </c>
      <c r="CN48" s="23" t="n">
        <v>0.42</v>
      </c>
      <c r="CO48" s="23" t="n">
        <v>0.47</v>
      </c>
      <c r="CP48" s="23" t="n">
        <v>0.58</v>
      </c>
      <c r="CQ48" s="23" t="n">
        <v>0.41</v>
      </c>
      <c r="CR48" s="23" t="n">
        <v>75</v>
      </c>
      <c r="CS48" s="23" t="n">
        <v>71.25</v>
      </c>
      <c r="CT48" s="23" t="n">
        <v>67.1</v>
      </c>
      <c r="CU48" s="23" t="n">
        <v>75.9</v>
      </c>
      <c r="CV48" s="23" t="n">
        <v>3.5</v>
      </c>
      <c r="CW48" s="23" t="n">
        <v>3.2</v>
      </c>
      <c r="CX48" s="23" t="n">
        <v>2.5</v>
      </c>
      <c r="CY48" s="23" t="n">
        <v>3.6</v>
      </c>
      <c r="CZ48" s="23" t="n">
        <v>21000000</v>
      </c>
      <c r="DA48" s="23" t="n">
        <v>7224000</v>
      </c>
      <c r="DB48" s="23" t="n">
        <v>2889600</v>
      </c>
      <c r="DC48" s="23" t="n">
        <v>199886400</v>
      </c>
      <c r="DD48" s="23" t="n">
        <v>252000000</v>
      </c>
      <c r="DE48" s="23" t="n">
        <v>9763200</v>
      </c>
      <c r="DF48" s="23" t="n">
        <v>2975200</v>
      </c>
      <c r="DG48" s="23" t="n">
        <v>239261600</v>
      </c>
      <c r="DH48" s="23" t="n">
        <v>0.15</v>
      </c>
      <c r="DI48" s="23" t="n">
        <v>0.1</v>
      </c>
      <c r="DJ48" s="23" t="n">
        <v>0.08</v>
      </c>
      <c r="DK48" s="23" t="n">
        <v>0.16</v>
      </c>
      <c r="DL48" s="23"/>
      <c r="DM48" s="23"/>
    </row>
    <row r="49" customFormat="false" ht="12.8" hidden="false" customHeight="false" outlineLevel="0" collapsed="false">
      <c r="A49" s="45" t="n">
        <v>45</v>
      </c>
      <c r="B49" s="45" t="s">
        <v>247</v>
      </c>
      <c r="C49" s="45" t="s">
        <v>225</v>
      </c>
      <c r="D49" s="45" t="n">
        <v>4250</v>
      </c>
      <c r="E49" s="45" t="n">
        <v>170</v>
      </c>
      <c r="F49" s="45" t="n">
        <v>340</v>
      </c>
      <c r="G49" s="45" t="n">
        <v>3740</v>
      </c>
      <c r="H49" s="45" t="n">
        <v>0.958</v>
      </c>
      <c r="I49" s="45" t="n">
        <v>0.98</v>
      </c>
      <c r="J49" s="45" t="n">
        <v>0.85</v>
      </c>
      <c r="K49" s="45" t="n">
        <v>0.958</v>
      </c>
      <c r="L49" s="45" t="n">
        <v>0.002</v>
      </c>
      <c r="M49" s="45" t="n">
        <v>0.619</v>
      </c>
      <c r="N49" s="45" t="n">
        <v>0.678</v>
      </c>
      <c r="O49" s="45" t="n">
        <v>0.002</v>
      </c>
      <c r="P49" s="45" t="n">
        <v>0.042</v>
      </c>
      <c r="Q49" s="45" t="n">
        <v>0.02</v>
      </c>
      <c r="R49" s="45" t="n">
        <v>0.15</v>
      </c>
      <c r="S49" s="45" t="n">
        <v>0.042</v>
      </c>
      <c r="T49" s="45" t="n">
        <v>0.069</v>
      </c>
      <c r="U49" s="45" t="n">
        <v>0.033</v>
      </c>
      <c r="V49" s="45" t="n">
        <v>0.27</v>
      </c>
      <c r="W49" s="45" t="n">
        <v>0.069</v>
      </c>
      <c r="X49" s="45" t="n">
        <v>28</v>
      </c>
      <c r="Y49" s="45" t="n">
        <v>20</v>
      </c>
      <c r="Z49" s="45" t="n">
        <v>40</v>
      </c>
      <c r="AA49" s="45" t="n">
        <v>60480</v>
      </c>
      <c r="AB49" s="45" t="n">
        <v>43200</v>
      </c>
      <c r="AC49" s="45" t="n">
        <v>90720</v>
      </c>
      <c r="AD49" s="45" t="n">
        <v>25.75</v>
      </c>
      <c r="AE49" s="45" t="n">
        <v>20</v>
      </c>
      <c r="AF49" s="45" t="n">
        <v>38.63</v>
      </c>
      <c r="AG49" s="45" t="n">
        <v>55620</v>
      </c>
      <c r="AH49" s="45" t="n">
        <v>43200</v>
      </c>
      <c r="AI49" s="45" t="n">
        <v>83430</v>
      </c>
      <c r="AJ49" s="45" t="n">
        <v>23</v>
      </c>
      <c r="AK49" s="45" t="n">
        <v>20</v>
      </c>
      <c r="AL49" s="45" t="n">
        <v>34.5</v>
      </c>
      <c r="AM49" s="45" t="n">
        <v>49680</v>
      </c>
      <c r="AN49" s="45" t="n">
        <v>43200</v>
      </c>
      <c r="AO49" s="45" t="n">
        <v>74520</v>
      </c>
      <c r="AP49" s="45" t="n">
        <v>28.5</v>
      </c>
      <c r="AQ49" s="45" t="n">
        <v>20</v>
      </c>
      <c r="AR49" s="45" t="n">
        <v>40</v>
      </c>
      <c r="AS49" s="45" t="n">
        <v>61560</v>
      </c>
      <c r="AT49" s="45" t="n">
        <v>43200</v>
      </c>
      <c r="AU49" s="45" t="n">
        <v>90720</v>
      </c>
      <c r="AV49" s="45" t="n">
        <v>25000000</v>
      </c>
      <c r="AW49" s="45" t="n">
        <v>860000</v>
      </c>
      <c r="AX49" s="45" t="n">
        <v>344000</v>
      </c>
      <c r="AY49" s="45" t="n">
        <v>23786400</v>
      </c>
      <c r="AZ49" s="45" t="n">
        <v>30000000</v>
      </c>
      <c r="BA49" s="45" t="n">
        <v>1035000</v>
      </c>
      <c r="BB49" s="45" t="n">
        <v>316000</v>
      </c>
      <c r="BC49" s="45" t="n">
        <v>28649000</v>
      </c>
      <c r="BD49" s="45" t="n">
        <v>1000000</v>
      </c>
      <c r="BE49" s="45" t="n">
        <v>900000</v>
      </c>
      <c r="BF49" s="45" t="n">
        <v>0</v>
      </c>
      <c r="BG49" s="45" t="n">
        <v>100000</v>
      </c>
      <c r="BH49" s="45" t="n">
        <v>800000</v>
      </c>
      <c r="BI49" s="45" t="n">
        <v>200000</v>
      </c>
      <c r="BJ49" s="45" t="n">
        <v>400000</v>
      </c>
      <c r="BK49" s="45" t="n">
        <v>200000</v>
      </c>
      <c r="BL49" s="45" t="n">
        <v>600000</v>
      </c>
      <c r="BM49" s="45" t="n">
        <v>150000</v>
      </c>
      <c r="BN49" s="45" t="n">
        <v>30000</v>
      </c>
      <c r="BO49" s="45" t="n">
        <v>420000</v>
      </c>
      <c r="BP49" s="45" t="n">
        <v>4072</v>
      </c>
      <c r="BQ49" s="45" t="n">
        <v>170</v>
      </c>
      <c r="BR49" s="45" t="n">
        <v>289</v>
      </c>
      <c r="BS49" s="45" t="n">
        <v>3613</v>
      </c>
      <c r="BT49" s="45" t="n">
        <v>38</v>
      </c>
      <c r="BU49" s="45" t="n">
        <v>38.7</v>
      </c>
      <c r="BV49" s="45" t="n">
        <v>40</v>
      </c>
      <c r="BW49" s="45" t="n">
        <v>37.8</v>
      </c>
      <c r="BX49" s="45" t="n">
        <v>20</v>
      </c>
      <c r="BY49" s="45" t="n">
        <v>50</v>
      </c>
      <c r="BZ49" s="45" t="n">
        <v>0.65</v>
      </c>
      <c r="CA49" s="45" t="n">
        <v>0.68</v>
      </c>
      <c r="CB49" s="45" t="n">
        <v>0.75</v>
      </c>
      <c r="CC49" s="45" t="n">
        <v>0.64</v>
      </c>
      <c r="CD49" s="45" t="n">
        <v>0.35</v>
      </c>
      <c r="CE49" s="45" t="n">
        <v>0.32</v>
      </c>
      <c r="CF49" s="45" t="n">
        <v>0.25</v>
      </c>
      <c r="CG49" s="45" t="n">
        <v>0.36</v>
      </c>
      <c r="CH49" s="45" t="n">
        <v>4.2</v>
      </c>
      <c r="CI49" s="45" t="n">
        <v>3.8</v>
      </c>
      <c r="CJ49" s="23" t="n">
        <v>3</v>
      </c>
      <c r="CK49" s="23" t="n">
        <v>4.3</v>
      </c>
      <c r="CL49" s="23" t="n">
        <v>0.8</v>
      </c>
      <c r="CM49" s="23" t="n">
        <v>8</v>
      </c>
      <c r="CN49" s="23" t="n">
        <v>0.55</v>
      </c>
      <c r="CO49" s="23" t="n">
        <v>0.6</v>
      </c>
      <c r="CP49" s="23" t="n">
        <v>0.72</v>
      </c>
      <c r="CQ49" s="23" t="n">
        <v>0.54</v>
      </c>
      <c r="CR49" s="23" t="n">
        <v>65</v>
      </c>
      <c r="CS49" s="23" t="n">
        <v>61.75</v>
      </c>
      <c r="CT49" s="23" t="n">
        <v>58.2</v>
      </c>
      <c r="CU49" s="23" t="n">
        <v>65.9</v>
      </c>
      <c r="CV49" s="23" t="n">
        <v>3.2</v>
      </c>
      <c r="CW49" s="23" t="n">
        <v>2.9</v>
      </c>
      <c r="CX49" s="23" t="n">
        <v>2.3</v>
      </c>
      <c r="CY49" s="23" t="n">
        <v>3.3</v>
      </c>
      <c r="CZ49" s="23" t="n">
        <v>2500000</v>
      </c>
      <c r="DA49" s="23" t="n">
        <v>860000</v>
      </c>
      <c r="DB49" s="23" t="n">
        <v>344000</v>
      </c>
      <c r="DC49" s="23" t="n">
        <v>2378640</v>
      </c>
      <c r="DD49" s="23" t="n">
        <v>30000000</v>
      </c>
      <c r="DE49" s="23" t="n">
        <v>1035000</v>
      </c>
      <c r="DF49" s="23" t="n">
        <v>316000</v>
      </c>
      <c r="DG49" s="23" t="n">
        <v>28649000</v>
      </c>
      <c r="DH49" s="23" t="n">
        <v>0.18</v>
      </c>
      <c r="DI49" s="23" t="n">
        <v>0.13</v>
      </c>
      <c r="DJ49" s="23" t="n">
        <v>0.1</v>
      </c>
      <c r="DK49" s="23" t="n">
        <v>0.19</v>
      </c>
      <c r="DL49" s="23"/>
      <c r="DM49" s="23"/>
    </row>
    <row r="50" customFormat="false" ht="12.8" hidden="false" customHeight="false" outlineLevel="0" collapsed="false">
      <c r="A50" s="45" t="n">
        <v>46</v>
      </c>
      <c r="B50" s="45" t="s">
        <v>247</v>
      </c>
      <c r="C50" s="45" t="s">
        <v>223</v>
      </c>
      <c r="D50" s="45" t="n">
        <v>17000</v>
      </c>
      <c r="E50" s="45" t="n">
        <v>680</v>
      </c>
      <c r="F50" s="45" t="n">
        <v>1360</v>
      </c>
      <c r="G50" s="45" t="n">
        <v>14960</v>
      </c>
      <c r="H50" s="45" t="n">
        <v>0.958</v>
      </c>
      <c r="I50" s="45" t="n">
        <v>0.98</v>
      </c>
      <c r="J50" s="45" t="n">
        <v>0.85</v>
      </c>
      <c r="K50" s="45" t="n">
        <v>0.958</v>
      </c>
      <c r="L50" s="45" t="n">
        <v>0.007</v>
      </c>
      <c r="M50" s="45" t="n">
        <v>0.619</v>
      </c>
      <c r="N50" s="45" t="n">
        <v>0.678</v>
      </c>
      <c r="O50" s="45" t="n">
        <v>0.007</v>
      </c>
      <c r="P50" s="45" t="n">
        <v>0.042</v>
      </c>
      <c r="Q50" s="45" t="n">
        <v>0.02</v>
      </c>
      <c r="R50" s="45" t="n">
        <v>0.15</v>
      </c>
      <c r="S50" s="45" t="n">
        <v>0.042</v>
      </c>
      <c r="T50" s="45" t="n">
        <v>0.069</v>
      </c>
      <c r="U50" s="45" t="n">
        <v>0.033</v>
      </c>
      <c r="V50" s="45" t="n">
        <v>0.27</v>
      </c>
      <c r="W50" s="45" t="n">
        <v>0.069</v>
      </c>
      <c r="X50" s="45" t="n">
        <v>28</v>
      </c>
      <c r="Y50" s="45" t="n">
        <v>20</v>
      </c>
      <c r="Z50" s="45" t="n">
        <v>40</v>
      </c>
      <c r="AA50" s="45" t="n">
        <v>60480</v>
      </c>
      <c r="AB50" s="45" t="n">
        <v>43200</v>
      </c>
      <c r="AC50" s="45" t="n">
        <v>90720</v>
      </c>
      <c r="AD50" s="45" t="n">
        <v>25.75</v>
      </c>
      <c r="AE50" s="45" t="n">
        <v>20</v>
      </c>
      <c r="AF50" s="45" t="n">
        <v>38.63</v>
      </c>
      <c r="AG50" s="45" t="n">
        <v>55620</v>
      </c>
      <c r="AH50" s="45" t="n">
        <v>43200</v>
      </c>
      <c r="AI50" s="45" t="n">
        <v>83430</v>
      </c>
      <c r="AJ50" s="45" t="n">
        <v>23</v>
      </c>
      <c r="AK50" s="45" t="n">
        <v>20</v>
      </c>
      <c r="AL50" s="45" t="n">
        <v>34.5</v>
      </c>
      <c r="AM50" s="45" t="n">
        <v>49680</v>
      </c>
      <c r="AN50" s="45" t="n">
        <v>43200</v>
      </c>
      <c r="AO50" s="45" t="n">
        <v>74520</v>
      </c>
      <c r="AP50" s="45" t="n">
        <v>28.5</v>
      </c>
      <c r="AQ50" s="45" t="n">
        <v>20</v>
      </c>
      <c r="AR50" s="45" t="n">
        <v>40</v>
      </c>
      <c r="AS50" s="45" t="n">
        <v>61560</v>
      </c>
      <c r="AT50" s="45" t="n">
        <v>43200</v>
      </c>
      <c r="AU50" s="45" t="n">
        <v>90720</v>
      </c>
      <c r="AV50" s="45" t="n">
        <v>100000000</v>
      </c>
      <c r="AW50" s="45" t="n">
        <v>3440000</v>
      </c>
      <c r="AX50" s="45" t="n">
        <v>1376000</v>
      </c>
      <c r="AY50" s="45" t="n">
        <v>95145600</v>
      </c>
      <c r="AZ50" s="45" t="n">
        <v>120000000</v>
      </c>
      <c r="BA50" s="45" t="n">
        <v>4140000</v>
      </c>
      <c r="BB50" s="45" t="n">
        <v>1264000</v>
      </c>
      <c r="BC50" s="45" t="n">
        <v>114596000</v>
      </c>
      <c r="BD50" s="45" t="n">
        <v>4000000</v>
      </c>
      <c r="BE50" s="45" t="n">
        <v>3600000</v>
      </c>
      <c r="BF50" s="45" t="n">
        <v>0</v>
      </c>
      <c r="BG50" s="45" t="n">
        <v>400000</v>
      </c>
      <c r="BH50" s="45" t="n">
        <v>3200000</v>
      </c>
      <c r="BI50" s="45" t="n">
        <v>800000</v>
      </c>
      <c r="BJ50" s="45" t="n">
        <v>1600000</v>
      </c>
      <c r="BK50" s="45" t="n">
        <v>800000</v>
      </c>
      <c r="BL50" s="45" t="n">
        <v>2400000</v>
      </c>
      <c r="BM50" s="45" t="n">
        <v>600000</v>
      </c>
      <c r="BN50" s="45" t="n">
        <v>120000</v>
      </c>
      <c r="BO50" s="45" t="n">
        <v>1680000</v>
      </c>
      <c r="BP50" s="45" t="n">
        <v>16286</v>
      </c>
      <c r="BQ50" s="45" t="n">
        <v>680</v>
      </c>
      <c r="BR50" s="45" t="n">
        <v>1156</v>
      </c>
      <c r="BS50" s="45" t="n">
        <v>14450</v>
      </c>
      <c r="BT50" s="45" t="n">
        <v>38</v>
      </c>
      <c r="BU50" s="45" t="n">
        <v>38.7</v>
      </c>
      <c r="BV50" s="45" t="n">
        <v>40</v>
      </c>
      <c r="BW50" s="45" t="n">
        <v>37.8</v>
      </c>
      <c r="BX50" s="45" t="n">
        <v>20</v>
      </c>
      <c r="BY50" s="45" t="n">
        <v>50</v>
      </c>
      <c r="BZ50" s="45" t="n">
        <v>0.65</v>
      </c>
      <c r="CA50" s="45" t="n">
        <v>0.68</v>
      </c>
      <c r="CB50" s="45" t="n">
        <v>0.75</v>
      </c>
      <c r="CC50" s="45" t="n">
        <v>0.64</v>
      </c>
      <c r="CD50" s="45" t="n">
        <v>0.35</v>
      </c>
      <c r="CE50" s="45" t="n">
        <v>0.32</v>
      </c>
      <c r="CF50" s="45" t="n">
        <v>0.25</v>
      </c>
      <c r="CG50" s="45" t="n">
        <v>0.36</v>
      </c>
      <c r="CH50" s="45" t="n">
        <v>4.2</v>
      </c>
      <c r="CI50" s="45" t="n">
        <v>3.8</v>
      </c>
      <c r="CJ50" s="23" t="n">
        <v>3</v>
      </c>
      <c r="CK50" s="23" t="n">
        <v>4.3</v>
      </c>
      <c r="CL50" s="23" t="n">
        <v>0.8</v>
      </c>
      <c r="CM50" s="23" t="n">
        <v>8</v>
      </c>
      <c r="CN50" s="23" t="n">
        <v>0.55</v>
      </c>
      <c r="CO50" s="23" t="n">
        <v>0.6</v>
      </c>
      <c r="CP50" s="23" t="n">
        <v>0.72</v>
      </c>
      <c r="CQ50" s="23" t="n">
        <v>0.54</v>
      </c>
      <c r="CR50" s="23" t="n">
        <v>65</v>
      </c>
      <c r="CS50" s="23" t="n">
        <v>61.75</v>
      </c>
      <c r="CT50" s="23" t="n">
        <v>58.2</v>
      </c>
      <c r="CU50" s="23" t="n">
        <v>65.9</v>
      </c>
      <c r="CV50" s="23" t="n">
        <v>3.2</v>
      </c>
      <c r="CW50" s="23" t="n">
        <v>2.9</v>
      </c>
      <c r="CX50" s="23" t="n">
        <v>2.3</v>
      </c>
      <c r="CY50" s="23" t="n">
        <v>3.3</v>
      </c>
      <c r="CZ50" s="23" t="n">
        <v>10000000</v>
      </c>
      <c r="DA50" s="23" t="n">
        <v>3440000</v>
      </c>
      <c r="DB50" s="23" t="n">
        <v>1376000</v>
      </c>
      <c r="DC50" s="23" t="n">
        <v>95145600</v>
      </c>
      <c r="DD50" s="23" t="n">
        <v>120000000</v>
      </c>
      <c r="DE50" s="23" t="n">
        <v>4140000</v>
      </c>
      <c r="DF50" s="23" t="n">
        <v>1264000</v>
      </c>
      <c r="DG50" s="23" t="n">
        <v>114596000</v>
      </c>
      <c r="DH50" s="23" t="n">
        <v>0.18</v>
      </c>
      <c r="DI50" s="23" t="n">
        <v>0.13</v>
      </c>
      <c r="DJ50" s="23" t="n">
        <v>0.1</v>
      </c>
      <c r="DK50" s="23" t="n">
        <v>0.19</v>
      </c>
      <c r="DL50" s="23"/>
      <c r="DM50" s="23"/>
    </row>
    <row r="51" customFormat="false" ht="12.8" hidden="false" customHeight="false" outlineLevel="0" collapsed="false">
      <c r="A51" s="45" t="n">
        <v>47</v>
      </c>
      <c r="B51" s="45" t="s">
        <v>248</v>
      </c>
      <c r="C51" s="45" t="s">
        <v>225</v>
      </c>
      <c r="D51" s="45" t="n">
        <v>10625</v>
      </c>
      <c r="E51" s="45" t="n">
        <v>425</v>
      </c>
      <c r="F51" s="45" t="n">
        <v>850</v>
      </c>
      <c r="G51" s="45" t="n">
        <v>9350</v>
      </c>
      <c r="H51" s="45" t="n">
        <v>0.958</v>
      </c>
      <c r="I51" s="45" t="n">
        <v>0.98</v>
      </c>
      <c r="J51" s="45" t="n">
        <v>0.85</v>
      </c>
      <c r="K51" s="45" t="n">
        <v>0.958</v>
      </c>
      <c r="L51" s="45" t="n">
        <v>0.004</v>
      </c>
      <c r="M51" s="45" t="n">
        <v>0.619</v>
      </c>
      <c r="N51" s="45" t="n">
        <v>0.678</v>
      </c>
      <c r="O51" s="45" t="n">
        <v>0.004</v>
      </c>
      <c r="P51" s="45" t="n">
        <v>0.042</v>
      </c>
      <c r="Q51" s="45" t="n">
        <v>0.02</v>
      </c>
      <c r="R51" s="45" t="n">
        <v>0.163</v>
      </c>
      <c r="S51" s="45" t="n">
        <v>0.042</v>
      </c>
      <c r="T51" s="45" t="n">
        <v>0.069</v>
      </c>
      <c r="U51" s="45" t="n">
        <v>0.033</v>
      </c>
      <c r="V51" s="45" t="n">
        <v>0.295</v>
      </c>
      <c r="W51" s="45" t="n">
        <v>0.069</v>
      </c>
      <c r="X51" s="45" t="n">
        <v>22</v>
      </c>
      <c r="Y51" s="45" t="n">
        <v>15</v>
      </c>
      <c r="Z51" s="45" t="n">
        <v>32</v>
      </c>
      <c r="AA51" s="45" t="n">
        <v>47520</v>
      </c>
      <c r="AB51" s="45" t="n">
        <v>32400</v>
      </c>
      <c r="AC51" s="45" t="n">
        <v>69120</v>
      </c>
      <c r="AD51" s="45" t="n">
        <v>20.25</v>
      </c>
      <c r="AE51" s="45" t="n">
        <v>15</v>
      </c>
      <c r="AF51" s="45" t="n">
        <v>30.38</v>
      </c>
      <c r="AG51" s="45" t="n">
        <v>43740</v>
      </c>
      <c r="AH51" s="45" t="n">
        <v>32400</v>
      </c>
      <c r="AI51" s="45" t="n">
        <v>65610</v>
      </c>
      <c r="AJ51" s="45" t="n">
        <v>18</v>
      </c>
      <c r="AK51" s="45" t="n">
        <v>15</v>
      </c>
      <c r="AL51" s="45" t="n">
        <v>27</v>
      </c>
      <c r="AM51" s="45" t="n">
        <v>38880</v>
      </c>
      <c r="AN51" s="45" t="n">
        <v>32400</v>
      </c>
      <c r="AO51" s="45" t="n">
        <v>58320</v>
      </c>
      <c r="AP51" s="45" t="n">
        <v>22.5</v>
      </c>
      <c r="AQ51" s="45" t="n">
        <v>15</v>
      </c>
      <c r="AR51" s="45" t="n">
        <v>32</v>
      </c>
      <c r="AS51" s="45" t="n">
        <v>48600</v>
      </c>
      <c r="AT51" s="45" t="n">
        <v>32400</v>
      </c>
      <c r="AU51" s="45" t="n">
        <v>69120</v>
      </c>
      <c r="AV51" s="45" t="n">
        <v>47500000</v>
      </c>
      <c r="AW51" s="45" t="n">
        <v>1634000</v>
      </c>
      <c r="AX51" s="45" t="n">
        <v>653600</v>
      </c>
      <c r="AY51" s="45" t="n">
        <v>45315400</v>
      </c>
      <c r="AZ51" s="45" t="n">
        <v>57000000</v>
      </c>
      <c r="BA51" s="45" t="n">
        <v>2199600</v>
      </c>
      <c r="BB51" s="45" t="n">
        <v>670800</v>
      </c>
      <c r="BC51" s="45" t="n">
        <v>54379600</v>
      </c>
      <c r="BD51" s="45" t="n">
        <v>2500000</v>
      </c>
      <c r="BE51" s="45" t="n">
        <v>2250000</v>
      </c>
      <c r="BF51" s="45" t="n">
        <v>0</v>
      </c>
      <c r="BG51" s="45" t="n">
        <v>250000</v>
      </c>
      <c r="BH51" s="45" t="n">
        <v>2000000</v>
      </c>
      <c r="BI51" s="45" t="n">
        <v>500000</v>
      </c>
      <c r="BJ51" s="45" t="n">
        <v>1000000</v>
      </c>
      <c r="BK51" s="45" t="n">
        <v>500000</v>
      </c>
      <c r="BL51" s="45" t="n">
        <v>1500000</v>
      </c>
      <c r="BM51" s="45" t="n">
        <v>375000</v>
      </c>
      <c r="BN51" s="45" t="n">
        <v>75000</v>
      </c>
      <c r="BO51" s="45" t="n">
        <v>1050000</v>
      </c>
      <c r="BP51" s="45" t="n">
        <v>10188</v>
      </c>
      <c r="BQ51" s="45" t="n">
        <v>425</v>
      </c>
      <c r="BR51" s="45" t="n">
        <v>723</v>
      </c>
      <c r="BS51" s="45" t="n">
        <v>9040</v>
      </c>
      <c r="BT51" s="45" t="n">
        <v>30</v>
      </c>
      <c r="BU51" s="45" t="n">
        <v>30.6</v>
      </c>
      <c r="BV51" s="45" t="n">
        <v>31.5</v>
      </c>
      <c r="BW51" s="45" t="n">
        <v>29.8</v>
      </c>
      <c r="BX51" s="45" t="n">
        <v>15</v>
      </c>
      <c r="BY51" s="45" t="n">
        <v>45</v>
      </c>
      <c r="BZ51" s="45" t="n">
        <v>0.55</v>
      </c>
      <c r="CA51" s="45" t="n">
        <v>0.58</v>
      </c>
      <c r="CB51" s="45" t="n">
        <v>0.65</v>
      </c>
      <c r="CC51" s="45" t="n">
        <v>0.54</v>
      </c>
      <c r="CD51" s="45" t="n">
        <v>0.45</v>
      </c>
      <c r="CE51" s="45" t="n">
        <v>0.42</v>
      </c>
      <c r="CF51" s="45" t="n">
        <v>0.35</v>
      </c>
      <c r="CG51" s="45" t="n">
        <v>0.46</v>
      </c>
      <c r="CH51" s="45" t="n">
        <v>3.5</v>
      </c>
      <c r="CI51" s="45" t="n">
        <v>3.2</v>
      </c>
      <c r="CJ51" s="23" t="n">
        <v>2.5</v>
      </c>
      <c r="CK51" s="23" t="n">
        <v>3.6</v>
      </c>
      <c r="CL51" s="23" t="n">
        <v>0.8</v>
      </c>
      <c r="CM51" s="23" t="n">
        <v>8</v>
      </c>
      <c r="CN51" s="23" t="n">
        <v>0.6</v>
      </c>
      <c r="CO51" s="23" t="n">
        <v>0.65</v>
      </c>
      <c r="CP51" s="23" t="n">
        <v>0.78</v>
      </c>
      <c r="CQ51" s="23" t="n">
        <v>0.59</v>
      </c>
      <c r="CR51" s="23" t="n">
        <v>55</v>
      </c>
      <c r="CS51" s="23" t="n">
        <v>52.25</v>
      </c>
      <c r="CT51" s="23" t="n">
        <v>49.2</v>
      </c>
      <c r="CU51" s="23" t="n">
        <v>55.9</v>
      </c>
      <c r="CV51" s="23" t="n">
        <v>2.8</v>
      </c>
      <c r="CW51" s="23" t="n">
        <v>2.5</v>
      </c>
      <c r="CX51" s="23" t="n">
        <v>2</v>
      </c>
      <c r="CY51" s="23" t="n">
        <v>2.9</v>
      </c>
      <c r="CZ51" s="23" t="n">
        <v>4750000</v>
      </c>
      <c r="DA51" s="23" t="n">
        <v>1634000</v>
      </c>
      <c r="DB51" s="23" t="n">
        <v>653600</v>
      </c>
      <c r="DC51" s="23" t="n">
        <v>4531540</v>
      </c>
      <c r="DD51" s="23" t="n">
        <v>57000000</v>
      </c>
      <c r="DE51" s="23" t="n">
        <v>2199600</v>
      </c>
      <c r="DF51" s="23" t="n">
        <v>670800</v>
      </c>
      <c r="DG51" s="23" t="n">
        <v>54379600</v>
      </c>
      <c r="DH51" s="23" t="n">
        <v>0.22</v>
      </c>
      <c r="DI51" s="23" t="n">
        <v>0.16</v>
      </c>
      <c r="DJ51" s="23" t="n">
        <v>0.13</v>
      </c>
      <c r="DK51" s="23" t="n">
        <v>0.23</v>
      </c>
      <c r="DL51" s="23"/>
      <c r="DM51" s="23"/>
    </row>
    <row r="52" customFormat="false" ht="12.8" hidden="false" customHeight="false" outlineLevel="0" collapsed="false">
      <c r="A52" s="45" t="n">
        <v>48</v>
      </c>
      <c r="B52" s="45" t="s">
        <v>248</v>
      </c>
      <c r="C52" s="45" t="s">
        <v>223</v>
      </c>
      <c r="D52" s="45" t="n">
        <v>42500</v>
      </c>
      <c r="E52" s="45" t="n">
        <v>1700</v>
      </c>
      <c r="F52" s="45" t="n">
        <v>3400</v>
      </c>
      <c r="G52" s="45" t="n">
        <v>37400</v>
      </c>
      <c r="H52" s="45" t="n">
        <v>0.958</v>
      </c>
      <c r="I52" s="45" t="n">
        <v>0.98</v>
      </c>
      <c r="J52" s="45" t="n">
        <v>0.85</v>
      </c>
      <c r="K52" s="45" t="n">
        <v>0.958</v>
      </c>
      <c r="L52" s="45" t="n">
        <v>0.017</v>
      </c>
      <c r="M52" s="45" t="n">
        <v>0.619</v>
      </c>
      <c r="N52" s="45" t="n">
        <v>0.678</v>
      </c>
      <c r="O52" s="45" t="n">
        <v>0.016</v>
      </c>
      <c r="P52" s="45" t="n">
        <v>0.042</v>
      </c>
      <c r="Q52" s="45" t="n">
        <v>0.02</v>
      </c>
      <c r="R52" s="45" t="n">
        <v>0.163</v>
      </c>
      <c r="S52" s="45" t="n">
        <v>0.042</v>
      </c>
      <c r="T52" s="45" t="n">
        <v>0.069</v>
      </c>
      <c r="U52" s="45" t="n">
        <v>0.033</v>
      </c>
      <c r="V52" s="45" t="n">
        <v>0.295</v>
      </c>
      <c r="W52" s="45" t="n">
        <v>0.069</v>
      </c>
      <c r="X52" s="45" t="n">
        <v>22</v>
      </c>
      <c r="Y52" s="45" t="n">
        <v>15</v>
      </c>
      <c r="Z52" s="45" t="n">
        <v>32</v>
      </c>
      <c r="AA52" s="45" t="n">
        <v>47520</v>
      </c>
      <c r="AB52" s="45" t="n">
        <v>32400</v>
      </c>
      <c r="AC52" s="45" t="n">
        <v>69120</v>
      </c>
      <c r="AD52" s="45" t="n">
        <v>20.25</v>
      </c>
      <c r="AE52" s="45" t="n">
        <v>15</v>
      </c>
      <c r="AF52" s="45" t="n">
        <v>30.38</v>
      </c>
      <c r="AG52" s="45" t="n">
        <v>43740</v>
      </c>
      <c r="AH52" s="45" t="n">
        <v>32400</v>
      </c>
      <c r="AI52" s="45" t="n">
        <v>65610</v>
      </c>
      <c r="AJ52" s="45" t="n">
        <v>18</v>
      </c>
      <c r="AK52" s="45" t="n">
        <v>15</v>
      </c>
      <c r="AL52" s="45" t="n">
        <v>27</v>
      </c>
      <c r="AM52" s="45" t="n">
        <v>38880</v>
      </c>
      <c r="AN52" s="45" t="n">
        <v>32400</v>
      </c>
      <c r="AO52" s="45" t="n">
        <v>58320</v>
      </c>
      <c r="AP52" s="45" t="n">
        <v>22.5</v>
      </c>
      <c r="AQ52" s="45" t="n">
        <v>15</v>
      </c>
      <c r="AR52" s="45" t="n">
        <v>32</v>
      </c>
      <c r="AS52" s="45" t="n">
        <v>48600</v>
      </c>
      <c r="AT52" s="45" t="n">
        <v>32400</v>
      </c>
      <c r="AU52" s="45" t="n">
        <v>69120</v>
      </c>
      <c r="AV52" s="45" t="n">
        <v>190000000</v>
      </c>
      <c r="AW52" s="45" t="n">
        <v>6536000</v>
      </c>
      <c r="AX52" s="45" t="n">
        <v>2614400</v>
      </c>
      <c r="AY52" s="45" t="n">
        <v>181261600</v>
      </c>
      <c r="AZ52" s="45" t="n">
        <v>228000000</v>
      </c>
      <c r="BA52" s="45" t="n">
        <v>8798400</v>
      </c>
      <c r="BB52" s="45" t="n">
        <v>2683200</v>
      </c>
      <c r="BC52" s="45" t="n">
        <v>217518400</v>
      </c>
      <c r="BD52" s="45" t="n">
        <v>10000000</v>
      </c>
      <c r="BE52" s="45" t="n">
        <v>9000000</v>
      </c>
      <c r="BF52" s="45" t="n">
        <v>0</v>
      </c>
      <c r="BG52" s="45" t="n">
        <v>1000000</v>
      </c>
      <c r="BH52" s="45" t="n">
        <v>8000000</v>
      </c>
      <c r="BI52" s="45" t="n">
        <v>2000000</v>
      </c>
      <c r="BJ52" s="45" t="n">
        <v>4000000</v>
      </c>
      <c r="BK52" s="45" t="n">
        <v>2000000</v>
      </c>
      <c r="BL52" s="45" t="n">
        <v>6000000</v>
      </c>
      <c r="BM52" s="45" t="n">
        <v>1500000</v>
      </c>
      <c r="BN52" s="45" t="n">
        <v>300000</v>
      </c>
      <c r="BO52" s="45" t="n">
        <v>4200000</v>
      </c>
      <c r="BP52" s="45" t="n">
        <v>40700</v>
      </c>
      <c r="BQ52" s="45" t="n">
        <v>1700</v>
      </c>
      <c r="BR52" s="45" t="n">
        <v>2890</v>
      </c>
      <c r="BS52" s="45" t="n">
        <v>36160</v>
      </c>
      <c r="BT52" s="45" t="n">
        <v>30</v>
      </c>
      <c r="BU52" s="45" t="n">
        <v>30.6</v>
      </c>
      <c r="BV52" s="45" t="n">
        <v>31.5</v>
      </c>
      <c r="BW52" s="45" t="n">
        <v>29.8</v>
      </c>
      <c r="BX52" s="45" t="n">
        <v>15</v>
      </c>
      <c r="BY52" s="45" t="n">
        <v>45</v>
      </c>
      <c r="BZ52" s="45" t="n">
        <v>0.55</v>
      </c>
      <c r="CA52" s="45" t="n">
        <v>0.58</v>
      </c>
      <c r="CB52" s="45" t="n">
        <v>0.65</v>
      </c>
      <c r="CC52" s="45" t="n">
        <v>0.54</v>
      </c>
      <c r="CD52" s="45" t="n">
        <v>0.45</v>
      </c>
      <c r="CE52" s="45" t="n">
        <v>0.42</v>
      </c>
      <c r="CF52" s="45" t="n">
        <v>0.35</v>
      </c>
      <c r="CG52" s="45" t="n">
        <v>0.46</v>
      </c>
      <c r="CH52" s="45" t="n">
        <v>3.5</v>
      </c>
      <c r="CI52" s="45" t="n">
        <v>3.2</v>
      </c>
      <c r="CJ52" s="23" t="n">
        <v>2.5</v>
      </c>
      <c r="CK52" s="23" t="n">
        <v>3.6</v>
      </c>
      <c r="CL52" s="23" t="n">
        <v>0.8</v>
      </c>
      <c r="CM52" s="23" t="n">
        <v>8</v>
      </c>
      <c r="CN52" s="23" t="n">
        <v>0.6</v>
      </c>
      <c r="CO52" s="23" t="n">
        <v>0.65</v>
      </c>
      <c r="CP52" s="23" t="n">
        <v>0.78</v>
      </c>
      <c r="CQ52" s="23" t="n">
        <v>0.59</v>
      </c>
      <c r="CR52" s="23" t="n">
        <v>55</v>
      </c>
      <c r="CS52" s="23" t="n">
        <v>52.25</v>
      </c>
      <c r="CT52" s="23" t="n">
        <v>49.2</v>
      </c>
      <c r="CU52" s="23" t="n">
        <v>55.9</v>
      </c>
      <c r="CV52" s="23" t="n">
        <v>2.8</v>
      </c>
      <c r="CW52" s="23" t="n">
        <v>2.5</v>
      </c>
      <c r="CX52" s="23" t="n">
        <v>2</v>
      </c>
      <c r="CY52" s="23" t="n">
        <v>2.9</v>
      </c>
      <c r="CZ52" s="23" t="n">
        <v>19000000</v>
      </c>
      <c r="DA52" s="23" t="n">
        <v>6536000</v>
      </c>
      <c r="DB52" s="23" t="n">
        <v>2614400</v>
      </c>
      <c r="DC52" s="23" t="n">
        <v>181261600</v>
      </c>
      <c r="DD52" s="23" t="n">
        <v>228000000</v>
      </c>
      <c r="DE52" s="23" t="n">
        <v>8798400</v>
      </c>
      <c r="DF52" s="23" t="n">
        <v>2683200</v>
      </c>
      <c r="DG52" s="23" t="n">
        <v>217518400</v>
      </c>
      <c r="DH52" s="23" t="n">
        <v>0.22</v>
      </c>
      <c r="DI52" s="23" t="n">
        <v>0.16</v>
      </c>
      <c r="DJ52" s="23" t="n">
        <v>0.13</v>
      </c>
      <c r="DK52" s="23" t="n">
        <v>0.23</v>
      </c>
      <c r="DL52" s="23"/>
      <c r="DM52" s="23"/>
    </row>
    <row r="53" customFormat="false" ht="12.8" hidden="false" customHeight="false" outlineLevel="0" collapsed="false">
      <c r="A53" s="45" t="n">
        <v>49</v>
      </c>
      <c r="B53" s="45" t="s">
        <v>249</v>
      </c>
      <c r="C53" s="45" t="s">
        <v>225</v>
      </c>
      <c r="D53" s="45" t="n">
        <v>31875</v>
      </c>
      <c r="E53" s="45" t="n">
        <v>1275</v>
      </c>
      <c r="F53" s="45" t="n">
        <v>2550</v>
      </c>
      <c r="G53" s="45" t="n">
        <v>28050</v>
      </c>
      <c r="H53" s="45" t="n">
        <v>0.958</v>
      </c>
      <c r="I53" s="45" t="n">
        <v>0.98</v>
      </c>
      <c r="J53" s="45" t="n">
        <v>0.85</v>
      </c>
      <c r="K53" s="45" t="n">
        <v>0.958</v>
      </c>
      <c r="L53" s="45" t="n">
        <v>0.013</v>
      </c>
      <c r="M53" s="45" t="n">
        <v>0.619</v>
      </c>
      <c r="N53" s="45" t="n">
        <v>0.678</v>
      </c>
      <c r="O53" s="45" t="n">
        <v>0.012</v>
      </c>
      <c r="P53" s="45" t="n">
        <v>0.042</v>
      </c>
      <c r="Q53" s="45" t="n">
        <v>0.02</v>
      </c>
      <c r="R53" s="45" t="n">
        <v>0.163</v>
      </c>
      <c r="S53" s="45" t="n">
        <v>0.042</v>
      </c>
      <c r="T53" s="45" t="n">
        <v>0.069</v>
      </c>
      <c r="U53" s="45" t="n">
        <v>0.033</v>
      </c>
      <c r="V53" s="45" t="n">
        <v>0.295</v>
      </c>
      <c r="W53" s="45" t="n">
        <v>0.069</v>
      </c>
      <c r="X53" s="45" t="n">
        <v>18</v>
      </c>
      <c r="Y53" s="45" t="n">
        <v>12</v>
      </c>
      <c r="Z53" s="45" t="n">
        <v>28</v>
      </c>
      <c r="AA53" s="45" t="n">
        <v>38880</v>
      </c>
      <c r="AB53" s="45" t="n">
        <v>25920</v>
      </c>
      <c r="AC53" s="45" t="n">
        <v>60480</v>
      </c>
      <c r="AD53" s="45" t="n">
        <v>16.55</v>
      </c>
      <c r="AE53" s="45" t="n">
        <v>12</v>
      </c>
      <c r="AF53" s="45" t="n">
        <v>24.83</v>
      </c>
      <c r="AG53" s="45" t="n">
        <v>35748</v>
      </c>
      <c r="AH53" s="45" t="n">
        <v>25920</v>
      </c>
      <c r="AI53" s="45" t="n">
        <v>53622</v>
      </c>
      <c r="AJ53" s="45" t="n">
        <v>14.8</v>
      </c>
      <c r="AK53" s="45" t="n">
        <v>12</v>
      </c>
      <c r="AL53" s="45" t="n">
        <v>22.2</v>
      </c>
      <c r="AM53" s="45" t="n">
        <v>31968</v>
      </c>
      <c r="AN53" s="45" t="n">
        <v>25920</v>
      </c>
      <c r="AO53" s="45" t="n">
        <v>47952</v>
      </c>
      <c r="AP53" s="45" t="n">
        <v>18.4</v>
      </c>
      <c r="AQ53" s="45" t="n">
        <v>12</v>
      </c>
      <c r="AR53" s="45" t="n">
        <v>28</v>
      </c>
      <c r="AS53" s="45" t="n">
        <v>39744</v>
      </c>
      <c r="AT53" s="45" t="n">
        <v>25920</v>
      </c>
      <c r="AU53" s="45" t="n">
        <v>60480</v>
      </c>
      <c r="AV53" s="45" t="n">
        <v>115000000</v>
      </c>
      <c r="AW53" s="45" t="n">
        <v>3960000</v>
      </c>
      <c r="AX53" s="45" t="n">
        <v>1584000</v>
      </c>
      <c r="AY53" s="45" t="n">
        <v>109444000</v>
      </c>
      <c r="AZ53" s="45" t="n">
        <v>138400000</v>
      </c>
      <c r="BA53" s="45" t="n">
        <v>5346000</v>
      </c>
      <c r="BB53" s="45" t="n">
        <v>1630200</v>
      </c>
      <c r="BC53" s="45" t="n">
        <v>131424000</v>
      </c>
      <c r="BD53" s="45" t="n">
        <v>7500000</v>
      </c>
      <c r="BE53" s="45" t="n">
        <v>6750000</v>
      </c>
      <c r="BF53" s="45" t="n">
        <v>0</v>
      </c>
      <c r="BG53" s="45" t="n">
        <v>750000</v>
      </c>
      <c r="BH53" s="45" t="n">
        <v>6000000</v>
      </c>
      <c r="BI53" s="45" t="n">
        <v>1500000</v>
      </c>
      <c r="BJ53" s="45" t="n">
        <v>3000000</v>
      </c>
      <c r="BK53" s="45" t="n">
        <v>1500000</v>
      </c>
      <c r="BL53" s="45" t="n">
        <v>4500000</v>
      </c>
      <c r="BM53" s="45" t="n">
        <v>1125000</v>
      </c>
      <c r="BN53" s="45" t="n">
        <v>225000</v>
      </c>
      <c r="BO53" s="45" t="n">
        <v>3150000</v>
      </c>
      <c r="BP53" s="45" t="n">
        <v>30544</v>
      </c>
      <c r="BQ53" s="45" t="n">
        <v>1275</v>
      </c>
      <c r="BR53" s="45" t="n">
        <v>2168</v>
      </c>
      <c r="BS53" s="45" t="n">
        <v>27101</v>
      </c>
      <c r="BT53" s="45" t="n">
        <v>28.5</v>
      </c>
      <c r="BU53" s="45" t="n">
        <v>29</v>
      </c>
      <c r="BV53" s="45" t="n">
        <v>30</v>
      </c>
      <c r="BW53" s="45" t="n">
        <v>28.2</v>
      </c>
      <c r="BX53" s="45" t="n">
        <v>15</v>
      </c>
      <c r="BY53" s="45" t="n">
        <v>45</v>
      </c>
      <c r="BZ53" s="45" t="n">
        <v>0.45</v>
      </c>
      <c r="CA53" s="45" t="n">
        <v>0.48</v>
      </c>
      <c r="CB53" s="45" t="n">
        <v>0.55</v>
      </c>
      <c r="CC53" s="45" t="n">
        <v>0.44</v>
      </c>
      <c r="CD53" s="45" t="n">
        <v>0.55</v>
      </c>
      <c r="CE53" s="45" t="n">
        <v>0.52</v>
      </c>
      <c r="CF53" s="45" t="n">
        <v>0.45</v>
      </c>
      <c r="CG53" s="45" t="n">
        <v>0.56</v>
      </c>
      <c r="CH53" s="45" t="n">
        <v>3.2</v>
      </c>
      <c r="CI53" s="45" t="n">
        <v>2.9</v>
      </c>
      <c r="CJ53" s="23" t="n">
        <v>2.3</v>
      </c>
      <c r="CK53" s="23" t="n">
        <v>3.3</v>
      </c>
      <c r="CL53" s="23" t="n">
        <v>0.5</v>
      </c>
      <c r="CM53" s="23" t="n">
        <v>7</v>
      </c>
      <c r="CN53" s="23" t="n">
        <v>0.65</v>
      </c>
      <c r="CO53" s="23" t="n">
        <v>0.7</v>
      </c>
      <c r="CP53" s="23" t="n">
        <v>0.8</v>
      </c>
      <c r="CQ53" s="23" t="n">
        <v>0.64</v>
      </c>
      <c r="CR53" s="23" t="n">
        <v>40</v>
      </c>
      <c r="CS53" s="23" t="n">
        <v>38</v>
      </c>
      <c r="CT53" s="23" t="n">
        <v>35.8</v>
      </c>
      <c r="CU53" s="23" t="n">
        <v>40.5</v>
      </c>
      <c r="CV53" s="23" t="n">
        <v>2.2</v>
      </c>
      <c r="CW53" s="23" t="n">
        <v>2</v>
      </c>
      <c r="CX53" s="23" t="n">
        <v>1.6</v>
      </c>
      <c r="CY53" s="23" t="n">
        <v>2.3</v>
      </c>
      <c r="CZ53" s="23" t="n">
        <v>11500000</v>
      </c>
      <c r="DA53" s="23" t="n">
        <v>3960000</v>
      </c>
      <c r="DB53" s="23" t="n">
        <v>1584000</v>
      </c>
      <c r="DC53" s="23" t="n">
        <v>10944000</v>
      </c>
      <c r="DD53" s="23" t="n">
        <v>138400000</v>
      </c>
      <c r="DE53" s="23" t="n">
        <v>5346000</v>
      </c>
      <c r="DF53" s="23" t="n">
        <v>1630200</v>
      </c>
      <c r="DG53" s="23" t="n">
        <v>131424000</v>
      </c>
      <c r="DH53" s="23" t="n">
        <v>0.28</v>
      </c>
      <c r="DI53" s="23" t="n">
        <v>0.22</v>
      </c>
      <c r="DJ53" s="23" t="n">
        <v>0.18</v>
      </c>
      <c r="DK53" s="23" t="n">
        <v>0.29</v>
      </c>
      <c r="DL53" s="23"/>
      <c r="DM53" s="23"/>
    </row>
    <row r="54" customFormat="false" ht="12.8" hidden="false" customHeight="false" outlineLevel="0" collapsed="false">
      <c r="A54" s="45" t="n">
        <v>50</v>
      </c>
      <c r="B54" s="45" t="s">
        <v>249</v>
      </c>
      <c r="C54" s="45" t="s">
        <v>223</v>
      </c>
      <c r="D54" s="45" t="n">
        <v>127500</v>
      </c>
      <c r="E54" s="45" t="n">
        <v>5100</v>
      </c>
      <c r="F54" s="45" t="n">
        <v>10200</v>
      </c>
      <c r="G54" s="45" t="n">
        <v>112200</v>
      </c>
      <c r="H54" s="45" t="n">
        <v>0.958</v>
      </c>
      <c r="I54" s="45" t="n">
        <v>0.98</v>
      </c>
      <c r="J54" s="45" t="n">
        <v>0.85</v>
      </c>
      <c r="K54" s="45" t="n">
        <v>0.958</v>
      </c>
      <c r="L54" s="45" t="n">
        <v>0.052</v>
      </c>
      <c r="M54" s="45" t="n">
        <v>0.619</v>
      </c>
      <c r="N54" s="45" t="n">
        <v>0.678</v>
      </c>
      <c r="O54" s="45" t="n">
        <v>0.049</v>
      </c>
      <c r="P54" s="45" t="n">
        <v>0.042</v>
      </c>
      <c r="Q54" s="45" t="n">
        <v>0.02</v>
      </c>
      <c r="R54" s="45" t="n">
        <v>0.163</v>
      </c>
      <c r="S54" s="45" t="n">
        <v>0.042</v>
      </c>
      <c r="T54" s="45" t="n">
        <v>0.069</v>
      </c>
      <c r="U54" s="45" t="n">
        <v>0.033</v>
      </c>
      <c r="V54" s="45" t="n">
        <v>0.295</v>
      </c>
      <c r="W54" s="45" t="n">
        <v>0.069</v>
      </c>
      <c r="X54" s="45" t="n">
        <v>18</v>
      </c>
      <c r="Y54" s="45" t="n">
        <v>12</v>
      </c>
      <c r="Z54" s="45" t="n">
        <v>28</v>
      </c>
      <c r="AA54" s="45" t="n">
        <v>38880</v>
      </c>
      <c r="AB54" s="45" t="n">
        <v>25920</v>
      </c>
      <c r="AC54" s="45" t="n">
        <v>60480</v>
      </c>
      <c r="AD54" s="45" t="n">
        <v>16.55</v>
      </c>
      <c r="AE54" s="45" t="n">
        <v>12</v>
      </c>
      <c r="AF54" s="45" t="n">
        <v>24.83</v>
      </c>
      <c r="AG54" s="45" t="n">
        <v>35748</v>
      </c>
      <c r="AH54" s="45" t="n">
        <v>25920</v>
      </c>
      <c r="AI54" s="45" t="n">
        <v>53622</v>
      </c>
      <c r="AJ54" s="45" t="n">
        <v>14.8</v>
      </c>
      <c r="AK54" s="45" t="n">
        <v>12</v>
      </c>
      <c r="AL54" s="45" t="n">
        <v>22.2</v>
      </c>
      <c r="AM54" s="45" t="n">
        <v>31968</v>
      </c>
      <c r="AN54" s="45" t="n">
        <v>25920</v>
      </c>
      <c r="AO54" s="45" t="n">
        <v>47952</v>
      </c>
      <c r="AP54" s="45" t="n">
        <v>18.4</v>
      </c>
      <c r="AQ54" s="45" t="n">
        <v>12</v>
      </c>
      <c r="AR54" s="45" t="n">
        <v>28</v>
      </c>
      <c r="AS54" s="45" t="n">
        <v>39744</v>
      </c>
      <c r="AT54" s="45" t="n">
        <v>25920</v>
      </c>
      <c r="AU54" s="45" t="n">
        <v>60480</v>
      </c>
      <c r="AV54" s="45" t="n">
        <v>460000000</v>
      </c>
      <c r="AW54" s="45" t="n">
        <v>15840000</v>
      </c>
      <c r="AX54" s="45" t="n">
        <v>6336000</v>
      </c>
      <c r="AY54" s="45" t="n">
        <v>437776000</v>
      </c>
      <c r="AZ54" s="45" t="n">
        <v>553600000</v>
      </c>
      <c r="BA54" s="45" t="n">
        <v>21384000</v>
      </c>
      <c r="BB54" s="45" t="n">
        <v>6520800</v>
      </c>
      <c r="BC54" s="45" t="n">
        <v>525696000</v>
      </c>
      <c r="BD54" s="45" t="n">
        <v>30000000</v>
      </c>
      <c r="BE54" s="45" t="n">
        <v>27000000</v>
      </c>
      <c r="BF54" s="45" t="n">
        <v>0</v>
      </c>
      <c r="BG54" s="45" t="n">
        <v>3000000</v>
      </c>
      <c r="BH54" s="45" t="n">
        <v>24000000</v>
      </c>
      <c r="BI54" s="45" t="n">
        <v>6000000</v>
      </c>
      <c r="BJ54" s="45" t="n">
        <v>12000000</v>
      </c>
      <c r="BK54" s="45" t="n">
        <v>6000000</v>
      </c>
      <c r="BL54" s="45" t="n">
        <v>18000000</v>
      </c>
      <c r="BM54" s="45" t="n">
        <v>4500000</v>
      </c>
      <c r="BN54" s="45" t="n">
        <v>900000</v>
      </c>
      <c r="BO54" s="45" t="n">
        <v>12600000</v>
      </c>
      <c r="BP54" s="45" t="n">
        <v>122175</v>
      </c>
      <c r="BQ54" s="45" t="n">
        <v>5100</v>
      </c>
      <c r="BR54" s="45" t="n">
        <v>8670</v>
      </c>
      <c r="BS54" s="45" t="n">
        <v>108405</v>
      </c>
      <c r="BT54" s="45" t="n">
        <v>28.5</v>
      </c>
      <c r="BU54" s="45" t="n">
        <v>29</v>
      </c>
      <c r="BV54" s="45" t="n">
        <v>30</v>
      </c>
      <c r="BW54" s="45" t="n">
        <v>28.2</v>
      </c>
      <c r="BX54" s="45" t="n">
        <v>15</v>
      </c>
      <c r="BY54" s="45" t="n">
        <v>45</v>
      </c>
      <c r="BZ54" s="45" t="n">
        <v>0.45</v>
      </c>
      <c r="CA54" s="45" t="n">
        <v>0.48</v>
      </c>
      <c r="CB54" s="45" t="n">
        <v>0.55</v>
      </c>
      <c r="CC54" s="45" t="n">
        <v>0.44</v>
      </c>
      <c r="CD54" s="45" t="n">
        <v>0.55</v>
      </c>
      <c r="CE54" s="45" t="n">
        <v>0.52</v>
      </c>
      <c r="CF54" s="45" t="n">
        <v>0.45</v>
      </c>
      <c r="CG54" s="45" t="n">
        <v>0.56</v>
      </c>
      <c r="CH54" s="45" t="n">
        <v>3.2</v>
      </c>
      <c r="CI54" s="45" t="n">
        <v>2.9</v>
      </c>
      <c r="CJ54" s="23" t="n">
        <v>2.3</v>
      </c>
      <c r="CK54" s="23" t="n">
        <v>3.3</v>
      </c>
      <c r="CL54" s="23" t="n">
        <v>0.5</v>
      </c>
      <c r="CM54" s="23" t="n">
        <v>7</v>
      </c>
      <c r="CN54" s="23" t="n">
        <v>0.65</v>
      </c>
      <c r="CO54" s="23" t="n">
        <v>0.7</v>
      </c>
      <c r="CP54" s="23" t="n">
        <v>0.8</v>
      </c>
      <c r="CQ54" s="23" t="n">
        <v>0.64</v>
      </c>
      <c r="CR54" s="23" t="n">
        <v>40</v>
      </c>
      <c r="CS54" s="23" t="n">
        <v>38</v>
      </c>
      <c r="CT54" s="23" t="n">
        <v>35.8</v>
      </c>
      <c r="CU54" s="23" t="n">
        <v>40.5</v>
      </c>
      <c r="CV54" s="23" t="n">
        <v>2.2</v>
      </c>
      <c r="CW54" s="23" t="n">
        <v>2</v>
      </c>
      <c r="CX54" s="23" t="n">
        <v>1.6</v>
      </c>
      <c r="CY54" s="23" t="n">
        <v>2.3</v>
      </c>
      <c r="CZ54" s="23" t="n">
        <v>46000000</v>
      </c>
      <c r="DA54" s="23" t="n">
        <v>15840000</v>
      </c>
      <c r="DB54" s="23" t="n">
        <v>6336000</v>
      </c>
      <c r="DC54" s="23" t="n">
        <v>43776000</v>
      </c>
      <c r="DD54" s="23" t="n">
        <v>553600000</v>
      </c>
      <c r="DE54" s="23" t="n">
        <v>21384000</v>
      </c>
      <c r="DF54" s="23" t="n">
        <v>6520800</v>
      </c>
      <c r="DG54" s="23" t="n">
        <v>525696000</v>
      </c>
      <c r="DH54" s="23" t="n">
        <v>0.28</v>
      </c>
      <c r="DI54" s="23" t="n">
        <v>0.22</v>
      </c>
      <c r="DJ54" s="23" t="n">
        <v>0.18</v>
      </c>
      <c r="DK54" s="23" t="n">
        <v>0.29</v>
      </c>
      <c r="DL54" s="23"/>
      <c r="DM54" s="23"/>
    </row>
    <row r="55" customFormat="false" ht="12.8" hidden="false" customHeight="false" outlineLevel="0" collapsed="false">
      <c r="A55" s="45" t="n">
        <v>51</v>
      </c>
      <c r="B55" s="45" t="s">
        <v>250</v>
      </c>
      <c r="C55" s="45" t="s">
        <v>225</v>
      </c>
      <c r="D55" s="45" t="n">
        <v>21250</v>
      </c>
      <c r="E55" s="45" t="n">
        <v>850</v>
      </c>
      <c r="F55" s="45" t="n">
        <v>1700</v>
      </c>
      <c r="G55" s="45" t="n">
        <v>18700</v>
      </c>
      <c r="H55" s="45" t="n">
        <v>0.958</v>
      </c>
      <c r="I55" s="45" t="n">
        <v>1.02</v>
      </c>
      <c r="J55" s="45" t="n">
        <v>0.92</v>
      </c>
      <c r="K55" s="45" t="n">
        <v>0.958</v>
      </c>
      <c r="L55" s="45" t="n">
        <v>0.009</v>
      </c>
      <c r="M55" s="45" t="n">
        <v>0.681</v>
      </c>
      <c r="N55" s="45" t="n">
        <v>0.712</v>
      </c>
      <c r="O55" s="45" t="n">
        <v>0.008</v>
      </c>
      <c r="P55" s="45" t="n">
        <v>0.042</v>
      </c>
      <c r="Q55" s="45" t="n">
        <v>0</v>
      </c>
      <c r="R55" s="45" t="n">
        <v>0.08</v>
      </c>
      <c r="S55" s="45" t="n">
        <v>0.042</v>
      </c>
      <c r="T55" s="45" t="n">
        <v>0.069</v>
      </c>
      <c r="U55" s="45" t="n">
        <v>0</v>
      </c>
      <c r="V55" s="45" t="n">
        <v>0.144</v>
      </c>
      <c r="W55" s="45" t="n">
        <v>0.069</v>
      </c>
      <c r="X55" s="45" t="n">
        <v>35</v>
      </c>
      <c r="Y55" s="45" t="n">
        <v>28</v>
      </c>
      <c r="Z55" s="45" t="n">
        <v>50</v>
      </c>
      <c r="AA55" s="45" t="n">
        <v>75600</v>
      </c>
      <c r="AB55" s="45" t="n">
        <v>60480</v>
      </c>
      <c r="AC55" s="45" t="n">
        <v>108000</v>
      </c>
      <c r="AD55" s="45" t="n">
        <v>32.2</v>
      </c>
      <c r="AE55" s="45" t="n">
        <v>28</v>
      </c>
      <c r="AF55" s="45" t="n">
        <v>48.3</v>
      </c>
      <c r="AG55" s="45" t="n">
        <v>69552</v>
      </c>
      <c r="AH55" s="45" t="n">
        <v>60480</v>
      </c>
      <c r="AI55" s="45" t="n">
        <v>104328</v>
      </c>
      <c r="AJ55" s="45" t="n">
        <v>28.8</v>
      </c>
      <c r="AK55" s="45" t="n">
        <v>28</v>
      </c>
      <c r="AL55" s="45" t="n">
        <v>43.2</v>
      </c>
      <c r="AM55" s="45" t="n">
        <v>62208</v>
      </c>
      <c r="AN55" s="45" t="n">
        <v>60480</v>
      </c>
      <c r="AO55" s="45" t="n">
        <v>93312</v>
      </c>
      <c r="AP55" s="45" t="n">
        <v>35.5</v>
      </c>
      <c r="AQ55" s="45" t="n">
        <v>28</v>
      </c>
      <c r="AR55" s="45" t="n">
        <v>50</v>
      </c>
      <c r="AS55" s="45" t="n">
        <v>76680</v>
      </c>
      <c r="AT55" s="45" t="n">
        <v>60480</v>
      </c>
      <c r="AU55" s="45" t="n">
        <v>108000</v>
      </c>
      <c r="AV55" s="45" t="n">
        <v>150000000</v>
      </c>
      <c r="AW55" s="45" t="n">
        <v>5160000</v>
      </c>
      <c r="AX55" s="45" t="n">
        <v>2064000</v>
      </c>
      <c r="AY55" s="45" t="n">
        <v>142746000</v>
      </c>
      <c r="AZ55" s="45" t="n">
        <v>180500000</v>
      </c>
      <c r="BA55" s="45" t="n">
        <v>6967200</v>
      </c>
      <c r="BB55" s="45" t="n">
        <v>2125200</v>
      </c>
      <c r="BC55" s="45" t="n">
        <v>171532800</v>
      </c>
      <c r="BD55" s="45" t="n">
        <v>5000000</v>
      </c>
      <c r="BE55" s="45" t="n">
        <v>4500000</v>
      </c>
      <c r="BF55" s="45" t="n">
        <v>0</v>
      </c>
      <c r="BG55" s="45" t="n">
        <v>500000</v>
      </c>
      <c r="BH55" s="45" t="n">
        <v>4000000</v>
      </c>
      <c r="BI55" s="45" t="n">
        <v>1000000</v>
      </c>
      <c r="BJ55" s="45" t="n">
        <v>2000000</v>
      </c>
      <c r="BK55" s="45" t="n">
        <v>1000000</v>
      </c>
      <c r="BL55" s="45" t="n">
        <v>3000000</v>
      </c>
      <c r="BM55" s="45" t="n">
        <v>750000</v>
      </c>
      <c r="BN55" s="45" t="n">
        <v>150000</v>
      </c>
      <c r="BO55" s="45" t="n">
        <v>2100000</v>
      </c>
      <c r="BP55" s="45" t="n">
        <v>20358</v>
      </c>
      <c r="BQ55" s="45" t="n">
        <v>850</v>
      </c>
      <c r="BR55" s="45" t="n">
        <v>1592</v>
      </c>
      <c r="BS55" s="45" t="n">
        <v>17911</v>
      </c>
      <c r="BT55" s="45" t="n">
        <v>38.5</v>
      </c>
      <c r="BU55" s="45" t="n">
        <v>39.2</v>
      </c>
      <c r="BV55" s="45" t="n">
        <v>40.5</v>
      </c>
      <c r="BW55" s="45" t="n">
        <v>38.3</v>
      </c>
      <c r="BX55" s="45" t="n">
        <v>25</v>
      </c>
      <c r="BY55" s="45" t="n">
        <v>55</v>
      </c>
      <c r="BZ55" s="45" t="n">
        <v>0.85</v>
      </c>
      <c r="CA55" s="45" t="n">
        <v>0.87</v>
      </c>
      <c r="CB55" s="45" t="n">
        <v>0.9</v>
      </c>
      <c r="CC55" s="45" t="n">
        <v>0.84</v>
      </c>
      <c r="CD55" s="45" t="n">
        <v>0.15</v>
      </c>
      <c r="CE55" s="45" t="n">
        <v>0.13</v>
      </c>
      <c r="CF55" s="45" t="n">
        <v>0.1</v>
      </c>
      <c r="CG55" s="45" t="n">
        <v>0.16</v>
      </c>
      <c r="CH55" s="45" t="n">
        <v>6.5</v>
      </c>
      <c r="CI55" s="45" t="n">
        <v>5.9</v>
      </c>
      <c r="CJ55" s="23" t="n">
        <v>4.8</v>
      </c>
      <c r="CK55" s="23" t="n">
        <v>6.6</v>
      </c>
      <c r="CL55" s="23" t="n">
        <v>1.5</v>
      </c>
      <c r="CM55" s="23" t="n">
        <v>12</v>
      </c>
      <c r="CN55" s="23" t="n">
        <v>0.28</v>
      </c>
      <c r="CO55" s="23" t="n">
        <v>0.33</v>
      </c>
      <c r="CP55" s="23" t="n">
        <v>0.43</v>
      </c>
      <c r="CQ55" s="23" t="n">
        <v>0.27</v>
      </c>
      <c r="CR55" s="23" t="n">
        <v>90</v>
      </c>
      <c r="CS55" s="23" t="n">
        <v>85.5</v>
      </c>
      <c r="CT55" s="23" t="n">
        <v>80.5</v>
      </c>
      <c r="CU55" s="23" t="n">
        <v>91.2</v>
      </c>
      <c r="CV55" s="23" t="n">
        <v>4.5</v>
      </c>
      <c r="CW55" s="23" t="n">
        <v>4.2</v>
      </c>
      <c r="CX55" s="23" t="n">
        <v>3.4</v>
      </c>
      <c r="CY55" s="23" t="n">
        <v>4.6</v>
      </c>
      <c r="CZ55" s="23" t="n">
        <v>15000000</v>
      </c>
      <c r="DA55" s="23" t="n">
        <v>5160000</v>
      </c>
      <c r="DB55" s="23" t="n">
        <v>2064000</v>
      </c>
      <c r="DC55" s="23" t="n">
        <v>142746000</v>
      </c>
      <c r="DD55" s="23" t="n">
        <v>180500000</v>
      </c>
      <c r="DE55" s="23" t="n">
        <v>6967200</v>
      </c>
      <c r="DF55" s="23" t="n">
        <v>2125200</v>
      </c>
      <c r="DG55" s="23" t="n">
        <v>171532800</v>
      </c>
      <c r="DH55" s="23" t="n">
        <v>0.07</v>
      </c>
      <c r="DI55" s="23" t="n">
        <v>0.05</v>
      </c>
      <c r="DJ55" s="23" t="n">
        <v>0.03</v>
      </c>
      <c r="DK55" s="23" t="n">
        <v>0.08</v>
      </c>
      <c r="DL55" s="23"/>
      <c r="DM55" s="23"/>
    </row>
    <row r="56" customFormat="false" ht="12.8" hidden="false" customHeight="false" outlineLevel="0" collapsed="false">
      <c r="A56" s="45" t="n">
        <v>52</v>
      </c>
      <c r="B56" s="45" t="s">
        <v>250</v>
      </c>
      <c r="C56" s="45" t="s">
        <v>223</v>
      </c>
      <c r="D56" s="45" t="n">
        <v>85000</v>
      </c>
      <c r="E56" s="45" t="n">
        <v>3400</v>
      </c>
      <c r="F56" s="45" t="n">
        <v>6800</v>
      </c>
      <c r="G56" s="45" t="n">
        <v>74800</v>
      </c>
      <c r="H56" s="45" t="n">
        <v>0.958</v>
      </c>
      <c r="I56" s="45" t="n">
        <v>1.02</v>
      </c>
      <c r="J56" s="45" t="n">
        <v>0.92</v>
      </c>
      <c r="K56" s="45" t="n">
        <v>0.958</v>
      </c>
      <c r="L56" s="45" t="n">
        <v>0.035</v>
      </c>
      <c r="M56" s="45" t="n">
        <v>0.681</v>
      </c>
      <c r="N56" s="45" t="n">
        <v>0.712</v>
      </c>
      <c r="O56" s="45" t="n">
        <v>0.033</v>
      </c>
      <c r="P56" s="45" t="n">
        <v>0.042</v>
      </c>
      <c r="Q56" s="45" t="n">
        <v>0</v>
      </c>
      <c r="R56" s="45" t="n">
        <v>0.08</v>
      </c>
      <c r="S56" s="45" t="n">
        <v>0.042</v>
      </c>
      <c r="T56" s="45" t="n">
        <v>0.069</v>
      </c>
      <c r="U56" s="45" t="n">
        <v>0</v>
      </c>
      <c r="V56" s="45" t="n">
        <v>0.144</v>
      </c>
      <c r="W56" s="45" t="n">
        <v>0.069</v>
      </c>
      <c r="X56" s="45" t="n">
        <v>35</v>
      </c>
      <c r="Y56" s="45" t="n">
        <v>28</v>
      </c>
      <c r="Z56" s="45" t="n">
        <v>50</v>
      </c>
      <c r="AA56" s="45" t="n">
        <v>75600</v>
      </c>
      <c r="AB56" s="45" t="n">
        <v>60480</v>
      </c>
      <c r="AC56" s="45" t="n">
        <v>108000</v>
      </c>
      <c r="AD56" s="45" t="n">
        <v>32.2</v>
      </c>
      <c r="AE56" s="45" t="n">
        <v>28</v>
      </c>
      <c r="AF56" s="45" t="n">
        <v>48.3</v>
      </c>
      <c r="AG56" s="45" t="n">
        <v>69552</v>
      </c>
      <c r="AH56" s="45" t="n">
        <v>60480</v>
      </c>
      <c r="AI56" s="45" t="n">
        <v>104328</v>
      </c>
      <c r="AJ56" s="45" t="n">
        <v>28.8</v>
      </c>
      <c r="AK56" s="45" t="n">
        <v>28</v>
      </c>
      <c r="AL56" s="45" t="n">
        <v>43.2</v>
      </c>
      <c r="AM56" s="45" t="n">
        <v>62208</v>
      </c>
      <c r="AN56" s="45" t="n">
        <v>60480</v>
      </c>
      <c r="AO56" s="45" t="n">
        <v>93312</v>
      </c>
      <c r="AP56" s="45" t="n">
        <v>35.5</v>
      </c>
      <c r="AQ56" s="45" t="n">
        <v>28</v>
      </c>
      <c r="AR56" s="45" t="n">
        <v>50</v>
      </c>
      <c r="AS56" s="45" t="n">
        <v>76680</v>
      </c>
      <c r="AT56" s="45" t="n">
        <v>60480</v>
      </c>
      <c r="AU56" s="45" t="n">
        <v>108000</v>
      </c>
      <c r="AV56" s="45" t="n">
        <v>600000000</v>
      </c>
      <c r="AW56" s="45" t="n">
        <v>20640000</v>
      </c>
      <c r="AX56" s="45" t="n">
        <v>8256000</v>
      </c>
      <c r="AY56" s="45" t="n">
        <v>570984000</v>
      </c>
      <c r="AZ56" s="45" t="n">
        <v>722000000</v>
      </c>
      <c r="BA56" s="45" t="n">
        <v>27888000</v>
      </c>
      <c r="BB56" s="45" t="n">
        <v>8500800</v>
      </c>
      <c r="BC56" s="45" t="n">
        <v>686131200</v>
      </c>
      <c r="BD56" s="45" t="n">
        <v>20000000</v>
      </c>
      <c r="BE56" s="45" t="n">
        <v>18000000</v>
      </c>
      <c r="BF56" s="45" t="n">
        <v>0</v>
      </c>
      <c r="BG56" s="45" t="n">
        <v>2000000</v>
      </c>
      <c r="BH56" s="45" t="n">
        <v>16000000</v>
      </c>
      <c r="BI56" s="45" t="n">
        <v>4000000</v>
      </c>
      <c r="BJ56" s="45" t="n">
        <v>8000000</v>
      </c>
      <c r="BK56" s="45" t="n">
        <v>4000000</v>
      </c>
      <c r="BL56" s="45" t="n">
        <v>12000000</v>
      </c>
      <c r="BM56" s="45" t="n">
        <v>3000000</v>
      </c>
      <c r="BN56" s="45" t="n">
        <v>600000</v>
      </c>
      <c r="BO56" s="45" t="n">
        <v>8400000</v>
      </c>
      <c r="BP56" s="45" t="n">
        <v>81380</v>
      </c>
      <c r="BQ56" s="45" t="n">
        <v>3400</v>
      </c>
      <c r="BR56" s="45" t="n">
        <v>6370</v>
      </c>
      <c r="BS56" s="45" t="n">
        <v>71644</v>
      </c>
      <c r="BT56" s="45" t="n">
        <v>38.5</v>
      </c>
      <c r="BU56" s="45" t="n">
        <v>39.2</v>
      </c>
      <c r="BV56" s="45" t="n">
        <v>40.5</v>
      </c>
      <c r="BW56" s="45" t="n">
        <v>38.3</v>
      </c>
      <c r="BX56" s="45" t="n">
        <v>25</v>
      </c>
      <c r="BY56" s="45" t="n">
        <v>55</v>
      </c>
      <c r="BZ56" s="45" t="n">
        <v>0.85</v>
      </c>
      <c r="CA56" s="45" t="n">
        <v>0.87</v>
      </c>
      <c r="CB56" s="45" t="n">
        <v>0.9</v>
      </c>
      <c r="CC56" s="45" t="n">
        <v>0.84</v>
      </c>
      <c r="CD56" s="45" t="n">
        <v>0.15</v>
      </c>
      <c r="CE56" s="45" t="n">
        <v>0.13</v>
      </c>
      <c r="CF56" s="45" t="n">
        <v>0.1</v>
      </c>
      <c r="CG56" s="45" t="n">
        <v>0.16</v>
      </c>
      <c r="CH56" s="45" t="n">
        <v>6.5</v>
      </c>
      <c r="CI56" s="45" t="n">
        <v>5.9</v>
      </c>
      <c r="CJ56" s="23" t="n">
        <v>4.8</v>
      </c>
      <c r="CK56" s="23" t="n">
        <v>6.6</v>
      </c>
      <c r="CL56" s="23" t="n">
        <v>1.5</v>
      </c>
      <c r="CM56" s="23" t="n">
        <v>12</v>
      </c>
      <c r="CN56" s="23" t="n">
        <v>0.28</v>
      </c>
      <c r="CO56" s="23" t="n">
        <v>0.33</v>
      </c>
      <c r="CP56" s="23" t="n">
        <v>0.43</v>
      </c>
      <c r="CQ56" s="23" t="n">
        <v>0.27</v>
      </c>
      <c r="CR56" s="23" t="n">
        <v>90</v>
      </c>
      <c r="CS56" s="23" t="n">
        <v>85.5</v>
      </c>
      <c r="CT56" s="23" t="n">
        <v>80.5</v>
      </c>
      <c r="CU56" s="23" t="n">
        <v>91.2</v>
      </c>
      <c r="CV56" s="23" t="n">
        <v>4.5</v>
      </c>
      <c r="CW56" s="23" t="n">
        <v>4.2</v>
      </c>
      <c r="CX56" s="23" t="n">
        <v>3.4</v>
      </c>
      <c r="CY56" s="23" t="n">
        <v>4.6</v>
      </c>
      <c r="CZ56" s="23" t="n">
        <v>60000000</v>
      </c>
      <c r="DA56" s="23" t="n">
        <v>20640000</v>
      </c>
      <c r="DB56" s="23" t="n">
        <v>8256000</v>
      </c>
      <c r="DC56" s="23" t="n">
        <v>570984000</v>
      </c>
      <c r="DD56" s="23" t="n">
        <v>722000000</v>
      </c>
      <c r="DE56" s="23" t="n">
        <v>27888000</v>
      </c>
      <c r="DF56" s="23" t="n">
        <v>8500800</v>
      </c>
      <c r="DG56" s="23" t="n">
        <v>686131200</v>
      </c>
      <c r="DH56" s="23" t="n">
        <v>0.07</v>
      </c>
      <c r="DI56" s="23" t="n">
        <v>0.05</v>
      </c>
      <c r="DJ56" s="23" t="n">
        <v>0.03</v>
      </c>
      <c r="DK56" s="23" t="n">
        <v>0.08</v>
      </c>
      <c r="DL56" s="23"/>
      <c r="DM56" s="23"/>
    </row>
  </sheetData>
  <mergeCells count="30">
    <mergeCell ref="A2:C2"/>
    <mergeCell ref="D2:G2"/>
    <mergeCell ref="H2:K2"/>
    <mergeCell ref="L2:O2"/>
    <mergeCell ref="P2:S2"/>
    <mergeCell ref="T2:W2"/>
    <mergeCell ref="X2:Z2"/>
    <mergeCell ref="AA2:AC2"/>
    <mergeCell ref="AD2:AF2"/>
    <mergeCell ref="AG2:AI2"/>
    <mergeCell ref="AJ2:AL2"/>
    <mergeCell ref="AM2:AO2"/>
    <mergeCell ref="AP2:AR2"/>
    <mergeCell ref="AS2:AU2"/>
    <mergeCell ref="AV2:AY2"/>
    <mergeCell ref="AZ2:BC2"/>
    <mergeCell ref="BD2:BG2"/>
    <mergeCell ref="BH2:BK2"/>
    <mergeCell ref="BL2:BO2"/>
    <mergeCell ref="BP2:BS2"/>
    <mergeCell ref="BT2:BW2"/>
    <mergeCell ref="BX2:CA2"/>
    <mergeCell ref="CB2:CE2"/>
    <mergeCell ref="CF2:CI2"/>
    <mergeCell ref="CJ2:CM2"/>
    <mergeCell ref="CN2:CQ2"/>
    <mergeCell ref="CR2:CU2"/>
    <mergeCell ref="CV2:CY2"/>
    <mergeCell ref="CZ2:DC2"/>
    <mergeCell ref="DD2:D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G2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F18" activeCellId="1" sqref="155:249 F18"/>
    </sheetView>
  </sheetViews>
  <sheetFormatPr defaultColWidth="11.53515625" defaultRowHeight="12.8" customHeight="false" zeroHeight="false" outlineLevelRow="0" outlineLevelCol="0"/>
  <cols>
    <col collapsed="false" customWidth="true" hidden="false" outlineLevel="0" max="1" min="1" style="38" width="13.84"/>
    <col collapsed="false" customWidth="true" hidden="false" outlineLevel="0" max="2" min="2" style="38" width="34.59"/>
    <col collapsed="false" customWidth="true" hidden="false" outlineLevel="0" max="4" min="4" style="38" width="32.29"/>
    <col collapsed="false" customWidth="true" hidden="false" outlineLevel="0" max="6" min="6" style="38" width="25.37"/>
  </cols>
  <sheetData>
    <row r="1" customFormat="false" ht="12.8" hidden="false" customHeight="false" outlineLevel="0" collapsed="false">
      <c r="A1" s="3" t="s">
        <v>718</v>
      </c>
      <c r="B1" s="46" t="s">
        <v>719</v>
      </c>
      <c r="C1" s="5" t="s">
        <v>2</v>
      </c>
      <c r="E1" s="38"/>
      <c r="G1" s="38"/>
    </row>
    <row r="2" customFormat="false" ht="12.8" hidden="false" customHeight="false" outlineLevel="0" collapsed="false">
      <c r="A2" s="40" t="s">
        <v>77</v>
      </c>
      <c r="B2" s="40" t="s">
        <v>720</v>
      </c>
      <c r="C2" s="40" t="s">
        <v>721</v>
      </c>
      <c r="D2" s="40" t="s">
        <v>722</v>
      </c>
      <c r="E2" s="40" t="s">
        <v>723</v>
      </c>
      <c r="F2" s="40" t="s">
        <v>724</v>
      </c>
      <c r="G2" s="40" t="s">
        <v>725</v>
      </c>
    </row>
    <row r="3" customFormat="false" ht="12.8" hidden="false" customHeight="false" outlineLevel="0" collapsed="false">
      <c r="A3" s="41" t="s">
        <v>726</v>
      </c>
      <c r="B3" s="41" t="s">
        <v>727</v>
      </c>
      <c r="C3" s="41" t="n">
        <v>1444246</v>
      </c>
      <c r="D3" s="41" t="n">
        <v>1444246</v>
      </c>
      <c r="E3" s="41" t="s">
        <v>533</v>
      </c>
      <c r="F3" s="41" t="s">
        <v>489</v>
      </c>
      <c r="G3" s="41" t="s">
        <v>728</v>
      </c>
    </row>
    <row r="4" customFormat="false" ht="12.8" hidden="false" customHeight="false" outlineLevel="0" collapsed="false">
      <c r="A4" s="41" t="s">
        <v>729</v>
      </c>
      <c r="B4" s="41" t="s">
        <v>113</v>
      </c>
      <c r="C4" s="41" t="n">
        <v>50000</v>
      </c>
      <c r="D4" s="41" t="s">
        <v>730</v>
      </c>
      <c r="E4" s="41" t="s">
        <v>731</v>
      </c>
      <c r="F4" s="41" t="s">
        <v>548</v>
      </c>
      <c r="G4" s="41" t="s">
        <v>732</v>
      </c>
    </row>
    <row r="5" customFormat="false" ht="12.8" hidden="false" customHeight="false" outlineLevel="0" collapsed="false">
      <c r="A5" s="41" t="s">
        <v>733</v>
      </c>
      <c r="B5" s="41" t="s">
        <v>112</v>
      </c>
      <c r="C5" s="41" t="n">
        <v>57770</v>
      </c>
      <c r="D5" s="41" t="s">
        <v>734</v>
      </c>
      <c r="E5" s="41" t="s">
        <v>735</v>
      </c>
      <c r="F5" s="41" t="s">
        <v>548</v>
      </c>
      <c r="G5" s="41" t="s">
        <v>736</v>
      </c>
    </row>
    <row r="6" customFormat="false" ht="12.8" hidden="false" customHeight="false" outlineLevel="0" collapsed="false">
      <c r="A6" s="41" t="s">
        <v>737</v>
      </c>
      <c r="B6" s="41" t="s">
        <v>738</v>
      </c>
      <c r="C6" s="41" t="n">
        <v>0.958</v>
      </c>
      <c r="D6" s="41" t="n">
        <v>0.958</v>
      </c>
      <c r="E6" s="41" t="s">
        <v>587</v>
      </c>
      <c r="F6" s="41" t="s">
        <v>489</v>
      </c>
      <c r="G6" s="41" t="s">
        <v>739</v>
      </c>
    </row>
    <row r="7" customFormat="false" ht="12.8" hidden="false" customHeight="false" outlineLevel="0" collapsed="false">
      <c r="A7" s="41" t="s">
        <v>740</v>
      </c>
      <c r="B7" s="41" t="s">
        <v>741</v>
      </c>
      <c r="C7" s="41" t="n">
        <v>0.59</v>
      </c>
      <c r="D7" s="41" t="n">
        <v>0.59</v>
      </c>
      <c r="E7" s="41" t="s">
        <v>742</v>
      </c>
      <c r="F7" s="41" t="s">
        <v>489</v>
      </c>
      <c r="G7" s="41" t="s">
        <v>743</v>
      </c>
    </row>
    <row r="8" customFormat="false" ht="12.8" hidden="false" customHeight="false" outlineLevel="0" collapsed="false">
      <c r="A8" s="41" t="s">
        <v>744</v>
      </c>
      <c r="B8" s="41" t="s">
        <v>85</v>
      </c>
      <c r="C8" s="41" t="n">
        <v>0.042</v>
      </c>
      <c r="D8" s="41" t="n">
        <v>0.042</v>
      </c>
      <c r="E8" s="41" t="s">
        <v>742</v>
      </c>
      <c r="F8" s="41" t="s">
        <v>489</v>
      </c>
      <c r="G8" s="41" t="s">
        <v>745</v>
      </c>
    </row>
    <row r="9" customFormat="false" ht="12.8" hidden="false" customHeight="false" outlineLevel="0" collapsed="false">
      <c r="A9" s="41" t="s">
        <v>746</v>
      </c>
      <c r="B9" s="41" t="s">
        <v>86</v>
      </c>
      <c r="C9" s="41" t="n">
        <v>0.069</v>
      </c>
      <c r="D9" s="41" t="s">
        <v>734</v>
      </c>
      <c r="E9" s="41" t="s">
        <v>747</v>
      </c>
      <c r="F9" s="41" t="s">
        <v>548</v>
      </c>
      <c r="G9" s="41" t="s">
        <v>748</v>
      </c>
    </row>
    <row r="10" customFormat="false" ht="12.8" hidden="false" customHeight="false" outlineLevel="0" collapsed="false">
      <c r="A10" s="41" t="s">
        <v>749</v>
      </c>
      <c r="B10" s="41" t="s">
        <v>750</v>
      </c>
      <c r="C10" s="41" t="n">
        <v>29.76</v>
      </c>
      <c r="D10" s="41" t="n">
        <v>29.76</v>
      </c>
      <c r="E10" s="41" t="s">
        <v>603</v>
      </c>
      <c r="F10" s="41" t="s">
        <v>489</v>
      </c>
      <c r="G10" s="41" t="s">
        <v>751</v>
      </c>
    </row>
    <row r="11" customFormat="false" ht="12.8" hidden="false" customHeight="false" outlineLevel="0" collapsed="false">
      <c r="A11" s="41" t="s">
        <v>752</v>
      </c>
      <c r="B11" s="41" t="s">
        <v>753</v>
      </c>
      <c r="C11" s="41" t="n">
        <v>54162</v>
      </c>
      <c r="D11" s="41" t="s">
        <v>734</v>
      </c>
      <c r="E11" s="41" t="s">
        <v>410</v>
      </c>
      <c r="F11" s="41" t="s">
        <v>489</v>
      </c>
      <c r="G11" s="41" t="s">
        <v>754</v>
      </c>
    </row>
    <row r="12" customFormat="false" ht="12.8" hidden="false" customHeight="false" outlineLevel="0" collapsed="false">
      <c r="A12" s="41" t="s">
        <v>755</v>
      </c>
      <c r="B12" s="41" t="s">
        <v>756</v>
      </c>
      <c r="C12" s="41" t="n">
        <v>9248649200</v>
      </c>
      <c r="D12" s="41" t="s">
        <v>734</v>
      </c>
      <c r="E12" s="41" t="s">
        <v>410</v>
      </c>
      <c r="F12" s="41" t="s">
        <v>548</v>
      </c>
      <c r="G12" s="41" t="s">
        <v>757</v>
      </c>
    </row>
    <row r="13" customFormat="false" ht="12.8" hidden="false" customHeight="false" outlineLevel="0" collapsed="false">
      <c r="A13" s="41" t="s">
        <v>758</v>
      </c>
      <c r="B13" s="41" t="s">
        <v>759</v>
      </c>
      <c r="C13" s="41" t="n">
        <v>11140613983</v>
      </c>
      <c r="D13" s="41" t="s">
        <v>734</v>
      </c>
      <c r="E13" s="41" t="s">
        <v>410</v>
      </c>
      <c r="F13" s="41" t="s">
        <v>548</v>
      </c>
      <c r="G13" s="41" t="s">
        <v>760</v>
      </c>
    </row>
    <row r="14" customFormat="false" ht="12.8" hidden="false" customHeight="false" outlineLevel="0" collapsed="false">
      <c r="A14" s="41" t="s">
        <v>761</v>
      </c>
      <c r="B14" s="41" t="s">
        <v>762</v>
      </c>
      <c r="C14" s="41" t="n">
        <v>150000000</v>
      </c>
      <c r="D14" s="41" t="s">
        <v>763</v>
      </c>
      <c r="E14" s="41" t="s">
        <v>764</v>
      </c>
      <c r="F14" s="41" t="s">
        <v>548</v>
      </c>
      <c r="G14" s="41" t="s">
        <v>765</v>
      </c>
    </row>
    <row r="15" customFormat="false" ht="12.8" hidden="false" customHeight="false" outlineLevel="0" collapsed="false">
      <c r="A15" s="41" t="s">
        <v>766</v>
      </c>
      <c r="B15" s="41" t="s">
        <v>767</v>
      </c>
      <c r="C15" s="41" t="n">
        <v>120000000</v>
      </c>
      <c r="D15" s="41" t="s">
        <v>768</v>
      </c>
      <c r="E15" s="41" t="s">
        <v>769</v>
      </c>
      <c r="F15" s="41" t="s">
        <v>548</v>
      </c>
      <c r="G15" s="41" t="s">
        <v>760</v>
      </c>
    </row>
    <row r="16" customFormat="false" ht="12.8" hidden="false" customHeight="false" outlineLevel="0" collapsed="false">
      <c r="A16" s="41" t="s">
        <v>770</v>
      </c>
      <c r="B16" s="41" t="s">
        <v>771</v>
      </c>
      <c r="C16" s="41" t="n">
        <v>80000000</v>
      </c>
      <c r="D16" s="41" t="s">
        <v>772</v>
      </c>
      <c r="E16" s="41" t="s">
        <v>773</v>
      </c>
      <c r="F16" s="41" t="s">
        <v>548</v>
      </c>
      <c r="G16" s="41" t="s">
        <v>774</v>
      </c>
    </row>
    <row r="17" customFormat="false" ht="12.8" hidden="false" customHeight="false" outlineLevel="0" collapsed="false">
      <c r="A17" s="41" t="s">
        <v>775</v>
      </c>
      <c r="B17" s="41" t="s">
        <v>776</v>
      </c>
      <c r="C17" s="41" t="n">
        <v>2000000000</v>
      </c>
      <c r="D17" s="41" t="s">
        <v>777</v>
      </c>
      <c r="E17" s="41" t="s">
        <v>778</v>
      </c>
      <c r="F17" s="41" t="s">
        <v>548</v>
      </c>
      <c r="G17" s="41" t="s">
        <v>779</v>
      </c>
    </row>
    <row r="18" customFormat="false" ht="12.8" hidden="false" customHeight="false" outlineLevel="0" collapsed="false">
      <c r="A18" s="41" t="s">
        <v>780</v>
      </c>
      <c r="B18" s="41" t="s">
        <v>781</v>
      </c>
      <c r="C18" s="41" t="n">
        <v>30000</v>
      </c>
      <c r="D18" s="41" t="s">
        <v>782</v>
      </c>
      <c r="E18" s="41" t="s">
        <v>783</v>
      </c>
      <c r="F18" s="41" t="s">
        <v>641</v>
      </c>
      <c r="G18" s="41" t="s">
        <v>784</v>
      </c>
    </row>
    <row r="19" customFormat="false" ht="12.8" hidden="false" customHeight="false" outlineLevel="0" collapsed="false">
      <c r="A19" s="41" t="s">
        <v>785</v>
      </c>
      <c r="B19" s="41" t="s">
        <v>786</v>
      </c>
      <c r="C19" s="41" t="n">
        <v>0.8</v>
      </c>
      <c r="D19" s="41" t="s">
        <v>787</v>
      </c>
      <c r="E19" s="41" t="s">
        <v>788</v>
      </c>
      <c r="F19" s="41" t="s">
        <v>548</v>
      </c>
      <c r="G19" s="41" t="s">
        <v>789</v>
      </c>
    </row>
    <row r="20" customFormat="false" ht="12.8" hidden="false" customHeight="false" outlineLevel="0" collapsed="false">
      <c r="A20" s="41" t="s">
        <v>790</v>
      </c>
      <c r="B20" s="41" t="s">
        <v>791</v>
      </c>
      <c r="C20" s="41" t="n">
        <v>165600</v>
      </c>
      <c r="D20" s="41" t="n">
        <v>165.6</v>
      </c>
      <c r="E20" s="41" t="s">
        <v>603</v>
      </c>
      <c r="F20" s="41" t="s">
        <v>489</v>
      </c>
      <c r="G20" s="41" t="s">
        <v>745</v>
      </c>
    </row>
    <row r="21" customFormat="false" ht="12.8" hidden="false" customHeight="false" outlineLevel="0" collapsed="false">
      <c r="A21" s="41" t="s">
        <v>792</v>
      </c>
      <c r="B21" s="41" t="s">
        <v>793</v>
      </c>
      <c r="C21" s="41" t="n">
        <v>133000</v>
      </c>
      <c r="D21" s="41" t="n">
        <v>133</v>
      </c>
      <c r="E21" s="41" t="s">
        <v>603</v>
      </c>
      <c r="F21" s="41" t="s">
        <v>489</v>
      </c>
      <c r="G21" s="41" t="s">
        <v>745</v>
      </c>
    </row>
    <row r="22" customFormat="false" ht="12.8" hidden="false" customHeight="false" outlineLevel="0" collapsed="false">
      <c r="A22" s="41" t="s">
        <v>794</v>
      </c>
      <c r="B22" s="41" t="s">
        <v>795</v>
      </c>
      <c r="C22" s="41" t="n">
        <v>65000</v>
      </c>
      <c r="D22" s="41" t="n">
        <v>65</v>
      </c>
      <c r="E22" s="41" t="s">
        <v>603</v>
      </c>
      <c r="F22" s="41" t="s">
        <v>489</v>
      </c>
      <c r="G22" s="41" t="s">
        <v>745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BE33D"/>
    <pageSetUpPr fitToPage="false"/>
  </sheetPr>
  <dimension ref="A1:BP245"/>
  <sheetViews>
    <sheetView showFormulas="false" showGridLines="true" showRowColHeaders="true" showZeros="true" rightToLeft="false" tabSelected="false" showOutlineSymbols="true" defaultGridColor="true" view="normal" topLeftCell="A43" colorId="64" zoomScale="75" zoomScaleNormal="75" zoomScalePageLayoutView="100" workbookViewId="0">
      <selection pane="topLeft" activeCell="B56" activeCellId="1" sqref="155:249 B56"/>
    </sheetView>
  </sheetViews>
  <sheetFormatPr defaultColWidth="11.53515625" defaultRowHeight="12.8" customHeight="false" zeroHeight="false" outlineLevelRow="1" outlineLevelCol="0"/>
  <cols>
    <col collapsed="false" customWidth="false" hidden="false" outlineLevel="0" max="1" min="1" style="34" width="11.54"/>
    <col collapsed="false" customWidth="true" hidden="false" outlineLevel="0" max="2" min="2" style="23" width="41.5"/>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47" t="s">
        <v>796</v>
      </c>
      <c r="B1" s="30" t="s">
        <v>797</v>
      </c>
      <c r="C1" s="5" t="s">
        <v>2</v>
      </c>
      <c r="D1" s="48" t="s">
        <v>798</v>
      </c>
      <c r="AZ1" s="23"/>
      <c r="BP1" s="23"/>
    </row>
    <row r="2" customFormat="false" ht="35.05" hidden="false" customHeight="false" outlineLevel="0" collapsed="false">
      <c r="A2" s="25" t="s">
        <v>799</v>
      </c>
      <c r="B2" s="30" t="s">
        <v>800</v>
      </c>
      <c r="C2" s="30" t="str">
        <f aca="false">CALC!D3</f>
        <v>Labor Force Population</v>
      </c>
      <c r="D2" s="30" t="str">
        <f aca="false">CALC!E3</f>
        <v>Authorized Labor Force Population</v>
      </c>
      <c r="E2" s="30" t="str">
        <f aca="false">CALC!F3</f>
        <v>Unauthorized Labor Force Population</v>
      </c>
      <c r="F2" s="30" t="str">
        <f aca="false">CALC!G3</f>
        <v>American Labor Force Population</v>
      </c>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row>
    <row r="3" customFormat="false" ht="12.8" hidden="false" customHeight="false" outlineLevel="0" collapsed="false">
      <c r="A3" s="3" t="str">
        <f aca="false">_xlfn.CONCAT($A$1, ".", CALC!A4)</f>
        <v>LSD.RID.0.AR.LFP.0</v>
      </c>
      <c r="B3" s="46" t="str">
        <f aca="false">_xlfn.CONCAT(CALC!B4, ":", CALC!C4)</f>
        <v>All Industries:All Roles</v>
      </c>
      <c r="C3" s="35" t="n">
        <f aca="false">CALC!D4</f>
        <v>1444246</v>
      </c>
      <c r="D3" s="35" t="n">
        <f aca="false">CALC!E4</f>
        <v>57770</v>
      </c>
      <c r="E3" s="35" t="n">
        <f aca="false">CALC!F4</f>
        <v>50000</v>
      </c>
      <c r="F3" s="35" t="n">
        <f aca="false">CALC!G4</f>
        <v>1335928</v>
      </c>
      <c r="AZ3" s="23"/>
      <c r="BA3" s="23"/>
      <c r="BB3" s="23"/>
      <c r="BC3" s="23"/>
      <c r="BP3" s="23"/>
    </row>
    <row r="4" customFormat="false" ht="12.8" hidden="false" customHeight="false" outlineLevel="0" collapsed="false">
      <c r="A4" s="47" t="str">
        <f aca="false">_xlfn.CONCAT($A$1, ".", CALC!A5)</f>
        <v>LSD.RID.0.AR.LFP.1</v>
      </c>
      <c r="B4" s="49" t="str">
        <f aca="false">_xlfn.CONCAT(CALC!B5, ": ", CALC!C5)</f>
        <v>Agriculture: Worker</v>
      </c>
      <c r="C4" s="23" t="n">
        <f aca="false">CALC!D5</f>
        <v>28319</v>
      </c>
      <c r="D4" s="23" t="n">
        <f aca="false">CALC!E5</f>
        <v>1133</v>
      </c>
      <c r="E4" s="23" t="n">
        <f aca="false">CALC!F5</f>
        <v>1962</v>
      </c>
      <c r="F4" s="23" t="n">
        <f aca="false">CALC!G5</f>
        <v>23788</v>
      </c>
      <c r="AZ4" s="23"/>
      <c r="BA4" s="23"/>
      <c r="BB4" s="23"/>
      <c r="BC4" s="23"/>
      <c r="BP4" s="23"/>
    </row>
    <row r="5" customFormat="false" ht="12.8" hidden="false" customHeight="false" outlineLevel="0" collapsed="false">
      <c r="A5" s="47" t="str">
        <f aca="false">_xlfn.CONCAT($A$1, ".", CALC!A6)</f>
        <v>LSD.RID.0.AR.LFP.2</v>
      </c>
      <c r="B5" s="49" t="str">
        <f aca="false">_xlfn.CONCAT(CALC!B6, ": ", CALC!C6)</f>
        <v>Agriculture: Support</v>
      </c>
      <c r="C5" s="23" t="n">
        <f aca="false">CALC!D6</f>
        <v>7080</v>
      </c>
      <c r="D5" s="23" t="n">
        <f aca="false">CALC!E6</f>
        <v>283</v>
      </c>
      <c r="E5" s="23" t="n">
        <f aca="false">CALC!F6</f>
        <v>491</v>
      </c>
      <c r="F5" s="23" t="n">
        <f aca="false">CALC!G6</f>
        <v>5947</v>
      </c>
      <c r="AZ5" s="23"/>
      <c r="BA5" s="23"/>
      <c r="BB5" s="23"/>
      <c r="BC5" s="23"/>
      <c r="BP5" s="23"/>
    </row>
    <row r="6" customFormat="false" ht="12.8" hidden="false" customHeight="false" outlineLevel="0" collapsed="false">
      <c r="A6" s="47" t="str">
        <f aca="false">_xlfn.CONCAT($A$1, ".", CALC!A7)</f>
        <v>LSD.RID.0.AR.LFP.3</v>
      </c>
      <c r="B6" s="49" t="str">
        <f aca="false">_xlfn.CONCAT(CALC!B7, ": ", CALC!C7)</f>
        <v>Construction: Worker</v>
      </c>
      <c r="C6" s="23" t="n">
        <f aca="false">CALC!D7</f>
        <v>55363</v>
      </c>
      <c r="D6" s="23" t="n">
        <f aca="false">CALC!E7</f>
        <v>2215</v>
      </c>
      <c r="E6" s="23" t="n">
        <f aca="false">CALC!F7</f>
        <v>5754</v>
      </c>
      <c r="F6" s="23" t="n">
        <f aca="false">CALC!G7</f>
        <v>43183</v>
      </c>
      <c r="AZ6" s="23"/>
      <c r="BA6" s="23"/>
      <c r="BB6" s="23"/>
      <c r="BC6" s="23"/>
      <c r="BP6" s="23"/>
    </row>
    <row r="7" customFormat="false" ht="12.8" hidden="false" customHeight="false" outlineLevel="0" collapsed="false">
      <c r="A7" s="47" t="str">
        <f aca="false">_xlfn.CONCAT($A$1, ".", CALC!A8)</f>
        <v>LSD.RID.0.AR.LFP.4</v>
      </c>
      <c r="B7" s="49" t="str">
        <f aca="false">_xlfn.CONCAT(CALC!B8, ": ", CALC!C8)</f>
        <v>Construction: Support</v>
      </c>
      <c r="C7" s="23" t="n">
        <f aca="false">CALC!D8</f>
        <v>13841</v>
      </c>
      <c r="D7" s="23" t="n">
        <f aca="false">CALC!E8</f>
        <v>554</v>
      </c>
      <c r="E7" s="23" t="n">
        <f aca="false">CALC!F8</f>
        <v>1439</v>
      </c>
      <c r="F7" s="23" t="n">
        <f aca="false">CALC!G8</f>
        <v>10796</v>
      </c>
      <c r="AZ7" s="23"/>
      <c r="BA7" s="23"/>
      <c r="BB7" s="23"/>
      <c r="BC7" s="23"/>
      <c r="BP7" s="23"/>
    </row>
    <row r="8" customFormat="false" ht="12.8" hidden="false" customHeight="false" outlineLevel="0" collapsed="false">
      <c r="A8" s="47" t="str">
        <f aca="false">_xlfn.CONCAT($A$1, ".", CALC!A9)</f>
        <v>LSD.RID.0.AR.LFP.5</v>
      </c>
      <c r="B8" s="49" t="str">
        <f aca="false">_xlfn.CONCAT(CALC!B9, ": ", CALC!C9)</f>
        <v>Hospitality: Worker</v>
      </c>
      <c r="C8" s="23" t="n">
        <f aca="false">CALC!D9</f>
        <v>119700</v>
      </c>
      <c r="D8" s="23" t="n">
        <f aca="false">CALC!E9</f>
        <v>4788</v>
      </c>
      <c r="E8" s="23" t="n">
        <f aca="false">CALC!F9</f>
        <v>9576</v>
      </c>
      <c r="F8" s="23" t="n">
        <f aca="false">CALC!G9</f>
        <v>99336</v>
      </c>
      <c r="AZ8" s="23"/>
      <c r="BA8" s="23"/>
      <c r="BB8" s="23"/>
      <c r="BC8" s="23"/>
      <c r="BP8" s="23"/>
    </row>
    <row r="9" customFormat="false" ht="12.8" hidden="false" customHeight="false" outlineLevel="0" collapsed="false">
      <c r="A9" s="47" t="str">
        <f aca="false">_xlfn.CONCAT($A$1, ".", CALC!A10)</f>
        <v>LSD.RID.0.AR.LFP.6</v>
      </c>
      <c r="B9" s="49" t="str">
        <f aca="false">_xlfn.CONCAT(CALC!B10, ": ", CALC!C10)</f>
        <v>Hospitality: Support</v>
      </c>
      <c r="C9" s="23" t="n">
        <f aca="false">CALC!D10</f>
        <v>29925</v>
      </c>
      <c r="D9" s="23" t="n">
        <f aca="false">CALC!E10</f>
        <v>1197</v>
      </c>
      <c r="E9" s="23" t="n">
        <f aca="false">CALC!F10</f>
        <v>2394</v>
      </c>
      <c r="F9" s="23" t="n">
        <f aca="false">CALC!G10</f>
        <v>24834</v>
      </c>
      <c r="AZ9" s="23"/>
      <c r="BA9" s="23"/>
      <c r="BB9" s="23"/>
      <c r="BC9" s="23"/>
      <c r="BP9" s="23"/>
    </row>
    <row r="10" customFormat="false" ht="12.8" hidden="false" customHeight="false" outlineLevel="0" collapsed="false">
      <c r="A10" s="47" t="str">
        <f aca="false">_xlfn.CONCAT($A$1, ".", CALC!A11)</f>
        <v>LSD.RID.0.AR.LFP.7</v>
      </c>
      <c r="B10" s="49" t="str">
        <f aca="false">_xlfn.CONCAT(CALC!B11, ": ", CALC!C11)</f>
        <v>Cleaning &amp; Maintenance: Worker</v>
      </c>
      <c r="C10" s="23" t="n">
        <f aca="false">CALC!D11</f>
        <v>42500</v>
      </c>
      <c r="D10" s="23" t="n">
        <f aca="false">CALC!E11</f>
        <v>1700</v>
      </c>
      <c r="E10" s="23" t="n">
        <f aca="false">CALC!F11</f>
        <v>4250</v>
      </c>
      <c r="F10" s="23" t="n">
        <f aca="false">CALC!G11</f>
        <v>36550</v>
      </c>
      <c r="AZ10" s="23"/>
      <c r="BA10" s="23"/>
      <c r="BB10" s="23"/>
      <c r="BC10" s="23"/>
      <c r="BP10" s="23"/>
    </row>
    <row r="11" customFormat="false" ht="12.8" hidden="false" customHeight="false" outlineLevel="0" collapsed="false">
      <c r="A11" s="47" t="str">
        <f aca="false">_xlfn.CONCAT($A$1, ".", CALC!A12)</f>
        <v>LSD.RID.0.AR.LFP.8</v>
      </c>
      <c r="B11" s="49" t="str">
        <f aca="false">_xlfn.CONCAT(CALC!B12, ": ", CALC!C12)</f>
        <v>Cleaning &amp; Maintenance: Support</v>
      </c>
      <c r="C11" s="23" t="n">
        <f aca="false">CALC!D12</f>
        <v>10625</v>
      </c>
      <c r="D11" s="23" t="n">
        <f aca="false">CALC!E12</f>
        <v>425</v>
      </c>
      <c r="E11" s="23" t="n">
        <f aca="false">CALC!F12</f>
        <v>1063</v>
      </c>
      <c r="F11" s="23" t="n">
        <f aca="false">CALC!G12</f>
        <v>9138</v>
      </c>
      <c r="AZ11" s="23"/>
      <c r="BA11" s="23"/>
      <c r="BB11" s="23"/>
      <c r="BC11" s="23"/>
      <c r="BP11" s="23"/>
    </row>
    <row r="12" customFormat="false" ht="12.8" hidden="false" customHeight="false" outlineLevel="0" collapsed="false">
      <c r="A12" s="47" t="str">
        <f aca="false">_xlfn.CONCAT($A$1, ".", CALC!A13)</f>
        <v>LSD.RID.0.AR.LFP.9</v>
      </c>
      <c r="B12" s="49" t="str">
        <f aca="false">_xlfn.CONCAT(CALC!B13, ": ", CALC!C13)</f>
        <v>Manufacturing: Worker</v>
      </c>
      <c r="C12" s="23" t="n">
        <f aca="false">CALC!D13</f>
        <v>149040</v>
      </c>
      <c r="D12" s="23" t="n">
        <f aca="false">CALC!E13</f>
        <v>5962</v>
      </c>
      <c r="E12" s="23" t="n">
        <f aca="false">CALC!F13</f>
        <v>11924</v>
      </c>
      <c r="F12" s="23" t="n">
        <f aca="false">CALC!G13</f>
        <v>131154</v>
      </c>
      <c r="AZ12" s="23"/>
      <c r="BA12" s="23"/>
      <c r="BB12" s="23"/>
      <c r="BC12" s="23"/>
      <c r="BP12" s="23"/>
    </row>
    <row r="13" customFormat="false" ht="12.8" hidden="false" customHeight="false" outlineLevel="0" collapsed="false">
      <c r="A13" s="47" t="str">
        <f aca="false">_xlfn.CONCAT($A$1, ".", CALC!A14)</f>
        <v>LSD.RID.0.AR.LFP.10</v>
      </c>
      <c r="B13" s="49" t="str">
        <f aca="false">_xlfn.CONCAT(CALC!B14, ": ", CALC!C14)</f>
        <v>Manufacturing: Support</v>
      </c>
      <c r="C13" s="23" t="n">
        <f aca="false">CALC!D14</f>
        <v>37921</v>
      </c>
      <c r="D13" s="23" t="n">
        <f aca="false">CALC!E14</f>
        <v>1517</v>
      </c>
      <c r="E13" s="23" t="n">
        <f aca="false">CALC!F14</f>
        <v>5309</v>
      </c>
      <c r="F13" s="23" t="n">
        <f aca="false">CALC!G14</f>
        <v>31095</v>
      </c>
      <c r="AZ13" s="23"/>
      <c r="BA13" s="23"/>
      <c r="BB13" s="23"/>
      <c r="BC13" s="23"/>
      <c r="BP13" s="23"/>
    </row>
    <row r="14" customFormat="false" ht="12.8" hidden="false" customHeight="false" outlineLevel="0" collapsed="false">
      <c r="A14" s="47" t="str">
        <f aca="false">_xlfn.CONCAT($A$1, ".", CALC!A15)</f>
        <v>LSD.RID.0.AR.LFP.11</v>
      </c>
      <c r="B14" s="49" t="str">
        <f aca="false">_xlfn.CONCAT(CALC!B15, ": ", CALC!C15)</f>
        <v>Transportation &amp; Warehousing: Worker</v>
      </c>
      <c r="C14" s="23" t="n">
        <f aca="false">CALC!D15</f>
        <v>109556</v>
      </c>
      <c r="D14" s="23" t="n">
        <f aca="false">CALC!E15</f>
        <v>4382</v>
      </c>
      <c r="E14" s="23" t="n">
        <f aca="false">CALC!F15</f>
        <v>10956</v>
      </c>
      <c r="F14" s="23" t="n">
        <f aca="false">CALC!G15</f>
        <v>94218</v>
      </c>
      <c r="AZ14" s="23"/>
      <c r="BA14" s="23"/>
      <c r="BB14" s="23"/>
      <c r="BC14" s="23"/>
      <c r="BP14" s="23"/>
    </row>
    <row r="15" customFormat="false" ht="12.8" hidden="false" customHeight="false" outlineLevel="0" collapsed="false">
      <c r="A15" s="47" t="str">
        <f aca="false">_xlfn.CONCAT($A$1, ".", CALC!A16)</f>
        <v>LSD.RID.0.AR.LFP.12</v>
      </c>
      <c r="B15" s="49" t="str">
        <f aca="false">_xlfn.CONCAT(CALC!B16, ": ", CALC!C16)</f>
        <v>Transportation &amp; Warehousing: Support</v>
      </c>
      <c r="C15" s="23" t="n">
        <f aca="false">CALC!D16</f>
        <v>36519</v>
      </c>
      <c r="D15" s="23" t="n">
        <f aca="false">CALC!E16</f>
        <v>1461</v>
      </c>
      <c r="E15" s="23" t="n">
        <f aca="false">CALC!F16</f>
        <v>3652</v>
      </c>
      <c r="F15" s="23" t="n">
        <f aca="false">CALC!G16</f>
        <v>31406</v>
      </c>
      <c r="AZ15" s="23"/>
      <c r="BA15" s="23"/>
      <c r="BB15" s="23"/>
      <c r="BC15" s="23"/>
      <c r="BP15" s="23"/>
    </row>
    <row r="16" customFormat="false" ht="12.8" hidden="false" customHeight="false" outlineLevel="0" collapsed="false">
      <c r="A16" s="47" t="str">
        <f aca="false">_xlfn.CONCAT($A$1, ".", CALC!A17)</f>
        <v>LSD.RID.0.AR.LFP.13</v>
      </c>
      <c r="B16" s="49" t="str">
        <f aca="false">_xlfn.CONCAT(CALC!B17, ": ", CALC!C17)</f>
        <v>Retail Trade: Worker</v>
      </c>
      <c r="C16" s="23" t="n">
        <f aca="false">CALC!D17</f>
        <v>122703</v>
      </c>
      <c r="D16" s="23" t="n">
        <f aca="false">CALC!E17</f>
        <v>4908</v>
      </c>
      <c r="E16" s="23" t="n">
        <f aca="false">CALC!F17</f>
        <v>9816</v>
      </c>
      <c r="F16" s="23" t="n">
        <f aca="false">CALC!G17</f>
        <v>107979</v>
      </c>
      <c r="AZ16" s="23"/>
      <c r="BA16" s="23"/>
      <c r="BB16" s="23"/>
      <c r="BC16" s="23"/>
      <c r="BP16" s="23"/>
    </row>
    <row r="17" customFormat="false" ht="12.8" hidden="false" customHeight="false" outlineLevel="0" collapsed="false">
      <c r="A17" s="47" t="str">
        <f aca="false">_xlfn.CONCAT($A$1, ".", CALC!A18)</f>
        <v>LSD.RID.0.AR.LFP.14</v>
      </c>
      <c r="B17" s="49" t="str">
        <f aca="false">_xlfn.CONCAT(CALC!B18, ": ", CALC!C18)</f>
        <v>Retail Trade: Support</v>
      </c>
      <c r="C17" s="23" t="n">
        <f aca="false">CALC!D18</f>
        <v>52587</v>
      </c>
      <c r="D17" s="23" t="n">
        <f aca="false">CALC!E18</f>
        <v>2103</v>
      </c>
      <c r="E17" s="23" t="n">
        <f aca="false">CALC!F18</f>
        <v>4207</v>
      </c>
      <c r="F17" s="23" t="n">
        <f aca="false">CALC!G18</f>
        <v>46277</v>
      </c>
      <c r="AZ17" s="23"/>
      <c r="BA17" s="23"/>
      <c r="BB17" s="23"/>
      <c r="BC17" s="23"/>
      <c r="BP17" s="23"/>
    </row>
    <row r="18" customFormat="false" ht="12.8" hidden="false" customHeight="false" outlineLevel="0" collapsed="false">
      <c r="A18" s="47" t="str">
        <f aca="false">_xlfn.CONCAT($A$1, ".", CALC!A19)</f>
        <v>LSD.RID.0.AR.LFP.15</v>
      </c>
      <c r="B18" s="49" t="str">
        <f aca="false">_xlfn.CONCAT(CALC!B19, ": ", CALC!C19)</f>
        <v>Landscaping / Groundskeeping: Worker</v>
      </c>
      <c r="C18" s="23" t="n">
        <f aca="false">CALC!D19</f>
        <v>18625</v>
      </c>
      <c r="D18" s="23" t="n">
        <f aca="false">CALC!E19</f>
        <v>745</v>
      </c>
      <c r="E18" s="23" t="n">
        <f aca="false">CALC!F19</f>
        <v>2794</v>
      </c>
      <c r="F18" s="23" t="n">
        <f aca="false">CALC!G19</f>
        <v>15086</v>
      </c>
      <c r="AZ18" s="23"/>
      <c r="BA18" s="23"/>
      <c r="BB18" s="23"/>
      <c r="BC18" s="23"/>
      <c r="BP18" s="23"/>
    </row>
    <row r="19" customFormat="false" ht="12.8" hidden="false" customHeight="false" outlineLevel="0" collapsed="false">
      <c r="A19" s="47" t="str">
        <f aca="false">_xlfn.CONCAT($A$1, ".", CALC!A20)</f>
        <v>LSD.RID.0.AR.LFP.16</v>
      </c>
      <c r="B19" s="49" t="str">
        <f aca="false">_xlfn.CONCAT(CALC!B20, ": ", CALC!C20)</f>
        <v>Landscaping / Groundskeeping: Support</v>
      </c>
      <c r="C19" s="23" t="n">
        <f aca="false">CALC!D20</f>
        <v>3287</v>
      </c>
      <c r="D19" s="23" t="n">
        <f aca="false">CALC!E20</f>
        <v>131</v>
      </c>
      <c r="E19" s="23" t="n">
        <f aca="false">CALC!F20</f>
        <v>493</v>
      </c>
      <c r="F19" s="23" t="n">
        <f aca="false">CALC!G20</f>
        <v>2662</v>
      </c>
      <c r="AZ19" s="23"/>
      <c r="BA19" s="23"/>
      <c r="BB19" s="23"/>
      <c r="BC19" s="23"/>
      <c r="BP19" s="23"/>
    </row>
    <row r="20" customFormat="false" ht="12.8" hidden="false" customHeight="false" outlineLevel="0" collapsed="false">
      <c r="A20" s="47" t="str">
        <f aca="false">_xlfn.CONCAT($A$1, ".", CALC!A21)</f>
        <v>LSD.RID.0.AR.LFP.17</v>
      </c>
      <c r="B20" s="49" t="str">
        <f aca="false">_xlfn.CONCAT(CALC!B21, ": ", CALC!C21)</f>
        <v>Automotive &amp; Repair: Worker</v>
      </c>
      <c r="C20" s="23" t="n">
        <f aca="false">CALC!D21</f>
        <v>23372</v>
      </c>
      <c r="D20" s="23" t="n">
        <f aca="false">CALC!E21</f>
        <v>935</v>
      </c>
      <c r="E20" s="23" t="n">
        <f aca="false">CALC!F21</f>
        <v>2805</v>
      </c>
      <c r="F20" s="23" t="n">
        <f aca="false">CALC!G21</f>
        <v>19633</v>
      </c>
      <c r="AZ20" s="23"/>
      <c r="BA20" s="23"/>
      <c r="BB20" s="23"/>
      <c r="BC20" s="23"/>
      <c r="BP20" s="23"/>
    </row>
    <row r="21" customFormat="false" ht="12.8" hidden="false" customHeight="false" outlineLevel="0" collapsed="false">
      <c r="A21" s="47" t="str">
        <f aca="false">_xlfn.CONCAT($A$1, ".", CALC!A22)</f>
        <v>LSD.RID.0.AR.LFP.18</v>
      </c>
      <c r="B21" s="49" t="str">
        <f aca="false">_xlfn.CONCAT(CALC!B22, ": ", CALC!C22)</f>
        <v>Automotive &amp; Repair: Support</v>
      </c>
      <c r="C21" s="23" t="n">
        <f aca="false">CALC!D22</f>
        <v>5843</v>
      </c>
      <c r="D21" s="23" t="n">
        <f aca="false">CALC!E22</f>
        <v>234</v>
      </c>
      <c r="E21" s="23" t="n">
        <f aca="false">CALC!F22</f>
        <v>701</v>
      </c>
      <c r="F21" s="23" t="n">
        <f aca="false">CALC!G22</f>
        <v>4908</v>
      </c>
      <c r="AZ21" s="23"/>
      <c r="BA21" s="23"/>
      <c r="BB21" s="23"/>
      <c r="BC21" s="23"/>
      <c r="BP21" s="23"/>
    </row>
    <row r="22" customFormat="false" ht="12.8" hidden="false" customHeight="false" outlineLevel="0" collapsed="false">
      <c r="A22" s="47" t="str">
        <f aca="false">_xlfn.CONCAT($A$1, ".", CALC!A23)</f>
        <v>LSD.RID.0.AR.LFP.19</v>
      </c>
      <c r="B22" s="49" t="str">
        <f aca="false">_xlfn.CONCAT(CALC!B23, ": ", CALC!C23)</f>
        <v>Healthcare &amp; Social Assistance: Worker</v>
      </c>
      <c r="C22" s="23" t="n">
        <f aca="false">CALC!D23</f>
        <v>175290</v>
      </c>
      <c r="D22" s="23" t="n">
        <f aca="false">CALC!E23</f>
        <v>7012</v>
      </c>
      <c r="E22" s="23" t="n">
        <f aca="false">CALC!F23</f>
        <v>8765</v>
      </c>
      <c r="F22" s="23" t="n">
        <f aca="false">CALC!G23</f>
        <v>159514</v>
      </c>
      <c r="AZ22" s="23"/>
      <c r="BA22" s="23"/>
      <c r="BB22" s="23"/>
      <c r="BC22" s="23"/>
      <c r="BP22" s="23"/>
    </row>
    <row r="23" customFormat="false" ht="12.8" hidden="false" customHeight="false" outlineLevel="0" collapsed="false">
      <c r="A23" s="47" t="str">
        <f aca="false">_xlfn.CONCAT($A$1, ".", CALC!A24)</f>
        <v>LSD.RID.0.AR.LFP.20</v>
      </c>
      <c r="B23" s="49" t="str">
        <f aca="false">_xlfn.CONCAT(CALC!B24, ": ", CALC!C24)</f>
        <v>Healthcare &amp; Social Assistance: Support</v>
      </c>
      <c r="C23" s="23" t="n">
        <f aca="false">CALC!D24</f>
        <v>43823</v>
      </c>
      <c r="D23" s="23" t="n">
        <f aca="false">CALC!E24</f>
        <v>1753</v>
      </c>
      <c r="E23" s="23" t="n">
        <f aca="false">CALC!F24</f>
        <v>2191</v>
      </c>
      <c r="F23" s="23" t="n">
        <f aca="false">CALC!G24</f>
        <v>39879</v>
      </c>
      <c r="AZ23" s="23"/>
      <c r="BA23" s="23"/>
      <c r="BB23" s="23"/>
      <c r="BC23" s="23"/>
      <c r="BP23" s="23"/>
    </row>
    <row r="24" customFormat="false" ht="12.8" hidden="false" customHeight="false" outlineLevel="0" collapsed="false">
      <c r="A24" s="47" t="str">
        <f aca="false">_xlfn.CONCAT($A$1, ".", CALC!A25)</f>
        <v>LSD.RID.0.AR.LFP.21</v>
      </c>
      <c r="B24" s="49" t="str">
        <f aca="false">_xlfn.CONCAT(CALC!B25, ": ", CALC!C25)</f>
        <v>Professional Services: Worker</v>
      </c>
      <c r="C24" s="23" t="n">
        <f aca="false">CALC!D25</f>
        <v>85000</v>
      </c>
      <c r="D24" s="23" t="n">
        <f aca="false">CALC!E25</f>
        <v>3400</v>
      </c>
      <c r="E24" s="23" t="n">
        <f aca="false">CALC!F25</f>
        <v>6800</v>
      </c>
      <c r="F24" s="23" t="n">
        <f aca="false">CALC!G25</f>
        <v>74800</v>
      </c>
      <c r="AZ24" s="23"/>
      <c r="BA24" s="23"/>
      <c r="BB24" s="23"/>
      <c r="BC24" s="23"/>
      <c r="BP24" s="23"/>
    </row>
    <row r="25" customFormat="false" ht="12.8" hidden="false" customHeight="false" outlineLevel="0" collapsed="false">
      <c r="A25" s="47" t="str">
        <f aca="false">_xlfn.CONCAT($A$1, ".", CALC!A26)</f>
        <v>LSD.RID.0.AR.LFP.22</v>
      </c>
      <c r="B25" s="49" t="str">
        <f aca="false">_xlfn.CONCAT(CALC!B26, ": ", CALC!C26)</f>
        <v>Professional Services: Support</v>
      </c>
      <c r="C25" s="23" t="n">
        <f aca="false">CALC!D26</f>
        <v>21250</v>
      </c>
      <c r="D25" s="23" t="n">
        <f aca="false">CALC!E26</f>
        <v>850</v>
      </c>
      <c r="E25" s="23" t="n">
        <f aca="false">CALC!F26</f>
        <v>1700</v>
      </c>
      <c r="F25" s="23" t="n">
        <f aca="false">CALC!G26</f>
        <v>18700</v>
      </c>
      <c r="AZ25" s="23"/>
      <c r="BA25" s="23"/>
      <c r="BB25" s="23"/>
      <c r="BC25" s="23"/>
      <c r="BP25" s="23"/>
    </row>
    <row r="26" customFormat="false" ht="12.8" hidden="false" customHeight="false" outlineLevel="0" collapsed="false">
      <c r="A26" s="47" t="str">
        <f aca="false">_xlfn.CONCAT($A$1, ".", CALC!A27)</f>
        <v>LSD.RID.0.AR.LFP.23</v>
      </c>
      <c r="B26" s="49" t="str">
        <f aca="false">_xlfn.CONCAT(CALC!B27, ": ", CALC!C27)</f>
        <v>Educational Services: Worker</v>
      </c>
      <c r="C26" s="23" t="n">
        <f aca="false">CALC!D27</f>
        <v>85000</v>
      </c>
      <c r="D26" s="23" t="n">
        <f aca="false">CALC!E27</f>
        <v>3400</v>
      </c>
      <c r="E26" s="23" t="n">
        <f aca="false">CALC!F27</f>
        <v>6800</v>
      </c>
      <c r="F26" s="23" t="n">
        <f aca="false">CALC!G27</f>
        <v>74800</v>
      </c>
      <c r="AZ26" s="23"/>
      <c r="BA26" s="23"/>
      <c r="BB26" s="23"/>
      <c r="BC26" s="23"/>
      <c r="BP26" s="23"/>
    </row>
    <row r="27" customFormat="false" ht="12.8" hidden="false" customHeight="false" outlineLevel="0" collapsed="false">
      <c r="A27" s="47" t="str">
        <f aca="false">_xlfn.CONCAT($A$1, ".", CALC!A28)</f>
        <v>LSD.RID.0.AR.LFP.24</v>
      </c>
      <c r="B27" s="49" t="str">
        <f aca="false">_xlfn.CONCAT(CALC!B28, ": ", CALC!C28)</f>
        <v>Educational Services: Support</v>
      </c>
      <c r="C27" s="23" t="n">
        <f aca="false">CALC!D28</f>
        <v>21250</v>
      </c>
      <c r="D27" s="23" t="n">
        <f aca="false">CALC!E28</f>
        <v>850</v>
      </c>
      <c r="E27" s="23" t="n">
        <f aca="false">CALC!F28</f>
        <v>1700</v>
      </c>
      <c r="F27" s="23" t="n">
        <f aca="false">CALC!G28</f>
        <v>18700</v>
      </c>
      <c r="AZ27" s="23"/>
      <c r="BA27" s="23"/>
      <c r="BB27" s="23"/>
      <c r="BC27" s="23"/>
      <c r="BP27" s="23"/>
    </row>
    <row r="28" customFormat="false" ht="12.8" hidden="false" customHeight="false" outlineLevel="0" collapsed="false">
      <c r="A28" s="47" t="str">
        <f aca="false">_xlfn.CONCAT($A$1, ".", CALC!A29)</f>
        <v>LSD.RID.0.AR.LFP.25</v>
      </c>
      <c r="B28" s="49" t="str">
        <f aca="false">_xlfn.CONCAT(CALC!B29, ": ", CALC!C29)</f>
        <v>Finance &amp; Insurance: Worker</v>
      </c>
      <c r="C28" s="23" t="n">
        <f aca="false">CALC!D29</f>
        <v>42500</v>
      </c>
      <c r="D28" s="23" t="n">
        <f aca="false">CALC!E29</f>
        <v>1700</v>
      </c>
      <c r="E28" s="23" t="n">
        <f aca="false">CALC!F29</f>
        <v>3400</v>
      </c>
      <c r="F28" s="23" t="n">
        <f aca="false">CALC!G29</f>
        <v>37400</v>
      </c>
      <c r="AZ28" s="23"/>
      <c r="BA28" s="23"/>
      <c r="BB28" s="23"/>
      <c r="BC28" s="23"/>
      <c r="BP28" s="23"/>
    </row>
    <row r="29" customFormat="false" ht="12.8" hidden="false" customHeight="false" outlineLevel="0" collapsed="false">
      <c r="A29" s="47" t="str">
        <f aca="false">_xlfn.CONCAT($A$1, ".", CALC!A30)</f>
        <v>LSD.RID.0.AR.LFP.26</v>
      </c>
      <c r="B29" s="49" t="str">
        <f aca="false">_xlfn.CONCAT(CALC!B30, ": ", CALC!C30)</f>
        <v>Finance &amp; Insurance: Support</v>
      </c>
      <c r="C29" s="23" t="n">
        <f aca="false">CALC!D30</f>
        <v>10625</v>
      </c>
      <c r="D29" s="23" t="n">
        <f aca="false">CALC!E30</f>
        <v>425</v>
      </c>
      <c r="E29" s="23" t="n">
        <f aca="false">CALC!F30</f>
        <v>850</v>
      </c>
      <c r="F29" s="23" t="n">
        <f aca="false">CALC!G30</f>
        <v>9350</v>
      </c>
      <c r="AZ29" s="23"/>
      <c r="BA29" s="23"/>
      <c r="BB29" s="23"/>
      <c r="BC29" s="23"/>
      <c r="BP29" s="23"/>
    </row>
    <row r="30" customFormat="false" ht="12.8" hidden="false" customHeight="false" outlineLevel="0" collapsed="false">
      <c r="A30" s="47" t="str">
        <f aca="false">_xlfn.CONCAT($A$1, ".", CALC!A31)</f>
        <v>LSD.RID.0.AR.LFP.27</v>
      </c>
      <c r="B30" s="49" t="str">
        <f aca="false">_xlfn.CONCAT(CALC!B31, ": ", CALC!C31)</f>
        <v>Media and Information Technology: Worker</v>
      </c>
      <c r="C30" s="23" t="n">
        <f aca="false">CALC!D31</f>
        <v>21250</v>
      </c>
      <c r="D30" s="23" t="n">
        <f aca="false">CALC!E31</f>
        <v>850</v>
      </c>
      <c r="E30" s="23" t="n">
        <f aca="false">CALC!F31</f>
        <v>1700</v>
      </c>
      <c r="F30" s="23" t="n">
        <f aca="false">CALC!G31</f>
        <v>18700</v>
      </c>
      <c r="AZ30" s="23"/>
      <c r="BA30" s="23"/>
      <c r="BB30" s="23"/>
      <c r="BC30" s="23"/>
      <c r="BP30" s="23"/>
    </row>
    <row r="31" customFormat="false" ht="12.8" hidden="false" customHeight="false" outlineLevel="0" collapsed="false">
      <c r="A31" s="47" t="str">
        <f aca="false">_xlfn.CONCAT($A$1, ".", CALC!A32)</f>
        <v>LSD.RID.0.AR.LFP.28</v>
      </c>
      <c r="B31" s="49" t="str">
        <f aca="false">_xlfn.CONCAT(CALC!B32, ": ", CALC!C32)</f>
        <v>Media and Information Technology: Support</v>
      </c>
      <c r="C31" s="23" t="n">
        <f aca="false">CALC!D32</f>
        <v>5312</v>
      </c>
      <c r="D31" s="23" t="n">
        <f aca="false">CALC!E32</f>
        <v>212</v>
      </c>
      <c r="E31" s="23" t="n">
        <f aca="false">CALC!F32</f>
        <v>425</v>
      </c>
      <c r="F31" s="23" t="n">
        <f aca="false">CALC!G32</f>
        <v>4675</v>
      </c>
      <c r="AZ31" s="23"/>
      <c r="BA31" s="23"/>
      <c r="BB31" s="23"/>
      <c r="BC31" s="23"/>
      <c r="BP31" s="23"/>
    </row>
    <row r="32" customFormat="false" ht="12.8" hidden="false" customHeight="false" outlineLevel="0" collapsed="false">
      <c r="A32" s="47" t="str">
        <f aca="false">_xlfn.CONCAT($A$1, ".", CALC!A33)</f>
        <v>LSD.RID.0.AR.LFP.29</v>
      </c>
      <c r="B32" s="49" t="str">
        <f aca="false">_xlfn.CONCAT(CALC!B33, ": ", CALC!C33)</f>
        <v>Government: Worker</v>
      </c>
      <c r="C32" s="23" t="n">
        <f aca="false">CALC!D33</f>
        <v>85000</v>
      </c>
      <c r="D32" s="23" t="n">
        <f aca="false">CALC!E33</f>
        <v>3400</v>
      </c>
      <c r="E32" s="23" t="n">
        <f aca="false">CALC!F33</f>
        <v>6800</v>
      </c>
      <c r="F32" s="23" t="n">
        <f aca="false">CALC!G33</f>
        <v>74800</v>
      </c>
      <c r="AZ32" s="23"/>
      <c r="BA32" s="23"/>
      <c r="BB32" s="23"/>
      <c r="BC32" s="23"/>
      <c r="BP32" s="23"/>
    </row>
    <row r="33" customFormat="false" ht="12.8" hidden="false" customHeight="false" outlineLevel="0" collapsed="false">
      <c r="A33" s="47" t="str">
        <f aca="false">_xlfn.CONCAT($A$1, ".", CALC!A34)</f>
        <v>LSD.RID.0.AR.LFP.30</v>
      </c>
      <c r="B33" s="49" t="str">
        <f aca="false">_xlfn.CONCAT(CALC!B34, ": ", CALC!C34)</f>
        <v>Government: Support</v>
      </c>
      <c r="C33" s="23" t="n">
        <f aca="false">CALC!D34</f>
        <v>21250</v>
      </c>
      <c r="D33" s="23" t="n">
        <f aca="false">CALC!E34</f>
        <v>850</v>
      </c>
      <c r="E33" s="23" t="n">
        <f aca="false">CALC!F34</f>
        <v>1700</v>
      </c>
      <c r="F33" s="23" t="n">
        <f aca="false">CALC!G34</f>
        <v>18700</v>
      </c>
      <c r="AZ33" s="23"/>
      <c r="BA33" s="23"/>
      <c r="BB33" s="23"/>
      <c r="BC33" s="23"/>
      <c r="BP33" s="23"/>
    </row>
    <row r="34" customFormat="false" ht="12.8" hidden="false" customHeight="false" outlineLevel="0" collapsed="false">
      <c r="A34" s="47" t="str">
        <f aca="false">_xlfn.CONCAT($A$1, ".", CALC!A35)</f>
        <v>LSD.RID.0.AR.LFP.31</v>
      </c>
      <c r="B34" s="49" t="str">
        <f aca="false">_xlfn.CONCAT(CALC!B35, ": ", CALC!C35)</f>
        <v>Self-Employed / Non-Employer: Support</v>
      </c>
      <c r="C34" s="23" t="n">
        <f aca="false">CALC!D35</f>
        <v>85000</v>
      </c>
      <c r="D34" s="23" t="n">
        <f aca="false">CALC!E35</f>
        <v>3400</v>
      </c>
      <c r="E34" s="23" t="n">
        <f aca="false">CALC!F35</f>
        <v>6800</v>
      </c>
      <c r="F34" s="23" t="n">
        <f aca="false">CALC!G35</f>
        <v>74800</v>
      </c>
      <c r="AZ34" s="23"/>
      <c r="BA34" s="23"/>
      <c r="BB34" s="23"/>
      <c r="BC34" s="23"/>
      <c r="BP34" s="23"/>
    </row>
    <row r="35" customFormat="false" ht="12.8" hidden="false" customHeight="false" outlineLevel="0" collapsed="false">
      <c r="A35" s="47" t="str">
        <f aca="false">_xlfn.CONCAT($A$1, ".", CALC!A36)</f>
        <v>LSD.RID.0.AR.LFP.32</v>
      </c>
      <c r="B35" s="49" t="str">
        <f aca="false">_xlfn.CONCAT(CALC!B36, ": ", CALC!C36)</f>
        <v>Self-Employed / Non-Employer: Worker</v>
      </c>
      <c r="C35" s="23" t="n">
        <f aca="false">CALC!D36</f>
        <v>212500</v>
      </c>
      <c r="D35" s="23" t="n">
        <f aca="false">CALC!E36</f>
        <v>8500</v>
      </c>
      <c r="E35" s="23" t="n">
        <f aca="false">CALC!F36</f>
        <v>17000</v>
      </c>
      <c r="F35" s="23" t="n">
        <f aca="false">CALC!G36</f>
        <v>187000</v>
      </c>
      <c r="AZ35" s="23"/>
      <c r="BA35" s="23"/>
      <c r="BB35" s="23"/>
      <c r="BC35" s="23"/>
      <c r="BP35" s="23"/>
    </row>
    <row r="36" customFormat="false" ht="12.8" hidden="false" customHeight="false" outlineLevel="0" collapsed="false">
      <c r="A36" s="47" t="str">
        <f aca="false">_xlfn.CONCAT($A$1, ".", CALC!A37)</f>
        <v>LSD.RID.0.AR.LFP.33</v>
      </c>
      <c r="B36" s="49" t="str">
        <f aca="false">_xlfn.CONCAT(CALC!B37, ": ", CALC!C37)</f>
        <v>Other Services: Support</v>
      </c>
      <c r="C36" s="23" t="n">
        <f aca="false">CALC!D37</f>
        <v>17000</v>
      </c>
      <c r="D36" s="23" t="n">
        <f aca="false">CALC!E37</f>
        <v>680</v>
      </c>
      <c r="E36" s="23" t="n">
        <f aca="false">CALC!F37</f>
        <v>1360</v>
      </c>
      <c r="F36" s="23" t="n">
        <f aca="false">CALC!G37</f>
        <v>14960</v>
      </c>
      <c r="AZ36" s="23"/>
      <c r="BA36" s="23"/>
      <c r="BB36" s="23"/>
      <c r="BC36" s="23"/>
      <c r="BP36" s="23"/>
    </row>
    <row r="37" customFormat="false" ht="12.8" hidden="false" customHeight="false" outlineLevel="0" collapsed="false">
      <c r="A37" s="47" t="str">
        <f aca="false">_xlfn.CONCAT($A$1, ".", CALC!A38)</f>
        <v>LSD.RID.0.AR.LFP.34</v>
      </c>
      <c r="B37" s="49" t="str">
        <f aca="false">_xlfn.CONCAT(CALC!B38, ": ", CALC!C38)</f>
        <v>Other Services: Worker</v>
      </c>
      <c r="C37" s="23" t="n">
        <f aca="false">CALC!D38</f>
        <v>68000</v>
      </c>
      <c r="D37" s="23" t="n">
        <f aca="false">CALC!E38</f>
        <v>2720</v>
      </c>
      <c r="E37" s="23" t="n">
        <f aca="false">CALC!F38</f>
        <v>5440</v>
      </c>
      <c r="F37" s="23" t="n">
        <f aca="false">CALC!G38</f>
        <v>59840</v>
      </c>
      <c r="AZ37" s="23"/>
      <c r="BA37" s="23"/>
      <c r="BB37" s="23"/>
      <c r="BC37" s="23"/>
      <c r="BP37" s="23"/>
    </row>
    <row r="38" customFormat="false" ht="12.8" hidden="false" customHeight="false" outlineLevel="0" collapsed="false">
      <c r="A38" s="47" t="str">
        <f aca="false">_xlfn.CONCAT($A$1, ".", CALC!A39)</f>
        <v>LSD.RID.0.AR.LFP.35</v>
      </c>
      <c r="B38" s="49" t="str">
        <f aca="false">_xlfn.CONCAT(CALC!B39, ": ", CALC!C39)</f>
        <v>Mining, Quarrying, and Oil/Gas Extraction: Support</v>
      </c>
      <c r="C38" s="23" t="n">
        <f aca="false">CALC!D39</f>
        <v>8500</v>
      </c>
      <c r="D38" s="23" t="n">
        <f aca="false">CALC!E39</f>
        <v>340</v>
      </c>
      <c r="E38" s="23" t="n">
        <f aca="false">CALC!F39</f>
        <v>680</v>
      </c>
      <c r="F38" s="23" t="n">
        <f aca="false">CALC!G39</f>
        <v>7480</v>
      </c>
      <c r="AZ38" s="23"/>
      <c r="BA38" s="23"/>
      <c r="BB38" s="23"/>
      <c r="BC38" s="23"/>
      <c r="BP38" s="23"/>
    </row>
    <row r="39" customFormat="false" ht="12.8" hidden="false" customHeight="false" outlineLevel="0" collapsed="false">
      <c r="A39" s="47" t="str">
        <f aca="false">_xlfn.CONCAT($A$1, ".", CALC!A40)</f>
        <v>LSD.RID.0.AR.LFP.36</v>
      </c>
      <c r="B39" s="49" t="str">
        <f aca="false">_xlfn.CONCAT(CALC!B40, ": ", CALC!C40)</f>
        <v>Mining, Quarrying, and Oil/Gas Extraction: Worker</v>
      </c>
      <c r="C39" s="23" t="n">
        <f aca="false">CALC!D40</f>
        <v>21250</v>
      </c>
      <c r="D39" s="23" t="n">
        <f aca="false">CALC!E40</f>
        <v>850</v>
      </c>
      <c r="E39" s="23" t="n">
        <f aca="false">CALC!F40</f>
        <v>1700</v>
      </c>
      <c r="F39" s="23" t="n">
        <f aca="false">CALC!G40</f>
        <v>18700</v>
      </c>
      <c r="AZ39" s="23"/>
      <c r="BA39" s="23"/>
      <c r="BB39" s="23"/>
      <c r="BC39" s="23"/>
      <c r="BP39" s="23"/>
    </row>
    <row r="40" customFormat="false" ht="12.8" hidden="false" customHeight="false" outlineLevel="0" collapsed="false">
      <c r="A40" s="47" t="str">
        <f aca="false">_xlfn.CONCAT($A$1, ".", CALC!A41)</f>
        <v>LSD.RID.0.AR.LFP.37</v>
      </c>
      <c r="B40" s="49" t="str">
        <f aca="false">_xlfn.CONCAT(CALC!B41, ": ", CALC!C41)</f>
        <v>Utilities: Support</v>
      </c>
      <c r="C40" s="23" t="n">
        <f aca="false">CALC!D41</f>
        <v>4250</v>
      </c>
      <c r="D40" s="23" t="n">
        <f aca="false">CALC!E41</f>
        <v>170</v>
      </c>
      <c r="E40" s="23" t="n">
        <f aca="false">CALC!F41</f>
        <v>340</v>
      </c>
      <c r="F40" s="23" t="n">
        <f aca="false">CALC!G41</f>
        <v>3740</v>
      </c>
      <c r="AZ40" s="23"/>
      <c r="BA40" s="23"/>
      <c r="BB40" s="23"/>
      <c r="BC40" s="23"/>
      <c r="BP40" s="23"/>
    </row>
    <row r="41" customFormat="false" ht="12.8" hidden="false" customHeight="false" outlineLevel="0" collapsed="false">
      <c r="A41" s="47" t="str">
        <f aca="false">_xlfn.CONCAT($A$1, ".", CALC!A42)</f>
        <v>LSD.RID.0.AR.LFP.38</v>
      </c>
      <c r="B41" s="49" t="str">
        <f aca="false">_xlfn.CONCAT(CALC!B42, ": ", CALC!C42)</f>
        <v>Utilities: Worker</v>
      </c>
      <c r="C41" s="23" t="n">
        <f aca="false">CALC!D42</f>
        <v>17000</v>
      </c>
      <c r="D41" s="23" t="n">
        <f aca="false">CALC!E42</f>
        <v>680</v>
      </c>
      <c r="E41" s="23" t="n">
        <f aca="false">CALC!F42</f>
        <v>1360</v>
      </c>
      <c r="F41" s="23" t="n">
        <f aca="false">CALC!G42</f>
        <v>14960</v>
      </c>
      <c r="AZ41" s="23"/>
      <c r="BA41" s="23"/>
      <c r="BB41" s="23"/>
      <c r="BC41" s="23"/>
      <c r="BP41" s="23"/>
    </row>
    <row r="42" customFormat="false" ht="12.8" hidden="false" customHeight="false" outlineLevel="0" collapsed="false">
      <c r="A42" s="47" t="str">
        <f aca="false">_xlfn.CONCAT($A$1, ".", CALC!A43)</f>
        <v>LSD.RID.0.AR.LFP.39</v>
      </c>
      <c r="B42" s="49" t="str">
        <f aca="false">_xlfn.CONCAT(CALC!B43, ": ", CALC!C43)</f>
        <v>Wholesale Trade: Support</v>
      </c>
      <c r="C42" s="23" t="n">
        <f aca="false">CALC!D43</f>
        <v>21250</v>
      </c>
      <c r="D42" s="23" t="n">
        <f aca="false">CALC!E43</f>
        <v>850</v>
      </c>
      <c r="E42" s="23" t="n">
        <f aca="false">CALC!F43</f>
        <v>1700</v>
      </c>
      <c r="F42" s="23" t="n">
        <f aca="false">CALC!G43</f>
        <v>18700</v>
      </c>
      <c r="AZ42" s="23"/>
      <c r="BA42" s="23"/>
      <c r="BB42" s="23"/>
      <c r="BC42" s="23"/>
      <c r="BP42" s="23"/>
    </row>
    <row r="43" customFormat="false" ht="12.8" hidden="false" customHeight="false" outlineLevel="0" collapsed="false">
      <c r="A43" s="47" t="str">
        <f aca="false">_xlfn.CONCAT($A$1, ".", CALC!A44)</f>
        <v>LSD.RID.0.AR.LFP.40</v>
      </c>
      <c r="B43" s="49" t="str">
        <f aca="false">_xlfn.CONCAT(CALC!B44, ": ", CALC!C44)</f>
        <v>Wholesale Trade: Worker</v>
      </c>
      <c r="C43" s="23" t="n">
        <f aca="false">CALC!D44</f>
        <v>85000</v>
      </c>
      <c r="D43" s="23" t="n">
        <f aca="false">CALC!E44</f>
        <v>3400</v>
      </c>
      <c r="E43" s="23" t="n">
        <f aca="false">CALC!F44</f>
        <v>6800</v>
      </c>
      <c r="F43" s="23" t="n">
        <f aca="false">CALC!G44</f>
        <v>74800</v>
      </c>
      <c r="AZ43" s="23"/>
      <c r="BA43" s="23"/>
      <c r="BB43" s="23"/>
      <c r="BC43" s="23"/>
      <c r="BP43" s="23"/>
    </row>
    <row r="44" customFormat="false" ht="12.8" hidden="false" customHeight="false" outlineLevel="0" collapsed="false">
      <c r="A44" s="47" t="str">
        <f aca="false">_xlfn.CONCAT($A$1, ".", CALC!A45)</f>
        <v>LSD.RID.0.AR.LFP.41</v>
      </c>
      <c r="B44" s="49" t="str">
        <f aca="false">_xlfn.CONCAT(CALC!B45, ": ", CALC!C45)</f>
        <v>Information: Support</v>
      </c>
      <c r="C44" s="23" t="n">
        <f aca="false">CALC!D45</f>
        <v>4250</v>
      </c>
      <c r="D44" s="23" t="n">
        <f aca="false">CALC!E45</f>
        <v>170</v>
      </c>
      <c r="E44" s="23" t="n">
        <f aca="false">CALC!F45</f>
        <v>340</v>
      </c>
      <c r="F44" s="23" t="n">
        <f aca="false">CALC!G45</f>
        <v>3740</v>
      </c>
      <c r="AZ44" s="23"/>
      <c r="BA44" s="23"/>
      <c r="BB44" s="23"/>
      <c r="BC44" s="23"/>
      <c r="BP44" s="23"/>
    </row>
    <row r="45" customFormat="false" ht="12.8" hidden="false" customHeight="false" outlineLevel="0" collapsed="false">
      <c r="A45" s="47" t="str">
        <f aca="false">_xlfn.CONCAT($A$1, ".", CALC!A46)</f>
        <v>LSD.RID.0.AR.LFP.42</v>
      </c>
      <c r="B45" s="49" t="str">
        <f aca="false">_xlfn.CONCAT(CALC!B46, ": ", CALC!C46)</f>
        <v>Information: Worker</v>
      </c>
      <c r="C45" s="23" t="n">
        <f aca="false">CALC!D46</f>
        <v>17000</v>
      </c>
      <c r="D45" s="23" t="n">
        <f aca="false">CALC!E46</f>
        <v>680</v>
      </c>
      <c r="E45" s="23" t="n">
        <f aca="false">CALC!F46</f>
        <v>1360</v>
      </c>
      <c r="F45" s="23" t="n">
        <f aca="false">CALC!G46</f>
        <v>14960</v>
      </c>
      <c r="AZ45" s="23"/>
      <c r="BA45" s="23"/>
      <c r="BB45" s="23"/>
      <c r="BC45" s="23"/>
      <c r="BP45" s="23"/>
    </row>
    <row r="46" customFormat="false" ht="12.8" hidden="false" customHeight="false" outlineLevel="0" collapsed="false">
      <c r="A46" s="47" t="str">
        <f aca="false">_xlfn.CONCAT($A$1, ".", CALC!A47)</f>
        <v>LSD.RID.0.AR.LFP.43</v>
      </c>
      <c r="B46" s="49" t="str">
        <f aca="false">_xlfn.CONCAT(CALC!B47, ": ", CALC!C47)</f>
        <v>Real Estate, Rental and Leasing: Support</v>
      </c>
      <c r="C46" s="23" t="n">
        <f aca="false">CALC!D47</f>
        <v>8500</v>
      </c>
      <c r="D46" s="23" t="n">
        <f aca="false">CALC!E47</f>
        <v>340</v>
      </c>
      <c r="E46" s="23" t="n">
        <f aca="false">CALC!F47</f>
        <v>680</v>
      </c>
      <c r="F46" s="23" t="n">
        <f aca="false">CALC!G47</f>
        <v>7480</v>
      </c>
      <c r="AZ46" s="23"/>
      <c r="BA46" s="23"/>
      <c r="BB46" s="23"/>
      <c r="BC46" s="23"/>
      <c r="BP46" s="23"/>
    </row>
    <row r="47" customFormat="false" ht="12.8" hidden="false" customHeight="false" outlineLevel="0" collapsed="false">
      <c r="A47" s="47" t="str">
        <f aca="false">_xlfn.CONCAT($A$1, ".", CALC!A48)</f>
        <v>LSD.RID.0.AR.LFP.44</v>
      </c>
      <c r="B47" s="49" t="str">
        <f aca="false">_xlfn.CONCAT(CALC!B48, ": ", CALC!C48)</f>
        <v>Real Estate, Rental and Leasing: Worker</v>
      </c>
      <c r="C47" s="23" t="n">
        <f aca="false">CALC!D48</f>
        <v>34000</v>
      </c>
      <c r="D47" s="23" t="n">
        <f aca="false">CALC!E48</f>
        <v>1360</v>
      </c>
      <c r="E47" s="23" t="n">
        <f aca="false">CALC!F48</f>
        <v>2720</v>
      </c>
      <c r="F47" s="23" t="n">
        <f aca="false">CALC!G48</f>
        <v>29920</v>
      </c>
      <c r="AZ47" s="23"/>
      <c r="BA47" s="23"/>
      <c r="BB47" s="23"/>
      <c r="BC47" s="23"/>
      <c r="BP47" s="23"/>
    </row>
    <row r="48" customFormat="false" ht="12.8" hidden="false" customHeight="false" outlineLevel="0" collapsed="false">
      <c r="A48" s="47" t="str">
        <f aca="false">_xlfn.CONCAT($A$1, ".", CALC!A49)</f>
        <v>LSD.RID.0.AR.LFP.45</v>
      </c>
      <c r="B48" s="49" t="str">
        <f aca="false">_xlfn.CONCAT(CALC!B49, ": ", CALC!C49)</f>
        <v>Waste Management Services: Support</v>
      </c>
      <c r="C48" s="23" t="n">
        <f aca="false">CALC!D49</f>
        <v>4250</v>
      </c>
      <c r="D48" s="23" t="n">
        <f aca="false">CALC!E49</f>
        <v>170</v>
      </c>
      <c r="E48" s="23" t="n">
        <f aca="false">CALC!F49</f>
        <v>340</v>
      </c>
      <c r="F48" s="23" t="n">
        <f aca="false">CALC!G49</f>
        <v>3740</v>
      </c>
      <c r="AZ48" s="23"/>
      <c r="BA48" s="23"/>
      <c r="BB48" s="23"/>
      <c r="BC48" s="23"/>
      <c r="BP48" s="23"/>
    </row>
    <row r="49" customFormat="false" ht="12.8" hidden="false" customHeight="false" outlineLevel="0" collapsed="false">
      <c r="A49" s="47" t="str">
        <f aca="false">_xlfn.CONCAT($A$1, ".", CALC!A50)</f>
        <v>LSD.RID.0.AR.LFP.46</v>
      </c>
      <c r="B49" s="49" t="str">
        <f aca="false">_xlfn.CONCAT(CALC!B50, ": ", CALC!C50)</f>
        <v>Waste Management Services: Worker</v>
      </c>
      <c r="C49" s="23" t="n">
        <f aca="false">CALC!D50</f>
        <v>17000</v>
      </c>
      <c r="D49" s="23" t="n">
        <f aca="false">CALC!E50</f>
        <v>680</v>
      </c>
      <c r="E49" s="23" t="n">
        <f aca="false">CALC!F50</f>
        <v>1360</v>
      </c>
      <c r="F49" s="23" t="n">
        <f aca="false">CALC!G50</f>
        <v>14960</v>
      </c>
      <c r="AZ49" s="23"/>
      <c r="BA49" s="23"/>
      <c r="BB49" s="23"/>
      <c r="BC49" s="23"/>
      <c r="BP49" s="23"/>
    </row>
    <row r="50" customFormat="false" ht="12.8" hidden="false" customHeight="false" outlineLevel="0" collapsed="false">
      <c r="A50" s="47" t="str">
        <f aca="false">_xlfn.CONCAT($A$1, ".", CALC!A51)</f>
        <v>LSD.RID.0.AR.LFP.47</v>
      </c>
      <c r="B50" s="49" t="str">
        <f aca="false">_xlfn.CONCAT(CALC!B51, ": ", CALC!C51)</f>
        <v>Arts, Entertainment, and Recreation: Support</v>
      </c>
      <c r="C50" s="23" t="n">
        <f aca="false">CALC!D51</f>
        <v>10625</v>
      </c>
      <c r="D50" s="23" t="n">
        <f aca="false">CALC!E51</f>
        <v>425</v>
      </c>
      <c r="E50" s="23" t="n">
        <f aca="false">CALC!F51</f>
        <v>850</v>
      </c>
      <c r="F50" s="23" t="n">
        <f aca="false">CALC!G51</f>
        <v>9350</v>
      </c>
      <c r="AZ50" s="23"/>
      <c r="BA50" s="23"/>
      <c r="BB50" s="23"/>
      <c r="BC50" s="23"/>
      <c r="BP50" s="23"/>
    </row>
    <row r="51" customFormat="false" ht="12.8" hidden="false" customHeight="false" outlineLevel="0" collapsed="false">
      <c r="A51" s="47" t="str">
        <f aca="false">_xlfn.CONCAT($A$1, ".", CALC!A52)</f>
        <v>LSD.RID.0.AR.LFP.48</v>
      </c>
      <c r="B51" s="49" t="str">
        <f aca="false">_xlfn.CONCAT(CALC!B52, ": ", CALC!C52)</f>
        <v>Arts, Entertainment, and Recreation: Worker</v>
      </c>
      <c r="C51" s="23" t="n">
        <f aca="false">CALC!D52</f>
        <v>42500</v>
      </c>
      <c r="D51" s="23" t="n">
        <f aca="false">CALC!E52</f>
        <v>1700</v>
      </c>
      <c r="E51" s="23" t="n">
        <f aca="false">CALC!F52</f>
        <v>3400</v>
      </c>
      <c r="F51" s="23" t="n">
        <f aca="false">CALC!G52</f>
        <v>37400</v>
      </c>
      <c r="AZ51" s="23"/>
      <c r="BA51" s="23"/>
      <c r="BB51" s="23"/>
      <c r="BC51" s="23"/>
      <c r="BP51" s="23"/>
    </row>
    <row r="52" customFormat="false" ht="12.8" hidden="false" customHeight="false" outlineLevel="0" collapsed="false">
      <c r="A52" s="47" t="str">
        <f aca="false">_xlfn.CONCAT($A$1, ".", CALC!A53)</f>
        <v>LSD.RID.0.AR.LFP.49</v>
      </c>
      <c r="B52" s="49" t="str">
        <f aca="false">_xlfn.CONCAT(CALC!B53, ": ", CALC!C53)</f>
        <v>Accommodation and Food Services: Support</v>
      </c>
      <c r="C52" s="23" t="n">
        <f aca="false">CALC!D53</f>
        <v>31875</v>
      </c>
      <c r="D52" s="23" t="n">
        <f aca="false">CALC!E53</f>
        <v>1275</v>
      </c>
      <c r="E52" s="23" t="n">
        <f aca="false">CALC!F53</f>
        <v>2550</v>
      </c>
      <c r="F52" s="23" t="n">
        <f aca="false">CALC!G53</f>
        <v>28050</v>
      </c>
      <c r="AZ52" s="23"/>
      <c r="BA52" s="23"/>
      <c r="BB52" s="23"/>
      <c r="BC52" s="23"/>
      <c r="BP52" s="23"/>
    </row>
    <row r="53" customFormat="false" ht="12.8" hidden="false" customHeight="false" outlineLevel="0" collapsed="false">
      <c r="A53" s="47" t="str">
        <f aca="false">_xlfn.CONCAT($A$1, ".", CALC!A54)</f>
        <v>LSD.RID.0.AR.LFP.50</v>
      </c>
      <c r="B53" s="49" t="str">
        <f aca="false">_xlfn.CONCAT(CALC!B54, ": ", CALC!C54)</f>
        <v>Accommodation and Food Services: Worker</v>
      </c>
      <c r="C53" s="23" t="n">
        <f aca="false">CALC!D54</f>
        <v>127500</v>
      </c>
      <c r="D53" s="23" t="n">
        <f aca="false">CALC!E54</f>
        <v>5100</v>
      </c>
      <c r="E53" s="23" t="n">
        <f aca="false">CALC!F54</f>
        <v>10200</v>
      </c>
      <c r="F53" s="23" t="n">
        <f aca="false">CALC!G54</f>
        <v>112200</v>
      </c>
      <c r="AZ53" s="23"/>
      <c r="BA53" s="23"/>
      <c r="BB53" s="23"/>
      <c r="BC53" s="23"/>
      <c r="BP53" s="23"/>
    </row>
    <row r="54" customFormat="false" ht="12.8" hidden="false" customHeight="false" outlineLevel="0" collapsed="false">
      <c r="A54" s="47" t="str">
        <f aca="false">_xlfn.CONCAT($A$1, ".", CALC!A55)</f>
        <v>LSD.RID.0.AR.LFP.51</v>
      </c>
      <c r="B54" s="49" t="str">
        <f aca="false">_xlfn.CONCAT(CALC!B55, ": ", CALC!C55)</f>
        <v>Public Administration: Support</v>
      </c>
      <c r="C54" s="23" t="n">
        <f aca="false">CALC!D55</f>
        <v>21250</v>
      </c>
      <c r="D54" s="23" t="n">
        <f aca="false">CALC!E55</f>
        <v>850</v>
      </c>
      <c r="E54" s="23" t="n">
        <f aca="false">CALC!F55</f>
        <v>1700</v>
      </c>
      <c r="F54" s="23" t="n">
        <f aca="false">CALC!G55</f>
        <v>18700</v>
      </c>
      <c r="AZ54" s="23"/>
      <c r="BA54" s="23"/>
      <c r="BB54" s="23"/>
      <c r="BC54" s="23"/>
    </row>
    <row r="55" customFormat="false" ht="12.8" hidden="false" customHeight="false" outlineLevel="0" collapsed="false">
      <c r="A55" s="47" t="str">
        <f aca="false">_xlfn.CONCAT($A$1, ".", CALC!A56)</f>
        <v>LSD.RID.0.AR.LFP.52</v>
      </c>
      <c r="B55" s="49" t="str">
        <f aca="false">_xlfn.CONCAT(CALC!B56, ": ", CALC!C56)</f>
        <v>Public Administration: Worker</v>
      </c>
      <c r="C55" s="23" t="n">
        <f aca="false">CALC!D56</f>
        <v>85000</v>
      </c>
      <c r="D55" s="23" t="n">
        <f aca="false">CALC!E56</f>
        <v>3400</v>
      </c>
      <c r="E55" s="23" t="n">
        <f aca="false">CALC!F56</f>
        <v>6800</v>
      </c>
      <c r="F55" s="23" t="n">
        <f aca="false">CALC!G56</f>
        <v>74800</v>
      </c>
      <c r="AZ55" s="23"/>
      <c r="BA55" s="23"/>
      <c r="BB55" s="23"/>
      <c r="BC55" s="23"/>
    </row>
    <row r="56" customFormat="false" ht="12.8" hidden="false" customHeight="false" outlineLevel="0" collapsed="false">
      <c r="A56" s="47"/>
      <c r="B56" s="50"/>
      <c r="AZ56" s="23"/>
      <c r="BA56" s="23"/>
      <c r="BB56" s="23"/>
      <c r="BC56" s="23"/>
    </row>
    <row r="57" customFormat="false" ht="12.8" hidden="false" customHeight="false" outlineLevel="1" collapsed="false">
      <c r="A57" s="47"/>
      <c r="C57" s="51"/>
      <c r="D57" s="51"/>
      <c r="E57" s="51"/>
      <c r="F57" s="51"/>
    </row>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2" customFormat="false" ht="12.8" hidden="false" customHeight="false" outlineLevel="1" collapsed="false"/>
    <row r="153"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AF46"/>
    <pageSetUpPr fitToPage="false"/>
  </sheetPr>
  <dimension ref="A1:BP247"/>
  <sheetViews>
    <sheetView showFormulas="false" showGridLines="true" showRowColHeaders="true" showZeros="true" rightToLeft="false" tabSelected="false" showOutlineSymbols="true" defaultGridColor="true" view="normal" topLeftCell="A43" colorId="64" zoomScale="75" zoomScaleNormal="75" zoomScalePageLayoutView="100" workbookViewId="0">
      <selection pane="topLeft" activeCell="B56" activeCellId="1" sqref="155:249 B56"/>
    </sheetView>
  </sheetViews>
  <sheetFormatPr defaultColWidth="11.53515625" defaultRowHeight="12.8" customHeight="false" zeroHeight="false" outlineLevelRow="1" outlineLevelCol="0"/>
  <cols>
    <col collapsed="false" customWidth="false" hidden="false" outlineLevel="0" max="1" min="1" style="34" width="11.54"/>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3" t="s">
        <v>801</v>
      </c>
      <c r="B1" s="35" t="s">
        <v>802</v>
      </c>
      <c r="C1" s="5" t="s">
        <v>2</v>
      </c>
      <c r="D1" s="48" t="s">
        <v>803</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row>
    <row r="2" customFormat="false" ht="45.9" hidden="false" customHeight="false" outlineLevel="0" collapsed="false">
      <c r="A2" s="25" t="s">
        <v>799</v>
      </c>
      <c r="B2" s="30" t="s">
        <v>800</v>
      </c>
      <c r="C2" s="30" t="str">
        <f aca="false">CALC!H3</f>
        <v>Employment-to-Population Ratio</v>
      </c>
      <c r="D2" s="30" t="str">
        <f aca="false">CALC!I3</f>
        <v>Authorized Immigrant Employment-to-Population Ratio</v>
      </c>
      <c r="E2" s="30" t="str">
        <f aca="false">CALC!J3</f>
        <v>Unauthorized Immigrant Employment-to-Population Ratio</v>
      </c>
      <c r="F2" s="30" t="str">
        <f aca="false">CALC!K3</f>
        <v>American Employment-to-Population Ratio</v>
      </c>
    </row>
    <row r="3" customFormat="false" ht="12.8" hidden="false" customHeight="false" outlineLevel="0" collapsed="false">
      <c r="A3" s="3" t="str">
        <f aca="false">_xlfn.CONCAT($A$1, ".", CALC!A4)</f>
        <v>LSD.RID.0.AR.ETPR.0</v>
      </c>
      <c r="B3" s="46" t="str">
        <f aca="false">_xlfn.CONCAT(CALC!B4, ":", CALC!C4)</f>
        <v>All Industries:All Roles</v>
      </c>
      <c r="C3" s="30" t="n">
        <f aca="false">CALC!H4</f>
        <v>0.958</v>
      </c>
      <c r="D3" s="30" t="n">
        <f aca="false">CALC!I4</f>
        <v>1</v>
      </c>
      <c r="E3" s="30" t="n">
        <f aca="false">CALC!J4</f>
        <v>0.9</v>
      </c>
      <c r="F3" s="30" t="n">
        <f aca="false">CALC!K4</f>
        <v>0.958</v>
      </c>
    </row>
    <row r="4" customFormat="false" ht="12.8" hidden="false" customHeight="false" outlineLevel="0" collapsed="false">
      <c r="A4" s="47" t="str">
        <f aca="false">_xlfn.CONCAT($A$1, ".", CALC!A5)</f>
        <v>LSD.RID.0.AR.ETPR.1</v>
      </c>
      <c r="B4" s="49" t="str">
        <f aca="false">_xlfn.CONCAT(CALC!B5, ": ", CALC!C5)</f>
        <v>Agriculture: Worker</v>
      </c>
      <c r="C4" s="45" t="n">
        <f aca="false">CALC!H5</f>
        <v>0.958</v>
      </c>
      <c r="D4" s="45" t="n">
        <f aca="false">CALC!I5</f>
        <v>0.98</v>
      </c>
      <c r="E4" s="45" t="n">
        <f aca="false">CALC!J5</f>
        <v>0.85</v>
      </c>
      <c r="F4" s="45" t="n">
        <f aca="false">CALC!K5</f>
        <v>0.958</v>
      </c>
    </row>
    <row r="5" customFormat="false" ht="12.8" hidden="false" customHeight="false" outlineLevel="0" collapsed="false">
      <c r="A5" s="47" t="str">
        <f aca="false">_xlfn.CONCAT($A$1, ".", CALC!A6)</f>
        <v>LSD.RID.0.AR.ETPR.2</v>
      </c>
      <c r="B5" s="49" t="str">
        <f aca="false">_xlfn.CONCAT(CALC!B6, ": ", CALC!C6)</f>
        <v>Agriculture: Support</v>
      </c>
      <c r="C5" s="45" t="n">
        <f aca="false">CALC!H6</f>
        <v>0.958</v>
      </c>
      <c r="D5" s="45" t="n">
        <f aca="false">CALC!I6</f>
        <v>0.98</v>
      </c>
      <c r="E5" s="45" t="n">
        <f aca="false">CALC!J6</f>
        <v>0.85</v>
      </c>
      <c r="F5" s="45" t="n">
        <f aca="false">CALC!K6</f>
        <v>0.958</v>
      </c>
    </row>
    <row r="6" customFormat="false" ht="12.8" hidden="false" customHeight="false" outlineLevel="0" collapsed="false">
      <c r="A6" s="47" t="str">
        <f aca="false">_xlfn.CONCAT($A$1, ".", CALC!A7)</f>
        <v>LSD.RID.0.AR.ETPR.3</v>
      </c>
      <c r="B6" s="49" t="str">
        <f aca="false">_xlfn.CONCAT(CALC!B7, ": ", CALC!C7)</f>
        <v>Construction: Worker</v>
      </c>
      <c r="C6" s="45" t="n">
        <f aca="false">CALC!H7</f>
        <v>0.958</v>
      </c>
      <c r="D6" s="45" t="n">
        <f aca="false">CALC!I7</f>
        <v>0.98</v>
      </c>
      <c r="E6" s="45" t="n">
        <f aca="false">CALC!J7</f>
        <v>0.88</v>
      </c>
      <c r="F6" s="45" t="n">
        <f aca="false">CALC!K7</f>
        <v>0.958</v>
      </c>
    </row>
    <row r="7" customFormat="false" ht="12.8" hidden="false" customHeight="false" outlineLevel="0" collapsed="false">
      <c r="A7" s="47" t="str">
        <f aca="false">_xlfn.CONCAT($A$1, ".", CALC!A8)</f>
        <v>LSD.RID.0.AR.ETPR.4</v>
      </c>
      <c r="B7" s="49" t="str">
        <f aca="false">_xlfn.CONCAT(CALC!B8, ": ", CALC!C8)</f>
        <v>Construction: Support</v>
      </c>
      <c r="C7" s="45" t="n">
        <f aca="false">CALC!H8</f>
        <v>0.958</v>
      </c>
      <c r="D7" s="45" t="n">
        <f aca="false">CALC!I8</f>
        <v>0.98</v>
      </c>
      <c r="E7" s="45" t="n">
        <f aca="false">CALC!J8</f>
        <v>0.88</v>
      </c>
      <c r="F7" s="45" t="n">
        <f aca="false">CALC!K8</f>
        <v>0.958</v>
      </c>
    </row>
    <row r="8" customFormat="false" ht="12.8" hidden="false" customHeight="false" outlineLevel="0" collapsed="false">
      <c r="A8" s="47" t="str">
        <f aca="false">_xlfn.CONCAT($A$1, ".", CALC!A9)</f>
        <v>LSD.RID.0.AR.ETPR.5</v>
      </c>
      <c r="B8" s="49" t="str">
        <f aca="false">_xlfn.CONCAT(CALC!B9, ": ", CALC!C9)</f>
        <v>Hospitality: Worker</v>
      </c>
      <c r="C8" s="45" t="n">
        <f aca="false">CALC!H9</f>
        <v>0.958</v>
      </c>
      <c r="D8" s="45" t="n">
        <f aca="false">CALC!I9</f>
        <v>0.98</v>
      </c>
      <c r="E8" s="45" t="n">
        <f aca="false">CALC!J9</f>
        <v>0.9</v>
      </c>
      <c r="F8" s="45" t="n">
        <f aca="false">CALC!K9</f>
        <v>0.958</v>
      </c>
    </row>
    <row r="9" customFormat="false" ht="12.8" hidden="false" customHeight="false" outlineLevel="0" collapsed="false">
      <c r="A9" s="47" t="str">
        <f aca="false">_xlfn.CONCAT($A$1, ".", CALC!A10)</f>
        <v>LSD.RID.0.AR.ETPR.6</v>
      </c>
      <c r="B9" s="49" t="str">
        <f aca="false">_xlfn.CONCAT(CALC!B10, ": ", CALC!C10)</f>
        <v>Hospitality: Support</v>
      </c>
      <c r="C9" s="45" t="n">
        <f aca="false">CALC!H10</f>
        <v>0.958</v>
      </c>
      <c r="D9" s="45" t="n">
        <f aca="false">CALC!I10</f>
        <v>0.98</v>
      </c>
      <c r="E9" s="45" t="n">
        <f aca="false">CALC!J10</f>
        <v>0.9</v>
      </c>
      <c r="F9" s="45" t="n">
        <f aca="false">CALC!K10</f>
        <v>0.958</v>
      </c>
    </row>
    <row r="10" customFormat="false" ht="12.8" hidden="false" customHeight="false" outlineLevel="0" collapsed="false">
      <c r="A10" s="47" t="str">
        <f aca="false">_xlfn.CONCAT($A$1, ".", CALC!A11)</f>
        <v>LSD.RID.0.AR.ETPR.7</v>
      </c>
      <c r="B10" s="49" t="str">
        <f aca="false">_xlfn.CONCAT(CALC!B11, ": ", CALC!C11)</f>
        <v>Cleaning &amp; Maintenance: Worker</v>
      </c>
      <c r="C10" s="45" t="n">
        <f aca="false">CALC!H11</f>
        <v>0.958</v>
      </c>
      <c r="D10" s="45" t="n">
        <f aca="false">CALC!I11</f>
        <v>0.98</v>
      </c>
      <c r="E10" s="45" t="n">
        <f aca="false">CALC!J11</f>
        <v>0.9</v>
      </c>
      <c r="F10" s="45" t="n">
        <f aca="false">CALC!K11</f>
        <v>0.958</v>
      </c>
    </row>
    <row r="11" customFormat="false" ht="12.8" hidden="false" customHeight="false" outlineLevel="0" collapsed="false">
      <c r="A11" s="47" t="str">
        <f aca="false">_xlfn.CONCAT($A$1, ".", CALC!A12)</f>
        <v>LSD.RID.0.AR.ETPR.8</v>
      </c>
      <c r="B11" s="49" t="str">
        <f aca="false">_xlfn.CONCAT(CALC!B12, ": ", CALC!C12)</f>
        <v>Cleaning &amp; Maintenance: Support</v>
      </c>
      <c r="C11" s="45" t="n">
        <f aca="false">CALC!H12</f>
        <v>0.958</v>
      </c>
      <c r="D11" s="45" t="n">
        <f aca="false">CALC!I12</f>
        <v>0.98</v>
      </c>
      <c r="E11" s="45" t="n">
        <f aca="false">CALC!J12</f>
        <v>0.9</v>
      </c>
      <c r="F11" s="45" t="n">
        <f aca="false">CALC!K12</f>
        <v>0.958</v>
      </c>
    </row>
    <row r="12" customFormat="false" ht="12.8" hidden="false" customHeight="false" outlineLevel="0" collapsed="false">
      <c r="A12" s="47" t="str">
        <f aca="false">_xlfn.CONCAT($A$1, ".", CALC!A13)</f>
        <v>LSD.RID.0.AR.ETPR.9</v>
      </c>
      <c r="B12" s="49" t="str">
        <f aca="false">_xlfn.CONCAT(CALC!B13, ": ", CALC!C13)</f>
        <v>Manufacturing: Worker</v>
      </c>
      <c r="C12" s="45" t="n">
        <f aca="false">CALC!H13</f>
        <v>0.958</v>
      </c>
      <c r="D12" s="45" t="n">
        <f aca="false">CALC!I13</f>
        <v>1.02</v>
      </c>
      <c r="E12" s="45" t="n">
        <f aca="false">CALC!J13</f>
        <v>0.92</v>
      </c>
      <c r="F12" s="45" t="n">
        <f aca="false">CALC!K13</f>
        <v>0.958</v>
      </c>
    </row>
    <row r="13" customFormat="false" ht="12.8" hidden="false" customHeight="false" outlineLevel="0" collapsed="false">
      <c r="A13" s="47" t="str">
        <f aca="false">_xlfn.CONCAT($A$1, ".", CALC!A14)</f>
        <v>LSD.RID.0.AR.ETPR.10</v>
      </c>
      <c r="B13" s="49" t="str">
        <f aca="false">_xlfn.CONCAT(CALC!B14, ": ", CALC!C14)</f>
        <v>Manufacturing: Support</v>
      </c>
      <c r="C13" s="45" t="n">
        <f aca="false">CALC!H14</f>
        <v>0.958</v>
      </c>
      <c r="D13" s="45" t="n">
        <f aca="false">CALC!I14</f>
        <v>1.02</v>
      </c>
      <c r="E13" s="45" t="n">
        <f aca="false">CALC!J14</f>
        <v>0.92</v>
      </c>
      <c r="F13" s="45" t="n">
        <f aca="false">CALC!K14</f>
        <v>0.958</v>
      </c>
    </row>
    <row r="14" customFormat="false" ht="12.8" hidden="false" customHeight="false" outlineLevel="0" collapsed="false">
      <c r="A14" s="47" t="str">
        <f aca="false">_xlfn.CONCAT($A$1, ".", CALC!A15)</f>
        <v>LSD.RID.0.AR.ETPR.11</v>
      </c>
      <c r="B14" s="49" t="str">
        <f aca="false">_xlfn.CONCAT(CALC!B15, ": ", CALC!C15)</f>
        <v>Transportation &amp; Warehousing: Worker</v>
      </c>
      <c r="C14" s="45" t="n">
        <f aca="false">CALC!H15</f>
        <v>0.958</v>
      </c>
      <c r="D14" s="45" t="n">
        <f aca="false">CALC!I15</f>
        <v>1.02</v>
      </c>
      <c r="E14" s="45" t="n">
        <f aca="false">CALC!J15</f>
        <v>0.9</v>
      </c>
      <c r="F14" s="45" t="n">
        <f aca="false">CALC!K15</f>
        <v>0.958</v>
      </c>
    </row>
    <row r="15" customFormat="false" ht="12.8" hidden="false" customHeight="false" outlineLevel="0" collapsed="false">
      <c r="A15" s="47" t="str">
        <f aca="false">_xlfn.CONCAT($A$1, ".", CALC!A16)</f>
        <v>LSD.RID.0.AR.ETPR.12</v>
      </c>
      <c r="B15" s="49" t="str">
        <f aca="false">_xlfn.CONCAT(CALC!B16, ": ", CALC!C16)</f>
        <v>Transportation &amp; Warehousing: Support</v>
      </c>
      <c r="C15" s="45" t="n">
        <f aca="false">CALC!H16</f>
        <v>0.958</v>
      </c>
      <c r="D15" s="45" t="n">
        <f aca="false">CALC!I16</f>
        <v>1.02</v>
      </c>
      <c r="E15" s="45" t="n">
        <f aca="false">CALC!J16</f>
        <v>0.9</v>
      </c>
      <c r="F15" s="45" t="n">
        <f aca="false">CALC!K16</f>
        <v>0.958</v>
      </c>
    </row>
    <row r="16" customFormat="false" ht="12.8" hidden="false" customHeight="false" outlineLevel="0" collapsed="false">
      <c r="A16" s="47" t="str">
        <f aca="false">_xlfn.CONCAT($A$1, ".", CALC!A17)</f>
        <v>LSD.RID.0.AR.ETPR.13</v>
      </c>
      <c r="B16" s="49" t="str">
        <f aca="false">_xlfn.CONCAT(CALC!B17, ": ", CALC!C17)</f>
        <v>Retail Trade: Worker</v>
      </c>
      <c r="C16" s="45" t="n">
        <f aca="false">CALC!H17</f>
        <v>0.958</v>
      </c>
      <c r="D16" s="45" t="n">
        <f aca="false">CALC!I17</f>
        <v>1</v>
      </c>
      <c r="E16" s="45" t="n">
        <f aca="false">CALC!J17</f>
        <v>0.9</v>
      </c>
      <c r="F16" s="45" t="n">
        <f aca="false">CALC!K17</f>
        <v>0.958</v>
      </c>
    </row>
    <row r="17" customFormat="false" ht="12.8" hidden="false" customHeight="false" outlineLevel="0" collapsed="false">
      <c r="A17" s="47" t="str">
        <f aca="false">_xlfn.CONCAT($A$1, ".", CALC!A18)</f>
        <v>LSD.RID.0.AR.ETPR.14</v>
      </c>
      <c r="B17" s="49" t="str">
        <f aca="false">_xlfn.CONCAT(CALC!B18, ": ", CALC!C18)</f>
        <v>Retail Trade: Support</v>
      </c>
      <c r="C17" s="45" t="n">
        <f aca="false">CALC!H18</f>
        <v>0.958</v>
      </c>
      <c r="D17" s="45" t="n">
        <f aca="false">CALC!I18</f>
        <v>1</v>
      </c>
      <c r="E17" s="45" t="n">
        <f aca="false">CALC!J18</f>
        <v>0.9</v>
      </c>
      <c r="F17" s="45" t="n">
        <f aca="false">CALC!K18</f>
        <v>0.958</v>
      </c>
    </row>
    <row r="18" customFormat="false" ht="12.8" hidden="false" customHeight="false" outlineLevel="0" collapsed="false">
      <c r="A18" s="47" t="str">
        <f aca="false">_xlfn.CONCAT($A$1, ".", CALC!A19)</f>
        <v>LSD.RID.0.AR.ETPR.15</v>
      </c>
      <c r="B18" s="49" t="str">
        <f aca="false">_xlfn.CONCAT(CALC!B19, ": ", CALC!C19)</f>
        <v>Landscaping / Groundskeeping: Worker</v>
      </c>
      <c r="C18" s="45" t="n">
        <f aca="false">CALC!H19</f>
        <v>0.958</v>
      </c>
      <c r="D18" s="45" t="n">
        <f aca="false">CALC!I19</f>
        <v>0.98</v>
      </c>
      <c r="E18" s="45" t="n">
        <f aca="false">CALC!J19</f>
        <v>0.85</v>
      </c>
      <c r="F18" s="45" t="n">
        <f aca="false">CALC!K19</f>
        <v>0.958</v>
      </c>
    </row>
    <row r="19" customFormat="false" ht="12.8" hidden="false" customHeight="false" outlineLevel="0" collapsed="false">
      <c r="A19" s="47" t="str">
        <f aca="false">_xlfn.CONCAT($A$1, ".", CALC!A20)</f>
        <v>LSD.RID.0.AR.ETPR.16</v>
      </c>
      <c r="B19" s="49" t="str">
        <f aca="false">_xlfn.CONCAT(CALC!B20, ": ", CALC!C20)</f>
        <v>Landscaping / Groundskeeping: Support</v>
      </c>
      <c r="C19" s="45" t="n">
        <f aca="false">CALC!H20</f>
        <v>0.958</v>
      </c>
      <c r="D19" s="45" t="n">
        <f aca="false">CALC!I20</f>
        <v>0.98</v>
      </c>
      <c r="E19" s="45" t="n">
        <f aca="false">CALC!J20</f>
        <v>0.85</v>
      </c>
      <c r="F19" s="45" t="n">
        <f aca="false">CALC!K20</f>
        <v>0.958</v>
      </c>
    </row>
    <row r="20" customFormat="false" ht="12.8" hidden="false" customHeight="false" outlineLevel="0" collapsed="false">
      <c r="A20" s="47" t="str">
        <f aca="false">_xlfn.CONCAT($A$1, ".", CALC!A21)</f>
        <v>LSD.RID.0.AR.ETPR.17</v>
      </c>
      <c r="B20" s="49" t="str">
        <f aca="false">_xlfn.CONCAT(CALC!B21, ": ", CALC!C21)</f>
        <v>Automotive &amp; Repair: Worker</v>
      </c>
      <c r="C20" s="45" t="n">
        <f aca="false">CALC!H21</f>
        <v>0.958</v>
      </c>
      <c r="D20" s="45" t="n">
        <f aca="false">CALC!I21</f>
        <v>1.02</v>
      </c>
      <c r="E20" s="45" t="n">
        <f aca="false">CALC!J21</f>
        <v>0.88</v>
      </c>
      <c r="F20" s="45" t="n">
        <f aca="false">CALC!K21</f>
        <v>0.958</v>
      </c>
    </row>
    <row r="21" customFormat="false" ht="12.8" hidden="false" customHeight="false" outlineLevel="0" collapsed="false">
      <c r="A21" s="47" t="str">
        <f aca="false">_xlfn.CONCAT($A$1, ".", CALC!A22)</f>
        <v>LSD.RID.0.AR.ETPR.18</v>
      </c>
      <c r="B21" s="49" t="str">
        <f aca="false">_xlfn.CONCAT(CALC!B22, ": ", CALC!C22)</f>
        <v>Automotive &amp; Repair: Support</v>
      </c>
      <c r="C21" s="45" t="n">
        <f aca="false">CALC!H22</f>
        <v>0.958</v>
      </c>
      <c r="D21" s="45" t="n">
        <f aca="false">CALC!I22</f>
        <v>1.02</v>
      </c>
      <c r="E21" s="45" t="n">
        <f aca="false">CALC!J22</f>
        <v>0.88</v>
      </c>
      <c r="F21" s="45" t="n">
        <f aca="false">CALC!K22</f>
        <v>0.958</v>
      </c>
    </row>
    <row r="22" customFormat="false" ht="12.8" hidden="false" customHeight="false" outlineLevel="0" collapsed="false">
      <c r="A22" s="47" t="str">
        <f aca="false">_xlfn.CONCAT($A$1, ".", CALC!A23)</f>
        <v>LSD.RID.0.AR.ETPR.19</v>
      </c>
      <c r="B22" s="49" t="str">
        <f aca="false">_xlfn.CONCAT(CALC!B23, ": ", CALC!C23)</f>
        <v>Healthcare &amp; Social Assistance: Worker</v>
      </c>
      <c r="C22" s="45" t="n">
        <f aca="false">CALC!H23</f>
        <v>0.958</v>
      </c>
      <c r="D22" s="45" t="n">
        <f aca="false">CALC!I23</f>
        <v>1.02</v>
      </c>
      <c r="E22" s="45" t="n">
        <f aca="false">CALC!J23</f>
        <v>0.92</v>
      </c>
      <c r="F22" s="45" t="n">
        <f aca="false">CALC!K23</f>
        <v>0.958</v>
      </c>
    </row>
    <row r="23" customFormat="false" ht="12.8" hidden="false" customHeight="false" outlineLevel="0" collapsed="false">
      <c r="A23" s="47" t="str">
        <f aca="false">_xlfn.CONCAT($A$1, ".", CALC!A24)</f>
        <v>LSD.RID.0.AR.ETPR.20</v>
      </c>
      <c r="B23" s="49" t="str">
        <f aca="false">_xlfn.CONCAT(CALC!B24, ": ", CALC!C24)</f>
        <v>Healthcare &amp; Social Assistance: Support</v>
      </c>
      <c r="C23" s="45" t="n">
        <f aca="false">CALC!H24</f>
        <v>0.958</v>
      </c>
      <c r="D23" s="45" t="n">
        <f aca="false">CALC!I24</f>
        <v>1.02</v>
      </c>
      <c r="E23" s="45" t="n">
        <f aca="false">CALC!J24</f>
        <v>0.92</v>
      </c>
      <c r="F23" s="45" t="n">
        <f aca="false">CALC!K24</f>
        <v>0.958</v>
      </c>
    </row>
    <row r="24" customFormat="false" ht="12.8" hidden="false" customHeight="false" outlineLevel="0" collapsed="false">
      <c r="A24" s="47" t="str">
        <f aca="false">_xlfn.CONCAT($A$1, ".", CALC!A25)</f>
        <v>LSD.RID.0.AR.ETPR.21</v>
      </c>
      <c r="B24" s="49" t="str">
        <f aca="false">_xlfn.CONCAT(CALC!B25, ": ", CALC!C25)</f>
        <v>Professional Services: Worker</v>
      </c>
      <c r="C24" s="45" t="n">
        <f aca="false">CALC!H25</f>
        <v>0.958</v>
      </c>
      <c r="D24" s="45" t="n">
        <f aca="false">CALC!I25</f>
        <v>1.02</v>
      </c>
      <c r="E24" s="45" t="n">
        <f aca="false">CALC!J25</f>
        <v>0.92</v>
      </c>
      <c r="F24" s="45" t="n">
        <f aca="false">CALC!K25</f>
        <v>0.958</v>
      </c>
    </row>
    <row r="25" customFormat="false" ht="12.8" hidden="false" customHeight="false" outlineLevel="0" collapsed="false">
      <c r="A25" s="47" t="str">
        <f aca="false">_xlfn.CONCAT($A$1, ".", CALC!A26)</f>
        <v>LSD.RID.0.AR.ETPR.22</v>
      </c>
      <c r="B25" s="49" t="str">
        <f aca="false">_xlfn.CONCAT(CALC!B26, ": ", CALC!C26)</f>
        <v>Professional Services: Support</v>
      </c>
      <c r="C25" s="45" t="n">
        <f aca="false">CALC!H26</f>
        <v>0.958</v>
      </c>
      <c r="D25" s="45" t="n">
        <f aca="false">CALC!I26</f>
        <v>1.02</v>
      </c>
      <c r="E25" s="45" t="n">
        <f aca="false">CALC!J26</f>
        <v>0.92</v>
      </c>
      <c r="F25" s="45" t="n">
        <f aca="false">CALC!K26</f>
        <v>0.958</v>
      </c>
    </row>
    <row r="26" customFormat="false" ht="12.8" hidden="false" customHeight="false" outlineLevel="0" collapsed="false">
      <c r="A26" s="47" t="str">
        <f aca="false">_xlfn.CONCAT($A$1, ".", CALC!A27)</f>
        <v>LSD.RID.0.AR.ETPR.23</v>
      </c>
      <c r="B26" s="49" t="str">
        <f aca="false">_xlfn.CONCAT(CALC!B27, ": ", CALC!C27)</f>
        <v>Educational Services: Worker</v>
      </c>
      <c r="C26" s="45" t="n">
        <f aca="false">CALC!H27</f>
        <v>0.958</v>
      </c>
      <c r="D26" s="45" t="n">
        <f aca="false">CALC!I27</f>
        <v>1.02</v>
      </c>
      <c r="E26" s="45" t="n">
        <f aca="false">CALC!J27</f>
        <v>0.92</v>
      </c>
      <c r="F26" s="45" t="n">
        <f aca="false">CALC!K27</f>
        <v>0.958</v>
      </c>
    </row>
    <row r="27" customFormat="false" ht="12.8" hidden="false" customHeight="false" outlineLevel="0" collapsed="false">
      <c r="A27" s="47" t="str">
        <f aca="false">_xlfn.CONCAT($A$1, ".", CALC!A28)</f>
        <v>LSD.RID.0.AR.ETPR.24</v>
      </c>
      <c r="B27" s="49" t="str">
        <f aca="false">_xlfn.CONCAT(CALC!B28, ": ", CALC!C28)</f>
        <v>Educational Services: Support</v>
      </c>
      <c r="C27" s="45" t="n">
        <f aca="false">CALC!H28</f>
        <v>0.958</v>
      </c>
      <c r="D27" s="45" t="n">
        <f aca="false">CALC!I28</f>
        <v>1.02</v>
      </c>
      <c r="E27" s="45" t="n">
        <f aca="false">CALC!J28</f>
        <v>0.92</v>
      </c>
      <c r="F27" s="45" t="n">
        <f aca="false">CALC!K28</f>
        <v>0.958</v>
      </c>
    </row>
    <row r="28" customFormat="false" ht="12.8" hidden="false" customHeight="false" outlineLevel="0" collapsed="false">
      <c r="A28" s="47" t="str">
        <f aca="false">_xlfn.CONCAT($A$1, ".", CALC!A29)</f>
        <v>LSD.RID.0.AR.ETPR.25</v>
      </c>
      <c r="B28" s="49" t="str">
        <f aca="false">_xlfn.CONCAT(CALC!B29, ": ", CALC!C29)</f>
        <v>Finance &amp; Insurance: Worker</v>
      </c>
      <c r="C28" s="45" t="n">
        <f aca="false">CALC!H29</f>
        <v>0.958</v>
      </c>
      <c r="D28" s="45" t="n">
        <f aca="false">CALC!I29</f>
        <v>1.02</v>
      </c>
      <c r="E28" s="45" t="n">
        <f aca="false">CALC!J29</f>
        <v>0.92</v>
      </c>
      <c r="F28" s="45" t="n">
        <f aca="false">CALC!K29</f>
        <v>0.958</v>
      </c>
    </row>
    <row r="29" customFormat="false" ht="12.8" hidden="false" customHeight="false" outlineLevel="0" collapsed="false">
      <c r="A29" s="47" t="str">
        <f aca="false">_xlfn.CONCAT($A$1, ".", CALC!A30)</f>
        <v>LSD.RID.0.AR.ETPR.26</v>
      </c>
      <c r="B29" s="49" t="str">
        <f aca="false">_xlfn.CONCAT(CALC!B30, ": ", CALC!C30)</f>
        <v>Finance &amp; Insurance: Support</v>
      </c>
      <c r="C29" s="45" t="n">
        <f aca="false">CALC!H30</f>
        <v>0.958</v>
      </c>
      <c r="D29" s="45" t="n">
        <f aca="false">CALC!I30</f>
        <v>1.02</v>
      </c>
      <c r="E29" s="45" t="n">
        <f aca="false">CALC!J30</f>
        <v>0.92</v>
      </c>
      <c r="F29" s="45" t="n">
        <f aca="false">CALC!K30</f>
        <v>0.958</v>
      </c>
    </row>
    <row r="30" customFormat="false" ht="12.8" hidden="false" customHeight="false" outlineLevel="0" collapsed="false">
      <c r="A30" s="47" t="str">
        <f aca="false">_xlfn.CONCAT($A$1, ".", CALC!A31)</f>
        <v>LSD.RID.0.AR.ETPR.27</v>
      </c>
      <c r="B30" s="49" t="str">
        <f aca="false">_xlfn.CONCAT(CALC!B31, ": ", CALC!C31)</f>
        <v>Media and Information Technology: Worker</v>
      </c>
      <c r="C30" s="45" t="n">
        <f aca="false">CALC!H31</f>
        <v>0.958</v>
      </c>
      <c r="D30" s="45" t="n">
        <f aca="false">CALC!I31</f>
        <v>1.02</v>
      </c>
      <c r="E30" s="45" t="n">
        <f aca="false">CALC!J31</f>
        <v>0.92</v>
      </c>
      <c r="F30" s="45" t="n">
        <f aca="false">CALC!K31</f>
        <v>0.958</v>
      </c>
    </row>
    <row r="31" customFormat="false" ht="12.8" hidden="false" customHeight="false" outlineLevel="0" collapsed="false">
      <c r="A31" s="47" t="str">
        <f aca="false">_xlfn.CONCAT($A$1, ".", CALC!A32)</f>
        <v>LSD.RID.0.AR.ETPR.28</v>
      </c>
      <c r="B31" s="49" t="str">
        <f aca="false">_xlfn.CONCAT(CALC!B32, ": ", CALC!C32)</f>
        <v>Media and Information Technology: Support</v>
      </c>
      <c r="C31" s="45" t="n">
        <f aca="false">CALC!H32</f>
        <v>0.958</v>
      </c>
      <c r="D31" s="45" t="n">
        <f aca="false">CALC!I32</f>
        <v>1.02</v>
      </c>
      <c r="E31" s="45" t="n">
        <f aca="false">CALC!J32</f>
        <v>0.92</v>
      </c>
      <c r="F31" s="45" t="n">
        <f aca="false">CALC!K32</f>
        <v>0.958</v>
      </c>
    </row>
    <row r="32" customFormat="false" ht="12.8" hidden="false" customHeight="false" outlineLevel="0" collapsed="false">
      <c r="A32" s="47" t="str">
        <f aca="false">_xlfn.CONCAT($A$1, ".", CALC!A33)</f>
        <v>LSD.RID.0.AR.ETPR.29</v>
      </c>
      <c r="B32" s="49" t="str">
        <f aca="false">_xlfn.CONCAT(CALC!B33, ": ", CALC!C33)</f>
        <v>Government: Worker</v>
      </c>
      <c r="C32" s="45" t="n">
        <f aca="false">CALC!H33</f>
        <v>0.958</v>
      </c>
      <c r="D32" s="45" t="n">
        <f aca="false">CALC!I33</f>
        <v>1.02</v>
      </c>
      <c r="E32" s="45" t="n">
        <f aca="false">CALC!J33</f>
        <v>0.92</v>
      </c>
      <c r="F32" s="45" t="n">
        <f aca="false">CALC!K33</f>
        <v>0.958</v>
      </c>
    </row>
    <row r="33" customFormat="false" ht="12.8" hidden="false" customHeight="false" outlineLevel="0" collapsed="false">
      <c r="A33" s="47" t="str">
        <f aca="false">_xlfn.CONCAT($A$1, ".", CALC!A34)</f>
        <v>LSD.RID.0.AR.ETPR.30</v>
      </c>
      <c r="B33" s="49" t="str">
        <f aca="false">_xlfn.CONCAT(CALC!B34, ": ", CALC!C34)</f>
        <v>Government: Support</v>
      </c>
      <c r="C33" s="45" t="n">
        <f aca="false">CALC!H34</f>
        <v>0.958</v>
      </c>
      <c r="D33" s="45" t="n">
        <f aca="false">CALC!I34</f>
        <v>1.02</v>
      </c>
      <c r="E33" s="45" t="n">
        <f aca="false">CALC!J34</f>
        <v>0.92</v>
      </c>
      <c r="F33" s="45" t="n">
        <f aca="false">CALC!K34</f>
        <v>0.958</v>
      </c>
    </row>
    <row r="34" customFormat="false" ht="12.8" hidden="false" customHeight="false" outlineLevel="0" collapsed="false">
      <c r="A34" s="47" t="str">
        <f aca="false">_xlfn.CONCAT($A$1, ".", CALC!A35)</f>
        <v>LSD.RID.0.AR.ETPR.31</v>
      </c>
      <c r="B34" s="49" t="str">
        <f aca="false">_xlfn.CONCAT(CALC!B35, ": ", CALC!C35)</f>
        <v>Self-Employed / Non-Employer: Support</v>
      </c>
      <c r="C34" s="45" t="n">
        <f aca="false">CALC!H35</f>
        <v>0.958</v>
      </c>
      <c r="D34" s="45" t="n">
        <f aca="false">CALC!I35</f>
        <v>1.02</v>
      </c>
      <c r="E34" s="45" t="n">
        <f aca="false">CALC!J35</f>
        <v>0.92</v>
      </c>
      <c r="F34" s="45" t="n">
        <f aca="false">CALC!K35</f>
        <v>0.958</v>
      </c>
    </row>
    <row r="35" customFormat="false" ht="12.8" hidden="false" customHeight="false" outlineLevel="0" collapsed="false">
      <c r="A35" s="47" t="str">
        <f aca="false">_xlfn.CONCAT($A$1, ".", CALC!A36)</f>
        <v>LSD.RID.0.AR.ETPR.32</v>
      </c>
      <c r="B35" s="49" t="str">
        <f aca="false">_xlfn.CONCAT(CALC!B36, ": ", CALC!C36)</f>
        <v>Self-Employed / Non-Employer: Worker</v>
      </c>
      <c r="C35" s="45" t="n">
        <f aca="false">CALC!H36</f>
        <v>0.958</v>
      </c>
      <c r="D35" s="45" t="n">
        <f aca="false">CALC!I36</f>
        <v>1.02</v>
      </c>
      <c r="E35" s="45" t="n">
        <f aca="false">CALC!J36</f>
        <v>0.92</v>
      </c>
      <c r="F35" s="45" t="n">
        <f aca="false">CALC!K36</f>
        <v>0.958</v>
      </c>
    </row>
    <row r="36" customFormat="false" ht="12.8" hidden="false" customHeight="false" outlineLevel="0" collapsed="false">
      <c r="A36" s="47" t="str">
        <f aca="false">_xlfn.CONCAT($A$1, ".", CALC!A37)</f>
        <v>LSD.RID.0.AR.ETPR.33</v>
      </c>
      <c r="B36" s="49" t="str">
        <f aca="false">_xlfn.CONCAT(CALC!B37, ": ", CALC!C37)</f>
        <v>Other Services: Support</v>
      </c>
      <c r="C36" s="45" t="n">
        <f aca="false">CALC!H37</f>
        <v>0.958</v>
      </c>
      <c r="D36" s="45" t="n">
        <f aca="false">CALC!I37</f>
        <v>0.98</v>
      </c>
      <c r="E36" s="45" t="n">
        <f aca="false">CALC!J37</f>
        <v>0.85</v>
      </c>
      <c r="F36" s="45" t="n">
        <f aca="false">CALC!K37</f>
        <v>0.958</v>
      </c>
    </row>
    <row r="37" customFormat="false" ht="12.8" hidden="false" customHeight="false" outlineLevel="0" collapsed="false">
      <c r="A37" s="47" t="str">
        <f aca="false">_xlfn.CONCAT($A$1, ".", CALC!A38)</f>
        <v>LSD.RID.0.AR.ETPR.34</v>
      </c>
      <c r="B37" s="49" t="str">
        <f aca="false">_xlfn.CONCAT(CALC!B38, ": ", CALC!C38)</f>
        <v>Other Services: Worker</v>
      </c>
      <c r="C37" s="45" t="n">
        <f aca="false">CALC!H38</f>
        <v>0.958</v>
      </c>
      <c r="D37" s="45" t="n">
        <f aca="false">CALC!I38</f>
        <v>0.98</v>
      </c>
      <c r="E37" s="45" t="n">
        <f aca="false">CALC!J38</f>
        <v>0.85</v>
      </c>
      <c r="F37" s="45" t="n">
        <f aca="false">CALC!K38</f>
        <v>0.958</v>
      </c>
    </row>
    <row r="38" customFormat="false" ht="12.8" hidden="false" customHeight="false" outlineLevel="0" collapsed="false">
      <c r="A38" s="47" t="str">
        <f aca="false">_xlfn.CONCAT($A$1, ".", CALC!A39)</f>
        <v>LSD.RID.0.AR.ETPR.35</v>
      </c>
      <c r="B38" s="49" t="str">
        <f aca="false">_xlfn.CONCAT(CALC!B39, ": ", CALC!C39)</f>
        <v>Mining, Quarrying, and Oil/Gas Extraction: Support</v>
      </c>
      <c r="C38" s="45" t="n">
        <f aca="false">CALC!H39</f>
        <v>0.958</v>
      </c>
      <c r="D38" s="45" t="n">
        <f aca="false">CALC!I39</f>
        <v>0.98</v>
      </c>
      <c r="E38" s="45" t="n">
        <f aca="false">CALC!J39</f>
        <v>0.85</v>
      </c>
      <c r="F38" s="45" t="n">
        <f aca="false">CALC!K39</f>
        <v>0.958</v>
      </c>
    </row>
    <row r="39" customFormat="false" ht="12.8" hidden="false" customHeight="false" outlineLevel="0" collapsed="false">
      <c r="A39" s="47" t="str">
        <f aca="false">_xlfn.CONCAT($A$1, ".", CALC!A40)</f>
        <v>LSD.RID.0.AR.ETPR.36</v>
      </c>
      <c r="B39" s="49" t="str">
        <f aca="false">_xlfn.CONCAT(CALC!B40, ": ", CALC!C40)</f>
        <v>Mining, Quarrying, and Oil/Gas Extraction: Worker</v>
      </c>
      <c r="C39" s="45" t="n">
        <f aca="false">CALC!H40</f>
        <v>0.958</v>
      </c>
      <c r="D39" s="45" t="n">
        <f aca="false">CALC!I40</f>
        <v>0.98</v>
      </c>
      <c r="E39" s="45" t="n">
        <f aca="false">CALC!J40</f>
        <v>0.85</v>
      </c>
      <c r="F39" s="45" t="n">
        <f aca="false">CALC!K40</f>
        <v>0.958</v>
      </c>
    </row>
    <row r="40" customFormat="false" ht="12.8" hidden="false" customHeight="false" outlineLevel="0" collapsed="false">
      <c r="A40" s="47" t="str">
        <f aca="false">_xlfn.CONCAT($A$1, ".", CALC!A41)</f>
        <v>LSD.RID.0.AR.ETPR.37</v>
      </c>
      <c r="B40" s="49" t="str">
        <f aca="false">_xlfn.CONCAT(CALC!B41, ": ", CALC!C41)</f>
        <v>Utilities: Support</v>
      </c>
      <c r="C40" s="45" t="n">
        <f aca="false">CALC!H41</f>
        <v>0.958</v>
      </c>
      <c r="D40" s="45" t="n">
        <f aca="false">CALC!I41</f>
        <v>1</v>
      </c>
      <c r="E40" s="45" t="n">
        <f aca="false">CALC!J41</f>
        <v>0.92</v>
      </c>
      <c r="F40" s="45" t="n">
        <f aca="false">CALC!K41</f>
        <v>0.958</v>
      </c>
    </row>
    <row r="41" customFormat="false" ht="12.8" hidden="false" customHeight="false" outlineLevel="0" collapsed="false">
      <c r="A41" s="47" t="str">
        <f aca="false">_xlfn.CONCAT($A$1, ".", CALC!A42)</f>
        <v>LSD.RID.0.AR.ETPR.38</v>
      </c>
      <c r="B41" s="49" t="str">
        <f aca="false">_xlfn.CONCAT(CALC!B42, ": ", CALC!C42)</f>
        <v>Utilities: Worker</v>
      </c>
      <c r="C41" s="45" t="n">
        <f aca="false">CALC!H42</f>
        <v>0.958</v>
      </c>
      <c r="D41" s="45" t="n">
        <f aca="false">CALC!I42</f>
        <v>1</v>
      </c>
      <c r="E41" s="45" t="n">
        <f aca="false">CALC!J42</f>
        <v>0.92</v>
      </c>
      <c r="F41" s="45" t="n">
        <f aca="false">CALC!K42</f>
        <v>0.958</v>
      </c>
    </row>
    <row r="42" customFormat="false" ht="12.8" hidden="false" customHeight="false" outlineLevel="0" collapsed="false">
      <c r="A42" s="47" t="str">
        <f aca="false">_xlfn.CONCAT($A$1, ".", CALC!A43)</f>
        <v>LSD.RID.0.AR.ETPR.39</v>
      </c>
      <c r="B42" s="49" t="str">
        <f aca="false">_xlfn.CONCAT(CALC!B43, ": ", CALC!C43)</f>
        <v>Wholesale Trade: Support</v>
      </c>
      <c r="C42" s="45" t="n">
        <f aca="false">CALC!H43</f>
        <v>0.958</v>
      </c>
      <c r="D42" s="45" t="n">
        <f aca="false">CALC!I43</f>
        <v>1</v>
      </c>
      <c r="E42" s="45" t="n">
        <f aca="false">CALC!J43</f>
        <v>0.92</v>
      </c>
      <c r="F42" s="45" t="n">
        <f aca="false">CALC!K43</f>
        <v>0.958</v>
      </c>
    </row>
    <row r="43" customFormat="false" ht="12.8" hidden="false" customHeight="false" outlineLevel="0" collapsed="false">
      <c r="A43" s="47" t="str">
        <f aca="false">_xlfn.CONCAT($A$1, ".", CALC!A44)</f>
        <v>LSD.RID.0.AR.ETPR.40</v>
      </c>
      <c r="B43" s="49" t="str">
        <f aca="false">_xlfn.CONCAT(CALC!B44, ": ", CALC!C44)</f>
        <v>Wholesale Trade: Worker</v>
      </c>
      <c r="C43" s="45" t="n">
        <f aca="false">CALC!H44</f>
        <v>0.958</v>
      </c>
      <c r="D43" s="45" t="n">
        <f aca="false">CALC!I44</f>
        <v>1</v>
      </c>
      <c r="E43" s="45" t="n">
        <f aca="false">CALC!J44</f>
        <v>0.92</v>
      </c>
      <c r="F43" s="45" t="n">
        <f aca="false">CALC!K44</f>
        <v>0.958</v>
      </c>
    </row>
    <row r="44" customFormat="false" ht="12.8" hidden="false" customHeight="false" outlineLevel="0" collapsed="false">
      <c r="A44" s="47" t="str">
        <f aca="false">_xlfn.CONCAT($A$1, ".", CALC!A45)</f>
        <v>LSD.RID.0.AR.ETPR.41</v>
      </c>
      <c r="B44" s="49" t="str">
        <f aca="false">_xlfn.CONCAT(CALC!B45, ": ", CALC!C45)</f>
        <v>Information: Support</v>
      </c>
      <c r="C44" s="45" t="n">
        <f aca="false">CALC!H45</f>
        <v>0.958</v>
      </c>
      <c r="D44" s="45" t="n">
        <f aca="false">CALC!I45</f>
        <v>1.02</v>
      </c>
      <c r="E44" s="45" t="n">
        <f aca="false">CALC!J45</f>
        <v>0.92</v>
      </c>
      <c r="F44" s="45" t="n">
        <f aca="false">CALC!K45</f>
        <v>0.958</v>
      </c>
    </row>
    <row r="45" customFormat="false" ht="12.8" hidden="false" customHeight="false" outlineLevel="0" collapsed="false">
      <c r="A45" s="47" t="str">
        <f aca="false">_xlfn.CONCAT($A$1, ".", CALC!A46)</f>
        <v>LSD.RID.0.AR.ETPR.42</v>
      </c>
      <c r="B45" s="49" t="str">
        <f aca="false">_xlfn.CONCAT(CALC!B46, ": ", CALC!C46)</f>
        <v>Information: Worker</v>
      </c>
      <c r="C45" s="45" t="n">
        <f aca="false">CALC!H46</f>
        <v>0.958</v>
      </c>
      <c r="D45" s="45" t="n">
        <f aca="false">CALC!I46</f>
        <v>1.02</v>
      </c>
      <c r="E45" s="45" t="n">
        <f aca="false">CALC!J46</f>
        <v>0.92</v>
      </c>
      <c r="F45" s="45" t="n">
        <f aca="false">CALC!K46</f>
        <v>0.958</v>
      </c>
    </row>
    <row r="46" customFormat="false" ht="12.8" hidden="false" customHeight="false" outlineLevel="0" collapsed="false">
      <c r="A46" s="47" t="str">
        <f aca="false">_xlfn.CONCAT($A$1, ".", CALC!A47)</f>
        <v>LSD.RID.0.AR.ETPR.43</v>
      </c>
      <c r="B46" s="49" t="str">
        <f aca="false">_xlfn.CONCAT(CALC!B47, ": ", CALC!C47)</f>
        <v>Real Estate, Rental and Leasing: Support</v>
      </c>
      <c r="C46" s="45" t="n">
        <f aca="false">CALC!H47</f>
        <v>0.958</v>
      </c>
      <c r="D46" s="45" t="n">
        <f aca="false">CALC!I47</f>
        <v>1.02</v>
      </c>
      <c r="E46" s="45" t="n">
        <f aca="false">CALC!J47</f>
        <v>0.92</v>
      </c>
      <c r="F46" s="45" t="n">
        <f aca="false">CALC!K47</f>
        <v>0.958</v>
      </c>
    </row>
    <row r="47" customFormat="false" ht="12.8" hidden="false" customHeight="false" outlineLevel="0" collapsed="false">
      <c r="A47" s="47" t="str">
        <f aca="false">_xlfn.CONCAT($A$1, ".", CALC!A48)</f>
        <v>LSD.RID.0.AR.ETPR.44</v>
      </c>
      <c r="B47" s="49" t="str">
        <f aca="false">_xlfn.CONCAT(CALC!B48, ": ", CALC!C48)</f>
        <v>Real Estate, Rental and Leasing: Worker</v>
      </c>
      <c r="C47" s="45" t="n">
        <f aca="false">CALC!H48</f>
        <v>0.958</v>
      </c>
      <c r="D47" s="45" t="n">
        <f aca="false">CALC!I48</f>
        <v>1.02</v>
      </c>
      <c r="E47" s="45" t="n">
        <f aca="false">CALC!J48</f>
        <v>0.92</v>
      </c>
      <c r="F47" s="45" t="n">
        <f aca="false">CALC!K48</f>
        <v>0.958</v>
      </c>
    </row>
    <row r="48" customFormat="false" ht="12.8" hidden="false" customHeight="false" outlineLevel="0" collapsed="false">
      <c r="A48" s="47" t="str">
        <f aca="false">_xlfn.CONCAT($A$1, ".", CALC!A49)</f>
        <v>LSD.RID.0.AR.ETPR.45</v>
      </c>
      <c r="B48" s="49" t="str">
        <f aca="false">_xlfn.CONCAT(CALC!B49, ": ", CALC!C49)</f>
        <v>Waste Management Services: Support</v>
      </c>
      <c r="C48" s="45" t="n">
        <f aca="false">CALC!H49</f>
        <v>0.958</v>
      </c>
      <c r="D48" s="45" t="n">
        <f aca="false">CALC!I49</f>
        <v>0.98</v>
      </c>
      <c r="E48" s="45" t="n">
        <f aca="false">CALC!J49</f>
        <v>0.85</v>
      </c>
      <c r="F48" s="45" t="n">
        <f aca="false">CALC!K49</f>
        <v>0.958</v>
      </c>
    </row>
    <row r="49" customFormat="false" ht="12.8" hidden="false" customHeight="false" outlineLevel="0" collapsed="false">
      <c r="A49" s="47" t="str">
        <f aca="false">_xlfn.CONCAT($A$1, ".", CALC!A50)</f>
        <v>LSD.RID.0.AR.ETPR.46</v>
      </c>
      <c r="B49" s="49" t="str">
        <f aca="false">_xlfn.CONCAT(CALC!B50, ": ", CALC!C50)</f>
        <v>Waste Management Services: Worker</v>
      </c>
      <c r="C49" s="45" t="n">
        <f aca="false">CALC!H50</f>
        <v>0.958</v>
      </c>
      <c r="D49" s="45" t="n">
        <f aca="false">CALC!I50</f>
        <v>0.98</v>
      </c>
      <c r="E49" s="45" t="n">
        <f aca="false">CALC!J50</f>
        <v>0.85</v>
      </c>
      <c r="F49" s="45" t="n">
        <f aca="false">CALC!K50</f>
        <v>0.958</v>
      </c>
    </row>
    <row r="50" customFormat="false" ht="12.8" hidden="false" customHeight="false" outlineLevel="0" collapsed="false">
      <c r="A50" s="47" t="str">
        <f aca="false">_xlfn.CONCAT($A$1, ".", CALC!A51)</f>
        <v>LSD.RID.0.AR.ETPR.47</v>
      </c>
      <c r="B50" s="49" t="str">
        <f aca="false">_xlfn.CONCAT(CALC!B51, ": ", CALC!C51)</f>
        <v>Arts, Entertainment, and Recreation: Support</v>
      </c>
      <c r="C50" s="45" t="n">
        <f aca="false">CALC!H51</f>
        <v>0.958</v>
      </c>
      <c r="D50" s="45" t="n">
        <f aca="false">CALC!I51</f>
        <v>0.98</v>
      </c>
      <c r="E50" s="45" t="n">
        <f aca="false">CALC!J51</f>
        <v>0.85</v>
      </c>
      <c r="F50" s="45" t="n">
        <f aca="false">CALC!K51</f>
        <v>0.958</v>
      </c>
    </row>
    <row r="51" customFormat="false" ht="12.8" hidden="false" customHeight="false" outlineLevel="0" collapsed="false">
      <c r="A51" s="47" t="str">
        <f aca="false">_xlfn.CONCAT($A$1, ".", CALC!A52)</f>
        <v>LSD.RID.0.AR.ETPR.48</v>
      </c>
      <c r="B51" s="49" t="str">
        <f aca="false">_xlfn.CONCAT(CALC!B52, ": ", CALC!C52)</f>
        <v>Arts, Entertainment, and Recreation: Worker</v>
      </c>
      <c r="C51" s="45" t="n">
        <f aca="false">CALC!H52</f>
        <v>0.958</v>
      </c>
      <c r="D51" s="45" t="n">
        <f aca="false">CALC!I52</f>
        <v>0.98</v>
      </c>
      <c r="E51" s="45" t="n">
        <f aca="false">CALC!J52</f>
        <v>0.85</v>
      </c>
      <c r="F51" s="45" t="n">
        <f aca="false">CALC!K52</f>
        <v>0.958</v>
      </c>
    </row>
    <row r="52" customFormat="false" ht="12.8" hidden="false" customHeight="false" outlineLevel="0" collapsed="false">
      <c r="A52" s="47" t="str">
        <f aca="false">_xlfn.CONCAT($A$1, ".", CALC!A53)</f>
        <v>LSD.RID.0.AR.ETPR.49</v>
      </c>
      <c r="B52" s="49" t="str">
        <f aca="false">_xlfn.CONCAT(CALC!B53, ": ", CALC!C53)</f>
        <v>Accommodation and Food Services: Support</v>
      </c>
      <c r="C52" s="45" t="n">
        <f aca="false">CALC!H53</f>
        <v>0.958</v>
      </c>
      <c r="D52" s="45" t="n">
        <f aca="false">CALC!I53</f>
        <v>0.98</v>
      </c>
      <c r="E52" s="45" t="n">
        <f aca="false">CALC!J53</f>
        <v>0.85</v>
      </c>
      <c r="F52" s="45" t="n">
        <f aca="false">CALC!K53</f>
        <v>0.958</v>
      </c>
    </row>
    <row r="53" customFormat="false" ht="12.8" hidden="false" customHeight="false" outlineLevel="0" collapsed="false">
      <c r="A53" s="47" t="str">
        <f aca="false">_xlfn.CONCAT($A$1, ".", CALC!A54)</f>
        <v>LSD.RID.0.AR.ETPR.50</v>
      </c>
      <c r="B53" s="49" t="str">
        <f aca="false">_xlfn.CONCAT(CALC!B54, ": ", CALC!C54)</f>
        <v>Accommodation and Food Services: Worker</v>
      </c>
      <c r="C53" s="45" t="n">
        <f aca="false">CALC!H54</f>
        <v>0.958</v>
      </c>
      <c r="D53" s="45" t="n">
        <f aca="false">CALC!I54</f>
        <v>0.98</v>
      </c>
      <c r="E53" s="45" t="n">
        <f aca="false">CALC!J54</f>
        <v>0.85</v>
      </c>
      <c r="F53" s="45" t="n">
        <f aca="false">CALC!K54</f>
        <v>0.958</v>
      </c>
    </row>
    <row r="54" customFormat="false" ht="12.8" hidden="false" customHeight="false" outlineLevel="0" collapsed="false">
      <c r="A54" s="47" t="str">
        <f aca="false">_xlfn.CONCAT($A$1, ".", CALC!A55)</f>
        <v>LSD.RID.0.AR.ETPR.51</v>
      </c>
      <c r="B54" s="49" t="str">
        <f aca="false">_xlfn.CONCAT(CALC!B55, ": ", CALC!C55)</f>
        <v>Public Administration: Support</v>
      </c>
      <c r="C54" s="45" t="n">
        <f aca="false">CALC!H55</f>
        <v>0.958</v>
      </c>
      <c r="D54" s="45" t="n">
        <f aca="false">CALC!I55</f>
        <v>1.02</v>
      </c>
      <c r="E54" s="45" t="n">
        <f aca="false">CALC!J55</f>
        <v>0.92</v>
      </c>
      <c r="F54" s="45" t="n">
        <f aca="false">CALC!K55</f>
        <v>0.958</v>
      </c>
    </row>
    <row r="55" customFormat="false" ht="12.8" hidden="false" customHeight="false" outlineLevel="0" collapsed="false">
      <c r="A55" s="47" t="str">
        <f aca="false">_xlfn.CONCAT($A$1, ".", CALC!A56)</f>
        <v>LSD.RID.0.AR.ETPR.52</v>
      </c>
      <c r="B55" s="49" t="str">
        <f aca="false">_xlfn.CONCAT(CALC!B56, ": ", CALC!C56)</f>
        <v>Public Administration: Worker</v>
      </c>
      <c r="C55" s="45" t="n">
        <f aca="false">CALC!H56</f>
        <v>0.958</v>
      </c>
      <c r="D55" s="45" t="n">
        <f aca="false">CALC!I56</f>
        <v>1.02</v>
      </c>
      <c r="E55" s="45" t="n">
        <f aca="false">CALC!J56</f>
        <v>0.92</v>
      </c>
      <c r="F55" s="45" t="n">
        <f aca="false">CALC!K56</f>
        <v>0.958</v>
      </c>
    </row>
    <row r="57" customFormat="false" ht="12.8" hidden="false" customHeight="false" outlineLevel="1" collapsed="false"/>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3"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0938A"/>
    <pageSetUpPr fitToPage="false"/>
  </sheetPr>
  <dimension ref="A1:BC245"/>
  <sheetViews>
    <sheetView showFormulas="false" showGridLines="true" showRowColHeaders="true" showZeros="true" rightToLeft="false" tabSelected="false" showOutlineSymbols="true" defaultGridColor="true" view="normal" topLeftCell="A49" colorId="64" zoomScale="75" zoomScaleNormal="75" zoomScalePageLayoutView="100" workbookViewId="0">
      <selection pane="topLeft" activeCell="A56" activeCellId="1" sqref="155:249 A56"/>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8" t="s">
        <v>804</v>
      </c>
      <c r="B1" s="35" t="s">
        <v>805</v>
      </c>
      <c r="C1" s="5" t="s">
        <v>2</v>
      </c>
      <c r="D1" s="35" t="s">
        <v>806</v>
      </c>
      <c r="E1" s="48" t="s">
        <v>807</v>
      </c>
      <c r="AZ1" s="23"/>
      <c r="BA1" s="23"/>
      <c r="BB1" s="23"/>
      <c r="BC1" s="23"/>
    </row>
    <row r="2" customFormat="false" ht="46.25" hidden="false" customHeight="false" outlineLevel="0" collapsed="false">
      <c r="A2" s="25" t="s">
        <v>799</v>
      </c>
      <c r="B2" s="30" t="s">
        <v>800</v>
      </c>
      <c r="C2" s="31" t="str">
        <f aca="false">CALC!L3</f>
        <v>Labor Force Participation Rate (LFPR)</v>
      </c>
      <c r="D2" s="31" t="str">
        <f aca="false">CALC!M3</f>
        <v>Authorized Immigrant Labor Force Participation Rate (LFPR)</v>
      </c>
      <c r="E2" s="31" t="str">
        <f aca="false">CALC!N3</f>
        <v>Unauthorized Immigrant Labor Force Participation Rate (LFPR)</v>
      </c>
      <c r="F2" s="31" t="str">
        <f aca="false">CALC!O3</f>
        <v>American Labor Force Participation Rate (LFPR)</v>
      </c>
    </row>
    <row r="3" customFormat="false" ht="12.8" hidden="false" customHeight="false" outlineLevel="0" collapsed="false">
      <c r="A3" s="3" t="str">
        <f aca="false">_xlfn.CONCAT($A$1, ".", CALC!A4)</f>
        <v>LSD.RID.0.AR.LFPR.0</v>
      </c>
      <c r="B3" s="44" t="str">
        <f aca="false">_xlfn.CONCAT(CALC!B4, ":", CALC!C4)</f>
        <v>All Industries:All Roles</v>
      </c>
      <c r="C3" s="31" t="n">
        <f aca="false">CALC!L4</f>
        <v>0.59</v>
      </c>
      <c r="D3" s="31" t="n">
        <f aca="false">CALC!M4</f>
        <v>0.619</v>
      </c>
      <c r="E3" s="31" t="n">
        <f aca="false">CALC!N4</f>
        <v>0.678</v>
      </c>
      <c r="F3" s="31" t="n">
        <f aca="false">CALC!O4</f>
        <v>0.59</v>
      </c>
    </row>
    <row r="4" customFormat="false" ht="12.8" hidden="false" customHeight="false" outlineLevel="0" collapsed="false">
      <c r="A4" s="3" t="str">
        <f aca="false">_xlfn.CONCAT($A$1, ".", CALC!A5)</f>
        <v>LSD.RID.0.AR.LFPR.1</v>
      </c>
      <c r="B4" s="44" t="str">
        <f aca="false">_xlfn.CONCAT(CALC!B5, ":", CALC!C5)</f>
        <v>Agriculture:Worker</v>
      </c>
      <c r="C4" s="31" t="n">
        <f aca="false">CALC!L5</f>
        <v>0.012</v>
      </c>
      <c r="D4" s="31" t="n">
        <f aca="false">CALC!M5</f>
        <v>0.619</v>
      </c>
      <c r="E4" s="31" t="n">
        <f aca="false">CALC!N5</f>
        <v>0.678</v>
      </c>
      <c r="F4" s="31" t="n">
        <f aca="false">CALC!O5</f>
        <v>0.011</v>
      </c>
    </row>
    <row r="5" customFormat="false" ht="12.8" hidden="false" customHeight="false" outlineLevel="0" collapsed="false">
      <c r="A5" s="3" t="str">
        <f aca="false">_xlfn.CONCAT($A$1, ".", CALC!A6)</f>
        <v>LSD.RID.0.AR.LFPR.2</v>
      </c>
      <c r="B5" s="44" t="str">
        <f aca="false">_xlfn.CONCAT(CALC!B6, ":", CALC!C6)</f>
        <v>Agriculture:Support</v>
      </c>
      <c r="C5" s="31" t="n">
        <f aca="false">CALC!L6</f>
        <v>0.003</v>
      </c>
      <c r="D5" s="31" t="n">
        <f aca="false">CALC!M6</f>
        <v>0.619</v>
      </c>
      <c r="E5" s="31" t="n">
        <f aca="false">CALC!N6</f>
        <v>0.678</v>
      </c>
      <c r="F5" s="31" t="n">
        <f aca="false">CALC!O6</f>
        <v>0.003</v>
      </c>
    </row>
    <row r="6" customFormat="false" ht="12.8" hidden="false" customHeight="false" outlineLevel="0" collapsed="false">
      <c r="A6" s="3" t="str">
        <f aca="false">_xlfn.CONCAT($A$1, ".", CALC!A7)</f>
        <v>LSD.RID.0.AR.LFPR.3</v>
      </c>
      <c r="B6" s="44" t="str">
        <f aca="false">_xlfn.CONCAT(CALC!B7, ":", CALC!C7)</f>
        <v>Construction:Worker</v>
      </c>
      <c r="C6" s="31" t="n">
        <f aca="false">CALC!L7</f>
        <v>0.023</v>
      </c>
      <c r="D6" s="31" t="n">
        <f aca="false">CALC!M7</f>
        <v>0.619</v>
      </c>
      <c r="E6" s="31" t="n">
        <f aca="false">CALC!N7</f>
        <v>0.712</v>
      </c>
      <c r="F6" s="31" t="n">
        <f aca="false">CALC!O7</f>
        <v>0.02</v>
      </c>
    </row>
    <row r="7" customFormat="false" ht="12.8" hidden="false" customHeight="false" outlineLevel="0" collapsed="false">
      <c r="A7" s="3" t="str">
        <f aca="false">_xlfn.CONCAT($A$1, ".", CALC!A8)</f>
        <v>LSD.RID.0.AR.LFPR.4</v>
      </c>
      <c r="B7" s="44" t="str">
        <f aca="false">_xlfn.CONCAT(CALC!B8, ":", CALC!C8)</f>
        <v>Construction:Support</v>
      </c>
      <c r="C7" s="31" t="n">
        <f aca="false">CALC!L8</f>
        <v>0.006</v>
      </c>
      <c r="D7" s="31" t="n">
        <f aca="false">CALC!M8</f>
        <v>0.619</v>
      </c>
      <c r="E7" s="31" t="n">
        <f aca="false">CALC!N8</f>
        <v>0.712</v>
      </c>
      <c r="F7" s="31" t="n">
        <f aca="false">CALC!O8</f>
        <v>0.005</v>
      </c>
    </row>
    <row r="8" customFormat="false" ht="12.8" hidden="false" customHeight="false" outlineLevel="0" collapsed="false">
      <c r="A8" s="3" t="str">
        <f aca="false">_xlfn.CONCAT($A$1, ".", CALC!A9)</f>
        <v>LSD.RID.0.AR.LFPR.5</v>
      </c>
      <c r="B8" s="44" t="str">
        <f aca="false">_xlfn.CONCAT(CALC!B9, ":", CALC!C9)</f>
        <v>Hospitality:Worker</v>
      </c>
      <c r="C8" s="31" t="n">
        <f aca="false">CALC!L9</f>
        <v>0.049</v>
      </c>
      <c r="D8" s="31" t="n">
        <f aca="false">CALC!M9</f>
        <v>0.619</v>
      </c>
      <c r="E8" s="31" t="n">
        <f aca="false">CALC!N9</f>
        <v>0.678</v>
      </c>
      <c r="F8" s="31" t="n">
        <f aca="false">CALC!O9</f>
        <v>0.046</v>
      </c>
    </row>
    <row r="9" customFormat="false" ht="12.8" hidden="false" customHeight="false" outlineLevel="0" collapsed="false">
      <c r="A9" s="3" t="str">
        <f aca="false">_xlfn.CONCAT($A$1, ".", CALC!A10)</f>
        <v>LSD.RID.0.AR.LFPR.6</v>
      </c>
      <c r="B9" s="44" t="str">
        <f aca="false">_xlfn.CONCAT(CALC!B10, ":", CALC!C10)</f>
        <v>Hospitality:Support</v>
      </c>
      <c r="C9" s="31" t="n">
        <f aca="false">CALC!L10</f>
        <v>0.012</v>
      </c>
      <c r="D9" s="31" t="n">
        <f aca="false">CALC!M10</f>
        <v>0.619</v>
      </c>
      <c r="E9" s="31" t="n">
        <f aca="false">CALC!N10</f>
        <v>0.678</v>
      </c>
      <c r="F9" s="31" t="n">
        <f aca="false">CALC!O10</f>
        <v>0.011</v>
      </c>
    </row>
    <row r="10" customFormat="false" ht="12.8" hidden="false" customHeight="false" outlineLevel="0" collapsed="false">
      <c r="A10" s="3" t="str">
        <f aca="false">_xlfn.CONCAT($A$1, ".", CALC!A11)</f>
        <v>LSD.RID.0.AR.LFPR.7</v>
      </c>
      <c r="B10" s="44" t="str">
        <f aca="false">_xlfn.CONCAT(CALC!B11, ":", CALC!C11)</f>
        <v>Cleaning &amp; Maintenance:Worker</v>
      </c>
      <c r="C10" s="31" t="n">
        <f aca="false">CALC!L11</f>
        <v>0.017</v>
      </c>
      <c r="D10" s="31" t="n">
        <f aca="false">CALC!M11</f>
        <v>0.619</v>
      </c>
      <c r="E10" s="31" t="n">
        <f aca="false">CALC!N11</f>
        <v>0.678</v>
      </c>
      <c r="F10" s="31" t="n">
        <f aca="false">CALC!O11</f>
        <v>0.016</v>
      </c>
    </row>
    <row r="11" customFormat="false" ht="12.8" hidden="false" customHeight="false" outlineLevel="0" collapsed="false">
      <c r="A11" s="3" t="str">
        <f aca="false">_xlfn.CONCAT($A$1, ".", CALC!A12)</f>
        <v>LSD.RID.0.AR.LFPR.8</v>
      </c>
      <c r="B11" s="44" t="str">
        <f aca="false">_xlfn.CONCAT(CALC!B12, ":", CALC!C12)</f>
        <v>Cleaning &amp; Maintenance:Support</v>
      </c>
      <c r="C11" s="31" t="n">
        <f aca="false">CALC!L12</f>
        <v>0.004</v>
      </c>
      <c r="D11" s="31" t="n">
        <f aca="false">CALC!M12</f>
        <v>0.619</v>
      </c>
      <c r="E11" s="31" t="n">
        <f aca="false">CALC!N12</f>
        <v>0.678</v>
      </c>
      <c r="F11" s="31" t="n">
        <f aca="false">CALC!O12</f>
        <v>0.004</v>
      </c>
    </row>
    <row r="12" customFormat="false" ht="12.8" hidden="false" customHeight="false" outlineLevel="0" collapsed="false">
      <c r="A12" s="3" t="str">
        <f aca="false">_xlfn.CONCAT($A$1, ".", CALC!A13)</f>
        <v>LSD.RID.0.AR.LFPR.9</v>
      </c>
      <c r="B12" s="44" t="str">
        <f aca="false">_xlfn.CONCAT(CALC!B13, ":", CALC!C13)</f>
        <v>Manufacturing:Worker</v>
      </c>
      <c r="C12" s="31" t="n">
        <f aca="false">CALC!L13</f>
        <v>0.061</v>
      </c>
      <c r="D12" s="31" t="n">
        <f aca="false">CALC!M13</f>
        <v>0.681</v>
      </c>
      <c r="E12" s="31" t="n">
        <f aca="false">CALC!N13</f>
        <v>0.712</v>
      </c>
      <c r="F12" s="31" t="n">
        <f aca="false">CALC!O13</f>
        <v>0.058</v>
      </c>
    </row>
    <row r="13" customFormat="false" ht="12.8" hidden="false" customHeight="false" outlineLevel="0" collapsed="false">
      <c r="A13" s="3" t="str">
        <f aca="false">_xlfn.CONCAT($A$1, ".", CALC!A14)</f>
        <v>LSD.RID.0.AR.LFPR.10</v>
      </c>
      <c r="B13" s="44" t="str">
        <f aca="false">_xlfn.CONCAT(CALC!B14, ":", CALC!C14)</f>
        <v>Manufacturing:Support</v>
      </c>
      <c r="C13" s="31" t="n">
        <f aca="false">CALC!L14</f>
        <v>0.015</v>
      </c>
      <c r="D13" s="31" t="n">
        <f aca="false">CALC!M14</f>
        <v>0.681</v>
      </c>
      <c r="E13" s="31" t="n">
        <f aca="false">CALC!N14</f>
        <v>0.712</v>
      </c>
      <c r="F13" s="31" t="n">
        <f aca="false">CALC!O14</f>
        <v>0.014</v>
      </c>
    </row>
    <row r="14" customFormat="false" ht="12.8" hidden="false" customHeight="false" outlineLevel="0" collapsed="false">
      <c r="A14" s="3" t="str">
        <f aca="false">_xlfn.CONCAT($A$1, ".", CALC!A15)</f>
        <v>LSD.RID.0.AR.LFPR.11</v>
      </c>
      <c r="B14" s="44" t="str">
        <f aca="false">_xlfn.CONCAT(CALC!B15, ":", CALC!C15)</f>
        <v>Transportation &amp; Warehousing:Worker</v>
      </c>
      <c r="C14" s="31" t="n">
        <f aca="false">CALC!L15</f>
        <v>0.045</v>
      </c>
      <c r="D14" s="31" t="n">
        <f aca="false">CALC!M15</f>
        <v>0.681</v>
      </c>
      <c r="E14" s="31" t="n">
        <f aca="false">CALC!N15</f>
        <v>0.678</v>
      </c>
      <c r="F14" s="31" t="n">
        <f aca="false">CALC!O15</f>
        <v>0.042</v>
      </c>
    </row>
    <row r="15" customFormat="false" ht="12.8" hidden="false" customHeight="false" outlineLevel="0" collapsed="false">
      <c r="A15" s="3" t="str">
        <f aca="false">_xlfn.CONCAT($A$1, ".", CALC!A16)</f>
        <v>LSD.RID.0.AR.LFPR.12</v>
      </c>
      <c r="B15" s="44" t="str">
        <f aca="false">_xlfn.CONCAT(CALC!B16, ":", CALC!C16)</f>
        <v>Transportation &amp; Warehousing:Support</v>
      </c>
      <c r="C15" s="31" t="n">
        <f aca="false">CALC!L16</f>
        <v>0.015</v>
      </c>
      <c r="D15" s="31" t="n">
        <f aca="false">CALC!M16</f>
        <v>0.681</v>
      </c>
      <c r="E15" s="31" t="n">
        <f aca="false">CALC!N16</f>
        <v>0.678</v>
      </c>
      <c r="F15" s="31" t="n">
        <f aca="false">CALC!O16</f>
        <v>0.014</v>
      </c>
    </row>
    <row r="16" customFormat="false" ht="12.8" hidden="false" customHeight="false" outlineLevel="0" collapsed="false">
      <c r="A16" s="3" t="str">
        <f aca="false">_xlfn.CONCAT($A$1, ".", CALC!A17)</f>
        <v>LSD.RID.0.AR.LFPR.13</v>
      </c>
      <c r="B16" s="44" t="str">
        <f aca="false">_xlfn.CONCAT(CALC!B17, ":", CALC!C17)</f>
        <v>Retail Trade:Worker</v>
      </c>
      <c r="C16" s="31" t="n">
        <f aca="false">CALC!L17</f>
        <v>0.05</v>
      </c>
      <c r="D16" s="31" t="n">
        <f aca="false">CALC!M17</f>
        <v>0.619</v>
      </c>
      <c r="E16" s="31" t="n">
        <f aca="false">CALC!N17</f>
        <v>0.678</v>
      </c>
      <c r="F16" s="31" t="n">
        <f aca="false">CALC!O17</f>
        <v>0.047</v>
      </c>
    </row>
    <row r="17" customFormat="false" ht="12.8" hidden="false" customHeight="false" outlineLevel="0" collapsed="false">
      <c r="A17" s="3" t="str">
        <f aca="false">_xlfn.CONCAT($A$1, ".", CALC!A18)</f>
        <v>LSD.RID.0.AR.LFPR.14</v>
      </c>
      <c r="B17" s="44" t="str">
        <f aca="false">_xlfn.CONCAT(CALC!B18, ":", CALC!C18)</f>
        <v>Retail Trade:Support</v>
      </c>
      <c r="C17" s="31" t="n">
        <f aca="false">CALC!L18</f>
        <v>0.021</v>
      </c>
      <c r="D17" s="31" t="n">
        <f aca="false">CALC!M18</f>
        <v>0.619</v>
      </c>
      <c r="E17" s="31" t="n">
        <f aca="false">CALC!N18</f>
        <v>0.678</v>
      </c>
      <c r="F17" s="31" t="n">
        <f aca="false">CALC!O18</f>
        <v>0.02</v>
      </c>
    </row>
    <row r="18" customFormat="false" ht="12.8" hidden="false" customHeight="false" outlineLevel="0" collapsed="false">
      <c r="A18" s="3" t="str">
        <f aca="false">_xlfn.CONCAT($A$1, ".", CALC!A19)</f>
        <v>LSD.RID.0.AR.LFPR.15</v>
      </c>
      <c r="B18" s="44" t="str">
        <f aca="false">_xlfn.CONCAT(CALC!B19, ":", CALC!C19)</f>
        <v>Landscaping / Groundskeeping:Worker</v>
      </c>
      <c r="C18" s="31" t="n">
        <f aca="false">CALC!L19</f>
        <v>0.008</v>
      </c>
      <c r="D18" s="31" t="n">
        <f aca="false">CALC!M19</f>
        <v>0.619</v>
      </c>
      <c r="E18" s="31" t="n">
        <f aca="false">CALC!N19</f>
        <v>0.678</v>
      </c>
      <c r="F18" s="31" t="n">
        <f aca="false">CALC!O19</f>
        <v>0.007</v>
      </c>
    </row>
    <row r="19" customFormat="false" ht="12.8" hidden="false" customHeight="false" outlineLevel="0" collapsed="false">
      <c r="A19" s="3" t="str">
        <f aca="false">_xlfn.CONCAT($A$1, ".", CALC!A20)</f>
        <v>LSD.RID.0.AR.LFPR.16</v>
      </c>
      <c r="B19" s="44" t="str">
        <f aca="false">_xlfn.CONCAT(CALC!B20, ":", CALC!C20)</f>
        <v>Landscaping / Groundskeeping:Support</v>
      </c>
      <c r="C19" s="31" t="n">
        <f aca="false">CALC!L20</f>
        <v>0.001</v>
      </c>
      <c r="D19" s="31" t="n">
        <f aca="false">CALC!M20</f>
        <v>0.619</v>
      </c>
      <c r="E19" s="31" t="n">
        <f aca="false">CALC!N20</f>
        <v>0.678</v>
      </c>
      <c r="F19" s="31" t="n">
        <f aca="false">CALC!O20</f>
        <v>0.001</v>
      </c>
    </row>
    <row r="20" customFormat="false" ht="12.8" hidden="false" customHeight="false" outlineLevel="0" collapsed="false">
      <c r="A20" s="3" t="str">
        <f aca="false">_xlfn.CONCAT($A$1, ".", CALC!A21)</f>
        <v>LSD.RID.0.AR.LFPR.17</v>
      </c>
      <c r="B20" s="44" t="str">
        <f aca="false">_xlfn.CONCAT(CALC!B21, ":", CALC!C21)</f>
        <v>Automotive &amp; Repair:Worker</v>
      </c>
      <c r="C20" s="31" t="n">
        <f aca="false">CALC!L21</f>
        <v>0.01</v>
      </c>
      <c r="D20" s="31" t="n">
        <f aca="false">CALC!M21</f>
        <v>0.681</v>
      </c>
      <c r="E20" s="31" t="n">
        <f aca="false">CALC!N21</f>
        <v>0.712</v>
      </c>
      <c r="F20" s="31" t="n">
        <f aca="false">CALC!O21</f>
        <v>0.009</v>
      </c>
    </row>
    <row r="21" customFormat="false" ht="12.8" hidden="false" customHeight="false" outlineLevel="0" collapsed="false">
      <c r="A21" s="3" t="str">
        <f aca="false">_xlfn.CONCAT($A$1, ".", CALC!A22)</f>
        <v>LSD.RID.0.AR.LFPR.18</v>
      </c>
      <c r="B21" s="44" t="str">
        <f aca="false">_xlfn.CONCAT(CALC!B22, ":", CALC!C22)</f>
        <v>Automotive &amp; Repair:Support</v>
      </c>
      <c r="C21" s="31" t="n">
        <f aca="false">CALC!L22</f>
        <v>0.002</v>
      </c>
      <c r="D21" s="31" t="n">
        <f aca="false">CALC!M22</f>
        <v>0.681</v>
      </c>
      <c r="E21" s="31" t="n">
        <f aca="false">CALC!N22</f>
        <v>0.712</v>
      </c>
      <c r="F21" s="31" t="n">
        <f aca="false">CALC!O22</f>
        <v>0.002</v>
      </c>
    </row>
    <row r="22" customFormat="false" ht="12.8" hidden="false" customHeight="false" outlineLevel="0" collapsed="false">
      <c r="A22" s="3" t="str">
        <f aca="false">_xlfn.CONCAT($A$1, ".", CALC!A23)</f>
        <v>LSD.RID.0.AR.LFPR.19</v>
      </c>
      <c r="B22" s="44" t="str">
        <f aca="false">_xlfn.CONCAT(CALC!B23, ":", CALC!C23)</f>
        <v>Healthcare &amp; Social Assistance:Worker</v>
      </c>
      <c r="C22" s="31" t="n">
        <f aca="false">CALC!L23</f>
        <v>0.072</v>
      </c>
      <c r="D22" s="31" t="n">
        <f aca="false">CALC!M23</f>
        <v>0.681</v>
      </c>
      <c r="E22" s="31" t="n">
        <f aca="false">CALC!N23</f>
        <v>0.712</v>
      </c>
      <c r="F22" s="31" t="n">
        <f aca="false">CALC!O23</f>
        <v>0.065</v>
      </c>
    </row>
    <row r="23" customFormat="false" ht="12.8" hidden="false" customHeight="false" outlineLevel="0" collapsed="false">
      <c r="A23" s="3" t="str">
        <f aca="false">_xlfn.CONCAT($A$1, ".", CALC!A24)</f>
        <v>LSD.RID.0.AR.LFPR.20</v>
      </c>
      <c r="B23" s="44" t="str">
        <f aca="false">_xlfn.CONCAT(CALC!B24, ":", CALC!C24)</f>
        <v>Healthcare &amp; Social Assistance:Support</v>
      </c>
      <c r="C23" s="31" t="n">
        <f aca="false">CALC!L24</f>
        <v>0.018</v>
      </c>
      <c r="D23" s="31" t="n">
        <f aca="false">CALC!M24</f>
        <v>0.681</v>
      </c>
      <c r="E23" s="31" t="n">
        <f aca="false">CALC!N24</f>
        <v>0.712</v>
      </c>
      <c r="F23" s="31" t="n">
        <f aca="false">CALC!O24</f>
        <v>0.016</v>
      </c>
    </row>
    <row r="24" customFormat="false" ht="12.8" hidden="false" customHeight="false" outlineLevel="0" collapsed="false">
      <c r="A24" s="3" t="str">
        <f aca="false">_xlfn.CONCAT($A$1, ".", CALC!A25)</f>
        <v>LSD.RID.0.AR.LFPR.21</v>
      </c>
      <c r="B24" s="44" t="str">
        <f aca="false">_xlfn.CONCAT(CALC!B25, ":", CALC!C25)</f>
        <v>Professional Services:Worker</v>
      </c>
      <c r="C24" s="31" t="n">
        <f aca="false">CALC!L25</f>
        <v>0.035</v>
      </c>
      <c r="D24" s="31" t="n">
        <f aca="false">CALC!M25</f>
        <v>0.681</v>
      </c>
      <c r="E24" s="31" t="n">
        <f aca="false">CALC!N25</f>
        <v>0.712</v>
      </c>
      <c r="F24" s="31" t="n">
        <f aca="false">CALC!O25</f>
        <v>0.033</v>
      </c>
    </row>
    <row r="25" customFormat="false" ht="12.8" hidden="false" customHeight="false" outlineLevel="0" collapsed="false">
      <c r="A25" s="3" t="str">
        <f aca="false">_xlfn.CONCAT($A$1, ".", CALC!A26)</f>
        <v>LSD.RID.0.AR.LFPR.22</v>
      </c>
      <c r="B25" s="44" t="str">
        <f aca="false">_xlfn.CONCAT(CALC!B26, ":", CALC!C26)</f>
        <v>Professional Services:Support</v>
      </c>
      <c r="C25" s="31" t="n">
        <f aca="false">CALC!L26</f>
        <v>0.009</v>
      </c>
      <c r="D25" s="31" t="n">
        <f aca="false">CALC!M26</f>
        <v>0.681</v>
      </c>
      <c r="E25" s="31" t="n">
        <f aca="false">CALC!N26</f>
        <v>0.712</v>
      </c>
      <c r="F25" s="31" t="n">
        <f aca="false">CALC!O26</f>
        <v>0.008</v>
      </c>
    </row>
    <row r="26" customFormat="false" ht="12.8" hidden="false" customHeight="false" outlineLevel="0" collapsed="false">
      <c r="A26" s="3" t="str">
        <f aca="false">_xlfn.CONCAT($A$1, ".", CALC!A27)</f>
        <v>LSD.RID.0.AR.LFPR.23</v>
      </c>
      <c r="B26" s="44" t="str">
        <f aca="false">_xlfn.CONCAT(CALC!B27, ":", CALC!C27)</f>
        <v>Educational Services:Worker</v>
      </c>
      <c r="C26" s="31" t="n">
        <f aca="false">CALC!L27</f>
        <v>0.035</v>
      </c>
      <c r="D26" s="31" t="n">
        <f aca="false">CALC!M27</f>
        <v>0.681</v>
      </c>
      <c r="E26" s="31" t="n">
        <f aca="false">CALC!N27</f>
        <v>0.712</v>
      </c>
      <c r="F26" s="31" t="n">
        <f aca="false">CALC!O27</f>
        <v>0.033</v>
      </c>
    </row>
    <row r="27" customFormat="false" ht="12.8" hidden="false" customHeight="false" outlineLevel="0" collapsed="false">
      <c r="A27" s="3" t="str">
        <f aca="false">_xlfn.CONCAT($A$1, ".", CALC!A28)</f>
        <v>LSD.RID.0.AR.LFPR.24</v>
      </c>
      <c r="B27" s="44" t="str">
        <f aca="false">_xlfn.CONCAT(CALC!B28, ":", CALC!C28)</f>
        <v>Educational Services:Support</v>
      </c>
      <c r="C27" s="31" t="n">
        <f aca="false">CALC!L28</f>
        <v>0.009</v>
      </c>
      <c r="D27" s="31" t="n">
        <f aca="false">CALC!M28</f>
        <v>0.681</v>
      </c>
      <c r="E27" s="31" t="n">
        <f aca="false">CALC!N28</f>
        <v>0.712</v>
      </c>
      <c r="F27" s="31" t="n">
        <f aca="false">CALC!O28</f>
        <v>0.008</v>
      </c>
    </row>
    <row r="28" customFormat="false" ht="12.8" hidden="false" customHeight="false" outlineLevel="0" collapsed="false">
      <c r="A28" s="3" t="str">
        <f aca="false">_xlfn.CONCAT($A$1, ".", CALC!A29)</f>
        <v>LSD.RID.0.AR.LFPR.25</v>
      </c>
      <c r="B28" s="44" t="str">
        <f aca="false">_xlfn.CONCAT(CALC!B29, ":", CALC!C29)</f>
        <v>Finance &amp; Insurance:Worker</v>
      </c>
      <c r="C28" s="31" t="n">
        <f aca="false">CALC!L29</f>
        <v>0.017</v>
      </c>
      <c r="D28" s="31" t="n">
        <f aca="false">CALC!M29</f>
        <v>0.681</v>
      </c>
      <c r="E28" s="31" t="n">
        <f aca="false">CALC!N29</f>
        <v>0.712</v>
      </c>
      <c r="F28" s="31" t="n">
        <f aca="false">CALC!O29</f>
        <v>0.016</v>
      </c>
    </row>
    <row r="29" customFormat="false" ht="12.8" hidden="false" customHeight="false" outlineLevel="0" collapsed="false">
      <c r="A29" s="3" t="str">
        <f aca="false">_xlfn.CONCAT($A$1, ".", CALC!A30)</f>
        <v>LSD.RID.0.AR.LFPR.26</v>
      </c>
      <c r="B29" s="44" t="str">
        <f aca="false">_xlfn.CONCAT(CALC!B30, ":", CALC!C30)</f>
        <v>Finance &amp; Insurance:Support</v>
      </c>
      <c r="C29" s="31" t="n">
        <f aca="false">CALC!L30</f>
        <v>0.004</v>
      </c>
      <c r="D29" s="31" t="n">
        <f aca="false">CALC!M30</f>
        <v>0.681</v>
      </c>
      <c r="E29" s="31" t="n">
        <f aca="false">CALC!N30</f>
        <v>0.712</v>
      </c>
      <c r="F29" s="31" t="n">
        <f aca="false">CALC!O30</f>
        <v>0.004</v>
      </c>
    </row>
    <row r="30" customFormat="false" ht="12.8" hidden="false" customHeight="false" outlineLevel="0" collapsed="false">
      <c r="A30" s="3" t="str">
        <f aca="false">_xlfn.CONCAT($A$1, ".", CALC!A31)</f>
        <v>LSD.RID.0.AR.LFPR.27</v>
      </c>
      <c r="B30" s="44" t="str">
        <f aca="false">_xlfn.CONCAT(CALC!B31, ":", CALC!C31)</f>
        <v>Media and Information Technology:Worker</v>
      </c>
      <c r="C30" s="31" t="n">
        <f aca="false">CALC!L31</f>
        <v>0.009</v>
      </c>
      <c r="D30" s="31" t="n">
        <f aca="false">CALC!M31</f>
        <v>0.681</v>
      </c>
      <c r="E30" s="31" t="n">
        <f aca="false">CALC!N31</f>
        <v>0.712</v>
      </c>
      <c r="F30" s="31" t="n">
        <f aca="false">CALC!O31</f>
        <v>0.008</v>
      </c>
    </row>
    <row r="31" customFormat="false" ht="12.8" hidden="false" customHeight="false" outlineLevel="0" collapsed="false">
      <c r="A31" s="3" t="str">
        <f aca="false">_xlfn.CONCAT($A$1, ".", CALC!A32)</f>
        <v>LSD.RID.0.AR.LFPR.28</v>
      </c>
      <c r="B31" s="44" t="str">
        <f aca="false">_xlfn.CONCAT(CALC!B32, ":", CALC!C32)</f>
        <v>Media and Information Technology:Support</v>
      </c>
      <c r="C31" s="31" t="n">
        <f aca="false">CALC!L32</f>
        <v>0.002</v>
      </c>
      <c r="D31" s="31" t="n">
        <f aca="false">CALC!M32</f>
        <v>0.681</v>
      </c>
      <c r="E31" s="31" t="n">
        <f aca="false">CALC!N32</f>
        <v>0.712</v>
      </c>
      <c r="F31" s="31" t="n">
        <f aca="false">CALC!O32</f>
        <v>0.002</v>
      </c>
    </row>
    <row r="32" customFormat="false" ht="12.8" hidden="false" customHeight="false" outlineLevel="0" collapsed="false">
      <c r="A32" s="3" t="str">
        <f aca="false">_xlfn.CONCAT($A$1, ".", CALC!A33)</f>
        <v>LSD.RID.0.AR.LFPR.29</v>
      </c>
      <c r="B32" s="44" t="str">
        <f aca="false">_xlfn.CONCAT(CALC!B33, ":", CALC!C33)</f>
        <v>Government:Worker</v>
      </c>
      <c r="C32" s="31" t="n">
        <f aca="false">CALC!L33</f>
        <v>0.035</v>
      </c>
      <c r="D32" s="31" t="n">
        <f aca="false">CALC!M33</f>
        <v>0.681</v>
      </c>
      <c r="E32" s="31" t="n">
        <f aca="false">CALC!N33</f>
        <v>0.712</v>
      </c>
      <c r="F32" s="31" t="n">
        <f aca="false">CALC!O33</f>
        <v>0.033</v>
      </c>
    </row>
    <row r="33" customFormat="false" ht="12.8" hidden="false" customHeight="false" outlineLevel="0" collapsed="false">
      <c r="A33" s="3" t="str">
        <f aca="false">_xlfn.CONCAT($A$1, ".", CALC!A34)</f>
        <v>LSD.RID.0.AR.LFPR.30</v>
      </c>
      <c r="B33" s="44" t="str">
        <f aca="false">_xlfn.CONCAT(CALC!B34, ":", CALC!C34)</f>
        <v>Government:Support</v>
      </c>
      <c r="C33" s="31" t="n">
        <f aca="false">CALC!L34</f>
        <v>0.009</v>
      </c>
      <c r="D33" s="31" t="n">
        <f aca="false">CALC!M34</f>
        <v>0.681</v>
      </c>
      <c r="E33" s="31" t="n">
        <f aca="false">CALC!N34</f>
        <v>0.712</v>
      </c>
      <c r="F33" s="31" t="n">
        <f aca="false">CALC!O34</f>
        <v>0.008</v>
      </c>
    </row>
    <row r="34" customFormat="false" ht="12.8" hidden="false" customHeight="false" outlineLevel="0" collapsed="false">
      <c r="A34" s="3" t="str">
        <f aca="false">_xlfn.CONCAT($A$1, ".", CALC!A35)</f>
        <v>LSD.RID.0.AR.LFPR.31</v>
      </c>
      <c r="B34" s="44" t="str">
        <f aca="false">_xlfn.CONCAT(CALC!B35, ":", CALC!C35)</f>
        <v>Self-Employed / Non-Employer:Support</v>
      </c>
      <c r="C34" s="31" t="n">
        <f aca="false">CALC!L35</f>
        <v>0.035</v>
      </c>
      <c r="D34" s="31" t="n">
        <f aca="false">CALC!M35</f>
        <v>0.681</v>
      </c>
      <c r="E34" s="31" t="n">
        <f aca="false">CALC!N35</f>
        <v>0.712</v>
      </c>
      <c r="F34" s="31" t="n">
        <f aca="false">CALC!O35</f>
        <v>0.033</v>
      </c>
    </row>
    <row r="35" customFormat="false" ht="12.8" hidden="false" customHeight="false" outlineLevel="0" collapsed="false">
      <c r="A35" s="3" t="str">
        <f aca="false">_xlfn.CONCAT($A$1, ".", CALC!A36)</f>
        <v>LSD.RID.0.AR.LFPR.32</v>
      </c>
      <c r="B35" s="44" t="str">
        <f aca="false">_xlfn.CONCAT(CALC!B36, ":", CALC!C36)</f>
        <v>Self-Employed / Non-Employer:Worker</v>
      </c>
      <c r="C35" s="31" t="n">
        <f aca="false">CALC!L36</f>
        <v>0.087</v>
      </c>
      <c r="D35" s="31" t="n">
        <f aca="false">CALC!M36</f>
        <v>0.681</v>
      </c>
      <c r="E35" s="31" t="n">
        <f aca="false">CALC!N36</f>
        <v>0.712</v>
      </c>
      <c r="F35" s="31" t="n">
        <f aca="false">CALC!O36</f>
        <v>0.083</v>
      </c>
    </row>
    <row r="36" customFormat="false" ht="12.8" hidden="false" customHeight="false" outlineLevel="0" collapsed="false">
      <c r="A36" s="3" t="str">
        <f aca="false">_xlfn.CONCAT($A$1, ".", CALC!A37)</f>
        <v>LSD.RID.0.AR.LFPR.33</v>
      </c>
      <c r="B36" s="44" t="str">
        <f aca="false">_xlfn.CONCAT(CALC!B37, ":", CALC!C37)</f>
        <v>Other Services:Support</v>
      </c>
      <c r="C36" s="31" t="n">
        <f aca="false">CALC!L37</f>
        <v>0.007</v>
      </c>
      <c r="D36" s="31" t="n">
        <f aca="false">CALC!M37</f>
        <v>0.619</v>
      </c>
      <c r="E36" s="31" t="n">
        <f aca="false">CALC!N37</f>
        <v>0.678</v>
      </c>
      <c r="F36" s="31" t="n">
        <f aca="false">CALC!O37</f>
        <v>0.007</v>
      </c>
    </row>
    <row r="37" customFormat="false" ht="12.8" hidden="false" customHeight="false" outlineLevel="0" collapsed="false">
      <c r="A37" s="3" t="str">
        <f aca="false">_xlfn.CONCAT($A$1, ".", CALC!A38)</f>
        <v>LSD.RID.0.AR.LFPR.34</v>
      </c>
      <c r="B37" s="44" t="str">
        <f aca="false">_xlfn.CONCAT(CALC!B38, ":", CALC!C38)</f>
        <v>Other Services:Worker</v>
      </c>
      <c r="C37" s="31" t="n">
        <f aca="false">CALC!L38</f>
        <v>0.028</v>
      </c>
      <c r="D37" s="31" t="n">
        <f aca="false">CALC!M38</f>
        <v>0.619</v>
      </c>
      <c r="E37" s="31" t="n">
        <f aca="false">CALC!N38</f>
        <v>0.678</v>
      </c>
      <c r="F37" s="31" t="n">
        <f aca="false">CALC!O38</f>
        <v>0.026</v>
      </c>
    </row>
    <row r="38" customFormat="false" ht="12.8" hidden="false" customHeight="false" outlineLevel="0" collapsed="false">
      <c r="A38" s="3" t="str">
        <f aca="false">_xlfn.CONCAT($A$1, ".", CALC!A39)</f>
        <v>LSD.RID.0.AR.LFPR.35</v>
      </c>
      <c r="B38" s="44" t="str">
        <f aca="false">_xlfn.CONCAT(CALC!B39, ":", CALC!C39)</f>
        <v>Mining, Quarrying, and Oil/Gas Extraction:Support</v>
      </c>
      <c r="C38" s="31" t="n">
        <f aca="false">CALC!L39</f>
        <v>0.003</v>
      </c>
      <c r="D38" s="31" t="n">
        <f aca="false">CALC!M39</f>
        <v>0.619</v>
      </c>
      <c r="E38" s="31" t="n">
        <f aca="false">CALC!N39</f>
        <v>0.678</v>
      </c>
      <c r="F38" s="31" t="n">
        <f aca="false">CALC!O39</f>
        <v>0.003</v>
      </c>
    </row>
    <row r="39" customFormat="false" ht="12.8" hidden="false" customHeight="false" outlineLevel="0" collapsed="false">
      <c r="A39" s="3" t="str">
        <f aca="false">_xlfn.CONCAT($A$1, ".", CALC!A40)</f>
        <v>LSD.RID.0.AR.LFPR.36</v>
      </c>
      <c r="B39" s="44" t="str">
        <f aca="false">_xlfn.CONCAT(CALC!B40, ":", CALC!C40)</f>
        <v>Mining, Quarrying, and Oil/Gas Extraction:Worker</v>
      </c>
      <c r="C39" s="31" t="n">
        <f aca="false">CALC!L40</f>
        <v>0.009</v>
      </c>
      <c r="D39" s="31" t="n">
        <f aca="false">CALC!M40</f>
        <v>0.619</v>
      </c>
      <c r="E39" s="31" t="n">
        <f aca="false">CALC!N40</f>
        <v>0.678</v>
      </c>
      <c r="F39" s="31" t="n">
        <f aca="false">CALC!O40</f>
        <v>0.009</v>
      </c>
    </row>
    <row r="40" customFormat="false" ht="12.8" hidden="false" customHeight="false" outlineLevel="0" collapsed="false">
      <c r="A40" s="3" t="str">
        <f aca="false">_xlfn.CONCAT($A$1, ".", CALC!A41)</f>
        <v>LSD.RID.0.AR.LFPR.37</v>
      </c>
      <c r="B40" s="44" t="str">
        <f aca="false">_xlfn.CONCAT(CALC!B41, ":", CALC!C41)</f>
        <v>Utilities:Support</v>
      </c>
      <c r="C40" s="31" t="n">
        <f aca="false">CALC!L41</f>
        <v>0.002</v>
      </c>
      <c r="D40" s="31" t="n">
        <f aca="false">CALC!M41</f>
        <v>0.681</v>
      </c>
      <c r="E40" s="31" t="n">
        <f aca="false">CALC!N41</f>
        <v>0.712</v>
      </c>
      <c r="F40" s="31" t="n">
        <f aca="false">CALC!O41</f>
        <v>0.002</v>
      </c>
    </row>
    <row r="41" customFormat="false" ht="12.8" hidden="false" customHeight="false" outlineLevel="0" collapsed="false">
      <c r="A41" s="3" t="str">
        <f aca="false">_xlfn.CONCAT($A$1, ".", CALC!A42)</f>
        <v>LSD.RID.0.AR.LFPR.38</v>
      </c>
      <c r="B41" s="44" t="str">
        <f aca="false">_xlfn.CONCAT(CALC!B42, ":", CALC!C42)</f>
        <v>Utilities:Worker</v>
      </c>
      <c r="C41" s="31" t="n">
        <f aca="false">CALC!L42</f>
        <v>0.007</v>
      </c>
      <c r="D41" s="31" t="n">
        <f aca="false">CALC!M42</f>
        <v>0.681</v>
      </c>
      <c r="E41" s="31" t="n">
        <f aca="false">CALC!N42</f>
        <v>0.712</v>
      </c>
      <c r="F41" s="31" t="n">
        <f aca="false">CALC!O42</f>
        <v>0.007</v>
      </c>
    </row>
    <row r="42" customFormat="false" ht="12.8" hidden="false" customHeight="false" outlineLevel="0" collapsed="false">
      <c r="A42" s="3" t="str">
        <f aca="false">_xlfn.CONCAT($A$1, ".", CALC!A43)</f>
        <v>LSD.RID.0.AR.LFPR.39</v>
      </c>
      <c r="B42" s="44" t="str">
        <f aca="false">_xlfn.CONCAT(CALC!B43, ":", CALC!C43)</f>
        <v>Wholesale Trade:Support</v>
      </c>
      <c r="C42" s="31" t="n">
        <f aca="false">CALC!L43</f>
        <v>0.009</v>
      </c>
      <c r="D42" s="31" t="n">
        <f aca="false">CALC!M43</f>
        <v>0.681</v>
      </c>
      <c r="E42" s="31" t="n">
        <f aca="false">CALC!N43</f>
        <v>0.712</v>
      </c>
      <c r="F42" s="31" t="n">
        <f aca="false">CALC!O43</f>
        <v>0.008</v>
      </c>
    </row>
    <row r="43" customFormat="false" ht="12.8" hidden="false" customHeight="false" outlineLevel="0" collapsed="false">
      <c r="A43" s="3" t="str">
        <f aca="false">_xlfn.CONCAT($A$1, ".", CALC!A44)</f>
        <v>LSD.RID.0.AR.LFPR.40</v>
      </c>
      <c r="B43" s="44" t="str">
        <f aca="false">_xlfn.CONCAT(CALC!B44, ":", CALC!C44)</f>
        <v>Wholesale Trade:Worker</v>
      </c>
      <c r="C43" s="31" t="n">
        <f aca="false">CALC!L44</f>
        <v>0.035</v>
      </c>
      <c r="D43" s="31" t="n">
        <f aca="false">CALC!M44</f>
        <v>0.681</v>
      </c>
      <c r="E43" s="31" t="n">
        <f aca="false">CALC!N44</f>
        <v>0.712</v>
      </c>
      <c r="F43" s="31" t="n">
        <f aca="false">CALC!O44</f>
        <v>0.033</v>
      </c>
    </row>
    <row r="44" customFormat="false" ht="12.8" hidden="false" customHeight="false" outlineLevel="0" collapsed="false">
      <c r="A44" s="3" t="str">
        <f aca="false">_xlfn.CONCAT($A$1, ".", CALC!A45)</f>
        <v>LSD.RID.0.AR.LFPR.41</v>
      </c>
      <c r="B44" s="44" t="str">
        <f aca="false">_xlfn.CONCAT(CALC!B45, ":", CALC!C45)</f>
        <v>Information:Support</v>
      </c>
      <c r="C44" s="31" t="n">
        <f aca="false">CALC!L45</f>
        <v>0.002</v>
      </c>
      <c r="D44" s="31" t="n">
        <f aca="false">CALC!M45</f>
        <v>0.681</v>
      </c>
      <c r="E44" s="31" t="n">
        <f aca="false">CALC!N45</f>
        <v>0.712</v>
      </c>
      <c r="F44" s="31" t="n">
        <f aca="false">CALC!O45</f>
        <v>0.002</v>
      </c>
    </row>
    <row r="45" customFormat="false" ht="12.8" hidden="false" customHeight="false" outlineLevel="0" collapsed="false">
      <c r="A45" s="3" t="str">
        <f aca="false">_xlfn.CONCAT($A$1, ".", CALC!A46)</f>
        <v>LSD.RID.0.AR.LFPR.42</v>
      </c>
      <c r="B45" s="44" t="str">
        <f aca="false">_xlfn.CONCAT(CALC!B46, ":", CALC!C46)</f>
        <v>Information:Worker</v>
      </c>
      <c r="C45" s="31" t="n">
        <f aca="false">CALC!L46</f>
        <v>0.007</v>
      </c>
      <c r="D45" s="31" t="n">
        <f aca="false">CALC!M46</f>
        <v>0.681</v>
      </c>
      <c r="E45" s="31" t="n">
        <f aca="false">CALC!N46</f>
        <v>0.712</v>
      </c>
      <c r="F45" s="31" t="n">
        <f aca="false">CALC!O46</f>
        <v>0.007</v>
      </c>
    </row>
    <row r="46" customFormat="false" ht="12.8" hidden="false" customHeight="false" outlineLevel="0" collapsed="false">
      <c r="A46" s="3" t="str">
        <f aca="false">_xlfn.CONCAT($A$1, ".", CALC!A47)</f>
        <v>LSD.RID.0.AR.LFPR.43</v>
      </c>
      <c r="B46" s="44" t="str">
        <f aca="false">_xlfn.CONCAT(CALC!B47, ":", CALC!C47)</f>
        <v>Real Estate, Rental and Leasing:Support</v>
      </c>
      <c r="C46" s="31" t="n">
        <f aca="false">CALC!L47</f>
        <v>0.003</v>
      </c>
      <c r="D46" s="31" t="n">
        <f aca="false">CALC!M47</f>
        <v>0.681</v>
      </c>
      <c r="E46" s="31" t="n">
        <f aca="false">CALC!N47</f>
        <v>0.712</v>
      </c>
      <c r="F46" s="31" t="n">
        <f aca="false">CALC!O47</f>
        <v>0.003</v>
      </c>
    </row>
    <row r="47" customFormat="false" ht="12.8" hidden="false" customHeight="false" outlineLevel="0" collapsed="false">
      <c r="A47" s="3" t="str">
        <f aca="false">_xlfn.CONCAT($A$1, ".", CALC!A48)</f>
        <v>LSD.RID.0.AR.LFPR.44</v>
      </c>
      <c r="B47" s="44" t="str">
        <f aca="false">_xlfn.CONCAT(CALC!B48, ":", CALC!C48)</f>
        <v>Real Estate, Rental and Leasing:Worker</v>
      </c>
      <c r="C47" s="31" t="n">
        <f aca="false">CALC!L48</f>
        <v>0.014</v>
      </c>
      <c r="D47" s="31" t="n">
        <f aca="false">CALC!M48</f>
        <v>0.681</v>
      </c>
      <c r="E47" s="31" t="n">
        <f aca="false">CALC!N48</f>
        <v>0.712</v>
      </c>
      <c r="F47" s="31" t="n">
        <f aca="false">CALC!O48</f>
        <v>0.013</v>
      </c>
    </row>
    <row r="48" customFormat="false" ht="12.8" hidden="false" customHeight="false" outlineLevel="0" collapsed="false">
      <c r="A48" s="3" t="str">
        <f aca="false">_xlfn.CONCAT($A$1, ".", CALC!A49)</f>
        <v>LSD.RID.0.AR.LFPR.45</v>
      </c>
      <c r="B48" s="44" t="str">
        <f aca="false">_xlfn.CONCAT(CALC!B49, ":", CALC!C49)</f>
        <v>Waste Management Services:Support</v>
      </c>
      <c r="C48" s="31" t="n">
        <f aca="false">CALC!L49</f>
        <v>0.002</v>
      </c>
      <c r="D48" s="31" t="n">
        <f aca="false">CALC!M49</f>
        <v>0.619</v>
      </c>
      <c r="E48" s="31" t="n">
        <f aca="false">CALC!N49</f>
        <v>0.678</v>
      </c>
      <c r="F48" s="31" t="n">
        <f aca="false">CALC!O49</f>
        <v>0.002</v>
      </c>
    </row>
    <row r="49" customFormat="false" ht="12.8" hidden="false" customHeight="false" outlineLevel="0" collapsed="false">
      <c r="A49" s="3" t="str">
        <f aca="false">_xlfn.CONCAT($A$1, ".", CALC!A50)</f>
        <v>LSD.RID.0.AR.LFPR.46</v>
      </c>
      <c r="B49" s="44" t="str">
        <f aca="false">_xlfn.CONCAT(CALC!B50, ":", CALC!C50)</f>
        <v>Waste Management Services:Worker</v>
      </c>
      <c r="C49" s="31" t="n">
        <f aca="false">CALC!L50</f>
        <v>0.007</v>
      </c>
      <c r="D49" s="31" t="n">
        <f aca="false">CALC!M50</f>
        <v>0.619</v>
      </c>
      <c r="E49" s="31" t="n">
        <f aca="false">CALC!N50</f>
        <v>0.678</v>
      </c>
      <c r="F49" s="31" t="n">
        <f aca="false">CALC!O50</f>
        <v>0.007</v>
      </c>
    </row>
    <row r="50" customFormat="false" ht="12.8" hidden="false" customHeight="false" outlineLevel="0" collapsed="false">
      <c r="A50" s="3" t="str">
        <f aca="false">_xlfn.CONCAT($A$1, ".", CALC!A51)</f>
        <v>LSD.RID.0.AR.LFPR.47</v>
      </c>
      <c r="B50" s="44" t="str">
        <f aca="false">_xlfn.CONCAT(CALC!B51, ":", CALC!C51)</f>
        <v>Arts, Entertainment, and Recreation:Support</v>
      </c>
      <c r="C50" s="31" t="n">
        <f aca="false">CALC!L51</f>
        <v>0.004</v>
      </c>
      <c r="D50" s="31" t="n">
        <f aca="false">CALC!M51</f>
        <v>0.619</v>
      </c>
      <c r="E50" s="31" t="n">
        <f aca="false">CALC!N51</f>
        <v>0.678</v>
      </c>
      <c r="F50" s="31" t="n">
        <f aca="false">CALC!O51</f>
        <v>0.004</v>
      </c>
    </row>
    <row r="51" customFormat="false" ht="12.8" hidden="false" customHeight="false" outlineLevel="0" collapsed="false">
      <c r="A51" s="3" t="str">
        <f aca="false">_xlfn.CONCAT($A$1, ".", CALC!A52)</f>
        <v>LSD.RID.0.AR.LFPR.48</v>
      </c>
      <c r="B51" s="44" t="str">
        <f aca="false">_xlfn.CONCAT(CALC!B52, ":", CALC!C52)</f>
        <v>Arts, Entertainment, and Recreation:Worker</v>
      </c>
      <c r="C51" s="31" t="n">
        <f aca="false">CALC!L52</f>
        <v>0.017</v>
      </c>
      <c r="D51" s="31" t="n">
        <f aca="false">CALC!M52</f>
        <v>0.619</v>
      </c>
      <c r="E51" s="31" t="n">
        <f aca="false">CALC!N52</f>
        <v>0.678</v>
      </c>
      <c r="F51" s="31" t="n">
        <f aca="false">CALC!O52</f>
        <v>0.016</v>
      </c>
    </row>
    <row r="52" customFormat="false" ht="12.8" hidden="false" customHeight="false" outlineLevel="0" collapsed="false">
      <c r="A52" s="3" t="str">
        <f aca="false">_xlfn.CONCAT($A$1, ".", CALC!A53)</f>
        <v>LSD.RID.0.AR.LFPR.49</v>
      </c>
      <c r="B52" s="44" t="str">
        <f aca="false">_xlfn.CONCAT(CALC!B53, ":", CALC!C53)</f>
        <v>Accommodation and Food Services:Support</v>
      </c>
      <c r="C52" s="31" t="n">
        <f aca="false">CALC!L53</f>
        <v>0.013</v>
      </c>
      <c r="D52" s="31" t="n">
        <f aca="false">CALC!M53</f>
        <v>0.619</v>
      </c>
      <c r="E52" s="31" t="n">
        <f aca="false">CALC!N53</f>
        <v>0.678</v>
      </c>
      <c r="F52" s="31" t="n">
        <f aca="false">CALC!O53</f>
        <v>0.012</v>
      </c>
    </row>
    <row r="53" customFormat="false" ht="12.8" hidden="false" customHeight="false" outlineLevel="0" collapsed="false">
      <c r="A53" s="3" t="str">
        <f aca="false">_xlfn.CONCAT($A$1, ".", CALC!A54)</f>
        <v>LSD.RID.0.AR.LFPR.50</v>
      </c>
      <c r="B53" s="44" t="str">
        <f aca="false">_xlfn.CONCAT(CALC!B54, ":", CALC!C54)</f>
        <v>Accommodation and Food Services:Worker</v>
      </c>
      <c r="C53" s="31" t="n">
        <f aca="false">CALC!L54</f>
        <v>0.052</v>
      </c>
      <c r="D53" s="31" t="n">
        <f aca="false">CALC!M54</f>
        <v>0.619</v>
      </c>
      <c r="E53" s="31" t="n">
        <f aca="false">CALC!N54</f>
        <v>0.678</v>
      </c>
      <c r="F53" s="31" t="n">
        <f aca="false">CALC!O54</f>
        <v>0.049</v>
      </c>
    </row>
    <row r="54" customFormat="false" ht="12.8" hidden="false" customHeight="false" outlineLevel="0" collapsed="false">
      <c r="A54" s="3" t="str">
        <f aca="false">_xlfn.CONCAT($A$1, ".", CALC!A55)</f>
        <v>LSD.RID.0.AR.LFPR.51</v>
      </c>
      <c r="B54" s="44" t="str">
        <f aca="false">_xlfn.CONCAT(CALC!B55, ":", CALC!C55)</f>
        <v>Public Administration:Support</v>
      </c>
      <c r="C54" s="31" t="n">
        <f aca="false">CALC!L55</f>
        <v>0.009</v>
      </c>
      <c r="D54" s="31" t="n">
        <f aca="false">CALC!M55</f>
        <v>0.681</v>
      </c>
      <c r="E54" s="31" t="n">
        <f aca="false">CALC!N55</f>
        <v>0.712</v>
      </c>
      <c r="F54" s="31" t="n">
        <f aca="false">CALC!O55</f>
        <v>0.008</v>
      </c>
    </row>
    <row r="55" customFormat="false" ht="12.8" hidden="false" customHeight="false" outlineLevel="0" collapsed="false">
      <c r="A55" s="3" t="str">
        <f aca="false">_xlfn.CONCAT($A$1, ".", CALC!A56)</f>
        <v>LSD.RID.0.AR.LFPR.52</v>
      </c>
      <c r="B55" s="44" t="str">
        <f aca="false">_xlfn.CONCAT(CALC!B56, ":", CALC!C56)</f>
        <v>Public Administration:Worker</v>
      </c>
      <c r="C55" s="31" t="n">
        <f aca="false">CALC!L56</f>
        <v>0.035</v>
      </c>
      <c r="D55" s="31" t="n">
        <f aca="false">CALC!M56</f>
        <v>0.681</v>
      </c>
      <c r="E55" s="31" t="n">
        <f aca="false">CALC!N56</f>
        <v>0.712</v>
      </c>
      <c r="F55" s="31" t="n">
        <f aca="false">CALC!O56</f>
        <v>0.033</v>
      </c>
    </row>
    <row r="57" customFormat="false" ht="12.8" hidden="false" customHeight="false" outlineLevel="1" collapsed="false"/>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2" customFormat="false" ht="12.8" hidden="false" customHeight="false" outlineLevel="1" collapsed="false"/>
    <row r="153"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83B0"/>
    <pageSetUpPr fitToPage="false"/>
  </sheetPr>
  <dimension ref="A1:BP249"/>
  <sheetViews>
    <sheetView showFormulas="false" showGridLines="true" showRowColHeaders="true" showZeros="true" rightToLeft="false" tabSelected="false" showOutlineSymbols="true" defaultGridColor="true" view="normal" topLeftCell="A128" colorId="64" zoomScale="75" zoomScaleNormal="75" zoomScalePageLayoutView="100" workbookViewId="0">
      <selection pane="topLeft" activeCell="A155" activeCellId="0" sqref="155:249"/>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8" t="s">
        <v>808</v>
      </c>
      <c r="B1" s="30" t="s">
        <v>809</v>
      </c>
      <c r="C1" s="5" t="s">
        <v>2</v>
      </c>
      <c r="D1" s="48" t="s">
        <v>810</v>
      </c>
      <c r="AZ1" s="23"/>
      <c r="BP1" s="23"/>
    </row>
    <row r="2" customFormat="false" ht="46.25" hidden="false" customHeight="false" outlineLevel="0" collapsed="false">
      <c r="A2" s="25" t="s">
        <v>799</v>
      </c>
      <c r="B2" s="30" t="s">
        <v>800</v>
      </c>
      <c r="C2" s="31" t="str">
        <f aca="false">CALC!P3</f>
        <v>Unemployment Rate</v>
      </c>
      <c r="D2" s="31" t="str">
        <f aca="false">CALC!Q3</f>
        <v>Authorized Immigrant Unemployment Rate</v>
      </c>
      <c r="E2" s="31" t="str">
        <f aca="false">CALC!R3</f>
        <v>Unauthorized Immigrant Unemployment Rate</v>
      </c>
      <c r="F2" s="31" t="str">
        <f aca="false">CALC!S3</f>
        <v>American Unemployment Rate</v>
      </c>
    </row>
    <row r="3" customFormat="false" ht="12.8" hidden="false" customHeight="false" outlineLevel="0" collapsed="false">
      <c r="A3" s="3" t="str">
        <f aca="false">_xlfn.CONCAT($A$1, ".", CALC!A4)</f>
        <v>LSD.RID.0.AR.U3R.0</v>
      </c>
      <c r="B3" s="44" t="str">
        <f aca="false">_xlfn.CONCAT(CALC!B4, ":", CALC!C4)</f>
        <v>All Industries:All Roles</v>
      </c>
      <c r="C3" s="31" t="n">
        <f aca="false">CALC!P4</f>
        <v>0.042</v>
      </c>
      <c r="D3" s="31" t="n">
        <f aca="false">CALC!Q4</f>
        <v>0</v>
      </c>
      <c r="E3" s="31" t="n">
        <f aca="false">CALC!R4</f>
        <v>0.1</v>
      </c>
      <c r="F3" s="31" t="n">
        <f aca="false">CALC!S4</f>
        <v>0.042</v>
      </c>
    </row>
    <row r="4" customFormat="false" ht="12.8" hidden="false" customHeight="false" outlineLevel="0" collapsed="false">
      <c r="A4" s="47" t="str">
        <f aca="false">_xlfn.CONCAT($A$1, ".", CALC!A5)</f>
        <v>LSD.RID.0.AR.U3R.1</v>
      </c>
      <c r="B4" s="50" t="str">
        <f aca="false">_xlfn.CONCAT(CALC!B5, ":", CALC!C5)</f>
        <v>Agriculture:Worker</v>
      </c>
      <c r="C4" s="52" t="n">
        <f aca="false">CALC!P5</f>
        <v>0.042</v>
      </c>
      <c r="D4" s="52" t="n">
        <f aca="false">CALC!Q5</f>
        <v>0.02</v>
      </c>
      <c r="E4" s="52" t="n">
        <f aca="false">CALC!R5</f>
        <v>0.15</v>
      </c>
      <c r="F4" s="52" t="n">
        <f aca="false">CALC!S5</f>
        <v>0.042</v>
      </c>
    </row>
    <row r="5" customFormat="false" ht="12.8" hidden="false" customHeight="false" outlineLevel="0" collapsed="false">
      <c r="A5" s="47" t="str">
        <f aca="false">_xlfn.CONCAT($A$1, ".", CALC!A6)</f>
        <v>LSD.RID.0.AR.U3R.2</v>
      </c>
      <c r="B5" s="50" t="str">
        <f aca="false">_xlfn.CONCAT(CALC!B6, ":", CALC!C6)</f>
        <v>Agriculture:Support</v>
      </c>
      <c r="C5" s="52" t="n">
        <f aca="false">CALC!P6</f>
        <v>0.042</v>
      </c>
      <c r="D5" s="52" t="n">
        <f aca="false">CALC!Q6</f>
        <v>0.02</v>
      </c>
      <c r="E5" s="52" t="n">
        <f aca="false">CALC!R6</f>
        <v>0.15</v>
      </c>
      <c r="F5" s="52" t="n">
        <f aca="false">CALC!S6</f>
        <v>0.042</v>
      </c>
    </row>
    <row r="6" customFormat="false" ht="12.8" hidden="false" customHeight="false" outlineLevel="0" collapsed="false">
      <c r="A6" s="47" t="str">
        <f aca="false">_xlfn.CONCAT($A$1, ".", CALC!A7)</f>
        <v>LSD.RID.0.AR.U3R.3</v>
      </c>
      <c r="B6" s="50" t="str">
        <f aca="false">_xlfn.CONCAT(CALC!B7, ":", CALC!C7)</f>
        <v>Construction:Worker</v>
      </c>
      <c r="C6" s="52" t="n">
        <f aca="false">CALC!P7</f>
        <v>0.042</v>
      </c>
      <c r="D6" s="52" t="n">
        <f aca="false">CALC!Q7</f>
        <v>0.02</v>
      </c>
      <c r="E6" s="52" t="n">
        <f aca="false">CALC!R7</f>
        <v>0.12</v>
      </c>
      <c r="F6" s="52" t="n">
        <f aca="false">CALC!S7</f>
        <v>0.042</v>
      </c>
    </row>
    <row r="7" customFormat="false" ht="12.8" hidden="false" customHeight="false" outlineLevel="0" collapsed="false">
      <c r="A7" s="47" t="str">
        <f aca="false">_xlfn.CONCAT($A$1, ".", CALC!A8)</f>
        <v>LSD.RID.0.AR.U3R.4</v>
      </c>
      <c r="B7" s="50" t="str">
        <f aca="false">_xlfn.CONCAT(CALC!B8, ":", CALC!C8)</f>
        <v>Construction:Support</v>
      </c>
      <c r="C7" s="52" t="n">
        <f aca="false">CALC!P8</f>
        <v>0.042</v>
      </c>
      <c r="D7" s="52" t="n">
        <f aca="false">CALC!Q8</f>
        <v>0.02</v>
      </c>
      <c r="E7" s="52" t="n">
        <f aca="false">CALC!R8</f>
        <v>0.12</v>
      </c>
      <c r="F7" s="52" t="n">
        <f aca="false">CALC!S8</f>
        <v>0.042</v>
      </c>
    </row>
    <row r="8" customFormat="false" ht="12.8" hidden="false" customHeight="false" outlineLevel="0" collapsed="false">
      <c r="A8" s="47" t="str">
        <f aca="false">_xlfn.CONCAT($A$1, ".", CALC!A9)</f>
        <v>LSD.RID.0.AR.U3R.5</v>
      </c>
      <c r="B8" s="50" t="str">
        <f aca="false">_xlfn.CONCAT(CALC!B9, ":", CALC!C9)</f>
        <v>Hospitality:Worker</v>
      </c>
      <c r="C8" s="52" t="n">
        <f aca="false">CALC!P9</f>
        <v>0.042</v>
      </c>
      <c r="D8" s="52" t="n">
        <f aca="false">CALC!Q9</f>
        <v>0.02</v>
      </c>
      <c r="E8" s="52" t="n">
        <f aca="false">CALC!R9</f>
        <v>0.1</v>
      </c>
      <c r="F8" s="52" t="n">
        <f aca="false">CALC!S9</f>
        <v>0.042</v>
      </c>
    </row>
    <row r="9" customFormat="false" ht="12.8" hidden="false" customHeight="false" outlineLevel="0" collapsed="false">
      <c r="A9" s="47" t="str">
        <f aca="false">_xlfn.CONCAT($A$1, ".", CALC!A10)</f>
        <v>LSD.RID.0.AR.U3R.6</v>
      </c>
      <c r="B9" s="50" t="str">
        <f aca="false">_xlfn.CONCAT(CALC!B10, ":", CALC!C10)</f>
        <v>Hospitality:Support</v>
      </c>
      <c r="C9" s="52" t="n">
        <f aca="false">CALC!P10</f>
        <v>0.042</v>
      </c>
      <c r="D9" s="52" t="n">
        <f aca="false">CALC!Q10</f>
        <v>0.02</v>
      </c>
      <c r="E9" s="52" t="n">
        <f aca="false">CALC!R10</f>
        <v>0.1</v>
      </c>
      <c r="F9" s="52" t="n">
        <f aca="false">CALC!S10</f>
        <v>0.042</v>
      </c>
    </row>
    <row r="10" customFormat="false" ht="12.8" hidden="false" customHeight="false" outlineLevel="0" collapsed="false">
      <c r="A10" s="47" t="str">
        <f aca="false">_xlfn.CONCAT($A$1, ".", CALC!A11)</f>
        <v>LSD.RID.0.AR.U3R.7</v>
      </c>
      <c r="B10" s="50" t="str">
        <f aca="false">_xlfn.CONCAT(CALC!B11, ":", CALC!C11)</f>
        <v>Cleaning &amp; Maintenance:Worker</v>
      </c>
      <c r="C10" s="52" t="n">
        <f aca="false">CALC!P11</f>
        <v>0.042</v>
      </c>
      <c r="D10" s="52" t="n">
        <f aca="false">CALC!Q11</f>
        <v>0.02</v>
      </c>
      <c r="E10" s="52" t="n">
        <f aca="false">CALC!R11</f>
        <v>0.1</v>
      </c>
      <c r="F10" s="52" t="n">
        <f aca="false">CALC!S11</f>
        <v>0.042</v>
      </c>
    </row>
    <row r="11" customFormat="false" ht="12.8" hidden="false" customHeight="false" outlineLevel="0" collapsed="false">
      <c r="A11" s="47" t="str">
        <f aca="false">_xlfn.CONCAT($A$1, ".", CALC!A12)</f>
        <v>LSD.RID.0.AR.U3R.8</v>
      </c>
      <c r="B11" s="50" t="str">
        <f aca="false">_xlfn.CONCAT(CALC!B12, ":", CALC!C12)</f>
        <v>Cleaning &amp; Maintenance:Support</v>
      </c>
      <c r="C11" s="52" t="n">
        <f aca="false">CALC!P12</f>
        <v>0.042</v>
      </c>
      <c r="D11" s="52" t="n">
        <f aca="false">CALC!Q12</f>
        <v>0.02</v>
      </c>
      <c r="E11" s="52" t="n">
        <f aca="false">CALC!R12</f>
        <v>0.1</v>
      </c>
      <c r="F11" s="52" t="n">
        <f aca="false">CALC!S12</f>
        <v>0.042</v>
      </c>
    </row>
    <row r="12" customFormat="false" ht="12.8" hidden="false" customHeight="false" outlineLevel="0" collapsed="false">
      <c r="A12" s="47" t="str">
        <f aca="false">_xlfn.CONCAT($A$1, ".", CALC!A13)</f>
        <v>LSD.RID.0.AR.U3R.9</v>
      </c>
      <c r="B12" s="50" t="str">
        <f aca="false">_xlfn.CONCAT(CALC!B13, ":", CALC!C13)</f>
        <v>Manufacturing:Worker</v>
      </c>
      <c r="C12" s="52" t="n">
        <f aca="false">CALC!P13</f>
        <v>0.042</v>
      </c>
      <c r="D12" s="52" t="n">
        <f aca="false">CALC!Q13</f>
        <v>0</v>
      </c>
      <c r="E12" s="52" t="n">
        <f aca="false">CALC!R13</f>
        <v>0.08</v>
      </c>
      <c r="F12" s="52" t="n">
        <f aca="false">CALC!S13</f>
        <v>0.042</v>
      </c>
    </row>
    <row r="13" customFormat="false" ht="12.8" hidden="false" customHeight="false" outlineLevel="0" collapsed="false">
      <c r="A13" s="47" t="str">
        <f aca="false">_xlfn.CONCAT($A$1, ".", CALC!A14)</f>
        <v>LSD.RID.0.AR.U3R.10</v>
      </c>
      <c r="B13" s="50" t="str">
        <f aca="false">_xlfn.CONCAT(CALC!B14, ":", CALC!C14)</f>
        <v>Manufacturing:Support</v>
      </c>
      <c r="C13" s="52" t="n">
        <f aca="false">CALC!P14</f>
        <v>0.042</v>
      </c>
      <c r="D13" s="52" t="n">
        <f aca="false">CALC!Q14</f>
        <v>0</v>
      </c>
      <c r="E13" s="52" t="n">
        <f aca="false">CALC!R14</f>
        <v>0.08</v>
      </c>
      <c r="F13" s="52" t="n">
        <f aca="false">CALC!S14</f>
        <v>0.042</v>
      </c>
    </row>
    <row r="14" customFormat="false" ht="12.8" hidden="false" customHeight="false" outlineLevel="0" collapsed="false">
      <c r="A14" s="47" t="str">
        <f aca="false">_xlfn.CONCAT($A$1, ".", CALC!A15)</f>
        <v>LSD.RID.0.AR.U3R.11</v>
      </c>
      <c r="B14" s="50" t="str">
        <f aca="false">_xlfn.CONCAT(CALC!B15, ":", CALC!C15)</f>
        <v>Transportation &amp; Warehousing:Worker</v>
      </c>
      <c r="C14" s="52" t="n">
        <f aca="false">CALC!P15</f>
        <v>0.042</v>
      </c>
      <c r="D14" s="52" t="n">
        <f aca="false">CALC!Q15</f>
        <v>0</v>
      </c>
      <c r="E14" s="52" t="n">
        <f aca="false">CALC!R15</f>
        <v>0.1</v>
      </c>
      <c r="F14" s="52" t="n">
        <f aca="false">CALC!S15</f>
        <v>0.042</v>
      </c>
    </row>
    <row r="15" customFormat="false" ht="12.8" hidden="false" customHeight="false" outlineLevel="0" collapsed="false">
      <c r="A15" s="47" t="str">
        <f aca="false">_xlfn.CONCAT($A$1, ".", CALC!A16)</f>
        <v>LSD.RID.0.AR.U3R.12</v>
      </c>
      <c r="B15" s="50" t="str">
        <f aca="false">_xlfn.CONCAT(CALC!B16, ":", CALC!C16)</f>
        <v>Transportation &amp; Warehousing:Support</v>
      </c>
      <c r="C15" s="52" t="n">
        <f aca="false">CALC!P16</f>
        <v>0.042</v>
      </c>
      <c r="D15" s="52" t="n">
        <f aca="false">CALC!Q16</f>
        <v>0</v>
      </c>
      <c r="E15" s="52" t="n">
        <f aca="false">CALC!R16</f>
        <v>0.1</v>
      </c>
      <c r="F15" s="52" t="n">
        <f aca="false">CALC!S16</f>
        <v>0.042</v>
      </c>
    </row>
    <row r="16" customFormat="false" ht="12.8" hidden="false" customHeight="false" outlineLevel="0" collapsed="false">
      <c r="A16" s="47" t="str">
        <f aca="false">_xlfn.CONCAT($A$1, ".", CALC!A17)</f>
        <v>LSD.RID.0.AR.U3R.13</v>
      </c>
      <c r="B16" s="50" t="str">
        <f aca="false">_xlfn.CONCAT(CALC!B17, ":", CALC!C17)</f>
        <v>Retail Trade:Worker</v>
      </c>
      <c r="C16" s="52" t="n">
        <f aca="false">CALC!P17</f>
        <v>0.042</v>
      </c>
      <c r="D16" s="52" t="n">
        <f aca="false">CALC!Q17</f>
        <v>0</v>
      </c>
      <c r="E16" s="52" t="n">
        <f aca="false">CALC!R17</f>
        <v>0.1</v>
      </c>
      <c r="F16" s="52" t="n">
        <f aca="false">CALC!S17</f>
        <v>0.042</v>
      </c>
    </row>
    <row r="17" customFormat="false" ht="12.8" hidden="false" customHeight="false" outlineLevel="0" collapsed="false">
      <c r="A17" s="47" t="str">
        <f aca="false">_xlfn.CONCAT($A$1, ".", CALC!A18)</f>
        <v>LSD.RID.0.AR.U3R.14</v>
      </c>
      <c r="B17" s="50" t="str">
        <f aca="false">_xlfn.CONCAT(CALC!B18, ":", CALC!C18)</f>
        <v>Retail Trade:Support</v>
      </c>
      <c r="C17" s="52" t="n">
        <f aca="false">CALC!P18</f>
        <v>0.042</v>
      </c>
      <c r="D17" s="52" t="n">
        <f aca="false">CALC!Q18</f>
        <v>0</v>
      </c>
      <c r="E17" s="52" t="n">
        <f aca="false">CALC!R18</f>
        <v>0.1</v>
      </c>
      <c r="F17" s="52" t="n">
        <f aca="false">CALC!S18</f>
        <v>0.042</v>
      </c>
    </row>
    <row r="18" customFormat="false" ht="12.8" hidden="false" customHeight="false" outlineLevel="0" collapsed="false">
      <c r="A18" s="47" t="str">
        <f aca="false">_xlfn.CONCAT($A$1, ".", CALC!A19)</f>
        <v>LSD.RID.0.AR.U3R.15</v>
      </c>
      <c r="B18" s="50" t="str">
        <f aca="false">_xlfn.CONCAT(CALC!B19, ":", CALC!C19)</f>
        <v>Landscaping / Groundskeeping:Worker</v>
      </c>
      <c r="C18" s="52" t="n">
        <f aca="false">CALC!P19</f>
        <v>0.042</v>
      </c>
      <c r="D18" s="52" t="n">
        <f aca="false">CALC!Q19</f>
        <v>0.02</v>
      </c>
      <c r="E18" s="52" t="n">
        <f aca="false">CALC!R19</f>
        <v>0.15</v>
      </c>
      <c r="F18" s="52" t="n">
        <f aca="false">CALC!S19</f>
        <v>0.042</v>
      </c>
    </row>
    <row r="19" customFormat="false" ht="12.8" hidden="false" customHeight="false" outlineLevel="0" collapsed="false">
      <c r="A19" s="47" t="str">
        <f aca="false">_xlfn.CONCAT($A$1, ".", CALC!A20)</f>
        <v>LSD.RID.0.AR.U3R.16</v>
      </c>
      <c r="B19" s="50" t="str">
        <f aca="false">_xlfn.CONCAT(CALC!B20, ":", CALC!C20)</f>
        <v>Landscaping / Groundskeeping:Support</v>
      </c>
      <c r="C19" s="52" t="n">
        <f aca="false">CALC!P20</f>
        <v>0.042</v>
      </c>
      <c r="D19" s="52" t="n">
        <f aca="false">CALC!Q20</f>
        <v>0.02</v>
      </c>
      <c r="E19" s="52" t="n">
        <f aca="false">CALC!R20</f>
        <v>0.15</v>
      </c>
      <c r="F19" s="52" t="n">
        <f aca="false">CALC!S20</f>
        <v>0.042</v>
      </c>
    </row>
    <row r="20" customFormat="false" ht="12.8" hidden="false" customHeight="false" outlineLevel="0" collapsed="false">
      <c r="A20" s="47" t="str">
        <f aca="false">_xlfn.CONCAT($A$1, ".", CALC!A21)</f>
        <v>LSD.RID.0.AR.U3R.17</v>
      </c>
      <c r="B20" s="50" t="str">
        <f aca="false">_xlfn.CONCAT(CALC!B21, ":", CALC!C21)</f>
        <v>Automotive &amp; Repair:Worker</v>
      </c>
      <c r="C20" s="52" t="n">
        <f aca="false">CALC!P21</f>
        <v>0.042</v>
      </c>
      <c r="D20" s="52" t="n">
        <f aca="false">CALC!Q21</f>
        <v>0</v>
      </c>
      <c r="E20" s="52" t="n">
        <f aca="false">CALC!R21</f>
        <v>0.12</v>
      </c>
      <c r="F20" s="52" t="n">
        <f aca="false">CALC!S21</f>
        <v>0.042</v>
      </c>
    </row>
    <row r="21" customFormat="false" ht="12.8" hidden="false" customHeight="false" outlineLevel="0" collapsed="false">
      <c r="A21" s="47" t="str">
        <f aca="false">_xlfn.CONCAT($A$1, ".", CALC!A22)</f>
        <v>LSD.RID.0.AR.U3R.18</v>
      </c>
      <c r="B21" s="50" t="str">
        <f aca="false">_xlfn.CONCAT(CALC!B22, ":", CALC!C22)</f>
        <v>Automotive &amp; Repair:Support</v>
      </c>
      <c r="C21" s="52" t="n">
        <f aca="false">CALC!P22</f>
        <v>0.042</v>
      </c>
      <c r="D21" s="52" t="n">
        <f aca="false">CALC!Q22</f>
        <v>0</v>
      </c>
      <c r="E21" s="52" t="n">
        <f aca="false">CALC!R22</f>
        <v>0.12</v>
      </c>
      <c r="F21" s="52" t="n">
        <f aca="false">CALC!S22</f>
        <v>0.042</v>
      </c>
    </row>
    <row r="22" customFormat="false" ht="12.8" hidden="false" customHeight="false" outlineLevel="0" collapsed="false">
      <c r="A22" s="47" t="str">
        <f aca="false">_xlfn.CONCAT($A$1, ".", CALC!A23)</f>
        <v>LSD.RID.0.AR.U3R.19</v>
      </c>
      <c r="B22" s="50" t="str">
        <f aca="false">_xlfn.CONCAT(CALC!B23, ":", CALC!C23)</f>
        <v>Healthcare &amp; Social Assistance:Worker</v>
      </c>
      <c r="C22" s="52" t="n">
        <f aca="false">CALC!P23</f>
        <v>0.042</v>
      </c>
      <c r="D22" s="52" t="n">
        <f aca="false">CALC!Q23</f>
        <v>0</v>
      </c>
      <c r="E22" s="52" t="n">
        <f aca="false">CALC!R23</f>
        <v>0.08</v>
      </c>
      <c r="F22" s="52" t="n">
        <f aca="false">CALC!S23</f>
        <v>0.042</v>
      </c>
    </row>
    <row r="23" customFormat="false" ht="12.8" hidden="false" customHeight="false" outlineLevel="0" collapsed="false">
      <c r="A23" s="47" t="str">
        <f aca="false">_xlfn.CONCAT($A$1, ".", CALC!A24)</f>
        <v>LSD.RID.0.AR.U3R.20</v>
      </c>
      <c r="B23" s="50" t="str">
        <f aca="false">_xlfn.CONCAT(CALC!B24, ":", CALC!C24)</f>
        <v>Healthcare &amp; Social Assistance:Support</v>
      </c>
      <c r="C23" s="52" t="n">
        <f aca="false">CALC!P24</f>
        <v>0.042</v>
      </c>
      <c r="D23" s="52" t="n">
        <f aca="false">CALC!Q24</f>
        <v>0</v>
      </c>
      <c r="E23" s="52" t="n">
        <f aca="false">CALC!R24</f>
        <v>0.08</v>
      </c>
      <c r="F23" s="52" t="n">
        <f aca="false">CALC!S24</f>
        <v>0.042</v>
      </c>
    </row>
    <row r="24" customFormat="false" ht="12.8" hidden="false" customHeight="false" outlineLevel="0" collapsed="false">
      <c r="A24" s="47" t="str">
        <f aca="false">_xlfn.CONCAT($A$1, ".", CALC!A25)</f>
        <v>LSD.RID.0.AR.U3R.21</v>
      </c>
      <c r="B24" s="50" t="str">
        <f aca="false">_xlfn.CONCAT(CALC!B25, ":", CALC!C25)</f>
        <v>Professional Services:Worker</v>
      </c>
      <c r="C24" s="52" t="n">
        <f aca="false">CALC!P25</f>
        <v>0.042</v>
      </c>
      <c r="D24" s="52" t="n">
        <f aca="false">CALC!Q25</f>
        <v>0</v>
      </c>
      <c r="E24" s="52" t="n">
        <f aca="false">CALC!R25</f>
        <v>0.08</v>
      </c>
      <c r="F24" s="52" t="n">
        <f aca="false">CALC!S25</f>
        <v>0.042</v>
      </c>
    </row>
    <row r="25" customFormat="false" ht="12.8" hidden="false" customHeight="false" outlineLevel="0" collapsed="false">
      <c r="A25" s="47" t="str">
        <f aca="false">_xlfn.CONCAT($A$1, ".", CALC!A26)</f>
        <v>LSD.RID.0.AR.U3R.22</v>
      </c>
      <c r="B25" s="50" t="str">
        <f aca="false">_xlfn.CONCAT(CALC!B26, ":", CALC!C26)</f>
        <v>Professional Services:Support</v>
      </c>
      <c r="C25" s="52" t="n">
        <f aca="false">CALC!P26</f>
        <v>0.042</v>
      </c>
      <c r="D25" s="52" t="n">
        <f aca="false">CALC!Q26</f>
        <v>0</v>
      </c>
      <c r="E25" s="52" t="n">
        <f aca="false">CALC!R26</f>
        <v>0.08</v>
      </c>
      <c r="F25" s="52" t="n">
        <f aca="false">CALC!S26</f>
        <v>0.042</v>
      </c>
    </row>
    <row r="26" customFormat="false" ht="12.8" hidden="false" customHeight="false" outlineLevel="0" collapsed="false">
      <c r="A26" s="47" t="str">
        <f aca="false">_xlfn.CONCAT($A$1, ".", CALC!A27)</f>
        <v>LSD.RID.0.AR.U3R.23</v>
      </c>
      <c r="B26" s="50" t="str">
        <f aca="false">_xlfn.CONCAT(CALC!B27, ":", CALC!C27)</f>
        <v>Educational Services:Worker</v>
      </c>
      <c r="C26" s="52" t="n">
        <f aca="false">CALC!P27</f>
        <v>0.042</v>
      </c>
      <c r="D26" s="52" t="n">
        <f aca="false">CALC!Q27</f>
        <v>0</v>
      </c>
      <c r="E26" s="52" t="n">
        <f aca="false">CALC!R27</f>
        <v>0.08</v>
      </c>
      <c r="F26" s="52" t="n">
        <f aca="false">CALC!S27</f>
        <v>0.042</v>
      </c>
    </row>
    <row r="27" customFormat="false" ht="12.8" hidden="false" customHeight="false" outlineLevel="0" collapsed="false">
      <c r="A27" s="47" t="str">
        <f aca="false">_xlfn.CONCAT($A$1, ".", CALC!A28)</f>
        <v>LSD.RID.0.AR.U3R.24</v>
      </c>
      <c r="B27" s="50" t="str">
        <f aca="false">_xlfn.CONCAT(CALC!B28, ":", CALC!C28)</f>
        <v>Educational Services:Support</v>
      </c>
      <c r="C27" s="52" t="n">
        <f aca="false">CALC!P28</f>
        <v>0.042</v>
      </c>
      <c r="D27" s="52" t="n">
        <f aca="false">CALC!Q28</f>
        <v>0</v>
      </c>
      <c r="E27" s="52" t="n">
        <f aca="false">CALC!R28</f>
        <v>0.08</v>
      </c>
      <c r="F27" s="52" t="n">
        <f aca="false">CALC!S28</f>
        <v>0.042</v>
      </c>
    </row>
    <row r="28" customFormat="false" ht="12.8" hidden="false" customHeight="false" outlineLevel="0" collapsed="false">
      <c r="A28" s="47" t="str">
        <f aca="false">_xlfn.CONCAT($A$1, ".", CALC!A29)</f>
        <v>LSD.RID.0.AR.U3R.25</v>
      </c>
      <c r="B28" s="50" t="str">
        <f aca="false">_xlfn.CONCAT(CALC!B29, ":", CALC!C29)</f>
        <v>Finance &amp; Insurance:Worker</v>
      </c>
      <c r="C28" s="52" t="n">
        <f aca="false">CALC!P29</f>
        <v>0.042</v>
      </c>
      <c r="D28" s="52" t="n">
        <f aca="false">CALC!Q29</f>
        <v>0</v>
      </c>
      <c r="E28" s="52" t="n">
        <f aca="false">CALC!R29</f>
        <v>0.08</v>
      </c>
      <c r="F28" s="52" t="n">
        <f aca="false">CALC!S29</f>
        <v>0.042</v>
      </c>
    </row>
    <row r="29" customFormat="false" ht="12.8" hidden="false" customHeight="false" outlineLevel="0" collapsed="false">
      <c r="A29" s="47" t="str">
        <f aca="false">_xlfn.CONCAT($A$1, ".", CALC!A30)</f>
        <v>LSD.RID.0.AR.U3R.26</v>
      </c>
      <c r="B29" s="50" t="str">
        <f aca="false">_xlfn.CONCAT(CALC!B30, ":", CALC!C30)</f>
        <v>Finance &amp; Insurance:Support</v>
      </c>
      <c r="C29" s="52" t="n">
        <f aca="false">CALC!P30</f>
        <v>0.042</v>
      </c>
      <c r="D29" s="52" t="n">
        <f aca="false">CALC!Q30</f>
        <v>0</v>
      </c>
      <c r="E29" s="52" t="n">
        <f aca="false">CALC!R30</f>
        <v>0.08</v>
      </c>
      <c r="F29" s="52" t="n">
        <f aca="false">CALC!S30</f>
        <v>0.042</v>
      </c>
    </row>
    <row r="30" customFormat="false" ht="12.8" hidden="false" customHeight="false" outlineLevel="0" collapsed="false">
      <c r="A30" s="47" t="str">
        <f aca="false">_xlfn.CONCAT($A$1, ".", CALC!A31)</f>
        <v>LSD.RID.0.AR.U3R.27</v>
      </c>
      <c r="B30" s="50" t="str">
        <f aca="false">_xlfn.CONCAT(CALC!B31, ":", CALC!C31)</f>
        <v>Media and Information Technology:Worker</v>
      </c>
      <c r="C30" s="52" t="n">
        <f aca="false">CALC!P31</f>
        <v>0.042</v>
      </c>
      <c r="D30" s="52" t="n">
        <f aca="false">CALC!Q31</f>
        <v>0</v>
      </c>
      <c r="E30" s="52" t="n">
        <f aca="false">CALC!R31</f>
        <v>0.08</v>
      </c>
      <c r="F30" s="52" t="n">
        <f aca="false">CALC!S31</f>
        <v>0.042</v>
      </c>
    </row>
    <row r="31" customFormat="false" ht="12.8" hidden="false" customHeight="false" outlineLevel="0" collapsed="false">
      <c r="A31" s="47" t="str">
        <f aca="false">_xlfn.CONCAT($A$1, ".", CALC!A32)</f>
        <v>LSD.RID.0.AR.U3R.28</v>
      </c>
      <c r="B31" s="50" t="str">
        <f aca="false">_xlfn.CONCAT(CALC!B32, ":", CALC!C32)</f>
        <v>Media and Information Technology:Support</v>
      </c>
      <c r="C31" s="52" t="n">
        <f aca="false">CALC!P32</f>
        <v>0.042</v>
      </c>
      <c r="D31" s="52" t="n">
        <f aca="false">CALC!Q32</f>
        <v>0</v>
      </c>
      <c r="E31" s="52" t="n">
        <f aca="false">CALC!R32</f>
        <v>0.08</v>
      </c>
      <c r="F31" s="52" t="n">
        <f aca="false">CALC!S32</f>
        <v>0.042</v>
      </c>
    </row>
    <row r="32" customFormat="false" ht="12.8" hidden="false" customHeight="false" outlineLevel="0" collapsed="false">
      <c r="A32" s="47" t="str">
        <f aca="false">_xlfn.CONCAT($A$1, ".", CALC!A33)</f>
        <v>LSD.RID.0.AR.U3R.29</v>
      </c>
      <c r="B32" s="50" t="str">
        <f aca="false">_xlfn.CONCAT(CALC!B33, ":", CALC!C33)</f>
        <v>Government:Worker</v>
      </c>
      <c r="C32" s="52" t="n">
        <f aca="false">CALC!P33</f>
        <v>0.042</v>
      </c>
      <c r="D32" s="52" t="n">
        <f aca="false">CALC!Q33</f>
        <v>0</v>
      </c>
      <c r="E32" s="52" t="n">
        <f aca="false">CALC!R33</f>
        <v>0.08</v>
      </c>
      <c r="F32" s="52" t="n">
        <f aca="false">CALC!S33</f>
        <v>0.042</v>
      </c>
    </row>
    <row r="33" customFormat="false" ht="12.8" hidden="false" customHeight="false" outlineLevel="0" collapsed="false">
      <c r="A33" s="47" t="str">
        <f aca="false">_xlfn.CONCAT($A$1, ".", CALC!A34)</f>
        <v>LSD.RID.0.AR.U3R.30</v>
      </c>
      <c r="B33" s="50" t="str">
        <f aca="false">_xlfn.CONCAT(CALC!B34, ":", CALC!C34)</f>
        <v>Government:Support</v>
      </c>
      <c r="C33" s="52" t="n">
        <f aca="false">CALC!P34</f>
        <v>0.042</v>
      </c>
      <c r="D33" s="52" t="n">
        <f aca="false">CALC!Q34</f>
        <v>0</v>
      </c>
      <c r="E33" s="52" t="n">
        <f aca="false">CALC!R34</f>
        <v>0.08</v>
      </c>
      <c r="F33" s="52" t="n">
        <f aca="false">CALC!S34</f>
        <v>0.042</v>
      </c>
    </row>
    <row r="34" customFormat="false" ht="12.8" hidden="false" customHeight="false" outlineLevel="0" collapsed="false">
      <c r="A34" s="47" t="str">
        <f aca="false">_xlfn.CONCAT($A$1, ".", CALC!A35)</f>
        <v>LSD.RID.0.AR.U3R.31</v>
      </c>
      <c r="B34" s="50" t="str">
        <f aca="false">_xlfn.CONCAT(CALC!B35, ":", CALC!C35)</f>
        <v>Self-Employed / Non-Employer:Support</v>
      </c>
      <c r="C34" s="52" t="n">
        <f aca="false">CALC!P35</f>
        <v>0.042</v>
      </c>
      <c r="D34" s="52" t="n">
        <f aca="false">CALC!Q35</f>
        <v>0</v>
      </c>
      <c r="E34" s="52" t="n">
        <f aca="false">CALC!R35</f>
        <v>0.08</v>
      </c>
      <c r="F34" s="52" t="n">
        <f aca="false">CALC!S35</f>
        <v>0.042</v>
      </c>
    </row>
    <row r="35" customFormat="false" ht="12.8" hidden="false" customHeight="false" outlineLevel="0" collapsed="false">
      <c r="A35" s="47" t="str">
        <f aca="false">_xlfn.CONCAT($A$1, ".", CALC!A36)</f>
        <v>LSD.RID.0.AR.U3R.32</v>
      </c>
      <c r="B35" s="50" t="str">
        <f aca="false">_xlfn.CONCAT(CALC!B36, ":", CALC!C36)</f>
        <v>Self-Employed / Non-Employer:Worker</v>
      </c>
      <c r="C35" s="52" t="n">
        <f aca="false">CALC!P36</f>
        <v>0.042</v>
      </c>
      <c r="D35" s="52" t="n">
        <f aca="false">CALC!Q36</f>
        <v>0</v>
      </c>
      <c r="E35" s="52" t="n">
        <f aca="false">CALC!R36</f>
        <v>0.08</v>
      </c>
      <c r="F35" s="52" t="n">
        <f aca="false">CALC!S36</f>
        <v>0.042</v>
      </c>
    </row>
    <row r="36" customFormat="false" ht="12.8" hidden="false" customHeight="false" outlineLevel="0" collapsed="false">
      <c r="A36" s="47" t="str">
        <f aca="false">_xlfn.CONCAT($A$1, ".", CALC!A37)</f>
        <v>LSD.RID.0.AR.U3R.33</v>
      </c>
      <c r="B36" s="50" t="str">
        <f aca="false">_xlfn.CONCAT(CALC!B37, ":", CALC!C37)</f>
        <v>Other Services:Support</v>
      </c>
      <c r="C36" s="52" t="n">
        <f aca="false">CALC!P37</f>
        <v>0.042</v>
      </c>
      <c r="D36" s="52" t="n">
        <f aca="false">CALC!Q37</f>
        <v>0.02</v>
      </c>
      <c r="E36" s="52" t="n">
        <f aca="false">CALC!R37</f>
        <v>0.15</v>
      </c>
      <c r="F36" s="52" t="n">
        <f aca="false">CALC!S37</f>
        <v>0.042</v>
      </c>
    </row>
    <row r="37" customFormat="false" ht="12.8" hidden="false" customHeight="false" outlineLevel="0" collapsed="false">
      <c r="A37" s="47" t="str">
        <f aca="false">_xlfn.CONCAT($A$1, ".", CALC!A38)</f>
        <v>LSD.RID.0.AR.U3R.34</v>
      </c>
      <c r="B37" s="50" t="str">
        <f aca="false">_xlfn.CONCAT(CALC!B38, ":", CALC!C38)</f>
        <v>Other Services:Worker</v>
      </c>
      <c r="C37" s="52" t="n">
        <f aca="false">CALC!P38</f>
        <v>0.042</v>
      </c>
      <c r="D37" s="52" t="n">
        <f aca="false">CALC!Q38</f>
        <v>0.02</v>
      </c>
      <c r="E37" s="52" t="n">
        <f aca="false">CALC!R38</f>
        <v>0.15</v>
      </c>
      <c r="F37" s="52" t="n">
        <f aca="false">CALC!S38</f>
        <v>0.042</v>
      </c>
    </row>
    <row r="38" customFormat="false" ht="12.8" hidden="false" customHeight="false" outlineLevel="0" collapsed="false">
      <c r="A38" s="47" t="str">
        <f aca="false">_xlfn.CONCAT($A$1, ".", CALC!A39)</f>
        <v>LSD.RID.0.AR.U3R.35</v>
      </c>
      <c r="B38" s="50" t="str">
        <f aca="false">_xlfn.CONCAT(CALC!B39, ":", CALC!C39)</f>
        <v>Mining, Quarrying, and Oil/Gas Extraction:Support</v>
      </c>
      <c r="C38" s="52" t="n">
        <f aca="false">CALC!P39</f>
        <v>0.042</v>
      </c>
      <c r="D38" s="52" t="n">
        <f aca="false">CALC!Q39</f>
        <v>0.02</v>
      </c>
      <c r="E38" s="52" t="n">
        <f aca="false">CALC!R39</f>
        <v>0.15</v>
      </c>
      <c r="F38" s="52" t="n">
        <f aca="false">CALC!S39</f>
        <v>0.042</v>
      </c>
    </row>
    <row r="39" customFormat="false" ht="12.8" hidden="false" customHeight="false" outlineLevel="0" collapsed="false">
      <c r="A39" s="47" t="str">
        <f aca="false">_xlfn.CONCAT($A$1, ".", CALC!A40)</f>
        <v>LSD.RID.0.AR.U3R.36</v>
      </c>
      <c r="B39" s="50" t="str">
        <f aca="false">_xlfn.CONCAT(CALC!B40, ":", CALC!C40)</f>
        <v>Mining, Quarrying, and Oil/Gas Extraction:Worker</v>
      </c>
      <c r="C39" s="52" t="n">
        <f aca="false">CALC!P40</f>
        <v>0.042</v>
      </c>
      <c r="D39" s="52" t="n">
        <f aca="false">CALC!Q40</f>
        <v>0.02</v>
      </c>
      <c r="E39" s="52" t="n">
        <f aca="false">CALC!R40</f>
        <v>0.15</v>
      </c>
      <c r="F39" s="52" t="n">
        <f aca="false">CALC!S40</f>
        <v>0.042</v>
      </c>
    </row>
    <row r="40" customFormat="false" ht="12.8" hidden="false" customHeight="false" outlineLevel="0" collapsed="false">
      <c r="A40" s="47" t="str">
        <f aca="false">_xlfn.CONCAT($A$1, ".", CALC!A41)</f>
        <v>LSD.RID.0.AR.U3R.37</v>
      </c>
      <c r="B40" s="50" t="str">
        <f aca="false">_xlfn.CONCAT(CALC!B41, ":", CALC!C41)</f>
        <v>Utilities:Support</v>
      </c>
      <c r="C40" s="52" t="n">
        <f aca="false">CALC!P41</f>
        <v>0.042</v>
      </c>
      <c r="D40" s="52" t="n">
        <f aca="false">CALC!Q41</f>
        <v>0</v>
      </c>
      <c r="E40" s="52" t="n">
        <f aca="false">CALC!R41</f>
        <v>0.08</v>
      </c>
      <c r="F40" s="52" t="n">
        <f aca="false">CALC!S41</f>
        <v>0.042</v>
      </c>
    </row>
    <row r="41" customFormat="false" ht="12.8" hidden="false" customHeight="false" outlineLevel="0" collapsed="false">
      <c r="A41" s="47" t="str">
        <f aca="false">_xlfn.CONCAT($A$1, ".", CALC!A42)</f>
        <v>LSD.RID.0.AR.U3R.38</v>
      </c>
      <c r="B41" s="50" t="str">
        <f aca="false">_xlfn.CONCAT(CALC!B42, ":", CALC!C42)</f>
        <v>Utilities:Worker</v>
      </c>
      <c r="C41" s="52" t="n">
        <f aca="false">CALC!P42</f>
        <v>0.042</v>
      </c>
      <c r="D41" s="52" t="n">
        <f aca="false">CALC!Q42</f>
        <v>0</v>
      </c>
      <c r="E41" s="52" t="n">
        <f aca="false">CALC!R42</f>
        <v>0.08</v>
      </c>
      <c r="F41" s="52" t="n">
        <f aca="false">CALC!S42</f>
        <v>0.042</v>
      </c>
    </row>
    <row r="42" customFormat="false" ht="12.8" hidden="false" customHeight="false" outlineLevel="0" collapsed="false">
      <c r="A42" s="47" t="str">
        <f aca="false">_xlfn.CONCAT($A$1, ".", CALC!A43)</f>
        <v>LSD.RID.0.AR.U3R.39</v>
      </c>
      <c r="B42" s="50" t="str">
        <f aca="false">_xlfn.CONCAT(CALC!B43, ":", CALC!C43)</f>
        <v>Wholesale Trade:Support</v>
      </c>
      <c r="C42" s="52" t="n">
        <f aca="false">CALC!P43</f>
        <v>0.042</v>
      </c>
      <c r="D42" s="52" t="n">
        <f aca="false">CALC!Q43</f>
        <v>0</v>
      </c>
      <c r="E42" s="52" t="n">
        <f aca="false">CALC!R43</f>
        <v>0.08</v>
      </c>
      <c r="F42" s="52" t="n">
        <f aca="false">CALC!S43</f>
        <v>0.042</v>
      </c>
    </row>
    <row r="43" customFormat="false" ht="12.8" hidden="false" customHeight="false" outlineLevel="0" collapsed="false">
      <c r="A43" s="47" t="str">
        <f aca="false">_xlfn.CONCAT($A$1, ".", CALC!A44)</f>
        <v>LSD.RID.0.AR.U3R.40</v>
      </c>
      <c r="B43" s="50" t="str">
        <f aca="false">_xlfn.CONCAT(CALC!B44, ":", CALC!C44)</f>
        <v>Wholesale Trade:Worker</v>
      </c>
      <c r="C43" s="52" t="n">
        <f aca="false">CALC!P44</f>
        <v>0.042</v>
      </c>
      <c r="D43" s="52" t="n">
        <f aca="false">CALC!Q44</f>
        <v>0</v>
      </c>
      <c r="E43" s="52" t="n">
        <f aca="false">CALC!R44</f>
        <v>0.08</v>
      </c>
      <c r="F43" s="52" t="n">
        <f aca="false">CALC!S44</f>
        <v>0.042</v>
      </c>
    </row>
    <row r="44" customFormat="false" ht="12.8" hidden="false" customHeight="false" outlineLevel="0" collapsed="false">
      <c r="A44" s="47" t="str">
        <f aca="false">_xlfn.CONCAT($A$1, ".", CALC!A45)</f>
        <v>LSD.RID.0.AR.U3R.41</v>
      </c>
      <c r="B44" s="50" t="str">
        <f aca="false">_xlfn.CONCAT(CALC!B45, ":", CALC!C45)</f>
        <v>Information:Support</v>
      </c>
      <c r="C44" s="52" t="n">
        <f aca="false">CALC!P45</f>
        <v>0.042</v>
      </c>
      <c r="D44" s="52" t="n">
        <f aca="false">CALC!Q45</f>
        <v>0</v>
      </c>
      <c r="E44" s="52" t="n">
        <f aca="false">CALC!R45</f>
        <v>0.08</v>
      </c>
      <c r="F44" s="52" t="n">
        <f aca="false">CALC!S45</f>
        <v>0.042</v>
      </c>
    </row>
    <row r="45" customFormat="false" ht="12.8" hidden="false" customHeight="false" outlineLevel="0" collapsed="false">
      <c r="A45" s="47" t="str">
        <f aca="false">_xlfn.CONCAT($A$1, ".", CALC!A46)</f>
        <v>LSD.RID.0.AR.U3R.42</v>
      </c>
      <c r="B45" s="50" t="str">
        <f aca="false">_xlfn.CONCAT(CALC!B46, ":", CALC!C46)</f>
        <v>Information:Worker</v>
      </c>
      <c r="C45" s="52" t="n">
        <f aca="false">CALC!P46</f>
        <v>0.042</v>
      </c>
      <c r="D45" s="52" t="n">
        <f aca="false">CALC!Q46</f>
        <v>0</v>
      </c>
      <c r="E45" s="52" t="n">
        <f aca="false">CALC!R46</f>
        <v>0.08</v>
      </c>
      <c r="F45" s="52" t="n">
        <f aca="false">CALC!S46</f>
        <v>0.042</v>
      </c>
    </row>
    <row r="46" customFormat="false" ht="12.8" hidden="false" customHeight="false" outlineLevel="0" collapsed="false">
      <c r="A46" s="47" t="str">
        <f aca="false">_xlfn.CONCAT($A$1, ".", CALC!A47)</f>
        <v>LSD.RID.0.AR.U3R.43</v>
      </c>
      <c r="B46" s="50" t="str">
        <f aca="false">_xlfn.CONCAT(CALC!B47, ":", CALC!C47)</f>
        <v>Real Estate, Rental and Leasing:Support</v>
      </c>
      <c r="C46" s="52" t="n">
        <f aca="false">CALC!P47</f>
        <v>0.042</v>
      </c>
      <c r="D46" s="52" t="n">
        <f aca="false">CALC!Q47</f>
        <v>0</v>
      </c>
      <c r="E46" s="52" t="n">
        <f aca="false">CALC!R47</f>
        <v>0.08</v>
      </c>
      <c r="F46" s="52" t="n">
        <f aca="false">CALC!S47</f>
        <v>0.042</v>
      </c>
    </row>
    <row r="47" customFormat="false" ht="12.8" hidden="false" customHeight="false" outlineLevel="0" collapsed="false">
      <c r="A47" s="47" t="str">
        <f aca="false">_xlfn.CONCAT($A$1, ".", CALC!A48)</f>
        <v>LSD.RID.0.AR.U3R.44</v>
      </c>
      <c r="B47" s="50" t="str">
        <f aca="false">_xlfn.CONCAT(CALC!B48, ":", CALC!C48)</f>
        <v>Real Estate, Rental and Leasing:Worker</v>
      </c>
      <c r="C47" s="52" t="n">
        <f aca="false">CALC!P48</f>
        <v>0.042</v>
      </c>
      <c r="D47" s="52" t="n">
        <f aca="false">CALC!Q48</f>
        <v>0</v>
      </c>
      <c r="E47" s="52" t="n">
        <f aca="false">CALC!R48</f>
        <v>0.08</v>
      </c>
      <c r="F47" s="52" t="n">
        <f aca="false">CALC!S48</f>
        <v>0.042</v>
      </c>
    </row>
    <row r="48" customFormat="false" ht="12.8" hidden="false" customHeight="false" outlineLevel="0" collapsed="false">
      <c r="A48" s="47" t="str">
        <f aca="false">_xlfn.CONCAT($A$1, ".", CALC!A49)</f>
        <v>LSD.RID.0.AR.U3R.45</v>
      </c>
      <c r="B48" s="50" t="str">
        <f aca="false">_xlfn.CONCAT(CALC!B49, ":", CALC!C49)</f>
        <v>Waste Management Services:Support</v>
      </c>
      <c r="C48" s="52" t="n">
        <f aca="false">CALC!P49</f>
        <v>0.042</v>
      </c>
      <c r="D48" s="52" t="n">
        <f aca="false">CALC!Q49</f>
        <v>0.02</v>
      </c>
      <c r="E48" s="52" t="n">
        <f aca="false">CALC!R49</f>
        <v>0.15</v>
      </c>
      <c r="F48" s="52" t="n">
        <f aca="false">CALC!S49</f>
        <v>0.042</v>
      </c>
    </row>
    <row r="49" customFormat="false" ht="12.8" hidden="false" customHeight="false" outlineLevel="0" collapsed="false">
      <c r="A49" s="47" t="str">
        <f aca="false">_xlfn.CONCAT($A$1, ".", CALC!A50)</f>
        <v>LSD.RID.0.AR.U3R.46</v>
      </c>
      <c r="B49" s="50" t="str">
        <f aca="false">_xlfn.CONCAT(CALC!B50, ":", CALC!C50)</f>
        <v>Waste Management Services:Worker</v>
      </c>
      <c r="C49" s="52" t="n">
        <f aca="false">CALC!P50</f>
        <v>0.042</v>
      </c>
      <c r="D49" s="52" t="n">
        <f aca="false">CALC!Q50</f>
        <v>0.02</v>
      </c>
      <c r="E49" s="52" t="n">
        <f aca="false">CALC!R50</f>
        <v>0.15</v>
      </c>
      <c r="F49" s="52" t="n">
        <f aca="false">CALC!S50</f>
        <v>0.042</v>
      </c>
    </row>
    <row r="50" customFormat="false" ht="12.8" hidden="false" customHeight="false" outlineLevel="0" collapsed="false">
      <c r="A50" s="47" t="str">
        <f aca="false">_xlfn.CONCAT($A$1, ".", CALC!A51)</f>
        <v>LSD.RID.0.AR.U3R.47</v>
      </c>
      <c r="B50" s="50" t="str">
        <f aca="false">_xlfn.CONCAT(CALC!B51, ":", CALC!C51)</f>
        <v>Arts, Entertainment, and Recreation:Support</v>
      </c>
      <c r="C50" s="52" t="n">
        <f aca="false">CALC!P51</f>
        <v>0.042</v>
      </c>
      <c r="D50" s="52" t="n">
        <f aca="false">CALC!Q51</f>
        <v>0.02</v>
      </c>
      <c r="E50" s="52" t="n">
        <f aca="false">CALC!R51</f>
        <v>0.163</v>
      </c>
      <c r="F50" s="52" t="n">
        <f aca="false">CALC!S51</f>
        <v>0.042</v>
      </c>
    </row>
    <row r="51" customFormat="false" ht="12.8" hidden="false" customHeight="false" outlineLevel="0" collapsed="false">
      <c r="A51" s="47" t="str">
        <f aca="false">_xlfn.CONCAT($A$1, ".", CALC!A52)</f>
        <v>LSD.RID.0.AR.U3R.48</v>
      </c>
      <c r="B51" s="50" t="str">
        <f aca="false">_xlfn.CONCAT(CALC!B52, ":", CALC!C52)</f>
        <v>Arts, Entertainment, and Recreation:Worker</v>
      </c>
      <c r="C51" s="52" t="n">
        <f aca="false">CALC!P52</f>
        <v>0.042</v>
      </c>
      <c r="D51" s="52" t="n">
        <f aca="false">CALC!Q52</f>
        <v>0.02</v>
      </c>
      <c r="E51" s="52" t="n">
        <f aca="false">CALC!R52</f>
        <v>0.163</v>
      </c>
      <c r="F51" s="52" t="n">
        <f aca="false">CALC!S52</f>
        <v>0.042</v>
      </c>
    </row>
    <row r="52" customFormat="false" ht="12.8" hidden="false" customHeight="false" outlineLevel="0" collapsed="false">
      <c r="A52" s="47" t="str">
        <f aca="false">_xlfn.CONCAT($A$1, ".", CALC!A53)</f>
        <v>LSD.RID.0.AR.U3R.49</v>
      </c>
      <c r="B52" s="50" t="str">
        <f aca="false">_xlfn.CONCAT(CALC!B53, ":", CALC!C53)</f>
        <v>Accommodation and Food Services:Support</v>
      </c>
      <c r="C52" s="52" t="n">
        <f aca="false">CALC!P53</f>
        <v>0.042</v>
      </c>
      <c r="D52" s="52" t="n">
        <f aca="false">CALC!Q53</f>
        <v>0.02</v>
      </c>
      <c r="E52" s="52" t="n">
        <f aca="false">CALC!R53</f>
        <v>0.163</v>
      </c>
      <c r="F52" s="52" t="n">
        <f aca="false">CALC!S53</f>
        <v>0.042</v>
      </c>
    </row>
    <row r="53" customFormat="false" ht="12.8" hidden="false" customHeight="false" outlineLevel="0" collapsed="false">
      <c r="A53" s="47" t="str">
        <f aca="false">_xlfn.CONCAT($A$1, ".", CALC!A54)</f>
        <v>LSD.RID.0.AR.U3R.50</v>
      </c>
      <c r="B53" s="50" t="str">
        <f aca="false">_xlfn.CONCAT(CALC!B54, ":", CALC!C54)</f>
        <v>Accommodation and Food Services:Worker</v>
      </c>
      <c r="C53" s="52" t="n">
        <f aca="false">CALC!P54</f>
        <v>0.042</v>
      </c>
      <c r="D53" s="52" t="n">
        <f aca="false">CALC!Q54</f>
        <v>0.02</v>
      </c>
      <c r="E53" s="52" t="n">
        <f aca="false">CALC!R54</f>
        <v>0.163</v>
      </c>
      <c r="F53" s="52" t="n">
        <f aca="false">CALC!S54</f>
        <v>0.042</v>
      </c>
    </row>
    <row r="54" customFormat="false" ht="12.8" hidden="false" customHeight="false" outlineLevel="0" collapsed="false">
      <c r="A54" s="47" t="str">
        <f aca="false">_xlfn.CONCAT($A$1, ".", CALC!A55)</f>
        <v>LSD.RID.0.AR.U3R.51</v>
      </c>
      <c r="B54" s="50" t="str">
        <f aca="false">_xlfn.CONCAT(CALC!B55, ":", CALC!C55)</f>
        <v>Public Administration:Support</v>
      </c>
      <c r="C54" s="52" t="n">
        <f aca="false">CALC!P55</f>
        <v>0.042</v>
      </c>
      <c r="D54" s="52" t="n">
        <f aca="false">CALC!Q55</f>
        <v>0</v>
      </c>
      <c r="E54" s="52" t="n">
        <f aca="false">CALC!R55</f>
        <v>0.08</v>
      </c>
      <c r="F54" s="52" t="n">
        <f aca="false">CALC!S55</f>
        <v>0.042</v>
      </c>
    </row>
    <row r="55" customFormat="false" ht="12.8" hidden="false" customHeight="false" outlineLevel="0" collapsed="false">
      <c r="A55" s="47" t="str">
        <f aca="false">_xlfn.CONCAT($A$1, ".", CALC!A56)</f>
        <v>LSD.RID.0.AR.U3R.52</v>
      </c>
      <c r="B55" s="50" t="str">
        <f aca="false">_xlfn.CONCAT(CALC!B56, ":", CALC!C56)</f>
        <v>Public Administration:Worker</v>
      </c>
      <c r="C55" s="52" t="n">
        <f aca="false">CALC!P56</f>
        <v>0.042</v>
      </c>
      <c r="D55" s="52" t="n">
        <f aca="false">CALC!Q56</f>
        <v>0</v>
      </c>
      <c r="E55" s="52" t="n">
        <f aca="false">CALC!R56</f>
        <v>0.08</v>
      </c>
      <c r="F55" s="52" t="n">
        <f aca="false">CALC!S56</f>
        <v>0.042</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5E9B"/>
    <pageSetUpPr fitToPage="false"/>
  </sheetPr>
  <dimension ref="A1:BP245"/>
  <sheetViews>
    <sheetView showFormulas="false" showGridLines="true" showRowColHeaders="true" showZeros="true" rightToLeft="false" tabSelected="false" showOutlineSymbols="true" defaultGridColor="true" view="normal" topLeftCell="A17" colorId="64" zoomScale="75" zoomScaleNormal="75" zoomScalePageLayoutView="100" workbookViewId="0">
      <selection pane="topLeft" activeCell="B56" activeCellId="1" sqref="155:249 B56"/>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3" t="s">
        <v>811</v>
      </c>
      <c r="B1" s="30" t="s">
        <v>812</v>
      </c>
      <c r="C1" s="5" t="s">
        <v>2</v>
      </c>
      <c r="D1" s="48" t="s">
        <v>813</v>
      </c>
      <c r="AZ1" s="23"/>
      <c r="BP1" s="23"/>
    </row>
    <row r="2" customFormat="false" ht="46.25" hidden="false" customHeight="false" outlineLevel="0" collapsed="false">
      <c r="A2" s="25" t="s">
        <v>799</v>
      </c>
      <c r="B2" s="30" t="s">
        <v>800</v>
      </c>
      <c r="C2" s="31" t="str">
        <f aca="false">CALC!T3</f>
        <v>Underemployment Rate</v>
      </c>
      <c r="D2" s="31" t="str">
        <f aca="false">CALC!U3</f>
        <v>Authorized Immigrant Underemployment Rate</v>
      </c>
      <c r="E2" s="31" t="str">
        <f aca="false">CALC!V3</f>
        <v>Unauthorized Immigrant Underemployment Rate</v>
      </c>
      <c r="F2" s="31" t="str">
        <f aca="false">CALC!W3</f>
        <v>American Underemployment Rate</v>
      </c>
    </row>
    <row r="3" customFormat="false" ht="12.8" hidden="false" customHeight="false" outlineLevel="0" collapsed="false">
      <c r="A3" s="3" t="str">
        <f aca="false">_xlfn.CONCAT($A$1, ".", CALC!A4)</f>
        <v>LSD.RID.0.AR.U6R.0</v>
      </c>
      <c r="B3" s="44" t="str">
        <f aca="false">_xlfn.CONCAT(CALC!B4, ":", CALC!C4)</f>
        <v>All Industries:All Roles</v>
      </c>
      <c r="C3" s="31" t="n">
        <f aca="false">CALC!T4</f>
        <v>0.069</v>
      </c>
      <c r="D3" s="31" t="n">
        <f aca="false">CALC!U4</f>
        <v>0</v>
      </c>
      <c r="E3" s="31" t="n">
        <f aca="false">CALC!V4</f>
        <v>0.18</v>
      </c>
      <c r="F3" s="31" t="n">
        <f aca="false">CALC!W4</f>
        <v>0.069</v>
      </c>
    </row>
    <row r="4" customFormat="false" ht="12.8" hidden="false" customHeight="false" outlineLevel="0" collapsed="false">
      <c r="A4" s="47" t="str">
        <f aca="false">_xlfn.CONCAT($A$1, ".", CALC!A5)</f>
        <v>LSD.RID.0.AR.U6R.1</v>
      </c>
      <c r="B4" s="50" t="str">
        <f aca="false">_xlfn.CONCAT(CALC!B5, ":", CALC!C5)</f>
        <v>Agriculture:Worker</v>
      </c>
      <c r="C4" s="52" t="n">
        <f aca="false">CALC!T5</f>
        <v>0.069</v>
      </c>
      <c r="D4" s="52" t="n">
        <f aca="false">CALC!U5</f>
        <v>0.033</v>
      </c>
      <c r="E4" s="52" t="n">
        <f aca="false">CALC!V5</f>
        <v>0.27</v>
      </c>
      <c r="F4" s="52" t="n">
        <f aca="false">CALC!W5</f>
        <v>0.069</v>
      </c>
    </row>
    <row r="5" customFormat="false" ht="12.8" hidden="false" customHeight="false" outlineLevel="0" collapsed="false">
      <c r="A5" s="47" t="str">
        <f aca="false">_xlfn.CONCAT($A$1, ".", CALC!A6)</f>
        <v>LSD.RID.0.AR.U6R.2</v>
      </c>
      <c r="B5" s="50" t="str">
        <f aca="false">_xlfn.CONCAT(CALC!B6, ":", CALC!C6)</f>
        <v>Agriculture:Support</v>
      </c>
      <c r="C5" s="52" t="n">
        <f aca="false">CALC!T6</f>
        <v>0.069</v>
      </c>
      <c r="D5" s="52" t="n">
        <f aca="false">CALC!U6</f>
        <v>0.033</v>
      </c>
      <c r="E5" s="52" t="n">
        <f aca="false">CALC!V6</f>
        <v>0.27</v>
      </c>
      <c r="F5" s="52" t="n">
        <f aca="false">CALC!W6</f>
        <v>0.069</v>
      </c>
    </row>
    <row r="6" customFormat="false" ht="12.8" hidden="false" customHeight="false" outlineLevel="0" collapsed="false">
      <c r="A6" s="47" t="str">
        <f aca="false">_xlfn.CONCAT($A$1, ".", CALC!A7)</f>
        <v>LSD.RID.0.AR.U6R.3</v>
      </c>
      <c r="B6" s="50" t="str">
        <f aca="false">_xlfn.CONCAT(CALC!B7, ":", CALC!C7)</f>
        <v>Construction:Worker</v>
      </c>
      <c r="C6" s="52" t="n">
        <f aca="false">CALC!T7</f>
        <v>0.069</v>
      </c>
      <c r="D6" s="52" t="n">
        <f aca="false">CALC!U7</f>
        <v>0.033</v>
      </c>
      <c r="E6" s="52" t="n">
        <f aca="false">CALC!V7</f>
        <v>0.216</v>
      </c>
      <c r="F6" s="52" t="n">
        <f aca="false">CALC!W7</f>
        <v>0.069</v>
      </c>
    </row>
    <row r="7" customFormat="false" ht="12.8" hidden="false" customHeight="false" outlineLevel="0" collapsed="false">
      <c r="A7" s="47" t="str">
        <f aca="false">_xlfn.CONCAT($A$1, ".", CALC!A8)</f>
        <v>LSD.RID.0.AR.U6R.4</v>
      </c>
      <c r="B7" s="50" t="str">
        <f aca="false">_xlfn.CONCAT(CALC!B8, ":", CALC!C8)</f>
        <v>Construction:Support</v>
      </c>
      <c r="C7" s="52" t="n">
        <f aca="false">CALC!T8</f>
        <v>0.069</v>
      </c>
      <c r="D7" s="52" t="n">
        <f aca="false">CALC!U8</f>
        <v>0.033</v>
      </c>
      <c r="E7" s="52" t="n">
        <f aca="false">CALC!V8</f>
        <v>0.216</v>
      </c>
      <c r="F7" s="52" t="n">
        <f aca="false">CALC!W8</f>
        <v>0.069</v>
      </c>
    </row>
    <row r="8" customFormat="false" ht="12.8" hidden="false" customHeight="false" outlineLevel="0" collapsed="false">
      <c r="A8" s="47" t="str">
        <f aca="false">_xlfn.CONCAT($A$1, ".", CALC!A9)</f>
        <v>LSD.RID.0.AR.U6R.5</v>
      </c>
      <c r="B8" s="50" t="str">
        <f aca="false">_xlfn.CONCAT(CALC!B9, ":", CALC!C9)</f>
        <v>Hospitality:Worker</v>
      </c>
      <c r="C8" s="52" t="n">
        <f aca="false">CALC!T9</f>
        <v>0.069</v>
      </c>
      <c r="D8" s="52" t="n">
        <f aca="false">CALC!U9</f>
        <v>0.033</v>
      </c>
      <c r="E8" s="52" t="n">
        <f aca="false">CALC!V9</f>
        <v>0.18</v>
      </c>
      <c r="F8" s="52" t="n">
        <f aca="false">CALC!W9</f>
        <v>0.069</v>
      </c>
    </row>
    <row r="9" customFormat="false" ht="12.8" hidden="false" customHeight="false" outlineLevel="0" collapsed="false">
      <c r="A9" s="47" t="str">
        <f aca="false">_xlfn.CONCAT($A$1, ".", CALC!A10)</f>
        <v>LSD.RID.0.AR.U6R.6</v>
      </c>
      <c r="B9" s="50" t="str">
        <f aca="false">_xlfn.CONCAT(CALC!B10, ":", CALC!C10)</f>
        <v>Hospitality:Support</v>
      </c>
      <c r="C9" s="52" t="n">
        <f aca="false">CALC!T10</f>
        <v>0.069</v>
      </c>
      <c r="D9" s="52" t="n">
        <f aca="false">CALC!U10</f>
        <v>0.033</v>
      </c>
      <c r="E9" s="52" t="n">
        <f aca="false">CALC!V10</f>
        <v>0.18</v>
      </c>
      <c r="F9" s="52" t="n">
        <f aca="false">CALC!W10</f>
        <v>0.069</v>
      </c>
    </row>
    <row r="10" customFormat="false" ht="12.8" hidden="false" customHeight="false" outlineLevel="0" collapsed="false">
      <c r="A10" s="47" t="str">
        <f aca="false">_xlfn.CONCAT($A$1, ".", CALC!A11)</f>
        <v>LSD.RID.0.AR.U6R.7</v>
      </c>
      <c r="B10" s="50" t="str">
        <f aca="false">_xlfn.CONCAT(CALC!B11, ":", CALC!C11)</f>
        <v>Cleaning &amp; Maintenance:Worker</v>
      </c>
      <c r="C10" s="52" t="n">
        <f aca="false">CALC!T11</f>
        <v>0.069</v>
      </c>
      <c r="D10" s="52" t="n">
        <f aca="false">CALC!U11</f>
        <v>0.033</v>
      </c>
      <c r="E10" s="52" t="n">
        <f aca="false">CALC!V11</f>
        <v>0.18</v>
      </c>
      <c r="F10" s="52" t="n">
        <f aca="false">CALC!W11</f>
        <v>0.069</v>
      </c>
    </row>
    <row r="11" customFormat="false" ht="12.8" hidden="false" customHeight="false" outlineLevel="0" collapsed="false">
      <c r="A11" s="47" t="str">
        <f aca="false">_xlfn.CONCAT($A$1, ".", CALC!A12)</f>
        <v>LSD.RID.0.AR.U6R.8</v>
      </c>
      <c r="B11" s="50" t="str">
        <f aca="false">_xlfn.CONCAT(CALC!B12, ":", CALC!C12)</f>
        <v>Cleaning &amp; Maintenance:Support</v>
      </c>
      <c r="C11" s="52" t="n">
        <f aca="false">CALC!T12</f>
        <v>0.069</v>
      </c>
      <c r="D11" s="52" t="n">
        <f aca="false">CALC!U12</f>
        <v>0.033</v>
      </c>
      <c r="E11" s="52" t="n">
        <f aca="false">CALC!V12</f>
        <v>0.18</v>
      </c>
      <c r="F11" s="52" t="n">
        <f aca="false">CALC!W12</f>
        <v>0.069</v>
      </c>
    </row>
    <row r="12" customFormat="false" ht="12.8" hidden="false" customHeight="false" outlineLevel="0" collapsed="false">
      <c r="A12" s="47" t="str">
        <f aca="false">_xlfn.CONCAT($A$1, ".", CALC!A13)</f>
        <v>LSD.RID.0.AR.U6R.9</v>
      </c>
      <c r="B12" s="50" t="str">
        <f aca="false">_xlfn.CONCAT(CALC!B13, ":", CALC!C13)</f>
        <v>Manufacturing:Worker</v>
      </c>
      <c r="C12" s="52" t="n">
        <f aca="false">CALC!T13</f>
        <v>0.069</v>
      </c>
      <c r="D12" s="52" t="n">
        <f aca="false">CALC!U13</f>
        <v>0</v>
      </c>
      <c r="E12" s="52" t="n">
        <f aca="false">CALC!V13</f>
        <v>0.144</v>
      </c>
      <c r="F12" s="52" t="n">
        <f aca="false">CALC!W13</f>
        <v>0.069</v>
      </c>
    </row>
    <row r="13" customFormat="false" ht="12.8" hidden="false" customHeight="false" outlineLevel="0" collapsed="false">
      <c r="A13" s="47" t="str">
        <f aca="false">_xlfn.CONCAT($A$1, ".", CALC!A14)</f>
        <v>LSD.RID.0.AR.U6R.10</v>
      </c>
      <c r="B13" s="50" t="str">
        <f aca="false">_xlfn.CONCAT(CALC!B14, ":", CALC!C14)</f>
        <v>Manufacturing:Support</v>
      </c>
      <c r="C13" s="52" t="n">
        <f aca="false">CALC!T14</f>
        <v>0.069</v>
      </c>
      <c r="D13" s="52" t="n">
        <f aca="false">CALC!U14</f>
        <v>0</v>
      </c>
      <c r="E13" s="52" t="n">
        <f aca="false">CALC!V14</f>
        <v>0.144</v>
      </c>
      <c r="F13" s="52" t="n">
        <f aca="false">CALC!W14</f>
        <v>0.069</v>
      </c>
    </row>
    <row r="14" customFormat="false" ht="12.8" hidden="false" customHeight="false" outlineLevel="0" collapsed="false">
      <c r="A14" s="47" t="str">
        <f aca="false">_xlfn.CONCAT($A$1, ".", CALC!A15)</f>
        <v>LSD.RID.0.AR.U6R.11</v>
      </c>
      <c r="B14" s="50" t="str">
        <f aca="false">_xlfn.CONCAT(CALC!B15, ":", CALC!C15)</f>
        <v>Transportation &amp; Warehousing:Worker</v>
      </c>
      <c r="C14" s="52" t="n">
        <f aca="false">CALC!T15</f>
        <v>0.069</v>
      </c>
      <c r="D14" s="52" t="n">
        <f aca="false">CALC!U15</f>
        <v>0.033</v>
      </c>
      <c r="E14" s="52" t="n">
        <f aca="false">CALC!V15</f>
        <v>0.18</v>
      </c>
      <c r="F14" s="52" t="n">
        <f aca="false">CALC!W15</f>
        <v>0.069</v>
      </c>
    </row>
    <row r="15" customFormat="false" ht="12.8" hidden="false" customHeight="false" outlineLevel="0" collapsed="false">
      <c r="A15" s="47" t="str">
        <f aca="false">_xlfn.CONCAT($A$1, ".", CALC!A16)</f>
        <v>LSD.RID.0.AR.U6R.12</v>
      </c>
      <c r="B15" s="50" t="str">
        <f aca="false">_xlfn.CONCAT(CALC!B16, ":", CALC!C16)</f>
        <v>Transportation &amp; Warehousing:Support</v>
      </c>
      <c r="C15" s="52" t="n">
        <f aca="false">CALC!T16</f>
        <v>0.069</v>
      </c>
      <c r="D15" s="52" t="n">
        <f aca="false">CALC!U16</f>
        <v>0.033</v>
      </c>
      <c r="E15" s="52" t="n">
        <f aca="false">CALC!V16</f>
        <v>0.18</v>
      </c>
      <c r="F15" s="52" t="n">
        <f aca="false">CALC!W16</f>
        <v>0.069</v>
      </c>
    </row>
    <row r="16" customFormat="false" ht="12.8" hidden="false" customHeight="false" outlineLevel="0" collapsed="false">
      <c r="A16" s="47" t="str">
        <f aca="false">_xlfn.CONCAT($A$1, ".", CALC!A17)</f>
        <v>LSD.RID.0.AR.U6R.13</v>
      </c>
      <c r="B16" s="50" t="str">
        <f aca="false">_xlfn.CONCAT(CALC!B17, ":", CALC!C17)</f>
        <v>Retail Trade:Worker</v>
      </c>
      <c r="C16" s="52" t="n">
        <f aca="false">CALC!T17</f>
        <v>0.069</v>
      </c>
      <c r="D16" s="52" t="n">
        <f aca="false">CALC!U17</f>
        <v>0.033</v>
      </c>
      <c r="E16" s="52" t="n">
        <f aca="false">CALC!V17</f>
        <v>0.18</v>
      </c>
      <c r="F16" s="52" t="n">
        <f aca="false">CALC!W17</f>
        <v>0.069</v>
      </c>
    </row>
    <row r="17" customFormat="false" ht="12.8" hidden="false" customHeight="false" outlineLevel="0" collapsed="false">
      <c r="A17" s="47" t="str">
        <f aca="false">_xlfn.CONCAT($A$1, ".", CALC!A18)</f>
        <v>LSD.RID.0.AR.U6R.14</v>
      </c>
      <c r="B17" s="50" t="str">
        <f aca="false">_xlfn.CONCAT(CALC!B18, ":", CALC!C18)</f>
        <v>Retail Trade:Support</v>
      </c>
      <c r="C17" s="52" t="n">
        <f aca="false">CALC!T18</f>
        <v>0.069</v>
      </c>
      <c r="D17" s="52" t="n">
        <f aca="false">CALC!U18</f>
        <v>0.033</v>
      </c>
      <c r="E17" s="52" t="n">
        <f aca="false">CALC!V18</f>
        <v>0.18</v>
      </c>
      <c r="F17" s="52" t="n">
        <f aca="false">CALC!W18</f>
        <v>0.069</v>
      </c>
    </row>
    <row r="18" customFormat="false" ht="12.8" hidden="false" customHeight="false" outlineLevel="0" collapsed="false">
      <c r="A18" s="47" t="str">
        <f aca="false">_xlfn.CONCAT($A$1, ".", CALC!A19)</f>
        <v>LSD.RID.0.AR.U6R.15</v>
      </c>
      <c r="B18" s="50" t="str">
        <f aca="false">_xlfn.CONCAT(CALC!B19, ":", CALC!C19)</f>
        <v>Landscaping / Groundskeeping:Worker</v>
      </c>
      <c r="C18" s="52" t="n">
        <f aca="false">CALC!T19</f>
        <v>0.069</v>
      </c>
      <c r="D18" s="52" t="n">
        <f aca="false">CALC!U19</f>
        <v>0.033</v>
      </c>
      <c r="E18" s="52" t="n">
        <f aca="false">CALC!V19</f>
        <v>0.27</v>
      </c>
      <c r="F18" s="52" t="n">
        <f aca="false">CALC!W19</f>
        <v>0.069</v>
      </c>
    </row>
    <row r="19" customFormat="false" ht="12.8" hidden="false" customHeight="false" outlineLevel="0" collapsed="false">
      <c r="A19" s="47" t="str">
        <f aca="false">_xlfn.CONCAT($A$1, ".", CALC!A20)</f>
        <v>LSD.RID.0.AR.U6R.16</v>
      </c>
      <c r="B19" s="50" t="str">
        <f aca="false">_xlfn.CONCAT(CALC!B20, ":", CALC!C20)</f>
        <v>Landscaping / Groundskeeping:Support</v>
      </c>
      <c r="C19" s="52" t="n">
        <f aca="false">CALC!T20</f>
        <v>0.069</v>
      </c>
      <c r="D19" s="52" t="n">
        <f aca="false">CALC!U20</f>
        <v>0.033</v>
      </c>
      <c r="E19" s="52" t="n">
        <f aca="false">CALC!V20</f>
        <v>0.27</v>
      </c>
      <c r="F19" s="52" t="n">
        <f aca="false">CALC!W20</f>
        <v>0.069</v>
      </c>
    </row>
    <row r="20" customFormat="false" ht="12.8" hidden="false" customHeight="false" outlineLevel="0" collapsed="false">
      <c r="A20" s="47" t="str">
        <f aca="false">_xlfn.CONCAT($A$1, ".", CALC!A21)</f>
        <v>LSD.RID.0.AR.U6R.17</v>
      </c>
      <c r="B20" s="50" t="str">
        <f aca="false">_xlfn.CONCAT(CALC!B21, ":", CALC!C21)</f>
        <v>Automotive &amp; Repair:Worker</v>
      </c>
      <c r="C20" s="52" t="n">
        <f aca="false">CALC!T21</f>
        <v>0.069</v>
      </c>
      <c r="D20" s="52" t="n">
        <f aca="false">CALC!U21</f>
        <v>0.033</v>
      </c>
      <c r="E20" s="52" t="n">
        <f aca="false">CALC!V21</f>
        <v>0.216</v>
      </c>
      <c r="F20" s="52" t="n">
        <f aca="false">CALC!W21</f>
        <v>0.069</v>
      </c>
    </row>
    <row r="21" customFormat="false" ht="12.8" hidden="false" customHeight="false" outlineLevel="0" collapsed="false">
      <c r="A21" s="47" t="str">
        <f aca="false">_xlfn.CONCAT($A$1, ".", CALC!A22)</f>
        <v>LSD.RID.0.AR.U6R.18</v>
      </c>
      <c r="B21" s="50" t="str">
        <f aca="false">_xlfn.CONCAT(CALC!B22, ":", CALC!C22)</f>
        <v>Automotive &amp; Repair:Support</v>
      </c>
      <c r="C21" s="52" t="n">
        <f aca="false">CALC!T22</f>
        <v>0.069</v>
      </c>
      <c r="D21" s="52" t="n">
        <f aca="false">CALC!U22</f>
        <v>0.033</v>
      </c>
      <c r="E21" s="52" t="n">
        <f aca="false">CALC!V22</f>
        <v>0.216</v>
      </c>
      <c r="F21" s="52" t="n">
        <f aca="false">CALC!W22</f>
        <v>0.069</v>
      </c>
    </row>
    <row r="22" customFormat="false" ht="12.8" hidden="false" customHeight="false" outlineLevel="0" collapsed="false">
      <c r="A22" s="47" t="str">
        <f aca="false">_xlfn.CONCAT($A$1, ".", CALC!A23)</f>
        <v>LSD.RID.0.AR.U6R.19</v>
      </c>
      <c r="B22" s="50" t="str">
        <f aca="false">_xlfn.CONCAT(CALC!B23, ":", CALC!C23)</f>
        <v>Healthcare &amp; Social Assistance:Worker</v>
      </c>
      <c r="C22" s="52" t="n">
        <f aca="false">CALC!T23</f>
        <v>0.069</v>
      </c>
      <c r="D22" s="52" t="n">
        <f aca="false">CALC!U23</f>
        <v>0</v>
      </c>
      <c r="E22" s="52" t="n">
        <f aca="false">CALC!V23</f>
        <v>0.144</v>
      </c>
      <c r="F22" s="52" t="n">
        <f aca="false">CALC!W23</f>
        <v>0.069</v>
      </c>
    </row>
    <row r="23" customFormat="false" ht="12.8" hidden="false" customHeight="false" outlineLevel="0" collapsed="false">
      <c r="A23" s="47" t="str">
        <f aca="false">_xlfn.CONCAT($A$1, ".", CALC!A24)</f>
        <v>LSD.RID.0.AR.U6R.20</v>
      </c>
      <c r="B23" s="50" t="str">
        <f aca="false">_xlfn.CONCAT(CALC!B24, ":", CALC!C24)</f>
        <v>Healthcare &amp; Social Assistance:Support</v>
      </c>
      <c r="C23" s="52" t="n">
        <f aca="false">CALC!T24</f>
        <v>0.069</v>
      </c>
      <c r="D23" s="52" t="n">
        <f aca="false">CALC!U24</f>
        <v>0</v>
      </c>
      <c r="E23" s="52" t="n">
        <f aca="false">CALC!V24</f>
        <v>0.144</v>
      </c>
      <c r="F23" s="52" t="n">
        <f aca="false">CALC!W24</f>
        <v>0.069</v>
      </c>
    </row>
    <row r="24" customFormat="false" ht="12.8" hidden="false" customHeight="false" outlineLevel="0" collapsed="false">
      <c r="A24" s="47" t="str">
        <f aca="false">_xlfn.CONCAT($A$1, ".", CALC!A25)</f>
        <v>LSD.RID.0.AR.U6R.21</v>
      </c>
      <c r="B24" s="50" t="str">
        <f aca="false">_xlfn.CONCAT(CALC!B25, ":", CALC!C25)</f>
        <v>Professional Services:Worker</v>
      </c>
      <c r="C24" s="52" t="n">
        <f aca="false">CALC!T25</f>
        <v>0.069</v>
      </c>
      <c r="D24" s="52" t="n">
        <f aca="false">CALC!U25</f>
        <v>0</v>
      </c>
      <c r="E24" s="52" t="n">
        <f aca="false">CALC!V25</f>
        <v>0.144</v>
      </c>
      <c r="F24" s="52" t="n">
        <f aca="false">CALC!W25</f>
        <v>0.069</v>
      </c>
    </row>
    <row r="25" customFormat="false" ht="12.8" hidden="false" customHeight="false" outlineLevel="0" collapsed="false">
      <c r="A25" s="47" t="str">
        <f aca="false">_xlfn.CONCAT($A$1, ".", CALC!A26)</f>
        <v>LSD.RID.0.AR.U6R.22</v>
      </c>
      <c r="B25" s="50" t="str">
        <f aca="false">_xlfn.CONCAT(CALC!B26, ":", CALC!C26)</f>
        <v>Professional Services:Support</v>
      </c>
      <c r="C25" s="52" t="n">
        <f aca="false">CALC!T26</f>
        <v>0.069</v>
      </c>
      <c r="D25" s="52" t="n">
        <f aca="false">CALC!U26</f>
        <v>0</v>
      </c>
      <c r="E25" s="52" t="n">
        <f aca="false">CALC!V26</f>
        <v>0.144</v>
      </c>
      <c r="F25" s="52" t="n">
        <f aca="false">CALC!W26</f>
        <v>0.069</v>
      </c>
    </row>
    <row r="26" customFormat="false" ht="12.8" hidden="false" customHeight="false" outlineLevel="0" collapsed="false">
      <c r="A26" s="47" t="str">
        <f aca="false">_xlfn.CONCAT($A$1, ".", CALC!A27)</f>
        <v>LSD.RID.0.AR.U6R.23</v>
      </c>
      <c r="B26" s="50" t="str">
        <f aca="false">_xlfn.CONCAT(CALC!B27, ":", CALC!C27)</f>
        <v>Educational Services:Worker</v>
      </c>
      <c r="C26" s="52" t="n">
        <f aca="false">CALC!T27</f>
        <v>0.069</v>
      </c>
      <c r="D26" s="52" t="n">
        <f aca="false">CALC!U27</f>
        <v>0</v>
      </c>
      <c r="E26" s="52" t="n">
        <f aca="false">CALC!V27</f>
        <v>0.144</v>
      </c>
      <c r="F26" s="52" t="n">
        <f aca="false">CALC!W27</f>
        <v>0.069</v>
      </c>
    </row>
    <row r="27" customFormat="false" ht="12.8" hidden="false" customHeight="false" outlineLevel="0" collapsed="false">
      <c r="A27" s="47" t="str">
        <f aca="false">_xlfn.CONCAT($A$1, ".", CALC!A28)</f>
        <v>LSD.RID.0.AR.U6R.24</v>
      </c>
      <c r="B27" s="50" t="str">
        <f aca="false">_xlfn.CONCAT(CALC!B28, ":", CALC!C28)</f>
        <v>Educational Services:Support</v>
      </c>
      <c r="C27" s="52" t="n">
        <f aca="false">CALC!T28</f>
        <v>0.069</v>
      </c>
      <c r="D27" s="52" t="n">
        <f aca="false">CALC!U28</f>
        <v>0</v>
      </c>
      <c r="E27" s="52" t="n">
        <f aca="false">CALC!V28</f>
        <v>0.144</v>
      </c>
      <c r="F27" s="52" t="n">
        <f aca="false">CALC!W28</f>
        <v>0.069</v>
      </c>
    </row>
    <row r="28" customFormat="false" ht="12.8" hidden="false" customHeight="false" outlineLevel="0" collapsed="false">
      <c r="A28" s="47" t="str">
        <f aca="false">_xlfn.CONCAT($A$1, ".", CALC!A29)</f>
        <v>LSD.RID.0.AR.U6R.25</v>
      </c>
      <c r="B28" s="50" t="str">
        <f aca="false">_xlfn.CONCAT(CALC!B29, ":", CALC!C29)</f>
        <v>Finance &amp; Insurance:Worker</v>
      </c>
      <c r="C28" s="52" t="n">
        <f aca="false">CALC!T29</f>
        <v>0.069</v>
      </c>
      <c r="D28" s="52" t="n">
        <f aca="false">CALC!U29</f>
        <v>0</v>
      </c>
      <c r="E28" s="52" t="n">
        <f aca="false">CALC!V29</f>
        <v>0.144</v>
      </c>
      <c r="F28" s="52" t="n">
        <f aca="false">CALC!W29</f>
        <v>0.069</v>
      </c>
    </row>
    <row r="29" customFormat="false" ht="12.8" hidden="false" customHeight="false" outlineLevel="0" collapsed="false">
      <c r="A29" s="47" t="str">
        <f aca="false">_xlfn.CONCAT($A$1, ".", CALC!A30)</f>
        <v>LSD.RID.0.AR.U6R.26</v>
      </c>
      <c r="B29" s="50" t="str">
        <f aca="false">_xlfn.CONCAT(CALC!B30, ":", CALC!C30)</f>
        <v>Finance &amp; Insurance:Support</v>
      </c>
      <c r="C29" s="52" t="n">
        <f aca="false">CALC!T30</f>
        <v>0.069</v>
      </c>
      <c r="D29" s="52" t="n">
        <f aca="false">CALC!U30</f>
        <v>0</v>
      </c>
      <c r="E29" s="52" t="n">
        <f aca="false">CALC!V30</f>
        <v>0.144</v>
      </c>
      <c r="F29" s="52" t="n">
        <f aca="false">CALC!W30</f>
        <v>0.069</v>
      </c>
    </row>
    <row r="30" customFormat="false" ht="12.8" hidden="false" customHeight="false" outlineLevel="0" collapsed="false">
      <c r="A30" s="47" t="str">
        <f aca="false">_xlfn.CONCAT($A$1, ".", CALC!A31)</f>
        <v>LSD.RID.0.AR.U6R.27</v>
      </c>
      <c r="B30" s="50" t="str">
        <f aca="false">_xlfn.CONCAT(CALC!B31, ":", CALC!C31)</f>
        <v>Media and Information Technology:Worker</v>
      </c>
      <c r="C30" s="52" t="n">
        <f aca="false">CALC!T31</f>
        <v>0.069</v>
      </c>
      <c r="D30" s="52" t="n">
        <f aca="false">CALC!U31</f>
        <v>0</v>
      </c>
      <c r="E30" s="52" t="n">
        <f aca="false">CALC!V31</f>
        <v>0.144</v>
      </c>
      <c r="F30" s="52" t="n">
        <f aca="false">CALC!W31</f>
        <v>0.069</v>
      </c>
    </row>
    <row r="31" customFormat="false" ht="12.8" hidden="false" customHeight="false" outlineLevel="0" collapsed="false">
      <c r="A31" s="47" t="str">
        <f aca="false">_xlfn.CONCAT($A$1, ".", CALC!A32)</f>
        <v>LSD.RID.0.AR.U6R.28</v>
      </c>
      <c r="B31" s="50" t="str">
        <f aca="false">_xlfn.CONCAT(CALC!B32, ":", CALC!C32)</f>
        <v>Media and Information Technology:Support</v>
      </c>
      <c r="C31" s="52" t="n">
        <f aca="false">CALC!T32</f>
        <v>0.069</v>
      </c>
      <c r="D31" s="52" t="n">
        <f aca="false">CALC!U32</f>
        <v>0</v>
      </c>
      <c r="E31" s="52" t="n">
        <f aca="false">CALC!V32</f>
        <v>0.144</v>
      </c>
      <c r="F31" s="52" t="n">
        <f aca="false">CALC!W32</f>
        <v>0.069</v>
      </c>
    </row>
    <row r="32" customFormat="false" ht="12.8" hidden="false" customHeight="false" outlineLevel="0" collapsed="false">
      <c r="A32" s="47" t="str">
        <f aca="false">_xlfn.CONCAT($A$1, ".", CALC!A33)</f>
        <v>LSD.RID.0.AR.U6R.29</v>
      </c>
      <c r="B32" s="50" t="str">
        <f aca="false">_xlfn.CONCAT(CALC!B33, ":", CALC!C33)</f>
        <v>Government:Worker</v>
      </c>
      <c r="C32" s="52" t="n">
        <f aca="false">CALC!T33</f>
        <v>0.069</v>
      </c>
      <c r="D32" s="52" t="n">
        <f aca="false">CALC!U33</f>
        <v>0</v>
      </c>
      <c r="E32" s="52" t="n">
        <f aca="false">CALC!V33</f>
        <v>0.144</v>
      </c>
      <c r="F32" s="52" t="n">
        <f aca="false">CALC!W33</f>
        <v>0.069</v>
      </c>
    </row>
    <row r="33" customFormat="false" ht="12.8" hidden="false" customHeight="false" outlineLevel="0" collapsed="false">
      <c r="A33" s="47" t="str">
        <f aca="false">_xlfn.CONCAT($A$1, ".", CALC!A34)</f>
        <v>LSD.RID.0.AR.U6R.30</v>
      </c>
      <c r="B33" s="50" t="str">
        <f aca="false">_xlfn.CONCAT(CALC!B34, ":", CALC!C34)</f>
        <v>Government:Support</v>
      </c>
      <c r="C33" s="52" t="n">
        <f aca="false">CALC!T34</f>
        <v>0.069</v>
      </c>
      <c r="D33" s="52" t="n">
        <f aca="false">CALC!U34</f>
        <v>0</v>
      </c>
      <c r="E33" s="52" t="n">
        <f aca="false">CALC!V34</f>
        <v>0.144</v>
      </c>
      <c r="F33" s="52" t="n">
        <f aca="false">CALC!W34</f>
        <v>0.069</v>
      </c>
    </row>
    <row r="34" customFormat="false" ht="12.8" hidden="false" customHeight="false" outlineLevel="0" collapsed="false">
      <c r="A34" s="47" t="str">
        <f aca="false">_xlfn.CONCAT($A$1, ".", CALC!A35)</f>
        <v>LSD.RID.0.AR.U6R.31</v>
      </c>
      <c r="B34" s="50" t="str">
        <f aca="false">_xlfn.CONCAT(CALC!B35, ":", CALC!C35)</f>
        <v>Self-Employed / Non-Employer:Support</v>
      </c>
      <c r="C34" s="52" t="n">
        <f aca="false">CALC!T35</f>
        <v>0.069</v>
      </c>
      <c r="D34" s="52" t="n">
        <f aca="false">CALC!U35</f>
        <v>0</v>
      </c>
      <c r="E34" s="52" t="n">
        <f aca="false">CALC!V35</f>
        <v>0.144</v>
      </c>
      <c r="F34" s="52" t="n">
        <f aca="false">CALC!W35</f>
        <v>0.069</v>
      </c>
    </row>
    <row r="35" customFormat="false" ht="12.8" hidden="false" customHeight="false" outlineLevel="0" collapsed="false">
      <c r="A35" s="47" t="str">
        <f aca="false">_xlfn.CONCAT($A$1, ".", CALC!A36)</f>
        <v>LSD.RID.0.AR.U6R.32</v>
      </c>
      <c r="B35" s="50" t="str">
        <f aca="false">_xlfn.CONCAT(CALC!B36, ":", CALC!C36)</f>
        <v>Self-Employed / Non-Employer:Worker</v>
      </c>
      <c r="C35" s="52" t="n">
        <f aca="false">CALC!T36</f>
        <v>0.069</v>
      </c>
      <c r="D35" s="52" t="n">
        <f aca="false">CALC!U36</f>
        <v>0</v>
      </c>
      <c r="E35" s="52" t="n">
        <f aca="false">CALC!V36</f>
        <v>0.144</v>
      </c>
      <c r="F35" s="52" t="n">
        <f aca="false">CALC!W36</f>
        <v>0.069</v>
      </c>
    </row>
    <row r="36" customFormat="false" ht="12.8" hidden="false" customHeight="false" outlineLevel="0" collapsed="false">
      <c r="A36" s="47" t="str">
        <f aca="false">_xlfn.CONCAT($A$1, ".", CALC!A37)</f>
        <v>LSD.RID.0.AR.U6R.33</v>
      </c>
      <c r="B36" s="50" t="str">
        <f aca="false">_xlfn.CONCAT(CALC!B37, ":", CALC!C37)</f>
        <v>Other Services:Support</v>
      </c>
      <c r="C36" s="52" t="n">
        <f aca="false">CALC!T37</f>
        <v>0.069</v>
      </c>
      <c r="D36" s="52" t="n">
        <f aca="false">CALC!U37</f>
        <v>0.033</v>
      </c>
      <c r="E36" s="52" t="n">
        <f aca="false">CALC!V37</f>
        <v>0.27</v>
      </c>
      <c r="F36" s="52" t="n">
        <f aca="false">CALC!W37</f>
        <v>0.069</v>
      </c>
    </row>
    <row r="37" customFormat="false" ht="12.8" hidden="false" customHeight="false" outlineLevel="0" collapsed="false">
      <c r="A37" s="47" t="str">
        <f aca="false">_xlfn.CONCAT($A$1, ".", CALC!A38)</f>
        <v>LSD.RID.0.AR.U6R.34</v>
      </c>
      <c r="B37" s="50" t="str">
        <f aca="false">_xlfn.CONCAT(CALC!B38, ":", CALC!C38)</f>
        <v>Other Services:Worker</v>
      </c>
      <c r="C37" s="52" t="n">
        <f aca="false">CALC!T38</f>
        <v>0.069</v>
      </c>
      <c r="D37" s="52" t="n">
        <f aca="false">CALC!U38</f>
        <v>0.033</v>
      </c>
      <c r="E37" s="52" t="n">
        <f aca="false">CALC!V38</f>
        <v>0.27</v>
      </c>
      <c r="F37" s="52" t="n">
        <f aca="false">CALC!W38</f>
        <v>0.069</v>
      </c>
    </row>
    <row r="38" customFormat="false" ht="12.8" hidden="false" customHeight="false" outlineLevel="0" collapsed="false">
      <c r="A38" s="47" t="str">
        <f aca="false">_xlfn.CONCAT($A$1, ".", CALC!A39)</f>
        <v>LSD.RID.0.AR.U6R.35</v>
      </c>
      <c r="B38" s="50" t="str">
        <f aca="false">_xlfn.CONCAT(CALC!B39, ":", CALC!C39)</f>
        <v>Mining, Quarrying, and Oil/Gas Extraction:Support</v>
      </c>
      <c r="C38" s="52" t="n">
        <f aca="false">CALC!T39</f>
        <v>0.069</v>
      </c>
      <c r="D38" s="52" t="n">
        <f aca="false">CALC!U39</f>
        <v>0.033</v>
      </c>
      <c r="E38" s="52" t="n">
        <f aca="false">CALC!V39</f>
        <v>0.27</v>
      </c>
      <c r="F38" s="52" t="n">
        <f aca="false">CALC!W39</f>
        <v>0.069</v>
      </c>
    </row>
    <row r="39" customFormat="false" ht="12.8" hidden="false" customHeight="false" outlineLevel="0" collapsed="false">
      <c r="A39" s="47" t="str">
        <f aca="false">_xlfn.CONCAT($A$1, ".", CALC!A40)</f>
        <v>LSD.RID.0.AR.U6R.36</v>
      </c>
      <c r="B39" s="50" t="str">
        <f aca="false">_xlfn.CONCAT(CALC!B40, ":", CALC!C40)</f>
        <v>Mining, Quarrying, and Oil/Gas Extraction:Worker</v>
      </c>
      <c r="C39" s="52" t="n">
        <f aca="false">CALC!T40</f>
        <v>0.069</v>
      </c>
      <c r="D39" s="52" t="n">
        <f aca="false">CALC!U40</f>
        <v>0.033</v>
      </c>
      <c r="E39" s="52" t="n">
        <f aca="false">CALC!V40</f>
        <v>0.27</v>
      </c>
      <c r="F39" s="52" t="n">
        <f aca="false">CALC!W40</f>
        <v>0.069</v>
      </c>
    </row>
    <row r="40" customFormat="false" ht="12.8" hidden="false" customHeight="false" outlineLevel="0" collapsed="false">
      <c r="A40" s="47" t="str">
        <f aca="false">_xlfn.CONCAT($A$1, ".", CALC!A41)</f>
        <v>LSD.RID.0.AR.U6R.37</v>
      </c>
      <c r="B40" s="50" t="str">
        <f aca="false">_xlfn.CONCAT(CALC!B41, ":", CALC!C41)</f>
        <v>Utilities:Support</v>
      </c>
      <c r="C40" s="52" t="n">
        <f aca="false">CALC!T41</f>
        <v>0.069</v>
      </c>
      <c r="D40" s="52" t="n">
        <f aca="false">CALC!U41</f>
        <v>0</v>
      </c>
      <c r="E40" s="52" t="n">
        <f aca="false">CALC!V41</f>
        <v>0.144</v>
      </c>
      <c r="F40" s="52" t="n">
        <f aca="false">CALC!W41</f>
        <v>0.069</v>
      </c>
    </row>
    <row r="41" customFormat="false" ht="12.8" hidden="false" customHeight="false" outlineLevel="0" collapsed="false">
      <c r="A41" s="47" t="str">
        <f aca="false">_xlfn.CONCAT($A$1, ".", CALC!A42)</f>
        <v>LSD.RID.0.AR.U6R.38</v>
      </c>
      <c r="B41" s="50" t="str">
        <f aca="false">_xlfn.CONCAT(CALC!B42, ":", CALC!C42)</f>
        <v>Utilities:Worker</v>
      </c>
      <c r="C41" s="52" t="n">
        <f aca="false">CALC!T42</f>
        <v>0.069</v>
      </c>
      <c r="D41" s="52" t="n">
        <f aca="false">CALC!U42</f>
        <v>0</v>
      </c>
      <c r="E41" s="52" t="n">
        <f aca="false">CALC!V42</f>
        <v>0.144</v>
      </c>
      <c r="F41" s="52" t="n">
        <f aca="false">CALC!W42</f>
        <v>0.069</v>
      </c>
    </row>
    <row r="42" customFormat="false" ht="12.8" hidden="false" customHeight="false" outlineLevel="0" collapsed="false">
      <c r="A42" s="47" t="str">
        <f aca="false">_xlfn.CONCAT($A$1, ".", CALC!A43)</f>
        <v>LSD.RID.0.AR.U6R.39</v>
      </c>
      <c r="B42" s="50" t="str">
        <f aca="false">_xlfn.CONCAT(CALC!B43, ":", CALC!C43)</f>
        <v>Wholesale Trade:Support</v>
      </c>
      <c r="C42" s="52" t="n">
        <f aca="false">CALC!T43</f>
        <v>0.069</v>
      </c>
      <c r="D42" s="52" t="n">
        <f aca="false">CALC!U43</f>
        <v>0</v>
      </c>
      <c r="E42" s="52" t="n">
        <f aca="false">CALC!V43</f>
        <v>0.144</v>
      </c>
      <c r="F42" s="52" t="n">
        <f aca="false">CALC!W43</f>
        <v>0.069</v>
      </c>
    </row>
    <row r="43" customFormat="false" ht="12.8" hidden="false" customHeight="false" outlineLevel="0" collapsed="false">
      <c r="A43" s="47" t="str">
        <f aca="false">_xlfn.CONCAT($A$1, ".", CALC!A44)</f>
        <v>LSD.RID.0.AR.U6R.40</v>
      </c>
      <c r="B43" s="50" t="str">
        <f aca="false">_xlfn.CONCAT(CALC!B44, ":", CALC!C44)</f>
        <v>Wholesale Trade:Worker</v>
      </c>
      <c r="C43" s="52" t="n">
        <f aca="false">CALC!T44</f>
        <v>0.069</v>
      </c>
      <c r="D43" s="52" t="n">
        <f aca="false">CALC!U44</f>
        <v>0</v>
      </c>
      <c r="E43" s="52" t="n">
        <f aca="false">CALC!V44</f>
        <v>0.144</v>
      </c>
      <c r="F43" s="52" t="n">
        <f aca="false">CALC!W44</f>
        <v>0.069</v>
      </c>
    </row>
    <row r="44" customFormat="false" ht="12.8" hidden="false" customHeight="false" outlineLevel="0" collapsed="false">
      <c r="A44" s="47" t="str">
        <f aca="false">_xlfn.CONCAT($A$1, ".", CALC!A45)</f>
        <v>LSD.RID.0.AR.U6R.41</v>
      </c>
      <c r="B44" s="50" t="str">
        <f aca="false">_xlfn.CONCAT(CALC!B45, ":", CALC!C45)</f>
        <v>Information:Support</v>
      </c>
      <c r="C44" s="52" t="n">
        <f aca="false">CALC!T45</f>
        <v>0.069</v>
      </c>
      <c r="D44" s="52" t="n">
        <f aca="false">CALC!U45</f>
        <v>0</v>
      </c>
      <c r="E44" s="52" t="n">
        <f aca="false">CALC!V45</f>
        <v>0.144</v>
      </c>
      <c r="F44" s="52" t="n">
        <f aca="false">CALC!W45</f>
        <v>0.069</v>
      </c>
    </row>
    <row r="45" customFormat="false" ht="12.8" hidden="false" customHeight="false" outlineLevel="0" collapsed="false">
      <c r="A45" s="47" t="str">
        <f aca="false">_xlfn.CONCAT($A$1, ".", CALC!A46)</f>
        <v>LSD.RID.0.AR.U6R.42</v>
      </c>
      <c r="B45" s="50" t="str">
        <f aca="false">_xlfn.CONCAT(CALC!B46, ":", CALC!C46)</f>
        <v>Information:Worker</v>
      </c>
      <c r="C45" s="52" t="n">
        <f aca="false">CALC!T46</f>
        <v>0.069</v>
      </c>
      <c r="D45" s="52" t="n">
        <f aca="false">CALC!U46</f>
        <v>0</v>
      </c>
      <c r="E45" s="52" t="n">
        <f aca="false">CALC!V46</f>
        <v>0.144</v>
      </c>
      <c r="F45" s="52" t="n">
        <f aca="false">CALC!W46</f>
        <v>0.069</v>
      </c>
    </row>
    <row r="46" customFormat="false" ht="12.8" hidden="false" customHeight="false" outlineLevel="0" collapsed="false">
      <c r="A46" s="47" t="str">
        <f aca="false">_xlfn.CONCAT($A$1, ".", CALC!A47)</f>
        <v>LSD.RID.0.AR.U6R.43</v>
      </c>
      <c r="B46" s="50" t="str">
        <f aca="false">_xlfn.CONCAT(CALC!B47, ":", CALC!C47)</f>
        <v>Real Estate, Rental and Leasing:Support</v>
      </c>
      <c r="C46" s="52" t="n">
        <f aca="false">CALC!T47</f>
        <v>0.069</v>
      </c>
      <c r="D46" s="52" t="n">
        <f aca="false">CALC!U47</f>
        <v>0</v>
      </c>
      <c r="E46" s="52" t="n">
        <f aca="false">CALC!V47</f>
        <v>0.144</v>
      </c>
      <c r="F46" s="52" t="n">
        <f aca="false">CALC!W47</f>
        <v>0.069</v>
      </c>
    </row>
    <row r="47" customFormat="false" ht="12.8" hidden="false" customHeight="false" outlineLevel="0" collapsed="false">
      <c r="A47" s="47" t="str">
        <f aca="false">_xlfn.CONCAT($A$1, ".", CALC!A48)</f>
        <v>LSD.RID.0.AR.U6R.44</v>
      </c>
      <c r="B47" s="50" t="str">
        <f aca="false">_xlfn.CONCAT(CALC!B48, ":", CALC!C48)</f>
        <v>Real Estate, Rental and Leasing:Worker</v>
      </c>
      <c r="C47" s="52" t="n">
        <f aca="false">CALC!T48</f>
        <v>0.069</v>
      </c>
      <c r="D47" s="52" t="n">
        <f aca="false">CALC!U48</f>
        <v>0</v>
      </c>
      <c r="E47" s="52" t="n">
        <f aca="false">CALC!V48</f>
        <v>0.144</v>
      </c>
      <c r="F47" s="52" t="n">
        <f aca="false">CALC!W48</f>
        <v>0.069</v>
      </c>
    </row>
    <row r="48" customFormat="false" ht="12.8" hidden="false" customHeight="false" outlineLevel="0" collapsed="false">
      <c r="A48" s="47" t="str">
        <f aca="false">_xlfn.CONCAT($A$1, ".", CALC!A49)</f>
        <v>LSD.RID.0.AR.U6R.45</v>
      </c>
      <c r="B48" s="50" t="str">
        <f aca="false">_xlfn.CONCAT(CALC!B49, ":", CALC!C49)</f>
        <v>Waste Management Services:Support</v>
      </c>
      <c r="C48" s="52" t="n">
        <f aca="false">CALC!T49</f>
        <v>0.069</v>
      </c>
      <c r="D48" s="52" t="n">
        <f aca="false">CALC!U49</f>
        <v>0.033</v>
      </c>
      <c r="E48" s="52" t="n">
        <f aca="false">CALC!V49</f>
        <v>0.27</v>
      </c>
      <c r="F48" s="52" t="n">
        <f aca="false">CALC!W49</f>
        <v>0.069</v>
      </c>
    </row>
    <row r="49" customFormat="false" ht="12.8" hidden="false" customHeight="false" outlineLevel="0" collapsed="false">
      <c r="A49" s="47" t="str">
        <f aca="false">_xlfn.CONCAT($A$1, ".", CALC!A50)</f>
        <v>LSD.RID.0.AR.U6R.46</v>
      </c>
      <c r="B49" s="50" t="str">
        <f aca="false">_xlfn.CONCAT(CALC!B50, ":", CALC!C50)</f>
        <v>Waste Management Services:Worker</v>
      </c>
      <c r="C49" s="52" t="n">
        <f aca="false">CALC!T50</f>
        <v>0.069</v>
      </c>
      <c r="D49" s="52" t="n">
        <f aca="false">CALC!U50</f>
        <v>0.033</v>
      </c>
      <c r="E49" s="52" t="n">
        <f aca="false">CALC!V50</f>
        <v>0.27</v>
      </c>
      <c r="F49" s="52" t="n">
        <f aca="false">CALC!W50</f>
        <v>0.069</v>
      </c>
    </row>
    <row r="50" customFormat="false" ht="12.8" hidden="false" customHeight="false" outlineLevel="0" collapsed="false">
      <c r="A50" s="47" t="str">
        <f aca="false">_xlfn.CONCAT($A$1, ".", CALC!A51)</f>
        <v>LSD.RID.0.AR.U6R.47</v>
      </c>
      <c r="B50" s="50" t="str">
        <f aca="false">_xlfn.CONCAT(CALC!B51, ":", CALC!C51)</f>
        <v>Arts, Entertainment, and Recreation:Support</v>
      </c>
      <c r="C50" s="52" t="n">
        <f aca="false">CALC!T51</f>
        <v>0.069</v>
      </c>
      <c r="D50" s="52" t="n">
        <f aca="false">CALC!U51</f>
        <v>0.033</v>
      </c>
      <c r="E50" s="52" t="n">
        <f aca="false">CALC!V51</f>
        <v>0.295</v>
      </c>
      <c r="F50" s="52" t="n">
        <f aca="false">CALC!W51</f>
        <v>0.069</v>
      </c>
    </row>
    <row r="51" customFormat="false" ht="12.8" hidden="false" customHeight="false" outlineLevel="0" collapsed="false">
      <c r="A51" s="47" t="str">
        <f aca="false">_xlfn.CONCAT($A$1, ".", CALC!A52)</f>
        <v>LSD.RID.0.AR.U6R.48</v>
      </c>
      <c r="B51" s="50" t="str">
        <f aca="false">_xlfn.CONCAT(CALC!B52, ":", CALC!C52)</f>
        <v>Arts, Entertainment, and Recreation:Worker</v>
      </c>
      <c r="C51" s="52" t="n">
        <f aca="false">CALC!T52</f>
        <v>0.069</v>
      </c>
      <c r="D51" s="52" t="n">
        <f aca="false">CALC!U52</f>
        <v>0.033</v>
      </c>
      <c r="E51" s="52" t="n">
        <f aca="false">CALC!V52</f>
        <v>0.295</v>
      </c>
      <c r="F51" s="52" t="n">
        <f aca="false">CALC!W52</f>
        <v>0.069</v>
      </c>
    </row>
    <row r="52" customFormat="false" ht="12.8" hidden="false" customHeight="false" outlineLevel="0" collapsed="false">
      <c r="A52" s="47" t="str">
        <f aca="false">_xlfn.CONCAT($A$1, ".", CALC!A53)</f>
        <v>LSD.RID.0.AR.U6R.49</v>
      </c>
      <c r="B52" s="50" t="str">
        <f aca="false">_xlfn.CONCAT(CALC!B53, ":", CALC!C53)</f>
        <v>Accommodation and Food Services:Support</v>
      </c>
      <c r="C52" s="52" t="n">
        <f aca="false">CALC!T53</f>
        <v>0.069</v>
      </c>
      <c r="D52" s="52" t="n">
        <f aca="false">CALC!U53</f>
        <v>0.033</v>
      </c>
      <c r="E52" s="52" t="n">
        <f aca="false">CALC!V53</f>
        <v>0.295</v>
      </c>
      <c r="F52" s="52" t="n">
        <f aca="false">CALC!W53</f>
        <v>0.069</v>
      </c>
    </row>
    <row r="53" customFormat="false" ht="12.8" hidden="false" customHeight="false" outlineLevel="0" collapsed="false">
      <c r="A53" s="47" t="str">
        <f aca="false">_xlfn.CONCAT($A$1, ".", CALC!A54)</f>
        <v>LSD.RID.0.AR.U6R.50</v>
      </c>
      <c r="B53" s="50" t="str">
        <f aca="false">_xlfn.CONCAT(CALC!B54, ":", CALC!C54)</f>
        <v>Accommodation and Food Services:Worker</v>
      </c>
      <c r="C53" s="52" t="n">
        <f aca="false">CALC!T54</f>
        <v>0.069</v>
      </c>
      <c r="D53" s="52" t="n">
        <f aca="false">CALC!U54</f>
        <v>0.033</v>
      </c>
      <c r="E53" s="52" t="n">
        <f aca="false">CALC!V54</f>
        <v>0.295</v>
      </c>
      <c r="F53" s="52" t="n">
        <f aca="false">CALC!W54</f>
        <v>0.069</v>
      </c>
    </row>
    <row r="54" customFormat="false" ht="12.8" hidden="false" customHeight="false" outlineLevel="0" collapsed="false">
      <c r="A54" s="47" t="str">
        <f aca="false">_xlfn.CONCAT($A$1, ".", CALC!A55)</f>
        <v>LSD.RID.0.AR.U6R.51</v>
      </c>
      <c r="B54" s="50" t="str">
        <f aca="false">_xlfn.CONCAT(CALC!B55, ":", CALC!C55)</f>
        <v>Public Administration:Support</v>
      </c>
      <c r="C54" s="52" t="n">
        <f aca="false">CALC!T55</f>
        <v>0.069</v>
      </c>
      <c r="D54" s="52" t="n">
        <f aca="false">CALC!U55</f>
        <v>0</v>
      </c>
      <c r="E54" s="52" t="n">
        <f aca="false">CALC!V55</f>
        <v>0.144</v>
      </c>
      <c r="F54" s="52" t="n">
        <f aca="false">CALC!W55</f>
        <v>0.069</v>
      </c>
    </row>
    <row r="55" customFormat="false" ht="12.8" hidden="false" customHeight="false" outlineLevel="0" collapsed="false">
      <c r="A55" s="47" t="str">
        <f aca="false">_xlfn.CONCAT($A$1, ".", CALC!A56)</f>
        <v>LSD.RID.0.AR.U6R.52</v>
      </c>
      <c r="B55" s="50" t="str">
        <f aca="false">_xlfn.CONCAT(CALC!B56, ":", CALC!C56)</f>
        <v>Public Administration:Worker</v>
      </c>
      <c r="C55" s="52" t="n">
        <f aca="false">CALC!T56</f>
        <v>0.069</v>
      </c>
      <c r="D55" s="52" t="n">
        <f aca="false">CALC!U56</f>
        <v>0</v>
      </c>
      <c r="E55" s="52" t="n">
        <f aca="false">CALC!V56</f>
        <v>0.144</v>
      </c>
      <c r="F55" s="52" t="n">
        <f aca="false">CALC!W56</f>
        <v>0.069</v>
      </c>
    </row>
    <row r="57" customFormat="false" ht="12.8" hidden="false" customHeight="false" outlineLevel="1" collapsed="false"/>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2" customFormat="false" ht="12.8" hidden="false" customHeight="false" outlineLevel="1" collapsed="false"/>
    <row r="153"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D1D75"/>
    <pageSetUpPr fitToPage="false"/>
  </sheetPr>
  <dimension ref="A1:BP249"/>
  <sheetViews>
    <sheetView showFormulas="false" showGridLines="true" showRowColHeaders="true" showZeros="true" rightToLeft="false" tabSelected="false" showOutlineSymbols="true" defaultGridColor="true" view="normal" topLeftCell="A201" colorId="64" zoomScale="75" zoomScaleNormal="75" zoomScalePageLayoutView="100" workbookViewId="0">
      <selection pane="topLeft" activeCell="A155" activeCellId="0" sqref="155:249"/>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3" t="s">
        <v>814</v>
      </c>
      <c r="B1" s="30" t="s">
        <v>815</v>
      </c>
      <c r="C1" s="5" t="s">
        <v>2</v>
      </c>
      <c r="D1" s="48" t="s">
        <v>816</v>
      </c>
      <c r="AZ1" s="23"/>
      <c r="BP1" s="23"/>
    </row>
    <row r="2" customFormat="false" ht="35.05" hidden="false" customHeight="false" outlineLevel="0" collapsed="false">
      <c r="A2" s="25" t="s">
        <v>799</v>
      </c>
      <c r="B2" s="30" t="s">
        <v>800</v>
      </c>
      <c r="C2" s="53" t="str">
        <f aca="false">CALC!X3</f>
        <v>Wage Average ($ /hr)</v>
      </c>
      <c r="D2" s="53" t="str">
        <f aca="false">CALC!AD3</f>
        <v>Authorized Immigrant Wage Average ($ /hr)</v>
      </c>
      <c r="E2" s="53" t="str">
        <f aca="false">CALC!AJ3</f>
        <v>Unauthorized Immigrant Wage Average ($ /hr)</v>
      </c>
      <c r="F2" s="53" t="str">
        <f aca="false">CALC!AP3</f>
        <v>American Wage Average ($ /hr)</v>
      </c>
    </row>
    <row r="3" customFormat="false" ht="12.8" hidden="false" customHeight="false" outlineLevel="0" collapsed="false">
      <c r="A3" s="3" t="str">
        <f aca="false">_xlfn.CONCAT($A$1, ".", CALC!A4)</f>
        <v>LSD.RID.0.AR.WAVG.0</v>
      </c>
      <c r="B3" s="44" t="str">
        <f aca="false">_xlfn.CONCAT(CALC!B4, ":", CALC!C4)</f>
        <v>All Industries:All Roles</v>
      </c>
      <c r="C3" s="53" t="n">
        <f aca="false">CALC!X4</f>
        <v>29.76</v>
      </c>
      <c r="D3" s="53" t="n">
        <f aca="false">CALC!AD4</f>
        <v>27.38</v>
      </c>
      <c r="E3" s="53" t="n">
        <f aca="false">CALC!AJ4</f>
        <v>23.21</v>
      </c>
      <c r="F3" s="53" t="n">
        <f aca="false">CALC!AP4</f>
        <v>30.01</v>
      </c>
    </row>
    <row r="4" customFormat="false" ht="12.8" hidden="false" customHeight="false" outlineLevel="0" collapsed="false">
      <c r="A4" s="47" t="str">
        <f aca="false">_xlfn.CONCAT($A$1, ".", CALC!A5)</f>
        <v>LSD.RID.0.AR.WAVG.1</v>
      </c>
      <c r="B4" s="50" t="str">
        <f aca="false">_xlfn.CONCAT(CALC!B5, ":", CALC!C5)</f>
        <v>Agriculture:Worker</v>
      </c>
      <c r="C4" s="54" t="n">
        <f aca="false">CALC!X5</f>
        <v>25.5</v>
      </c>
      <c r="D4" s="54" t="n">
        <f aca="false">CALC!AD5</f>
        <v>24.99</v>
      </c>
      <c r="E4" s="54" t="n">
        <f aca="false">CALC!AJ5</f>
        <v>21.68</v>
      </c>
      <c r="F4" s="54" t="n">
        <f aca="false">CALC!AP5</f>
        <v>25.5</v>
      </c>
    </row>
    <row r="5" customFormat="false" ht="12.8" hidden="false" customHeight="false" outlineLevel="0" collapsed="false">
      <c r="A5" s="47" t="str">
        <f aca="false">_xlfn.CONCAT($A$1, ".", CALC!A6)</f>
        <v>LSD.RID.0.AR.WAVG.2</v>
      </c>
      <c r="B5" s="50" t="str">
        <f aca="false">_xlfn.CONCAT(CALC!B6, ":", CALC!C6)</f>
        <v>Agriculture:Support</v>
      </c>
      <c r="C5" s="54" t="n">
        <f aca="false">CALC!X6</f>
        <v>25.5</v>
      </c>
      <c r="D5" s="54" t="n">
        <f aca="false">CALC!AD6</f>
        <v>24.99</v>
      </c>
      <c r="E5" s="54" t="n">
        <f aca="false">CALC!AJ6</f>
        <v>21.68</v>
      </c>
      <c r="F5" s="54" t="n">
        <f aca="false">CALC!AP6</f>
        <v>25.5</v>
      </c>
    </row>
    <row r="6" customFormat="false" ht="12.8" hidden="false" customHeight="false" outlineLevel="0" collapsed="false">
      <c r="A6" s="47" t="str">
        <f aca="false">_xlfn.CONCAT($A$1, ".", CALC!A7)</f>
        <v>LSD.RID.0.AR.WAVG.3</v>
      </c>
      <c r="B6" s="50" t="str">
        <f aca="false">_xlfn.CONCAT(CALC!B7, ":", CALC!C7)</f>
        <v>Construction:Worker</v>
      </c>
      <c r="C6" s="54" t="n">
        <f aca="false">CALC!X7</f>
        <v>32.5</v>
      </c>
      <c r="D6" s="54" t="n">
        <f aca="false">CALC!AD7</f>
        <v>31.85</v>
      </c>
      <c r="E6" s="54" t="n">
        <f aca="false">CALC!AJ7</f>
        <v>28.6</v>
      </c>
      <c r="F6" s="54" t="n">
        <f aca="false">CALC!AP7</f>
        <v>32.5</v>
      </c>
    </row>
    <row r="7" customFormat="false" ht="12.8" hidden="false" customHeight="false" outlineLevel="0" collapsed="false">
      <c r="A7" s="47" t="str">
        <f aca="false">_xlfn.CONCAT($A$1, ".", CALC!A8)</f>
        <v>LSD.RID.0.AR.WAVG.4</v>
      </c>
      <c r="B7" s="50" t="str">
        <f aca="false">_xlfn.CONCAT(CALC!B8, ":", CALC!C8)</f>
        <v>Construction:Support</v>
      </c>
      <c r="C7" s="54" t="n">
        <f aca="false">CALC!X8</f>
        <v>32.5</v>
      </c>
      <c r="D7" s="54" t="n">
        <f aca="false">CALC!AD8</f>
        <v>31.85</v>
      </c>
      <c r="E7" s="54" t="n">
        <f aca="false">CALC!AJ8</f>
        <v>28.6</v>
      </c>
      <c r="F7" s="54" t="n">
        <f aca="false">CALC!AP8</f>
        <v>32.5</v>
      </c>
    </row>
    <row r="8" customFormat="false" ht="12.8" hidden="false" customHeight="false" outlineLevel="0" collapsed="false">
      <c r="A8" s="47" t="str">
        <f aca="false">_xlfn.CONCAT($A$1, ".", CALC!A9)</f>
        <v>LSD.RID.0.AR.WAVG.5</v>
      </c>
      <c r="B8" s="50" t="str">
        <f aca="false">_xlfn.CONCAT(CALC!B9, ":", CALC!C9)</f>
        <v>Hospitality:Worker</v>
      </c>
      <c r="C8" s="54" t="n">
        <f aca="false">CALC!X9</f>
        <v>18.5</v>
      </c>
      <c r="D8" s="54" t="n">
        <f aca="false">CALC!AD9</f>
        <v>18.13</v>
      </c>
      <c r="E8" s="54" t="n">
        <f aca="false">CALC!AJ9</f>
        <v>15.73</v>
      </c>
      <c r="F8" s="54" t="n">
        <f aca="false">CALC!AP9</f>
        <v>18.5</v>
      </c>
    </row>
    <row r="9" customFormat="false" ht="12.8" hidden="false" customHeight="false" outlineLevel="0" collapsed="false">
      <c r="A9" s="47" t="str">
        <f aca="false">_xlfn.CONCAT($A$1, ".", CALC!A10)</f>
        <v>LSD.RID.0.AR.WAVG.6</v>
      </c>
      <c r="B9" s="50" t="str">
        <f aca="false">_xlfn.CONCAT(CALC!B10, ":", CALC!C10)</f>
        <v>Hospitality:Support</v>
      </c>
      <c r="C9" s="54" t="n">
        <f aca="false">CALC!X10</f>
        <v>18.5</v>
      </c>
      <c r="D9" s="54" t="n">
        <f aca="false">CALC!AD10</f>
        <v>18.13</v>
      </c>
      <c r="E9" s="54" t="n">
        <f aca="false">CALC!AJ10</f>
        <v>15.73</v>
      </c>
      <c r="F9" s="54" t="n">
        <f aca="false">CALC!AP10</f>
        <v>18.5</v>
      </c>
    </row>
    <row r="10" customFormat="false" ht="12.8" hidden="false" customHeight="false" outlineLevel="0" collapsed="false">
      <c r="A10" s="47" t="str">
        <f aca="false">_xlfn.CONCAT($A$1, ".", CALC!A11)</f>
        <v>LSD.RID.0.AR.WAVG.7</v>
      </c>
      <c r="B10" s="50" t="str">
        <f aca="false">_xlfn.CONCAT(CALC!B11, ":", CALC!C11)</f>
        <v>Cleaning &amp; Maintenance:Worker</v>
      </c>
      <c r="C10" s="54" t="n">
        <f aca="false">CALC!X11</f>
        <v>22</v>
      </c>
      <c r="D10" s="54" t="n">
        <f aca="false">CALC!AD11</f>
        <v>21.56</v>
      </c>
      <c r="E10" s="54" t="n">
        <f aca="false">CALC!AJ11</f>
        <v>18.7</v>
      </c>
      <c r="F10" s="54" t="n">
        <f aca="false">CALC!AP11</f>
        <v>22</v>
      </c>
    </row>
    <row r="11" customFormat="false" ht="12.8" hidden="false" customHeight="false" outlineLevel="0" collapsed="false">
      <c r="A11" s="47" t="str">
        <f aca="false">_xlfn.CONCAT($A$1, ".", CALC!A12)</f>
        <v>LSD.RID.0.AR.WAVG.8</v>
      </c>
      <c r="B11" s="50" t="str">
        <f aca="false">_xlfn.CONCAT(CALC!B12, ":", CALC!C12)</f>
        <v>Cleaning &amp; Maintenance:Support</v>
      </c>
      <c r="C11" s="54" t="n">
        <f aca="false">CALC!X12</f>
        <v>22</v>
      </c>
      <c r="D11" s="54" t="n">
        <f aca="false">CALC!AD12</f>
        <v>21.56</v>
      </c>
      <c r="E11" s="54" t="n">
        <f aca="false">CALC!AJ12</f>
        <v>18.7</v>
      </c>
      <c r="F11" s="54" t="n">
        <f aca="false">CALC!AP12</f>
        <v>22</v>
      </c>
    </row>
    <row r="12" customFormat="false" ht="12.8" hidden="false" customHeight="false" outlineLevel="0" collapsed="false">
      <c r="A12" s="47" t="str">
        <f aca="false">_xlfn.CONCAT($A$1, ".", CALC!A13)</f>
        <v>LSD.RID.0.AR.WAVG.9</v>
      </c>
      <c r="B12" s="50" t="str">
        <f aca="false">_xlfn.CONCAT(CALC!B13, ":", CALC!C13)</f>
        <v>Manufacturing:Worker</v>
      </c>
      <c r="C12" s="54" t="n">
        <f aca="false">CALC!X13</f>
        <v>28.5</v>
      </c>
      <c r="D12" s="54" t="n">
        <f aca="false">CALC!AD13</f>
        <v>26.25</v>
      </c>
      <c r="E12" s="54" t="n">
        <f aca="false">CALC!AJ13</f>
        <v>23.5</v>
      </c>
      <c r="F12" s="54" t="n">
        <f aca="false">CALC!AP13</f>
        <v>28.5</v>
      </c>
    </row>
    <row r="13" customFormat="false" ht="12.8" hidden="false" customHeight="false" outlineLevel="0" collapsed="false">
      <c r="A13" s="47" t="str">
        <f aca="false">_xlfn.CONCAT($A$1, ".", CALC!A14)</f>
        <v>LSD.RID.0.AR.WAVG.10</v>
      </c>
      <c r="B13" s="50" t="str">
        <f aca="false">_xlfn.CONCAT(CALC!B14, ":", CALC!C14)</f>
        <v>Manufacturing:Support</v>
      </c>
      <c r="C13" s="54" t="n">
        <f aca="false">CALC!X14</f>
        <v>28.5</v>
      </c>
      <c r="D13" s="54" t="n">
        <f aca="false">CALC!AD14</f>
        <v>26.25</v>
      </c>
      <c r="E13" s="54" t="n">
        <f aca="false">CALC!AJ14</f>
        <v>23.5</v>
      </c>
      <c r="F13" s="54" t="n">
        <f aca="false">CALC!AP14</f>
        <v>28.5</v>
      </c>
    </row>
    <row r="14" customFormat="false" ht="12.8" hidden="false" customHeight="false" outlineLevel="0" collapsed="false">
      <c r="A14" s="47" t="str">
        <f aca="false">_xlfn.CONCAT($A$1, ".", CALC!A15)</f>
        <v>LSD.RID.0.AR.WAVG.11</v>
      </c>
      <c r="B14" s="50" t="str">
        <f aca="false">_xlfn.CONCAT(CALC!B15, ":", CALC!C15)</f>
        <v>Transportation &amp; Warehousing:Worker</v>
      </c>
      <c r="C14" s="54" t="n">
        <f aca="false">CALC!X15</f>
        <v>30</v>
      </c>
      <c r="D14" s="54" t="n">
        <f aca="false">CALC!AD15</f>
        <v>27.6</v>
      </c>
      <c r="E14" s="54" t="n">
        <f aca="false">CALC!AJ15</f>
        <v>24.75</v>
      </c>
      <c r="F14" s="54" t="n">
        <f aca="false">CALC!AP15</f>
        <v>30.5</v>
      </c>
    </row>
    <row r="15" customFormat="false" ht="12.8" hidden="false" customHeight="false" outlineLevel="0" collapsed="false">
      <c r="A15" s="47" t="str">
        <f aca="false">_xlfn.CONCAT($A$1, ".", CALC!A16)</f>
        <v>LSD.RID.0.AR.WAVG.12</v>
      </c>
      <c r="B15" s="50" t="str">
        <f aca="false">_xlfn.CONCAT(CALC!B16, ":", CALC!C16)</f>
        <v>Transportation &amp; Warehousing:Support</v>
      </c>
      <c r="C15" s="54" t="n">
        <f aca="false">CALC!X16</f>
        <v>30</v>
      </c>
      <c r="D15" s="54" t="n">
        <f aca="false">CALC!AD16</f>
        <v>27.6</v>
      </c>
      <c r="E15" s="54" t="n">
        <f aca="false">CALC!AJ16</f>
        <v>24.75</v>
      </c>
      <c r="F15" s="54" t="n">
        <f aca="false">CALC!AP16</f>
        <v>30.5</v>
      </c>
    </row>
    <row r="16" customFormat="false" ht="12.8" hidden="false" customHeight="false" outlineLevel="0" collapsed="false">
      <c r="A16" s="47" t="str">
        <f aca="false">_xlfn.CONCAT($A$1, ".", CALC!A17)</f>
        <v>LSD.RID.0.AR.WAVG.13</v>
      </c>
      <c r="B16" s="50" t="str">
        <f aca="false">_xlfn.CONCAT(CALC!B17, ":", CALC!C17)</f>
        <v>Retail Trade:Worker</v>
      </c>
      <c r="C16" s="54" t="n">
        <f aca="false">CALC!X17</f>
        <v>20.5</v>
      </c>
      <c r="D16" s="54" t="n">
        <f aca="false">CALC!AD17</f>
        <v>19.49</v>
      </c>
      <c r="E16" s="54" t="n">
        <f aca="false">CALC!AJ17</f>
        <v>16.91</v>
      </c>
      <c r="F16" s="54" t="n">
        <f aca="false">CALC!AP17</f>
        <v>20.5</v>
      </c>
    </row>
    <row r="17" customFormat="false" ht="12.8" hidden="false" customHeight="false" outlineLevel="0" collapsed="false">
      <c r="A17" s="47" t="str">
        <f aca="false">_xlfn.CONCAT($A$1, ".", CALC!A18)</f>
        <v>LSD.RID.0.AR.WAVG.14</v>
      </c>
      <c r="B17" s="50" t="str">
        <f aca="false">_xlfn.CONCAT(CALC!B18, ":", CALC!C18)</f>
        <v>Retail Trade:Support</v>
      </c>
      <c r="C17" s="54" t="n">
        <f aca="false">CALC!X18</f>
        <v>20.5</v>
      </c>
      <c r="D17" s="54" t="n">
        <f aca="false">CALC!AD18</f>
        <v>19.49</v>
      </c>
      <c r="E17" s="54" t="n">
        <f aca="false">CALC!AJ18</f>
        <v>16.91</v>
      </c>
      <c r="F17" s="54" t="n">
        <f aca="false">CALC!AP18</f>
        <v>20.5</v>
      </c>
    </row>
    <row r="18" customFormat="false" ht="12.8" hidden="false" customHeight="false" outlineLevel="0" collapsed="false">
      <c r="A18" s="47" t="str">
        <f aca="false">_xlfn.CONCAT($A$1, ".", CALC!A19)</f>
        <v>LSD.RID.0.AR.WAVG.15</v>
      </c>
      <c r="B18" s="50" t="str">
        <f aca="false">_xlfn.CONCAT(CALC!B19, ":", CALC!C19)</f>
        <v>Landscaping / Groundskeeping:Worker</v>
      </c>
      <c r="C18" s="54" t="n">
        <f aca="false">CALC!X19</f>
        <v>24</v>
      </c>
      <c r="D18" s="54" t="n">
        <f aca="false">CALC!AD19</f>
        <v>23.52</v>
      </c>
      <c r="E18" s="54" t="n">
        <f aca="false">CALC!AJ19</f>
        <v>20.4</v>
      </c>
      <c r="F18" s="54" t="n">
        <f aca="false">CALC!AP19</f>
        <v>24</v>
      </c>
    </row>
    <row r="19" customFormat="false" ht="12.8" hidden="false" customHeight="false" outlineLevel="0" collapsed="false">
      <c r="A19" s="47" t="str">
        <f aca="false">_xlfn.CONCAT($A$1, ".", CALC!A20)</f>
        <v>LSD.RID.0.AR.WAVG.16</v>
      </c>
      <c r="B19" s="50" t="str">
        <f aca="false">_xlfn.CONCAT(CALC!B20, ":", CALC!C20)</f>
        <v>Landscaping / Groundskeeping:Support</v>
      </c>
      <c r="C19" s="54" t="n">
        <f aca="false">CALC!X20</f>
        <v>24</v>
      </c>
      <c r="D19" s="54" t="n">
        <f aca="false">CALC!AD20</f>
        <v>23.52</v>
      </c>
      <c r="E19" s="54" t="n">
        <f aca="false">CALC!AJ20</f>
        <v>20.4</v>
      </c>
      <c r="F19" s="54" t="n">
        <f aca="false">CALC!AP20</f>
        <v>24</v>
      </c>
    </row>
    <row r="20" customFormat="false" ht="12.8" hidden="false" customHeight="false" outlineLevel="0" collapsed="false">
      <c r="A20" s="47" t="str">
        <f aca="false">_xlfn.CONCAT($A$1, ".", CALC!A21)</f>
        <v>LSD.RID.0.AR.WAVG.17</v>
      </c>
      <c r="B20" s="50" t="str">
        <f aca="false">_xlfn.CONCAT(CALC!B21, ":", CALC!C21)</f>
        <v>Automotive &amp; Repair:Worker</v>
      </c>
      <c r="C20" s="54" t="n">
        <f aca="false">CALC!X21</f>
        <v>26</v>
      </c>
      <c r="D20" s="54" t="n">
        <f aca="false">CALC!AD21</f>
        <v>25.48</v>
      </c>
      <c r="E20" s="54" t="n">
        <f aca="false">CALC!AJ21</f>
        <v>22.1</v>
      </c>
      <c r="F20" s="54" t="n">
        <f aca="false">CALC!AP21</f>
        <v>26</v>
      </c>
    </row>
    <row r="21" customFormat="false" ht="12.8" hidden="false" customHeight="false" outlineLevel="0" collapsed="false">
      <c r="A21" s="47" t="str">
        <f aca="false">_xlfn.CONCAT($A$1, ".", CALC!A22)</f>
        <v>LSD.RID.0.AR.WAVG.18</v>
      </c>
      <c r="B21" s="50" t="str">
        <f aca="false">_xlfn.CONCAT(CALC!B22, ":", CALC!C22)</f>
        <v>Automotive &amp; Repair:Support</v>
      </c>
      <c r="C21" s="54" t="n">
        <f aca="false">CALC!X22</f>
        <v>26</v>
      </c>
      <c r="D21" s="54" t="n">
        <f aca="false">CALC!AD22</f>
        <v>25.48</v>
      </c>
      <c r="E21" s="54" t="n">
        <f aca="false">CALC!AJ22</f>
        <v>22.1</v>
      </c>
      <c r="F21" s="54" t="n">
        <f aca="false">CALC!AP22</f>
        <v>26</v>
      </c>
    </row>
    <row r="22" customFormat="false" ht="12.8" hidden="false" customHeight="false" outlineLevel="0" collapsed="false">
      <c r="A22" s="47" t="str">
        <f aca="false">_xlfn.CONCAT($A$1, ".", CALC!A23)</f>
        <v>LSD.RID.0.AR.WAVG.19</v>
      </c>
      <c r="B22" s="50" t="str">
        <f aca="false">_xlfn.CONCAT(CALC!B23, ":", CALC!C23)</f>
        <v>Healthcare &amp; Social Assistance:Worker</v>
      </c>
      <c r="C22" s="54" t="n">
        <f aca="false">CALC!X23</f>
        <v>32</v>
      </c>
      <c r="D22" s="54" t="n">
        <f aca="false">CALC!AD23</f>
        <v>29.45</v>
      </c>
      <c r="E22" s="54" t="n">
        <f aca="false">CALC!AJ23</f>
        <v>26.35</v>
      </c>
      <c r="F22" s="54" t="n">
        <f aca="false">CALC!AP23</f>
        <v>32.5</v>
      </c>
    </row>
    <row r="23" customFormat="false" ht="12.8" hidden="false" customHeight="false" outlineLevel="0" collapsed="false">
      <c r="A23" s="47" t="str">
        <f aca="false">_xlfn.CONCAT($A$1, ".", CALC!A24)</f>
        <v>LSD.RID.0.AR.WAVG.20</v>
      </c>
      <c r="B23" s="50" t="str">
        <f aca="false">_xlfn.CONCAT(CALC!B24, ":", CALC!C24)</f>
        <v>Healthcare &amp; Social Assistance:Support</v>
      </c>
      <c r="C23" s="54" t="n">
        <f aca="false">CALC!X24</f>
        <v>32</v>
      </c>
      <c r="D23" s="54" t="n">
        <f aca="false">CALC!AD24</f>
        <v>29.45</v>
      </c>
      <c r="E23" s="54" t="n">
        <f aca="false">CALC!AJ24</f>
        <v>26.35</v>
      </c>
      <c r="F23" s="54" t="n">
        <f aca="false">CALC!AP24</f>
        <v>32.5</v>
      </c>
    </row>
    <row r="24" customFormat="false" ht="12.8" hidden="false" customHeight="false" outlineLevel="0" collapsed="false">
      <c r="A24" s="47" t="str">
        <f aca="false">_xlfn.CONCAT($A$1, ".", CALC!A25)</f>
        <v>LSD.RID.0.AR.WAVG.21</v>
      </c>
      <c r="B24" s="50" t="str">
        <f aca="false">_xlfn.CONCAT(CALC!B25, ":", CALC!C25)</f>
        <v>Professional Services:Worker</v>
      </c>
      <c r="C24" s="54" t="n">
        <f aca="false">CALC!X25</f>
        <v>35</v>
      </c>
      <c r="D24" s="54" t="n">
        <f aca="false">CALC!AD25</f>
        <v>32.2</v>
      </c>
      <c r="E24" s="54" t="n">
        <f aca="false">CALC!AJ25</f>
        <v>28.8</v>
      </c>
      <c r="F24" s="54" t="n">
        <f aca="false">CALC!AP25</f>
        <v>35.5</v>
      </c>
    </row>
    <row r="25" customFormat="false" ht="12.8" hidden="false" customHeight="false" outlineLevel="0" collapsed="false">
      <c r="A25" s="47" t="str">
        <f aca="false">_xlfn.CONCAT($A$1, ".", CALC!A26)</f>
        <v>LSD.RID.0.AR.WAVG.22</v>
      </c>
      <c r="B25" s="50" t="str">
        <f aca="false">_xlfn.CONCAT(CALC!B26, ":", CALC!C26)</f>
        <v>Professional Services:Support</v>
      </c>
      <c r="C25" s="54" t="n">
        <f aca="false">CALC!X26</f>
        <v>35</v>
      </c>
      <c r="D25" s="54" t="n">
        <f aca="false">CALC!AD26</f>
        <v>32.2</v>
      </c>
      <c r="E25" s="54" t="n">
        <f aca="false">CALC!AJ26</f>
        <v>28.8</v>
      </c>
      <c r="F25" s="54" t="n">
        <f aca="false">CALC!AP26</f>
        <v>35.5</v>
      </c>
    </row>
    <row r="26" customFormat="false" ht="12.8" hidden="false" customHeight="false" outlineLevel="0" collapsed="false">
      <c r="A26" s="47" t="str">
        <f aca="false">_xlfn.CONCAT($A$1, ".", CALC!A27)</f>
        <v>LSD.RID.0.AR.WAVG.23</v>
      </c>
      <c r="B26" s="50" t="str">
        <f aca="false">_xlfn.CONCAT(CALC!B27, ":", CALC!C27)</f>
        <v>Educational Services:Worker</v>
      </c>
      <c r="C26" s="54" t="n">
        <f aca="false">CALC!X27</f>
        <v>32</v>
      </c>
      <c r="D26" s="54" t="n">
        <f aca="false">CALC!AD27</f>
        <v>29.45</v>
      </c>
      <c r="E26" s="54" t="n">
        <f aca="false">CALC!AJ27</f>
        <v>26.35</v>
      </c>
      <c r="F26" s="54" t="n">
        <f aca="false">CALC!AP27</f>
        <v>32.5</v>
      </c>
    </row>
    <row r="27" customFormat="false" ht="12.8" hidden="false" customHeight="false" outlineLevel="0" collapsed="false">
      <c r="A27" s="47" t="str">
        <f aca="false">_xlfn.CONCAT($A$1, ".", CALC!A28)</f>
        <v>LSD.RID.0.AR.WAVG.24</v>
      </c>
      <c r="B27" s="50" t="str">
        <f aca="false">_xlfn.CONCAT(CALC!B28, ":", CALC!C28)</f>
        <v>Educational Services:Support</v>
      </c>
      <c r="C27" s="54" t="n">
        <f aca="false">CALC!X28</f>
        <v>32</v>
      </c>
      <c r="D27" s="54" t="n">
        <f aca="false">CALC!AD28</f>
        <v>29.45</v>
      </c>
      <c r="E27" s="54" t="n">
        <f aca="false">CALC!AJ28</f>
        <v>26.35</v>
      </c>
      <c r="F27" s="54" t="n">
        <f aca="false">CALC!AP28</f>
        <v>32.5</v>
      </c>
    </row>
    <row r="28" customFormat="false" ht="12.8" hidden="false" customHeight="false" outlineLevel="0" collapsed="false">
      <c r="A28" s="47" t="str">
        <f aca="false">_xlfn.CONCAT($A$1, ".", CALC!A29)</f>
        <v>LSD.RID.0.AR.WAVG.25</v>
      </c>
      <c r="B28" s="50" t="str">
        <f aca="false">_xlfn.CONCAT(CALC!B29, ":", CALC!C29)</f>
        <v>Finance &amp; Insurance:Worker</v>
      </c>
      <c r="C28" s="54" t="n">
        <f aca="false">CALC!X29</f>
        <v>38</v>
      </c>
      <c r="D28" s="54" t="n">
        <f aca="false">CALC!AD29</f>
        <v>35</v>
      </c>
      <c r="E28" s="54" t="n">
        <f aca="false">CALC!AJ29</f>
        <v>31.3</v>
      </c>
      <c r="F28" s="54" t="n">
        <f aca="false">CALC!AP29</f>
        <v>38.5</v>
      </c>
    </row>
    <row r="29" customFormat="false" ht="12.8" hidden="false" customHeight="false" outlineLevel="0" collapsed="false">
      <c r="A29" s="47" t="str">
        <f aca="false">_xlfn.CONCAT($A$1, ".", CALC!A30)</f>
        <v>LSD.RID.0.AR.WAVG.26</v>
      </c>
      <c r="B29" s="50" t="str">
        <f aca="false">_xlfn.CONCAT(CALC!B30, ":", CALC!C30)</f>
        <v>Finance &amp; Insurance:Support</v>
      </c>
      <c r="C29" s="54" t="n">
        <f aca="false">CALC!X30</f>
        <v>38</v>
      </c>
      <c r="D29" s="54" t="n">
        <f aca="false">CALC!AD30</f>
        <v>35</v>
      </c>
      <c r="E29" s="54" t="n">
        <f aca="false">CALC!AJ30</f>
        <v>31.3</v>
      </c>
      <c r="F29" s="54" t="n">
        <f aca="false">CALC!AP30</f>
        <v>38.5</v>
      </c>
    </row>
    <row r="30" customFormat="false" ht="12.8" hidden="false" customHeight="false" outlineLevel="0" collapsed="false">
      <c r="A30" s="47" t="str">
        <f aca="false">_xlfn.CONCAT($A$1, ".", CALC!A31)</f>
        <v>LSD.RID.0.AR.WAVG.27</v>
      </c>
      <c r="B30" s="50" t="str">
        <f aca="false">_xlfn.CONCAT(CALC!B31, ":", CALC!C31)</f>
        <v>Media and Information Technology:Worker</v>
      </c>
      <c r="C30" s="54" t="n">
        <f aca="false">CALC!X31</f>
        <v>42</v>
      </c>
      <c r="D30" s="54" t="n">
        <f aca="false">CALC!AD31</f>
        <v>38.65</v>
      </c>
      <c r="E30" s="54" t="n">
        <f aca="false">CALC!AJ31</f>
        <v>34.6</v>
      </c>
      <c r="F30" s="54" t="n">
        <f aca="false">CALC!AP31</f>
        <v>42.5</v>
      </c>
    </row>
    <row r="31" customFormat="false" ht="12.8" hidden="false" customHeight="false" outlineLevel="0" collapsed="false">
      <c r="A31" s="47" t="str">
        <f aca="false">_xlfn.CONCAT($A$1, ".", CALC!A32)</f>
        <v>LSD.RID.0.AR.WAVG.28</v>
      </c>
      <c r="B31" s="50" t="str">
        <f aca="false">_xlfn.CONCAT(CALC!B32, ":", CALC!C32)</f>
        <v>Media and Information Technology:Support</v>
      </c>
      <c r="C31" s="54" t="n">
        <f aca="false">CALC!X32</f>
        <v>42</v>
      </c>
      <c r="D31" s="54" t="n">
        <f aca="false">CALC!AD32</f>
        <v>38.65</v>
      </c>
      <c r="E31" s="54" t="n">
        <f aca="false">CALC!AJ32</f>
        <v>34.6</v>
      </c>
      <c r="F31" s="54" t="n">
        <f aca="false">CALC!AP32</f>
        <v>42.5</v>
      </c>
    </row>
    <row r="32" customFormat="false" ht="12.8" hidden="false" customHeight="false" outlineLevel="0" collapsed="false">
      <c r="A32" s="47" t="str">
        <f aca="false">_xlfn.CONCAT($A$1, ".", CALC!A33)</f>
        <v>LSD.RID.0.AR.WAVG.29</v>
      </c>
      <c r="B32" s="50" t="str">
        <f aca="false">_xlfn.CONCAT(CALC!B33, ":", CALC!C33)</f>
        <v>Government:Worker</v>
      </c>
      <c r="C32" s="54" t="n">
        <f aca="false">CALC!X33</f>
        <v>35</v>
      </c>
      <c r="D32" s="54" t="n">
        <f aca="false">CALC!AD33</f>
        <v>32.2</v>
      </c>
      <c r="E32" s="54" t="n">
        <f aca="false">CALC!AJ33</f>
        <v>28.8</v>
      </c>
      <c r="F32" s="54" t="n">
        <f aca="false">CALC!AP33</f>
        <v>35.5</v>
      </c>
    </row>
    <row r="33" customFormat="false" ht="12.8" hidden="false" customHeight="false" outlineLevel="0" collapsed="false">
      <c r="A33" s="47" t="str">
        <f aca="false">_xlfn.CONCAT($A$1, ".", CALC!A34)</f>
        <v>LSD.RID.0.AR.WAVG.30</v>
      </c>
      <c r="B33" s="50" t="str">
        <f aca="false">_xlfn.CONCAT(CALC!B34, ":", CALC!C34)</f>
        <v>Government:Support</v>
      </c>
      <c r="C33" s="54" t="n">
        <f aca="false">CALC!X34</f>
        <v>35</v>
      </c>
      <c r="D33" s="54" t="n">
        <f aca="false">CALC!AD34</f>
        <v>32.2</v>
      </c>
      <c r="E33" s="54" t="n">
        <f aca="false">CALC!AJ34</f>
        <v>28.8</v>
      </c>
      <c r="F33" s="54" t="n">
        <f aca="false">CALC!AP34</f>
        <v>35.5</v>
      </c>
    </row>
    <row r="34" customFormat="false" ht="12.8" hidden="false" customHeight="false" outlineLevel="0" collapsed="false">
      <c r="A34" s="47" t="str">
        <f aca="false">_xlfn.CONCAT($A$1, ".", CALC!A35)</f>
        <v>LSD.RID.0.AR.WAVG.31</v>
      </c>
      <c r="B34" s="50" t="str">
        <f aca="false">_xlfn.CONCAT(CALC!B35, ":", CALC!C35)</f>
        <v>Self-Employed / Non-Employer:Support</v>
      </c>
      <c r="C34" s="54" t="n">
        <f aca="false">CALC!X35</f>
        <v>35</v>
      </c>
      <c r="D34" s="54" t="n">
        <f aca="false">CALC!AD35</f>
        <v>32.2</v>
      </c>
      <c r="E34" s="54" t="n">
        <f aca="false">CALC!AJ35</f>
        <v>28.8</v>
      </c>
      <c r="F34" s="54" t="n">
        <f aca="false">CALC!AP35</f>
        <v>35.5</v>
      </c>
    </row>
    <row r="35" customFormat="false" ht="12.8" hidden="false" customHeight="false" outlineLevel="0" collapsed="false">
      <c r="A35" s="47" t="str">
        <f aca="false">_xlfn.CONCAT($A$1, ".", CALC!A36)</f>
        <v>LSD.RID.0.AR.WAVG.32</v>
      </c>
      <c r="B35" s="50" t="str">
        <f aca="false">_xlfn.CONCAT(CALC!B36, ":", CALC!C36)</f>
        <v>Self-Employed / Non-Employer:Worker</v>
      </c>
      <c r="C35" s="54" t="n">
        <f aca="false">CALC!X36</f>
        <v>35</v>
      </c>
      <c r="D35" s="54" t="n">
        <f aca="false">CALC!AD36</f>
        <v>32.2</v>
      </c>
      <c r="E35" s="54" t="n">
        <f aca="false">CALC!AJ36</f>
        <v>28.8</v>
      </c>
      <c r="F35" s="54" t="n">
        <f aca="false">CALC!AP36</f>
        <v>35.5</v>
      </c>
    </row>
    <row r="36" customFormat="false" ht="12.8" hidden="false" customHeight="false" outlineLevel="0" collapsed="false">
      <c r="A36" s="47" t="str">
        <f aca="false">_xlfn.CONCAT($A$1, ".", CALC!A37)</f>
        <v>LSD.RID.0.AR.WAVG.33</v>
      </c>
      <c r="B36" s="50" t="str">
        <f aca="false">_xlfn.CONCAT(CALC!B37, ":", CALC!C37)</f>
        <v>Other Services:Support</v>
      </c>
      <c r="C36" s="54" t="n">
        <f aca="false">CALC!X37</f>
        <v>24</v>
      </c>
      <c r="D36" s="54" t="n">
        <f aca="false">CALC!AD37</f>
        <v>22.1</v>
      </c>
      <c r="E36" s="54" t="n">
        <f aca="false">CALC!AJ37</f>
        <v>19.7</v>
      </c>
      <c r="F36" s="54" t="n">
        <f aca="false">CALC!AP37</f>
        <v>24.5</v>
      </c>
    </row>
    <row r="37" customFormat="false" ht="12.8" hidden="false" customHeight="false" outlineLevel="0" collapsed="false">
      <c r="A37" s="47" t="str">
        <f aca="false">_xlfn.CONCAT($A$1, ".", CALC!A38)</f>
        <v>LSD.RID.0.AR.WAVG.34</v>
      </c>
      <c r="B37" s="50" t="str">
        <f aca="false">_xlfn.CONCAT(CALC!B38, ":", CALC!C38)</f>
        <v>Other Services:Worker</v>
      </c>
      <c r="C37" s="54" t="n">
        <f aca="false">CALC!X38</f>
        <v>24</v>
      </c>
      <c r="D37" s="54" t="n">
        <f aca="false">CALC!AD38</f>
        <v>22.1</v>
      </c>
      <c r="E37" s="54" t="n">
        <f aca="false">CALC!AJ38</f>
        <v>19.7</v>
      </c>
      <c r="F37" s="54" t="n">
        <f aca="false">CALC!AP38</f>
        <v>24.5</v>
      </c>
    </row>
    <row r="38" customFormat="false" ht="12.8" hidden="false" customHeight="false" outlineLevel="0" collapsed="false">
      <c r="A38" s="47" t="str">
        <f aca="false">_xlfn.CONCAT($A$1, ".", CALC!A39)</f>
        <v>LSD.RID.0.AR.WAVG.35</v>
      </c>
      <c r="B38" s="50" t="str">
        <f aca="false">_xlfn.CONCAT(CALC!B39, ":", CALC!C39)</f>
        <v>Mining, Quarrying, and Oil/Gas Extraction:Support</v>
      </c>
      <c r="C38" s="54" t="n">
        <f aca="false">CALC!X39</f>
        <v>35</v>
      </c>
      <c r="D38" s="54" t="n">
        <f aca="false">CALC!AD39</f>
        <v>32.2</v>
      </c>
      <c r="E38" s="54" t="n">
        <f aca="false">CALC!AJ39</f>
        <v>28.8</v>
      </c>
      <c r="F38" s="54" t="n">
        <f aca="false">CALC!AP39</f>
        <v>35.5</v>
      </c>
    </row>
    <row r="39" customFormat="false" ht="12.8" hidden="false" customHeight="false" outlineLevel="0" collapsed="false">
      <c r="A39" s="47" t="str">
        <f aca="false">_xlfn.CONCAT($A$1, ".", CALC!A40)</f>
        <v>LSD.RID.0.AR.WAVG.36</v>
      </c>
      <c r="B39" s="50" t="str">
        <f aca="false">_xlfn.CONCAT(CALC!B40, ":", CALC!C40)</f>
        <v>Mining, Quarrying, and Oil/Gas Extraction:Worker</v>
      </c>
      <c r="C39" s="54" t="n">
        <f aca="false">CALC!X40</f>
        <v>35</v>
      </c>
      <c r="D39" s="54" t="n">
        <f aca="false">CALC!AD40</f>
        <v>32.2</v>
      </c>
      <c r="E39" s="54" t="n">
        <f aca="false">CALC!AJ40</f>
        <v>28.8</v>
      </c>
      <c r="F39" s="54" t="n">
        <f aca="false">CALC!AP40</f>
        <v>35.5</v>
      </c>
    </row>
    <row r="40" customFormat="false" ht="12.8" hidden="false" customHeight="false" outlineLevel="0" collapsed="false">
      <c r="A40" s="47" t="str">
        <f aca="false">_xlfn.CONCAT($A$1, ".", CALC!A41)</f>
        <v>LSD.RID.0.AR.WAVG.37</v>
      </c>
      <c r="B40" s="50" t="str">
        <f aca="false">_xlfn.CONCAT(CALC!B41, ":", CALC!C41)</f>
        <v>Utilities:Support</v>
      </c>
      <c r="C40" s="54" t="n">
        <f aca="false">CALC!X41</f>
        <v>38</v>
      </c>
      <c r="D40" s="54" t="n">
        <f aca="false">CALC!AD41</f>
        <v>35</v>
      </c>
      <c r="E40" s="54" t="n">
        <f aca="false">CALC!AJ41</f>
        <v>31.3</v>
      </c>
      <c r="F40" s="54" t="n">
        <f aca="false">CALC!AP41</f>
        <v>38.5</v>
      </c>
    </row>
    <row r="41" customFormat="false" ht="12.8" hidden="false" customHeight="false" outlineLevel="0" collapsed="false">
      <c r="A41" s="47" t="str">
        <f aca="false">_xlfn.CONCAT($A$1, ".", CALC!A42)</f>
        <v>LSD.RID.0.AR.WAVG.38</v>
      </c>
      <c r="B41" s="50" t="str">
        <f aca="false">_xlfn.CONCAT(CALC!B42, ":", CALC!C42)</f>
        <v>Utilities:Worker</v>
      </c>
      <c r="C41" s="54" t="n">
        <f aca="false">CALC!X42</f>
        <v>38</v>
      </c>
      <c r="D41" s="54" t="n">
        <f aca="false">CALC!AD42</f>
        <v>35</v>
      </c>
      <c r="E41" s="54" t="n">
        <f aca="false">CALC!AJ42</f>
        <v>31.3</v>
      </c>
      <c r="F41" s="54" t="n">
        <f aca="false">CALC!AP42</f>
        <v>38.5</v>
      </c>
    </row>
    <row r="42" customFormat="false" ht="12.8" hidden="false" customHeight="false" outlineLevel="0" collapsed="false">
      <c r="A42" s="47" t="str">
        <f aca="false">_xlfn.CONCAT($A$1, ".", CALC!A43)</f>
        <v>LSD.RID.0.AR.WAVG.39</v>
      </c>
      <c r="B42" s="50" t="str">
        <f aca="false">_xlfn.CONCAT(CALC!B43, ":", CALC!C43)</f>
        <v>Wholesale Trade:Support</v>
      </c>
      <c r="C42" s="54" t="n">
        <f aca="false">CALC!X43</f>
        <v>32</v>
      </c>
      <c r="D42" s="54" t="n">
        <f aca="false">CALC!AD43</f>
        <v>29.45</v>
      </c>
      <c r="E42" s="54" t="n">
        <f aca="false">CALC!AJ43</f>
        <v>26.35</v>
      </c>
      <c r="F42" s="54" t="n">
        <f aca="false">CALC!AP43</f>
        <v>32.5</v>
      </c>
    </row>
    <row r="43" customFormat="false" ht="12.8" hidden="false" customHeight="false" outlineLevel="0" collapsed="false">
      <c r="A43" s="47" t="str">
        <f aca="false">_xlfn.CONCAT($A$1, ".", CALC!A44)</f>
        <v>LSD.RID.0.AR.WAVG.40</v>
      </c>
      <c r="B43" s="50" t="str">
        <f aca="false">_xlfn.CONCAT(CALC!B44, ":", CALC!C44)</f>
        <v>Wholesale Trade:Worker</v>
      </c>
      <c r="C43" s="54" t="n">
        <f aca="false">CALC!X44</f>
        <v>32</v>
      </c>
      <c r="D43" s="54" t="n">
        <f aca="false">CALC!AD44</f>
        <v>29.45</v>
      </c>
      <c r="E43" s="54" t="n">
        <f aca="false">CALC!AJ44</f>
        <v>26.35</v>
      </c>
      <c r="F43" s="54" t="n">
        <f aca="false">CALC!AP44</f>
        <v>32.5</v>
      </c>
    </row>
    <row r="44" customFormat="false" ht="12.8" hidden="false" customHeight="false" outlineLevel="0" collapsed="false">
      <c r="A44" s="47" t="str">
        <f aca="false">_xlfn.CONCAT($A$1, ".", CALC!A45)</f>
        <v>LSD.RID.0.AR.WAVG.41</v>
      </c>
      <c r="B44" s="50" t="str">
        <f aca="false">_xlfn.CONCAT(CALC!B45, ":", CALC!C45)</f>
        <v>Information:Support</v>
      </c>
      <c r="C44" s="54" t="n">
        <f aca="false">CALC!X45</f>
        <v>42</v>
      </c>
      <c r="D44" s="54" t="n">
        <f aca="false">CALC!AD45</f>
        <v>38.65</v>
      </c>
      <c r="E44" s="54" t="n">
        <f aca="false">CALC!AJ45</f>
        <v>34.6</v>
      </c>
      <c r="F44" s="54" t="n">
        <f aca="false">CALC!AP45</f>
        <v>42.5</v>
      </c>
    </row>
    <row r="45" customFormat="false" ht="12.8" hidden="false" customHeight="false" outlineLevel="0" collapsed="false">
      <c r="A45" s="47" t="str">
        <f aca="false">_xlfn.CONCAT($A$1, ".", CALC!A46)</f>
        <v>LSD.RID.0.AR.WAVG.42</v>
      </c>
      <c r="B45" s="50" t="str">
        <f aca="false">_xlfn.CONCAT(CALC!B46, ":", CALC!C46)</f>
        <v>Information:Worker</v>
      </c>
      <c r="C45" s="54" t="n">
        <f aca="false">CALC!X46</f>
        <v>42</v>
      </c>
      <c r="D45" s="54" t="n">
        <f aca="false">CALC!AD46</f>
        <v>38.65</v>
      </c>
      <c r="E45" s="54" t="n">
        <f aca="false">CALC!AJ46</f>
        <v>34.6</v>
      </c>
      <c r="F45" s="54" t="n">
        <f aca="false">CALC!AP46</f>
        <v>42.5</v>
      </c>
    </row>
    <row r="46" customFormat="false" ht="12.8" hidden="false" customHeight="false" outlineLevel="0" collapsed="false">
      <c r="A46" s="47" t="str">
        <f aca="false">_xlfn.CONCAT($A$1, ".", CALC!A47)</f>
        <v>LSD.RID.0.AR.WAVG.43</v>
      </c>
      <c r="B46" s="50" t="str">
        <f aca="false">_xlfn.CONCAT(CALC!B47, ":", CALC!C47)</f>
        <v>Real Estate, Rental and Leasing:Support</v>
      </c>
      <c r="C46" s="54" t="n">
        <f aca="false">CALC!X47</f>
        <v>30</v>
      </c>
      <c r="D46" s="54" t="n">
        <f aca="false">CALC!AD47</f>
        <v>27.6</v>
      </c>
      <c r="E46" s="54" t="n">
        <f aca="false">CALC!AJ47</f>
        <v>24.75</v>
      </c>
      <c r="F46" s="54" t="n">
        <f aca="false">CALC!AP47</f>
        <v>30.5</v>
      </c>
    </row>
    <row r="47" customFormat="false" ht="12.8" hidden="false" customHeight="false" outlineLevel="0" collapsed="false">
      <c r="A47" s="47" t="str">
        <f aca="false">_xlfn.CONCAT($A$1, ".", CALC!A48)</f>
        <v>LSD.RID.0.AR.WAVG.44</v>
      </c>
      <c r="B47" s="50" t="str">
        <f aca="false">_xlfn.CONCAT(CALC!B48, ":", CALC!C48)</f>
        <v>Real Estate, Rental and Leasing:Worker</v>
      </c>
      <c r="C47" s="54" t="n">
        <f aca="false">CALC!X48</f>
        <v>30</v>
      </c>
      <c r="D47" s="54" t="n">
        <f aca="false">CALC!AD48</f>
        <v>27.6</v>
      </c>
      <c r="E47" s="54" t="n">
        <f aca="false">CALC!AJ48</f>
        <v>24.75</v>
      </c>
      <c r="F47" s="54" t="n">
        <f aca="false">CALC!AP48</f>
        <v>30.5</v>
      </c>
    </row>
    <row r="48" customFormat="false" ht="12.8" hidden="false" customHeight="false" outlineLevel="0" collapsed="false">
      <c r="A48" s="47" t="str">
        <f aca="false">_xlfn.CONCAT($A$1, ".", CALC!A49)</f>
        <v>LSD.RID.0.AR.WAVG.45</v>
      </c>
      <c r="B48" s="50" t="str">
        <f aca="false">_xlfn.CONCAT(CALC!B49, ":", CALC!C49)</f>
        <v>Waste Management Services:Support</v>
      </c>
      <c r="C48" s="54" t="n">
        <f aca="false">CALC!X49</f>
        <v>28</v>
      </c>
      <c r="D48" s="54" t="n">
        <f aca="false">CALC!AD49</f>
        <v>25.75</v>
      </c>
      <c r="E48" s="54" t="n">
        <f aca="false">CALC!AJ49</f>
        <v>23</v>
      </c>
      <c r="F48" s="54" t="n">
        <f aca="false">CALC!AP49</f>
        <v>28.5</v>
      </c>
    </row>
    <row r="49" customFormat="false" ht="12.8" hidden="false" customHeight="false" outlineLevel="0" collapsed="false">
      <c r="A49" s="47" t="str">
        <f aca="false">_xlfn.CONCAT($A$1, ".", CALC!A50)</f>
        <v>LSD.RID.0.AR.WAVG.46</v>
      </c>
      <c r="B49" s="50" t="str">
        <f aca="false">_xlfn.CONCAT(CALC!B50, ":", CALC!C50)</f>
        <v>Waste Management Services:Worker</v>
      </c>
      <c r="C49" s="54" t="n">
        <f aca="false">CALC!X50</f>
        <v>28</v>
      </c>
      <c r="D49" s="54" t="n">
        <f aca="false">CALC!AD50</f>
        <v>25.75</v>
      </c>
      <c r="E49" s="54" t="n">
        <f aca="false">CALC!AJ50</f>
        <v>23</v>
      </c>
      <c r="F49" s="54" t="n">
        <f aca="false">CALC!AP50</f>
        <v>28.5</v>
      </c>
    </row>
    <row r="50" customFormat="false" ht="12.8" hidden="false" customHeight="false" outlineLevel="0" collapsed="false">
      <c r="A50" s="47" t="str">
        <f aca="false">_xlfn.CONCAT($A$1, ".", CALC!A51)</f>
        <v>LSD.RID.0.AR.WAVG.47</v>
      </c>
      <c r="B50" s="50" t="str">
        <f aca="false">_xlfn.CONCAT(CALC!B51, ":", CALC!C51)</f>
        <v>Arts, Entertainment, and Recreation:Support</v>
      </c>
      <c r="C50" s="54" t="n">
        <f aca="false">CALC!X51</f>
        <v>22</v>
      </c>
      <c r="D50" s="54" t="n">
        <f aca="false">CALC!AD51</f>
        <v>20.25</v>
      </c>
      <c r="E50" s="54" t="n">
        <f aca="false">CALC!AJ51</f>
        <v>18</v>
      </c>
      <c r="F50" s="54" t="n">
        <f aca="false">CALC!AP51</f>
        <v>22.5</v>
      </c>
    </row>
    <row r="51" customFormat="false" ht="12.8" hidden="false" customHeight="false" outlineLevel="0" collapsed="false">
      <c r="A51" s="47" t="str">
        <f aca="false">_xlfn.CONCAT($A$1, ".", CALC!A52)</f>
        <v>LSD.RID.0.AR.WAVG.48</v>
      </c>
      <c r="B51" s="50" t="str">
        <f aca="false">_xlfn.CONCAT(CALC!B52, ":", CALC!C52)</f>
        <v>Arts, Entertainment, and Recreation:Worker</v>
      </c>
      <c r="C51" s="54" t="n">
        <f aca="false">CALC!X52</f>
        <v>22</v>
      </c>
      <c r="D51" s="54" t="n">
        <f aca="false">CALC!AD52</f>
        <v>20.25</v>
      </c>
      <c r="E51" s="54" t="n">
        <f aca="false">CALC!AJ52</f>
        <v>18</v>
      </c>
      <c r="F51" s="54" t="n">
        <f aca="false">CALC!AP52</f>
        <v>22.5</v>
      </c>
    </row>
    <row r="52" customFormat="false" ht="12.8" hidden="false" customHeight="false" outlineLevel="0" collapsed="false">
      <c r="A52" s="47" t="str">
        <f aca="false">_xlfn.CONCAT($A$1, ".", CALC!A53)</f>
        <v>LSD.RID.0.AR.WAVG.49</v>
      </c>
      <c r="B52" s="50" t="str">
        <f aca="false">_xlfn.CONCAT(CALC!B53, ":", CALC!C53)</f>
        <v>Accommodation and Food Services:Support</v>
      </c>
      <c r="C52" s="54" t="n">
        <f aca="false">CALC!X53</f>
        <v>18</v>
      </c>
      <c r="D52" s="54" t="n">
        <f aca="false">CALC!AD53</f>
        <v>16.55</v>
      </c>
      <c r="E52" s="54" t="n">
        <f aca="false">CALC!AJ53</f>
        <v>14.8</v>
      </c>
      <c r="F52" s="54" t="n">
        <f aca="false">CALC!AP53</f>
        <v>18.4</v>
      </c>
    </row>
    <row r="53" customFormat="false" ht="12.8" hidden="false" customHeight="false" outlineLevel="0" collapsed="false">
      <c r="A53" s="47" t="str">
        <f aca="false">_xlfn.CONCAT($A$1, ".", CALC!A54)</f>
        <v>LSD.RID.0.AR.WAVG.50</v>
      </c>
      <c r="B53" s="50" t="str">
        <f aca="false">_xlfn.CONCAT(CALC!B54, ":", CALC!C54)</f>
        <v>Accommodation and Food Services:Worker</v>
      </c>
      <c r="C53" s="54" t="n">
        <f aca="false">CALC!X54</f>
        <v>18</v>
      </c>
      <c r="D53" s="54" t="n">
        <f aca="false">CALC!AD54</f>
        <v>16.55</v>
      </c>
      <c r="E53" s="54" t="n">
        <f aca="false">CALC!AJ54</f>
        <v>14.8</v>
      </c>
      <c r="F53" s="54" t="n">
        <f aca="false">CALC!AP54</f>
        <v>18.4</v>
      </c>
    </row>
    <row r="54" customFormat="false" ht="12.8" hidden="false" customHeight="false" outlineLevel="0" collapsed="false">
      <c r="A54" s="47" t="str">
        <f aca="false">_xlfn.CONCAT($A$1, ".", CALC!A55)</f>
        <v>LSD.RID.0.AR.WAVG.51</v>
      </c>
      <c r="B54" s="50" t="str">
        <f aca="false">_xlfn.CONCAT(CALC!B55, ":", CALC!C55)</f>
        <v>Public Administration:Support</v>
      </c>
      <c r="C54" s="54" t="n">
        <f aca="false">CALC!X55</f>
        <v>35</v>
      </c>
      <c r="D54" s="54" t="n">
        <f aca="false">CALC!AD55</f>
        <v>32.2</v>
      </c>
      <c r="E54" s="54" t="n">
        <f aca="false">CALC!AJ55</f>
        <v>28.8</v>
      </c>
      <c r="F54" s="54" t="n">
        <f aca="false">CALC!AP55</f>
        <v>35.5</v>
      </c>
    </row>
    <row r="55" customFormat="false" ht="12.8" hidden="false" customHeight="false" outlineLevel="0" collapsed="false">
      <c r="A55" s="47" t="str">
        <f aca="false">_xlfn.CONCAT($A$1, ".", CALC!A56)</f>
        <v>LSD.RID.0.AR.WAVG.52</v>
      </c>
      <c r="B55" s="50" t="str">
        <f aca="false">_xlfn.CONCAT(CALC!B56, ":", CALC!C56)</f>
        <v>Public Administration:Worker</v>
      </c>
      <c r="C55" s="54" t="n">
        <f aca="false">CALC!X56</f>
        <v>35</v>
      </c>
      <c r="D55" s="54" t="n">
        <f aca="false">CALC!AD56</f>
        <v>32.2</v>
      </c>
      <c r="E55" s="54" t="n">
        <f aca="false">CALC!AJ56</f>
        <v>28.8</v>
      </c>
      <c r="F55" s="54" t="n">
        <f aca="false">CALC!AP56</f>
        <v>35.5</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2E4E"/>
    <pageSetUpPr fitToPage="false"/>
  </sheetPr>
  <dimension ref="A1:BP248"/>
  <sheetViews>
    <sheetView showFormulas="false" showGridLines="true" showRowColHeaders="true" showZeros="true" rightToLeft="false" tabSelected="false" showOutlineSymbols="true" defaultGridColor="true" view="normal" topLeftCell="A207" colorId="64" zoomScale="75" zoomScaleNormal="75" zoomScalePageLayoutView="100" workbookViewId="0">
      <selection pane="topLeft" activeCell="A154" activeCellId="1" sqref="155:249 A154"/>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3" t="s">
        <v>817</v>
      </c>
      <c r="B1" s="30" t="s">
        <v>818</v>
      </c>
      <c r="C1" s="5" t="s">
        <v>2</v>
      </c>
      <c r="D1" s="48" t="s">
        <v>819</v>
      </c>
      <c r="AZ1" s="23"/>
      <c r="BP1" s="23"/>
    </row>
    <row r="2" customFormat="false" ht="46.25" hidden="false" customHeight="false" outlineLevel="0" collapsed="false">
      <c r="A2" s="25" t="s">
        <v>799</v>
      </c>
      <c r="B2" s="30" t="s">
        <v>800</v>
      </c>
      <c r="C2" s="55" t="str">
        <f aca="false">CALC!AA3</f>
        <v>Annual Income Average ($)</v>
      </c>
      <c r="D2" s="55" t="str">
        <f aca="false">CALC!AG3</f>
        <v>Authorized Immigrant Annual Income Average ($)</v>
      </c>
      <c r="E2" s="55" t="str">
        <f aca="false">CALC!AM3</f>
        <v>Unauthorized Immigrant Annual Income Average ($)</v>
      </c>
      <c r="F2" s="55" t="str">
        <f aca="false">CALC!AS3</f>
        <v>American Annual Income Average ($)</v>
      </c>
    </row>
    <row r="3" customFormat="false" ht="12.8" hidden="false" customHeight="false" outlineLevel="0" collapsed="false">
      <c r="A3" s="3" t="str">
        <f aca="false">_xlfn.CONCAT($A$1, ".", CALC!A4)</f>
        <v>LSD.RID.0.AR.AIAVG.0</v>
      </c>
      <c r="B3" s="44" t="str">
        <f aca="false">_xlfn.CONCAT(CALC!B4, ":", CALC!C4)</f>
        <v>All Industries:All Roles</v>
      </c>
      <c r="C3" s="55" t="n">
        <f aca="false">CALC!AA4</f>
        <v>54162</v>
      </c>
      <c r="D3" s="55" t="n">
        <f aca="false">CALC!AG4</f>
        <v>50305</v>
      </c>
      <c r="E3" s="55" t="n">
        <f aca="false">CALC!AM4</f>
        <v>44076</v>
      </c>
      <c r="F3" s="55" t="n">
        <f aca="false">CALC!AS4</f>
        <v>54658</v>
      </c>
    </row>
    <row r="4" customFormat="false" ht="12.8" hidden="false" customHeight="false" outlineLevel="0" collapsed="false">
      <c r="A4" s="47" t="str">
        <f aca="false">_xlfn.CONCAT($A$1, ".", CALC!A5)</f>
        <v>LSD.RID.0.AR.AIAVG.1</v>
      </c>
      <c r="B4" s="50" t="str">
        <f aca="false">_xlfn.CONCAT(CALC!B5, ":", CALC!C5)</f>
        <v>Agriculture:Worker</v>
      </c>
      <c r="C4" s="56" t="n">
        <f aca="false">CALC!AA5</f>
        <v>55860</v>
      </c>
      <c r="D4" s="56" t="n">
        <f aca="false">CALC!AG5</f>
        <v>54708</v>
      </c>
      <c r="E4" s="56" t="n">
        <f aca="false">CALC!AM5</f>
        <v>47500</v>
      </c>
      <c r="F4" s="56" t="n">
        <f aca="false">CALC!AS5</f>
        <v>55860</v>
      </c>
    </row>
    <row r="5" customFormat="false" ht="12.8" hidden="false" customHeight="false" outlineLevel="0" collapsed="false">
      <c r="A5" s="47" t="str">
        <f aca="false">_xlfn.CONCAT($A$1, ".", CALC!A6)</f>
        <v>LSD.RID.0.AR.AIAVG.2</v>
      </c>
      <c r="B5" s="50" t="str">
        <f aca="false">_xlfn.CONCAT(CALC!B6, ":", CALC!C6)</f>
        <v>Agriculture:Support</v>
      </c>
      <c r="C5" s="56" t="n">
        <f aca="false">CALC!AA6</f>
        <v>55860</v>
      </c>
      <c r="D5" s="56" t="n">
        <f aca="false">CALC!AG6</f>
        <v>54708</v>
      </c>
      <c r="E5" s="56" t="n">
        <f aca="false">CALC!AM6</f>
        <v>47500</v>
      </c>
      <c r="F5" s="56" t="n">
        <f aca="false">CALC!AS6</f>
        <v>55860</v>
      </c>
    </row>
    <row r="6" customFormat="false" ht="12.8" hidden="false" customHeight="false" outlineLevel="0" collapsed="false">
      <c r="A6" s="47" t="str">
        <f aca="false">_xlfn.CONCAT($A$1, ".", CALC!A7)</f>
        <v>LSD.RID.0.AR.AIAVG.3</v>
      </c>
      <c r="B6" s="50" t="str">
        <f aca="false">_xlfn.CONCAT(CALC!B7, ":", CALC!C7)</f>
        <v>Construction:Worker</v>
      </c>
      <c r="C6" s="56" t="n">
        <f aca="false">CALC!AA7</f>
        <v>70200</v>
      </c>
      <c r="D6" s="56" t="n">
        <f aca="false">CALC!AG7</f>
        <v>68932</v>
      </c>
      <c r="E6" s="56" t="n">
        <f aca="false">CALC!AM7</f>
        <v>61776</v>
      </c>
      <c r="F6" s="56" t="n">
        <f aca="false">CALC!AS7</f>
        <v>70200</v>
      </c>
    </row>
    <row r="7" customFormat="false" ht="12.8" hidden="false" customHeight="false" outlineLevel="0" collapsed="false">
      <c r="A7" s="47" t="str">
        <f aca="false">_xlfn.CONCAT($A$1, ".", CALC!A8)</f>
        <v>LSD.RID.0.AR.AIAVG.4</v>
      </c>
      <c r="B7" s="50" t="str">
        <f aca="false">_xlfn.CONCAT(CALC!B8, ":", CALC!C8)</f>
        <v>Construction:Support</v>
      </c>
      <c r="C7" s="56" t="n">
        <f aca="false">CALC!AA8</f>
        <v>70200</v>
      </c>
      <c r="D7" s="56" t="n">
        <f aca="false">CALC!AG8</f>
        <v>68932</v>
      </c>
      <c r="E7" s="56" t="n">
        <f aca="false">CALC!AM8</f>
        <v>61776</v>
      </c>
      <c r="F7" s="56" t="n">
        <f aca="false">CALC!AS8</f>
        <v>70200</v>
      </c>
    </row>
    <row r="8" customFormat="false" ht="12.8" hidden="false" customHeight="false" outlineLevel="0" collapsed="false">
      <c r="A8" s="47" t="str">
        <f aca="false">_xlfn.CONCAT($A$1, ".", CALC!A9)</f>
        <v>LSD.RID.0.AR.AIAVG.5</v>
      </c>
      <c r="B8" s="50" t="str">
        <f aca="false">_xlfn.CONCAT(CALC!B9, ":", CALC!C9)</f>
        <v>Hospitality:Worker</v>
      </c>
      <c r="C8" s="56" t="n">
        <f aca="false">CALC!AA9</f>
        <v>39960</v>
      </c>
      <c r="D8" s="56" t="n">
        <f aca="false">CALC!AG9</f>
        <v>39161</v>
      </c>
      <c r="E8" s="56" t="n">
        <f aca="false">CALC!AM9</f>
        <v>33974</v>
      </c>
      <c r="F8" s="56" t="n">
        <f aca="false">CALC!AS9</f>
        <v>39960</v>
      </c>
    </row>
    <row r="9" customFormat="false" ht="12.8" hidden="false" customHeight="false" outlineLevel="0" collapsed="false">
      <c r="A9" s="47" t="str">
        <f aca="false">_xlfn.CONCAT($A$1, ".", CALC!A10)</f>
        <v>LSD.RID.0.AR.AIAVG.6</v>
      </c>
      <c r="B9" s="50" t="str">
        <f aca="false">_xlfn.CONCAT(CALC!B10, ":", CALC!C10)</f>
        <v>Hospitality:Support</v>
      </c>
      <c r="C9" s="56" t="n">
        <f aca="false">CALC!AA10</f>
        <v>39960</v>
      </c>
      <c r="D9" s="56" t="n">
        <f aca="false">CALC!AG10</f>
        <v>39161</v>
      </c>
      <c r="E9" s="56" t="n">
        <f aca="false">CALC!AM10</f>
        <v>33974</v>
      </c>
      <c r="F9" s="56" t="n">
        <f aca="false">CALC!AS10</f>
        <v>39960</v>
      </c>
    </row>
    <row r="10" customFormat="false" ht="12.8" hidden="false" customHeight="false" outlineLevel="0" collapsed="false">
      <c r="A10" s="47" t="str">
        <f aca="false">_xlfn.CONCAT($A$1, ".", CALC!A11)</f>
        <v>LSD.RID.0.AR.AIAVG.7</v>
      </c>
      <c r="B10" s="50" t="str">
        <f aca="false">_xlfn.CONCAT(CALC!B11, ":", CALC!C11)</f>
        <v>Cleaning &amp; Maintenance:Worker</v>
      </c>
      <c r="C10" s="56" t="n">
        <f aca="false">CALC!AA11</f>
        <v>47520</v>
      </c>
      <c r="D10" s="56" t="n">
        <f aca="false">CALC!AG11</f>
        <v>46570</v>
      </c>
      <c r="E10" s="56" t="n">
        <f aca="false">CALC!AM11</f>
        <v>40392</v>
      </c>
      <c r="F10" s="56" t="n">
        <f aca="false">CALC!AS11</f>
        <v>47520</v>
      </c>
    </row>
    <row r="11" customFormat="false" ht="12.8" hidden="false" customHeight="false" outlineLevel="0" collapsed="false">
      <c r="A11" s="47" t="str">
        <f aca="false">_xlfn.CONCAT($A$1, ".", CALC!A12)</f>
        <v>LSD.RID.0.AR.AIAVG.8</v>
      </c>
      <c r="B11" s="50" t="str">
        <f aca="false">_xlfn.CONCAT(CALC!B12, ":", CALC!C12)</f>
        <v>Cleaning &amp; Maintenance:Support</v>
      </c>
      <c r="C11" s="56" t="n">
        <f aca="false">CALC!AA12</f>
        <v>47520</v>
      </c>
      <c r="D11" s="56" t="n">
        <f aca="false">CALC!AG12</f>
        <v>46570</v>
      </c>
      <c r="E11" s="56" t="n">
        <f aca="false">CALC!AM12</f>
        <v>40392</v>
      </c>
      <c r="F11" s="56" t="n">
        <f aca="false">CALC!AS12</f>
        <v>47520</v>
      </c>
    </row>
    <row r="12" customFormat="false" ht="12.8" hidden="false" customHeight="false" outlineLevel="0" collapsed="false">
      <c r="A12" s="47" t="str">
        <f aca="false">_xlfn.CONCAT($A$1, ".", CALC!A13)</f>
        <v>LSD.RID.0.AR.AIAVG.9</v>
      </c>
      <c r="B12" s="50" t="str">
        <f aca="false">_xlfn.CONCAT(CALC!B13, ":", CALC!C13)</f>
        <v>Manufacturing:Worker</v>
      </c>
      <c r="C12" s="56" t="n">
        <f aca="false">CALC!AA13</f>
        <v>61560</v>
      </c>
      <c r="D12" s="56" t="n">
        <f aca="false">CALC!AG13</f>
        <v>56700</v>
      </c>
      <c r="E12" s="56" t="n">
        <f aca="false">CALC!AM13</f>
        <v>50760</v>
      </c>
      <c r="F12" s="56" t="n">
        <f aca="false">CALC!AS13</f>
        <v>61560</v>
      </c>
    </row>
    <row r="13" customFormat="false" ht="12.8" hidden="false" customHeight="false" outlineLevel="0" collapsed="false">
      <c r="A13" s="47" t="str">
        <f aca="false">_xlfn.CONCAT($A$1, ".", CALC!A14)</f>
        <v>LSD.RID.0.AR.AIAVG.10</v>
      </c>
      <c r="B13" s="50" t="str">
        <f aca="false">_xlfn.CONCAT(CALC!B14, ":", CALC!C14)</f>
        <v>Manufacturing:Support</v>
      </c>
      <c r="C13" s="56" t="n">
        <f aca="false">CALC!AA14</f>
        <v>61560</v>
      </c>
      <c r="D13" s="56" t="n">
        <f aca="false">CALC!AG14</f>
        <v>56700</v>
      </c>
      <c r="E13" s="56" t="n">
        <f aca="false">CALC!AM14</f>
        <v>50760</v>
      </c>
      <c r="F13" s="56" t="n">
        <f aca="false">CALC!AS14</f>
        <v>61560</v>
      </c>
    </row>
    <row r="14" customFormat="false" ht="12.8" hidden="false" customHeight="false" outlineLevel="0" collapsed="false">
      <c r="A14" s="47" t="str">
        <f aca="false">_xlfn.CONCAT($A$1, ".", CALC!A15)</f>
        <v>LSD.RID.0.AR.AIAVG.11</v>
      </c>
      <c r="B14" s="50" t="str">
        <f aca="false">_xlfn.CONCAT(CALC!B15, ":", CALC!C15)</f>
        <v>Transportation &amp; Warehousing:Worker</v>
      </c>
      <c r="C14" s="56" t="n">
        <f aca="false">CALC!AA15</f>
        <v>64800</v>
      </c>
      <c r="D14" s="56" t="n">
        <f aca="false">CALC!AG15</f>
        <v>59616</v>
      </c>
      <c r="E14" s="56" t="n">
        <f aca="false">CALC!AM15</f>
        <v>53460</v>
      </c>
      <c r="F14" s="56" t="n">
        <f aca="false">CALC!AS15</f>
        <v>65880</v>
      </c>
    </row>
    <row r="15" customFormat="false" ht="12.8" hidden="false" customHeight="false" outlineLevel="0" collapsed="false">
      <c r="A15" s="47" t="str">
        <f aca="false">_xlfn.CONCAT($A$1, ".", CALC!A16)</f>
        <v>LSD.RID.0.AR.AIAVG.12</v>
      </c>
      <c r="B15" s="50" t="str">
        <f aca="false">_xlfn.CONCAT(CALC!B16, ":", CALC!C16)</f>
        <v>Transportation &amp; Warehousing:Support</v>
      </c>
      <c r="C15" s="56" t="n">
        <f aca="false">CALC!AA16</f>
        <v>64800</v>
      </c>
      <c r="D15" s="56" t="n">
        <f aca="false">CALC!AG16</f>
        <v>59616</v>
      </c>
      <c r="E15" s="56" t="n">
        <f aca="false">CALC!AM16</f>
        <v>53460</v>
      </c>
      <c r="F15" s="56" t="n">
        <f aca="false">CALC!AS16</f>
        <v>65880</v>
      </c>
    </row>
    <row r="16" customFormat="false" ht="12.8" hidden="false" customHeight="false" outlineLevel="0" collapsed="false">
      <c r="A16" s="47" t="str">
        <f aca="false">_xlfn.CONCAT($A$1, ".", CALC!A17)</f>
        <v>LSD.RID.0.AR.AIAVG.13</v>
      </c>
      <c r="B16" s="50" t="str">
        <f aca="false">_xlfn.CONCAT(CALC!B17, ":", CALC!C17)</f>
        <v>Retail Trade:Worker</v>
      </c>
      <c r="C16" s="56" t="n">
        <f aca="false">CALC!AA17</f>
        <v>44280</v>
      </c>
      <c r="D16" s="56" t="n">
        <f aca="false">CALC!AG17</f>
        <v>42100</v>
      </c>
      <c r="E16" s="56" t="n">
        <f aca="false">CALC!AM17</f>
        <v>36500</v>
      </c>
      <c r="F16" s="56" t="n">
        <f aca="false">CALC!AS17</f>
        <v>44280</v>
      </c>
    </row>
    <row r="17" customFormat="false" ht="12.8" hidden="false" customHeight="false" outlineLevel="0" collapsed="false">
      <c r="A17" s="47" t="str">
        <f aca="false">_xlfn.CONCAT($A$1, ".", CALC!A18)</f>
        <v>LSD.RID.0.AR.AIAVG.14</v>
      </c>
      <c r="B17" s="50" t="str">
        <f aca="false">_xlfn.CONCAT(CALC!B18, ":", CALC!C18)</f>
        <v>Retail Trade:Support</v>
      </c>
      <c r="C17" s="56" t="n">
        <f aca="false">CALC!AA18</f>
        <v>44280</v>
      </c>
      <c r="D17" s="56" t="n">
        <f aca="false">CALC!AG18</f>
        <v>42100</v>
      </c>
      <c r="E17" s="56" t="n">
        <f aca="false">CALC!AM18</f>
        <v>36500</v>
      </c>
      <c r="F17" s="56" t="n">
        <f aca="false">CALC!AS18</f>
        <v>44280</v>
      </c>
    </row>
    <row r="18" customFormat="false" ht="12.8" hidden="false" customHeight="false" outlineLevel="0" collapsed="false">
      <c r="A18" s="47" t="str">
        <f aca="false">_xlfn.CONCAT($A$1, ".", CALC!A19)</f>
        <v>LSD.RID.0.AR.AIAVG.15</v>
      </c>
      <c r="B18" s="50" t="str">
        <f aca="false">_xlfn.CONCAT(CALC!B19, ":", CALC!C19)</f>
        <v>Landscaping / Groundskeeping:Worker</v>
      </c>
      <c r="C18" s="56" t="n">
        <f aca="false">CALC!AA19</f>
        <v>51840</v>
      </c>
      <c r="D18" s="56" t="n">
        <f aca="false">CALC!AG19</f>
        <v>51494</v>
      </c>
      <c r="E18" s="56" t="n">
        <f aca="false">CALC!AM19</f>
        <v>44664</v>
      </c>
      <c r="F18" s="56" t="n">
        <f aca="false">CALC!AS19</f>
        <v>51840</v>
      </c>
    </row>
    <row r="19" customFormat="false" ht="12.8" hidden="false" customHeight="false" outlineLevel="0" collapsed="false">
      <c r="A19" s="47" t="str">
        <f aca="false">_xlfn.CONCAT($A$1, ".", CALC!A20)</f>
        <v>LSD.RID.0.AR.AIAVG.16</v>
      </c>
      <c r="B19" s="50" t="str">
        <f aca="false">_xlfn.CONCAT(CALC!B20, ":", CALC!C20)</f>
        <v>Landscaping / Groundskeeping:Support</v>
      </c>
      <c r="C19" s="56" t="n">
        <f aca="false">CALC!AA20</f>
        <v>51840</v>
      </c>
      <c r="D19" s="56" t="n">
        <f aca="false">CALC!AG20</f>
        <v>51494</v>
      </c>
      <c r="E19" s="56" t="n">
        <f aca="false">CALC!AM20</f>
        <v>44664</v>
      </c>
      <c r="F19" s="56" t="n">
        <f aca="false">CALC!AS20</f>
        <v>51840</v>
      </c>
    </row>
    <row r="20" customFormat="false" ht="12.8" hidden="false" customHeight="false" outlineLevel="0" collapsed="false">
      <c r="A20" s="47" t="str">
        <f aca="false">_xlfn.CONCAT($A$1, ".", CALC!A21)</f>
        <v>LSD.RID.0.AR.AIAVG.17</v>
      </c>
      <c r="B20" s="50" t="str">
        <f aca="false">_xlfn.CONCAT(CALC!B21, ":", CALC!C21)</f>
        <v>Automotive &amp; Repair:Worker</v>
      </c>
      <c r="C20" s="56" t="n">
        <f aca="false">CALC!AA21</f>
        <v>56160</v>
      </c>
      <c r="D20" s="56" t="n">
        <f aca="false">CALC!AG21</f>
        <v>55140</v>
      </c>
      <c r="E20" s="56" t="n">
        <f aca="false">CALC!AM21</f>
        <v>47736</v>
      </c>
      <c r="F20" s="56" t="n">
        <f aca="false">CALC!AS21</f>
        <v>56160</v>
      </c>
    </row>
    <row r="21" customFormat="false" ht="12.8" hidden="false" customHeight="false" outlineLevel="0" collapsed="false">
      <c r="A21" s="47" t="str">
        <f aca="false">_xlfn.CONCAT($A$1, ".", CALC!A22)</f>
        <v>LSD.RID.0.AR.AIAVG.18</v>
      </c>
      <c r="B21" s="50" t="str">
        <f aca="false">_xlfn.CONCAT(CALC!B22, ":", CALC!C22)</f>
        <v>Automotive &amp; Repair:Support</v>
      </c>
      <c r="C21" s="56" t="n">
        <f aca="false">CALC!AA22</f>
        <v>56160</v>
      </c>
      <c r="D21" s="56" t="n">
        <f aca="false">CALC!AG22</f>
        <v>55140</v>
      </c>
      <c r="E21" s="56" t="n">
        <f aca="false">CALC!AM22</f>
        <v>47736</v>
      </c>
      <c r="F21" s="56" t="n">
        <f aca="false">CALC!AS22</f>
        <v>56160</v>
      </c>
    </row>
    <row r="22" customFormat="false" ht="12.8" hidden="false" customHeight="false" outlineLevel="0" collapsed="false">
      <c r="A22" s="47" t="str">
        <f aca="false">_xlfn.CONCAT($A$1, ".", CALC!A23)</f>
        <v>LSD.RID.0.AR.AIAVG.19</v>
      </c>
      <c r="B22" s="50" t="str">
        <f aca="false">_xlfn.CONCAT(CALC!B23, ":", CALC!C23)</f>
        <v>Healthcare &amp; Social Assistance:Worker</v>
      </c>
      <c r="C22" s="56" t="n">
        <f aca="false">CALC!AA23</f>
        <v>69120</v>
      </c>
      <c r="D22" s="56" t="n">
        <f aca="false">CALC!AG23</f>
        <v>63612</v>
      </c>
      <c r="E22" s="56" t="n">
        <f aca="false">CALC!AM23</f>
        <v>56916</v>
      </c>
      <c r="F22" s="56" t="n">
        <f aca="false">CALC!AS23</f>
        <v>70200</v>
      </c>
    </row>
    <row r="23" customFormat="false" ht="12.8" hidden="false" customHeight="false" outlineLevel="0" collapsed="false">
      <c r="A23" s="47" t="str">
        <f aca="false">_xlfn.CONCAT($A$1, ".", CALC!A24)</f>
        <v>LSD.RID.0.AR.AIAVG.20</v>
      </c>
      <c r="B23" s="50" t="str">
        <f aca="false">_xlfn.CONCAT(CALC!B24, ":", CALC!C24)</f>
        <v>Healthcare &amp; Social Assistance:Support</v>
      </c>
      <c r="C23" s="56" t="n">
        <f aca="false">CALC!AA24</f>
        <v>69120</v>
      </c>
      <c r="D23" s="56" t="n">
        <f aca="false">CALC!AG24</f>
        <v>63612</v>
      </c>
      <c r="E23" s="56" t="n">
        <f aca="false">CALC!AM24</f>
        <v>56916</v>
      </c>
      <c r="F23" s="56" t="n">
        <f aca="false">CALC!AS24</f>
        <v>70200</v>
      </c>
    </row>
    <row r="24" customFormat="false" ht="12.8" hidden="false" customHeight="false" outlineLevel="0" collapsed="false">
      <c r="A24" s="47" t="str">
        <f aca="false">_xlfn.CONCAT($A$1, ".", CALC!A25)</f>
        <v>LSD.RID.0.AR.AIAVG.21</v>
      </c>
      <c r="B24" s="50" t="str">
        <f aca="false">_xlfn.CONCAT(CALC!B25, ":", CALC!C25)</f>
        <v>Professional Services:Worker</v>
      </c>
      <c r="C24" s="56" t="n">
        <f aca="false">CALC!AA25</f>
        <v>75600</v>
      </c>
      <c r="D24" s="56" t="n">
        <f aca="false">CALC!AG25</f>
        <v>69552</v>
      </c>
      <c r="E24" s="56" t="n">
        <f aca="false">CALC!AM25</f>
        <v>62208</v>
      </c>
      <c r="F24" s="56" t="n">
        <f aca="false">CALC!AS25</f>
        <v>76680</v>
      </c>
    </row>
    <row r="25" customFormat="false" ht="12.8" hidden="false" customHeight="false" outlineLevel="0" collapsed="false">
      <c r="A25" s="47" t="str">
        <f aca="false">_xlfn.CONCAT($A$1, ".", CALC!A26)</f>
        <v>LSD.RID.0.AR.AIAVG.22</v>
      </c>
      <c r="B25" s="50" t="str">
        <f aca="false">_xlfn.CONCAT(CALC!B26, ":", CALC!C26)</f>
        <v>Professional Services:Support</v>
      </c>
      <c r="C25" s="56" t="n">
        <f aca="false">CALC!AA26</f>
        <v>75600</v>
      </c>
      <c r="D25" s="56" t="n">
        <f aca="false">CALC!AG26</f>
        <v>69552</v>
      </c>
      <c r="E25" s="56" t="n">
        <f aca="false">CALC!AM26</f>
        <v>62208</v>
      </c>
      <c r="F25" s="56" t="n">
        <f aca="false">CALC!AS26</f>
        <v>76680</v>
      </c>
    </row>
    <row r="26" customFormat="false" ht="12.8" hidden="false" customHeight="false" outlineLevel="0" collapsed="false">
      <c r="A26" s="47" t="str">
        <f aca="false">_xlfn.CONCAT($A$1, ".", CALC!A27)</f>
        <v>LSD.RID.0.AR.AIAVG.23</v>
      </c>
      <c r="B26" s="50" t="str">
        <f aca="false">_xlfn.CONCAT(CALC!B27, ":", CALC!C27)</f>
        <v>Educational Services:Worker</v>
      </c>
      <c r="C26" s="56" t="n">
        <f aca="false">CALC!AA27</f>
        <v>69120</v>
      </c>
      <c r="D26" s="56" t="n">
        <f aca="false">CALC!AG27</f>
        <v>63612</v>
      </c>
      <c r="E26" s="56" t="n">
        <f aca="false">CALC!AM27</f>
        <v>56916</v>
      </c>
      <c r="F26" s="56" t="n">
        <f aca="false">CALC!AS27</f>
        <v>70200</v>
      </c>
    </row>
    <row r="27" customFormat="false" ht="12.8" hidden="false" customHeight="false" outlineLevel="0" collapsed="false">
      <c r="A27" s="47" t="str">
        <f aca="false">_xlfn.CONCAT($A$1, ".", CALC!A28)</f>
        <v>LSD.RID.0.AR.AIAVG.24</v>
      </c>
      <c r="B27" s="50" t="str">
        <f aca="false">_xlfn.CONCAT(CALC!B28, ":", CALC!C28)</f>
        <v>Educational Services:Support</v>
      </c>
      <c r="C27" s="56" t="n">
        <f aca="false">CALC!AA28</f>
        <v>69120</v>
      </c>
      <c r="D27" s="56" t="n">
        <f aca="false">CALC!AG28</f>
        <v>63612</v>
      </c>
      <c r="E27" s="56" t="n">
        <f aca="false">CALC!AM28</f>
        <v>56916</v>
      </c>
      <c r="F27" s="56" t="n">
        <f aca="false">CALC!AS28</f>
        <v>70200</v>
      </c>
    </row>
    <row r="28" customFormat="false" ht="12.8" hidden="false" customHeight="false" outlineLevel="0" collapsed="false">
      <c r="A28" s="47" t="str">
        <f aca="false">_xlfn.CONCAT($A$1, ".", CALC!A29)</f>
        <v>LSD.RID.0.AR.AIAVG.25</v>
      </c>
      <c r="B28" s="50" t="str">
        <f aca="false">_xlfn.CONCAT(CALC!B29, ":", CALC!C29)</f>
        <v>Finance &amp; Insurance:Worker</v>
      </c>
      <c r="C28" s="56" t="n">
        <f aca="false">CALC!AA29</f>
        <v>82080</v>
      </c>
      <c r="D28" s="56" t="n">
        <f aca="false">CALC!AG29</f>
        <v>75600</v>
      </c>
      <c r="E28" s="56" t="n">
        <f aca="false">CALC!AM29</f>
        <v>67704</v>
      </c>
      <c r="F28" s="56" t="n">
        <f aca="false">CALC!AS29</f>
        <v>83160</v>
      </c>
    </row>
    <row r="29" customFormat="false" ht="12.8" hidden="false" customHeight="false" outlineLevel="0" collapsed="false">
      <c r="A29" s="47" t="str">
        <f aca="false">_xlfn.CONCAT($A$1, ".", CALC!A30)</f>
        <v>LSD.RID.0.AR.AIAVG.26</v>
      </c>
      <c r="B29" s="50" t="str">
        <f aca="false">_xlfn.CONCAT(CALC!B30, ":", CALC!C30)</f>
        <v>Finance &amp; Insurance:Support</v>
      </c>
      <c r="C29" s="56" t="n">
        <f aca="false">CALC!AA30</f>
        <v>82080</v>
      </c>
      <c r="D29" s="56" t="n">
        <f aca="false">CALC!AG30</f>
        <v>75600</v>
      </c>
      <c r="E29" s="56" t="n">
        <f aca="false">CALC!AM30</f>
        <v>67704</v>
      </c>
      <c r="F29" s="56" t="n">
        <f aca="false">CALC!AS30</f>
        <v>83160</v>
      </c>
    </row>
    <row r="30" customFormat="false" ht="12.8" hidden="false" customHeight="false" outlineLevel="0" collapsed="false">
      <c r="A30" s="47" t="str">
        <f aca="false">_xlfn.CONCAT($A$1, ".", CALC!A31)</f>
        <v>LSD.RID.0.AR.AIAVG.27</v>
      </c>
      <c r="B30" s="50" t="str">
        <f aca="false">_xlfn.CONCAT(CALC!B31, ":", CALC!C31)</f>
        <v>Media and Information Technology:Worker</v>
      </c>
      <c r="C30" s="56" t="n">
        <f aca="false">CALC!AA31</f>
        <v>90720</v>
      </c>
      <c r="D30" s="56" t="n">
        <f aca="false">CALC!AG31</f>
        <v>83556</v>
      </c>
      <c r="E30" s="56" t="n">
        <f aca="false">CALC!AM31</f>
        <v>74736</v>
      </c>
      <c r="F30" s="56" t="n">
        <f aca="false">CALC!AS31</f>
        <v>91800</v>
      </c>
    </row>
    <row r="31" customFormat="false" ht="12.8" hidden="false" customHeight="false" outlineLevel="0" collapsed="false">
      <c r="A31" s="47" t="str">
        <f aca="false">_xlfn.CONCAT($A$1, ".", CALC!A32)</f>
        <v>LSD.RID.0.AR.AIAVG.28</v>
      </c>
      <c r="B31" s="50" t="str">
        <f aca="false">_xlfn.CONCAT(CALC!B32, ":", CALC!C32)</f>
        <v>Media and Information Technology:Support</v>
      </c>
      <c r="C31" s="56" t="n">
        <f aca="false">CALC!AA32</f>
        <v>90720</v>
      </c>
      <c r="D31" s="56" t="n">
        <f aca="false">CALC!AG32</f>
        <v>83556</v>
      </c>
      <c r="E31" s="56" t="n">
        <f aca="false">CALC!AM32</f>
        <v>74736</v>
      </c>
      <c r="F31" s="56" t="n">
        <f aca="false">CALC!AS32</f>
        <v>91800</v>
      </c>
    </row>
    <row r="32" customFormat="false" ht="12.8" hidden="false" customHeight="false" outlineLevel="0" collapsed="false">
      <c r="A32" s="47" t="str">
        <f aca="false">_xlfn.CONCAT($A$1, ".", CALC!A33)</f>
        <v>LSD.RID.0.AR.AIAVG.29</v>
      </c>
      <c r="B32" s="50" t="str">
        <f aca="false">_xlfn.CONCAT(CALC!B33, ":", CALC!C33)</f>
        <v>Government:Worker</v>
      </c>
      <c r="C32" s="56" t="n">
        <f aca="false">CALC!AA33</f>
        <v>75600</v>
      </c>
      <c r="D32" s="56" t="n">
        <f aca="false">CALC!AG33</f>
        <v>69552</v>
      </c>
      <c r="E32" s="56" t="n">
        <f aca="false">CALC!AM33</f>
        <v>62208</v>
      </c>
      <c r="F32" s="56" t="n">
        <f aca="false">CALC!AS33</f>
        <v>76680</v>
      </c>
    </row>
    <row r="33" customFormat="false" ht="12.8" hidden="false" customHeight="false" outlineLevel="0" collapsed="false">
      <c r="A33" s="47" t="str">
        <f aca="false">_xlfn.CONCAT($A$1, ".", CALC!A34)</f>
        <v>LSD.RID.0.AR.AIAVG.30</v>
      </c>
      <c r="B33" s="50" t="str">
        <f aca="false">_xlfn.CONCAT(CALC!B34, ":", CALC!C34)</f>
        <v>Government:Support</v>
      </c>
      <c r="C33" s="56" t="n">
        <f aca="false">CALC!AA34</f>
        <v>75600</v>
      </c>
      <c r="D33" s="56" t="n">
        <f aca="false">CALC!AG34</f>
        <v>69552</v>
      </c>
      <c r="E33" s="56" t="n">
        <f aca="false">CALC!AM34</f>
        <v>62208</v>
      </c>
      <c r="F33" s="56" t="n">
        <f aca="false">CALC!AS34</f>
        <v>76680</v>
      </c>
    </row>
    <row r="34" customFormat="false" ht="12.8" hidden="false" customHeight="false" outlineLevel="0" collapsed="false">
      <c r="A34" s="47" t="str">
        <f aca="false">_xlfn.CONCAT($A$1, ".", CALC!A35)</f>
        <v>LSD.RID.0.AR.AIAVG.31</v>
      </c>
      <c r="B34" s="50" t="str">
        <f aca="false">_xlfn.CONCAT(CALC!B35, ":", CALC!C35)</f>
        <v>Self-Employed / Non-Employer:Support</v>
      </c>
      <c r="C34" s="56" t="n">
        <f aca="false">CALC!AA35</f>
        <v>75600</v>
      </c>
      <c r="D34" s="56" t="n">
        <f aca="false">CALC!AG35</f>
        <v>69552</v>
      </c>
      <c r="E34" s="56" t="n">
        <f aca="false">CALC!AM35</f>
        <v>62208</v>
      </c>
      <c r="F34" s="56" t="n">
        <f aca="false">CALC!AS35</f>
        <v>76680</v>
      </c>
    </row>
    <row r="35" customFormat="false" ht="12.8" hidden="false" customHeight="false" outlineLevel="0" collapsed="false">
      <c r="A35" s="47" t="str">
        <f aca="false">_xlfn.CONCAT($A$1, ".", CALC!A36)</f>
        <v>LSD.RID.0.AR.AIAVG.32</v>
      </c>
      <c r="B35" s="50" t="str">
        <f aca="false">_xlfn.CONCAT(CALC!B36, ":", CALC!C36)</f>
        <v>Self-Employed / Non-Employer:Worker</v>
      </c>
      <c r="C35" s="56" t="n">
        <f aca="false">CALC!AA36</f>
        <v>75600</v>
      </c>
      <c r="D35" s="56" t="n">
        <f aca="false">CALC!AG36</f>
        <v>69552</v>
      </c>
      <c r="E35" s="56" t="n">
        <f aca="false">CALC!AM36</f>
        <v>62208</v>
      </c>
      <c r="F35" s="56" t="n">
        <f aca="false">CALC!AS36</f>
        <v>76680</v>
      </c>
    </row>
    <row r="36" customFormat="false" ht="12.8" hidden="false" customHeight="false" outlineLevel="0" collapsed="false">
      <c r="A36" s="47" t="str">
        <f aca="false">_xlfn.CONCAT($A$1, ".", CALC!A37)</f>
        <v>LSD.RID.0.AR.AIAVG.33</v>
      </c>
      <c r="B36" s="50" t="str">
        <f aca="false">_xlfn.CONCAT(CALC!B37, ":", CALC!C37)</f>
        <v>Other Services:Support</v>
      </c>
      <c r="C36" s="56" t="n">
        <f aca="false">CALC!AA37</f>
        <v>51840</v>
      </c>
      <c r="D36" s="56" t="n">
        <f aca="false">CALC!AG37</f>
        <v>47736</v>
      </c>
      <c r="E36" s="56" t="n">
        <f aca="false">CALC!AM37</f>
        <v>42552</v>
      </c>
      <c r="F36" s="56" t="n">
        <f aca="false">CALC!AS37</f>
        <v>52920</v>
      </c>
    </row>
    <row r="37" customFormat="false" ht="12.8" hidden="false" customHeight="false" outlineLevel="0" collapsed="false">
      <c r="A37" s="47" t="str">
        <f aca="false">_xlfn.CONCAT($A$1, ".", CALC!A38)</f>
        <v>LSD.RID.0.AR.AIAVG.34</v>
      </c>
      <c r="B37" s="50" t="str">
        <f aca="false">_xlfn.CONCAT(CALC!B38, ":", CALC!C38)</f>
        <v>Other Services:Worker</v>
      </c>
      <c r="C37" s="56" t="n">
        <f aca="false">CALC!AA38</f>
        <v>51840</v>
      </c>
      <c r="D37" s="56" t="n">
        <f aca="false">CALC!AG38</f>
        <v>47736</v>
      </c>
      <c r="E37" s="56" t="n">
        <f aca="false">CALC!AM38</f>
        <v>42552</v>
      </c>
      <c r="F37" s="56" t="n">
        <f aca="false">CALC!AS38</f>
        <v>52920</v>
      </c>
    </row>
    <row r="38" customFormat="false" ht="12.8" hidden="false" customHeight="false" outlineLevel="0" collapsed="false">
      <c r="A38" s="47" t="str">
        <f aca="false">_xlfn.CONCAT($A$1, ".", CALC!A39)</f>
        <v>LSD.RID.0.AR.AIAVG.35</v>
      </c>
      <c r="B38" s="50" t="str">
        <f aca="false">_xlfn.CONCAT(CALC!B39, ":", CALC!C39)</f>
        <v>Mining, Quarrying, and Oil/Gas Extraction:Support</v>
      </c>
      <c r="C38" s="56" t="n">
        <f aca="false">CALC!AA39</f>
        <v>75600</v>
      </c>
      <c r="D38" s="56" t="n">
        <f aca="false">CALC!AG39</f>
        <v>69552</v>
      </c>
      <c r="E38" s="56" t="n">
        <f aca="false">CALC!AM39</f>
        <v>62208</v>
      </c>
      <c r="F38" s="56" t="n">
        <f aca="false">CALC!AS39</f>
        <v>76680</v>
      </c>
    </row>
    <row r="39" customFormat="false" ht="12.8" hidden="false" customHeight="false" outlineLevel="0" collapsed="false">
      <c r="A39" s="47" t="str">
        <f aca="false">_xlfn.CONCAT($A$1, ".", CALC!A40)</f>
        <v>LSD.RID.0.AR.AIAVG.36</v>
      </c>
      <c r="B39" s="50" t="str">
        <f aca="false">_xlfn.CONCAT(CALC!B40, ":", CALC!C40)</f>
        <v>Mining, Quarrying, and Oil/Gas Extraction:Worker</v>
      </c>
      <c r="C39" s="56" t="n">
        <f aca="false">CALC!AA40</f>
        <v>75600</v>
      </c>
      <c r="D39" s="56" t="n">
        <f aca="false">CALC!AG40</f>
        <v>69552</v>
      </c>
      <c r="E39" s="56" t="n">
        <f aca="false">CALC!AM40</f>
        <v>62208</v>
      </c>
      <c r="F39" s="56" t="n">
        <f aca="false">CALC!AS40</f>
        <v>76680</v>
      </c>
    </row>
    <row r="40" customFormat="false" ht="12.8" hidden="false" customHeight="false" outlineLevel="0" collapsed="false">
      <c r="A40" s="47" t="str">
        <f aca="false">_xlfn.CONCAT($A$1, ".", CALC!A41)</f>
        <v>LSD.RID.0.AR.AIAVG.37</v>
      </c>
      <c r="B40" s="50" t="str">
        <f aca="false">_xlfn.CONCAT(CALC!B41, ":", CALC!C41)</f>
        <v>Utilities:Support</v>
      </c>
      <c r="C40" s="56" t="n">
        <f aca="false">CALC!AA41</f>
        <v>82080</v>
      </c>
      <c r="D40" s="56" t="n">
        <f aca="false">CALC!AG41</f>
        <v>75600</v>
      </c>
      <c r="E40" s="56" t="n">
        <f aca="false">CALC!AM41</f>
        <v>67704</v>
      </c>
      <c r="F40" s="56" t="n">
        <f aca="false">CALC!AS41</f>
        <v>83160</v>
      </c>
    </row>
    <row r="41" customFormat="false" ht="12.8" hidden="false" customHeight="false" outlineLevel="0" collapsed="false">
      <c r="A41" s="47" t="str">
        <f aca="false">_xlfn.CONCAT($A$1, ".", CALC!A42)</f>
        <v>LSD.RID.0.AR.AIAVG.38</v>
      </c>
      <c r="B41" s="50" t="str">
        <f aca="false">_xlfn.CONCAT(CALC!B42, ":", CALC!C42)</f>
        <v>Utilities:Worker</v>
      </c>
      <c r="C41" s="56" t="n">
        <f aca="false">CALC!AA42</f>
        <v>82080</v>
      </c>
      <c r="D41" s="56" t="n">
        <f aca="false">CALC!AG42</f>
        <v>75600</v>
      </c>
      <c r="E41" s="56" t="n">
        <f aca="false">CALC!AM42</f>
        <v>67704</v>
      </c>
      <c r="F41" s="56" t="n">
        <f aca="false">CALC!AS42</f>
        <v>83160</v>
      </c>
    </row>
    <row r="42" customFormat="false" ht="12.8" hidden="false" customHeight="false" outlineLevel="0" collapsed="false">
      <c r="A42" s="47" t="str">
        <f aca="false">_xlfn.CONCAT($A$1, ".", CALC!A43)</f>
        <v>LSD.RID.0.AR.AIAVG.39</v>
      </c>
      <c r="B42" s="50" t="str">
        <f aca="false">_xlfn.CONCAT(CALC!B43, ":", CALC!C43)</f>
        <v>Wholesale Trade:Support</v>
      </c>
      <c r="C42" s="56" t="n">
        <f aca="false">CALC!AA43</f>
        <v>69120</v>
      </c>
      <c r="D42" s="56" t="n">
        <f aca="false">CALC!AG43</f>
        <v>63612</v>
      </c>
      <c r="E42" s="56" t="n">
        <f aca="false">CALC!AM43</f>
        <v>56916</v>
      </c>
      <c r="F42" s="56" t="n">
        <f aca="false">CALC!AS43</f>
        <v>70200</v>
      </c>
    </row>
    <row r="43" customFormat="false" ht="12.8" hidden="false" customHeight="false" outlineLevel="0" collapsed="false">
      <c r="A43" s="47" t="str">
        <f aca="false">_xlfn.CONCAT($A$1, ".", CALC!A44)</f>
        <v>LSD.RID.0.AR.AIAVG.40</v>
      </c>
      <c r="B43" s="50" t="str">
        <f aca="false">_xlfn.CONCAT(CALC!B44, ":", CALC!C44)</f>
        <v>Wholesale Trade:Worker</v>
      </c>
      <c r="C43" s="56" t="n">
        <f aca="false">CALC!AA44</f>
        <v>69120</v>
      </c>
      <c r="D43" s="56" t="n">
        <f aca="false">CALC!AG44</f>
        <v>63612</v>
      </c>
      <c r="E43" s="56" t="n">
        <f aca="false">CALC!AM44</f>
        <v>56916</v>
      </c>
      <c r="F43" s="56" t="n">
        <f aca="false">CALC!AS44</f>
        <v>70200</v>
      </c>
    </row>
    <row r="44" customFormat="false" ht="12.8" hidden="false" customHeight="false" outlineLevel="0" collapsed="false">
      <c r="A44" s="47" t="str">
        <f aca="false">_xlfn.CONCAT($A$1, ".", CALC!A45)</f>
        <v>LSD.RID.0.AR.AIAVG.41</v>
      </c>
      <c r="B44" s="50" t="str">
        <f aca="false">_xlfn.CONCAT(CALC!B45, ":", CALC!C45)</f>
        <v>Information:Support</v>
      </c>
      <c r="C44" s="56" t="n">
        <f aca="false">CALC!AA45</f>
        <v>90720</v>
      </c>
      <c r="D44" s="56" t="n">
        <f aca="false">CALC!AG45</f>
        <v>83556</v>
      </c>
      <c r="E44" s="56" t="n">
        <f aca="false">CALC!AM45</f>
        <v>74736</v>
      </c>
      <c r="F44" s="56" t="n">
        <f aca="false">CALC!AS45</f>
        <v>91800</v>
      </c>
    </row>
    <row r="45" customFormat="false" ht="12.8" hidden="false" customHeight="false" outlineLevel="0" collapsed="false">
      <c r="A45" s="47" t="str">
        <f aca="false">_xlfn.CONCAT($A$1, ".", CALC!A46)</f>
        <v>LSD.RID.0.AR.AIAVG.42</v>
      </c>
      <c r="B45" s="50" t="str">
        <f aca="false">_xlfn.CONCAT(CALC!B46, ":", CALC!C46)</f>
        <v>Information:Worker</v>
      </c>
      <c r="C45" s="56" t="n">
        <f aca="false">CALC!AA46</f>
        <v>90720</v>
      </c>
      <c r="D45" s="56" t="n">
        <f aca="false">CALC!AG46</f>
        <v>83556</v>
      </c>
      <c r="E45" s="56" t="n">
        <f aca="false">CALC!AM46</f>
        <v>74736</v>
      </c>
      <c r="F45" s="56" t="n">
        <f aca="false">CALC!AS46</f>
        <v>91800</v>
      </c>
    </row>
    <row r="46" customFormat="false" ht="12.8" hidden="false" customHeight="false" outlineLevel="0" collapsed="false">
      <c r="A46" s="47" t="str">
        <f aca="false">_xlfn.CONCAT($A$1, ".", CALC!A47)</f>
        <v>LSD.RID.0.AR.AIAVG.43</v>
      </c>
      <c r="B46" s="50" t="str">
        <f aca="false">_xlfn.CONCAT(CALC!B47, ":", CALC!C47)</f>
        <v>Real Estate, Rental and Leasing:Support</v>
      </c>
      <c r="C46" s="56" t="n">
        <f aca="false">CALC!AA47</f>
        <v>64800</v>
      </c>
      <c r="D46" s="56" t="n">
        <f aca="false">CALC!AG47</f>
        <v>59616</v>
      </c>
      <c r="E46" s="56" t="n">
        <f aca="false">CALC!AM47</f>
        <v>53460</v>
      </c>
      <c r="F46" s="56" t="n">
        <f aca="false">CALC!AS47</f>
        <v>65880</v>
      </c>
    </row>
    <row r="47" customFormat="false" ht="12.8" hidden="false" customHeight="false" outlineLevel="0" collapsed="false">
      <c r="A47" s="47" t="str">
        <f aca="false">_xlfn.CONCAT($A$1, ".", CALC!A48)</f>
        <v>LSD.RID.0.AR.AIAVG.44</v>
      </c>
      <c r="B47" s="50" t="str">
        <f aca="false">_xlfn.CONCAT(CALC!B48, ":", CALC!C48)</f>
        <v>Real Estate, Rental and Leasing:Worker</v>
      </c>
      <c r="C47" s="56" t="n">
        <f aca="false">CALC!AA48</f>
        <v>64800</v>
      </c>
      <c r="D47" s="56" t="n">
        <f aca="false">CALC!AG48</f>
        <v>59616</v>
      </c>
      <c r="E47" s="56" t="n">
        <f aca="false">CALC!AM48</f>
        <v>53460</v>
      </c>
      <c r="F47" s="56" t="n">
        <f aca="false">CALC!AS48</f>
        <v>65880</v>
      </c>
    </row>
    <row r="48" customFormat="false" ht="12.8" hidden="false" customHeight="false" outlineLevel="0" collapsed="false">
      <c r="A48" s="47" t="str">
        <f aca="false">_xlfn.CONCAT($A$1, ".", CALC!A49)</f>
        <v>LSD.RID.0.AR.AIAVG.45</v>
      </c>
      <c r="B48" s="50" t="str">
        <f aca="false">_xlfn.CONCAT(CALC!B49, ":", CALC!C49)</f>
        <v>Waste Management Services:Support</v>
      </c>
      <c r="C48" s="56" t="n">
        <f aca="false">CALC!AA49</f>
        <v>60480</v>
      </c>
      <c r="D48" s="56" t="n">
        <f aca="false">CALC!AG49</f>
        <v>55620</v>
      </c>
      <c r="E48" s="56" t="n">
        <f aca="false">CALC!AM49</f>
        <v>49680</v>
      </c>
      <c r="F48" s="56" t="n">
        <f aca="false">CALC!AS49</f>
        <v>61560</v>
      </c>
    </row>
    <row r="49" customFormat="false" ht="12.8" hidden="false" customHeight="false" outlineLevel="0" collapsed="false">
      <c r="A49" s="47" t="str">
        <f aca="false">_xlfn.CONCAT($A$1, ".", CALC!A50)</f>
        <v>LSD.RID.0.AR.AIAVG.46</v>
      </c>
      <c r="B49" s="50" t="str">
        <f aca="false">_xlfn.CONCAT(CALC!B50, ":", CALC!C50)</f>
        <v>Waste Management Services:Worker</v>
      </c>
      <c r="C49" s="56" t="n">
        <f aca="false">CALC!AA50</f>
        <v>60480</v>
      </c>
      <c r="D49" s="56" t="n">
        <f aca="false">CALC!AG50</f>
        <v>55620</v>
      </c>
      <c r="E49" s="56" t="n">
        <f aca="false">CALC!AM50</f>
        <v>49680</v>
      </c>
      <c r="F49" s="56" t="n">
        <f aca="false">CALC!AS50</f>
        <v>61560</v>
      </c>
    </row>
    <row r="50" customFormat="false" ht="12.8" hidden="false" customHeight="false" outlineLevel="0" collapsed="false">
      <c r="A50" s="47" t="str">
        <f aca="false">_xlfn.CONCAT($A$1, ".", CALC!A51)</f>
        <v>LSD.RID.0.AR.AIAVG.47</v>
      </c>
      <c r="B50" s="50" t="str">
        <f aca="false">_xlfn.CONCAT(CALC!B51, ":", CALC!C51)</f>
        <v>Arts, Entertainment, and Recreation:Support</v>
      </c>
      <c r="C50" s="56" t="n">
        <f aca="false">CALC!AA51</f>
        <v>47520</v>
      </c>
      <c r="D50" s="56" t="n">
        <f aca="false">CALC!AG51</f>
        <v>43740</v>
      </c>
      <c r="E50" s="56" t="n">
        <f aca="false">CALC!AM51</f>
        <v>38880</v>
      </c>
      <c r="F50" s="56" t="n">
        <f aca="false">CALC!AS51</f>
        <v>48600</v>
      </c>
    </row>
    <row r="51" customFormat="false" ht="12.8" hidden="false" customHeight="false" outlineLevel="0" collapsed="false">
      <c r="A51" s="47" t="str">
        <f aca="false">_xlfn.CONCAT($A$1, ".", CALC!A52)</f>
        <v>LSD.RID.0.AR.AIAVG.48</v>
      </c>
      <c r="B51" s="50" t="str">
        <f aca="false">_xlfn.CONCAT(CALC!B52, ":", CALC!C52)</f>
        <v>Arts, Entertainment, and Recreation:Worker</v>
      </c>
      <c r="C51" s="56" t="n">
        <f aca="false">CALC!AA52</f>
        <v>47520</v>
      </c>
      <c r="D51" s="56" t="n">
        <f aca="false">CALC!AG52</f>
        <v>43740</v>
      </c>
      <c r="E51" s="56" t="n">
        <f aca="false">CALC!AM52</f>
        <v>38880</v>
      </c>
      <c r="F51" s="56" t="n">
        <f aca="false">CALC!AS52</f>
        <v>48600</v>
      </c>
    </row>
    <row r="52" customFormat="false" ht="12.8" hidden="false" customHeight="false" outlineLevel="0" collapsed="false">
      <c r="A52" s="47" t="str">
        <f aca="false">_xlfn.CONCAT($A$1, ".", CALC!A53)</f>
        <v>LSD.RID.0.AR.AIAVG.49</v>
      </c>
      <c r="B52" s="50" t="str">
        <f aca="false">_xlfn.CONCAT(CALC!B53, ":", CALC!C53)</f>
        <v>Accommodation and Food Services:Support</v>
      </c>
      <c r="C52" s="56" t="n">
        <f aca="false">CALC!AA53</f>
        <v>38880</v>
      </c>
      <c r="D52" s="56" t="n">
        <f aca="false">CALC!AG53</f>
        <v>35748</v>
      </c>
      <c r="E52" s="56" t="n">
        <f aca="false">CALC!AM53</f>
        <v>31968</v>
      </c>
      <c r="F52" s="56" t="n">
        <f aca="false">CALC!AS53</f>
        <v>39744</v>
      </c>
    </row>
    <row r="53" customFormat="false" ht="12.8" hidden="false" customHeight="false" outlineLevel="0" collapsed="false">
      <c r="A53" s="47" t="str">
        <f aca="false">_xlfn.CONCAT($A$1, ".", CALC!A54)</f>
        <v>LSD.RID.0.AR.AIAVG.50</v>
      </c>
      <c r="B53" s="50" t="str">
        <f aca="false">_xlfn.CONCAT(CALC!B54, ":", CALC!C54)</f>
        <v>Accommodation and Food Services:Worker</v>
      </c>
      <c r="C53" s="56" t="n">
        <f aca="false">CALC!AA54</f>
        <v>38880</v>
      </c>
      <c r="D53" s="56" t="n">
        <f aca="false">CALC!AG54</f>
        <v>35748</v>
      </c>
      <c r="E53" s="56" t="n">
        <f aca="false">CALC!AM54</f>
        <v>31968</v>
      </c>
      <c r="F53" s="56" t="n">
        <f aca="false">CALC!AS54</f>
        <v>39744</v>
      </c>
    </row>
    <row r="54" customFormat="false" ht="12.8" hidden="false" customHeight="false" outlineLevel="0" collapsed="false">
      <c r="A54" s="47" t="str">
        <f aca="false">_xlfn.CONCAT($A$1, ".", CALC!A55)</f>
        <v>LSD.RID.0.AR.AIAVG.51</v>
      </c>
      <c r="B54" s="50" t="str">
        <f aca="false">_xlfn.CONCAT(CALC!B55, ":", CALC!C55)</f>
        <v>Public Administration:Support</v>
      </c>
      <c r="C54" s="56" t="n">
        <f aca="false">CALC!AA55</f>
        <v>75600</v>
      </c>
      <c r="D54" s="56" t="n">
        <f aca="false">CALC!AG55</f>
        <v>69552</v>
      </c>
      <c r="E54" s="56" t="n">
        <f aca="false">CALC!AM55</f>
        <v>62208</v>
      </c>
      <c r="F54" s="56" t="n">
        <f aca="false">CALC!AS55</f>
        <v>76680</v>
      </c>
    </row>
    <row r="55" customFormat="false" ht="12.8" hidden="false" customHeight="false" outlineLevel="0" collapsed="false">
      <c r="A55" s="47" t="str">
        <f aca="false">_xlfn.CONCAT($A$1, ".", CALC!A56)</f>
        <v>LSD.RID.0.AR.AIAVG.52</v>
      </c>
      <c r="B55" s="50" t="str">
        <f aca="false">_xlfn.CONCAT(CALC!B56, ":", CALC!C56)</f>
        <v>Public Administration:Worker</v>
      </c>
      <c r="C55" s="56" t="n">
        <f aca="false">CALC!AA56</f>
        <v>75600</v>
      </c>
      <c r="D55" s="56" t="n">
        <f aca="false">CALC!AG56</f>
        <v>69552</v>
      </c>
      <c r="E55" s="56" t="n">
        <f aca="false">CALC!AM56</f>
        <v>62208</v>
      </c>
      <c r="F55" s="56" t="n">
        <f aca="false">CALC!AS56</f>
        <v>76680</v>
      </c>
    </row>
    <row r="56" customFormat="false" ht="12.8" hidden="false" customHeight="false" outlineLevel="0" collapsed="false">
      <c r="C56" s="55"/>
      <c r="D56" s="55"/>
      <c r="E56" s="55"/>
      <c r="F56" s="55"/>
    </row>
    <row r="57" customFormat="false" ht="12.8" hidden="false" customHeight="false" outlineLevel="0" collapsed="false">
      <c r="C57" s="55"/>
      <c r="D57" s="55"/>
      <c r="E57" s="55"/>
      <c r="F57" s="55"/>
    </row>
    <row r="58" customFormat="false" ht="12.8" hidden="false" customHeight="false" outlineLevel="1" collapsed="false">
      <c r="C58" s="55"/>
      <c r="D58" s="55"/>
      <c r="E58" s="55"/>
      <c r="F58" s="55"/>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3838"/>
    <pageSetUpPr fitToPage="false"/>
  </sheetPr>
  <dimension ref="A1:BC250"/>
  <sheetViews>
    <sheetView showFormulas="false" showGridLines="true" showRowColHeaders="true" showZeros="true" rightToLeft="false" tabSelected="false" showOutlineSymbols="true" defaultGridColor="true" view="normal" topLeftCell="A195" colorId="64" zoomScale="75" zoomScaleNormal="75" zoomScalePageLayoutView="100" workbookViewId="0">
      <selection pane="topLeft" activeCell="A156" activeCellId="0" sqref="155:249"/>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41.51"/>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12.8" hidden="false" customHeight="false" outlineLevel="0" collapsed="false">
      <c r="A1" s="3" t="s">
        <v>820</v>
      </c>
      <c r="B1" s="35" t="s">
        <v>821</v>
      </c>
      <c r="C1" s="5" t="s">
        <v>2</v>
      </c>
      <c r="D1" s="48" t="s">
        <v>822</v>
      </c>
      <c r="AZ1" s="23"/>
      <c r="BA1" s="23"/>
      <c r="BB1" s="23"/>
      <c r="BC1" s="23"/>
    </row>
    <row r="2" customFormat="false" ht="46.25" hidden="false" customHeight="false" outlineLevel="0" collapsed="false">
      <c r="A2" s="25" t="s">
        <v>799</v>
      </c>
      <c r="B2" s="30" t="s">
        <v>800</v>
      </c>
      <c r="C2" s="32" t="str">
        <f aca="false">CALC!AV3</f>
        <v>Federal Personal Income Tax Revenue ($)</v>
      </c>
      <c r="D2" s="32" t="str">
        <f aca="false">CALC!AW3</f>
        <v>Authorized Immigrant Federal Personal Income Tax Revenue ($)</v>
      </c>
      <c r="E2" s="32" t="str">
        <f aca="false">CALC!AX3</f>
        <v>Unauthorized Immigrant Federal Personal Income Tax Revenue ($)</v>
      </c>
      <c r="F2" s="32" t="str">
        <f aca="false">CALC!AY3</f>
        <v>American Federal Personal Income Tax Revenue ($)</v>
      </c>
    </row>
    <row r="3" customFormat="false" ht="12.8" hidden="false" customHeight="false" outlineLevel="0" collapsed="false">
      <c r="A3" s="3" t="str">
        <f aca="false">_xlfn.CONCAT($A$1, ".", CALC!A4)</f>
        <v>LSD.RID.0.AR.FPITREV.0</v>
      </c>
      <c r="B3" s="44" t="str">
        <f aca="false">_xlfn.CONCAT(CALC!B4, ":", CALC!C4)</f>
        <v>All Industries:All Roles</v>
      </c>
      <c r="C3" s="32" t="n">
        <f aca="false">CALC!AV4</f>
        <v>9248649200</v>
      </c>
      <c r="D3" s="32" t="n">
        <f aca="false">CALC!AW4</f>
        <v>281851851</v>
      </c>
      <c r="E3" s="32" t="n">
        <f aca="false">CALC!AX4</f>
        <v>112742647</v>
      </c>
      <c r="F3" s="32" t="n">
        <f aca="false">CALC!AY4</f>
        <v>8855054870</v>
      </c>
    </row>
    <row r="4" customFormat="false" ht="12.8" hidden="false" customHeight="false" outlineLevel="0" collapsed="false">
      <c r="A4" s="47" t="str">
        <f aca="false">_xlfn.CONCAT($A$1, ".", CALC!A5)</f>
        <v>LSD.RID.0.AR.FPITREV.1</v>
      </c>
      <c r="B4" s="50" t="str">
        <f aca="false">_xlfn.CONCAT(CALC!B5, ":", CALC!C5)</f>
        <v>Agriculture:Worker</v>
      </c>
      <c r="C4" s="57" t="n">
        <f aca="false">CALC!AV5</f>
        <v>181200000</v>
      </c>
      <c r="D4" s="57" t="n">
        <f aca="false">CALC!AW5</f>
        <v>6000000</v>
      </c>
      <c r="E4" s="57" t="n">
        <f aca="false">CALC!AX5</f>
        <v>2400000</v>
      </c>
      <c r="F4" s="57" t="n">
        <f aca="false">CALC!AY5</f>
        <v>172800000</v>
      </c>
    </row>
    <row r="5" customFormat="false" ht="12.8" hidden="false" customHeight="false" outlineLevel="0" collapsed="false">
      <c r="A5" s="47" t="str">
        <f aca="false">_xlfn.CONCAT($A$1, ".", CALC!A6)</f>
        <v>LSD.RID.0.AR.FPITREV.2</v>
      </c>
      <c r="B5" s="50" t="str">
        <f aca="false">_xlfn.CONCAT(CALC!B6, ":", CALC!C6)</f>
        <v>Agriculture:Support</v>
      </c>
      <c r="C5" s="57" t="n">
        <f aca="false">CALC!AV6</f>
        <v>45300000</v>
      </c>
      <c r="D5" s="57" t="n">
        <f aca="false">CALC!AW6</f>
        <v>1500000</v>
      </c>
      <c r="E5" s="57" t="n">
        <f aca="false">CALC!AX6</f>
        <v>600000</v>
      </c>
      <c r="F5" s="57" t="n">
        <f aca="false">CALC!AY6</f>
        <v>43200000</v>
      </c>
    </row>
    <row r="6" customFormat="false" ht="12.8" hidden="false" customHeight="false" outlineLevel="0" collapsed="false">
      <c r="A6" s="47" t="str">
        <f aca="false">_xlfn.CONCAT($A$1, ".", CALC!A7)</f>
        <v>LSD.RID.0.AR.FPITREV.3</v>
      </c>
      <c r="B6" s="50" t="str">
        <f aca="false">_xlfn.CONCAT(CALC!B7, ":", CALC!C7)</f>
        <v>Construction:Worker</v>
      </c>
      <c r="C6" s="57" t="n">
        <f aca="false">CALC!AV7</f>
        <v>372000000</v>
      </c>
      <c r="D6" s="57" t="n">
        <f aca="false">CALC!AW7</f>
        <v>12800000</v>
      </c>
      <c r="E6" s="57" t="n">
        <f aca="false">CALC!AX7</f>
        <v>5120000</v>
      </c>
      <c r="F6" s="57" t="n">
        <f aca="false">CALC!AY7</f>
        <v>354080000</v>
      </c>
    </row>
    <row r="7" customFormat="false" ht="12.8" hidden="false" customHeight="false" outlineLevel="0" collapsed="false">
      <c r="A7" s="47" t="str">
        <f aca="false">_xlfn.CONCAT($A$1, ".", CALC!A8)</f>
        <v>LSD.RID.0.AR.FPITREV.4</v>
      </c>
      <c r="B7" s="50" t="str">
        <f aca="false">_xlfn.CONCAT(CALC!B8, ":", CALC!C8)</f>
        <v>Construction:Support</v>
      </c>
      <c r="C7" s="57" t="n">
        <f aca="false">CALC!AV8</f>
        <v>93000000</v>
      </c>
      <c r="D7" s="57" t="n">
        <f aca="false">CALC!AW8</f>
        <v>3200000</v>
      </c>
      <c r="E7" s="57" t="n">
        <f aca="false">CALC!AX8</f>
        <v>1280000</v>
      </c>
      <c r="F7" s="57" t="n">
        <f aca="false">CALC!AY8</f>
        <v>88520000</v>
      </c>
    </row>
    <row r="8" customFormat="false" ht="12.8" hidden="false" customHeight="false" outlineLevel="0" collapsed="false">
      <c r="A8" s="47" t="str">
        <f aca="false">_xlfn.CONCAT($A$1, ".", CALC!A9)</f>
        <v>LSD.RID.0.AR.FPITREV.5</v>
      </c>
      <c r="B8" s="50" t="str">
        <f aca="false">_xlfn.CONCAT(CALC!B9, ":", CALC!C9)</f>
        <v>Hospitality:Worker</v>
      </c>
      <c r="C8" s="57" t="n">
        <f aca="false">CALC!AV9</f>
        <v>460000000</v>
      </c>
      <c r="D8" s="57" t="n">
        <f aca="false">CALC!AW9</f>
        <v>15840000</v>
      </c>
      <c r="E8" s="57" t="n">
        <f aca="false">CALC!AX9</f>
        <v>6336000</v>
      </c>
      <c r="F8" s="57" t="n">
        <f aca="false">CALC!AY9</f>
        <v>437776000</v>
      </c>
    </row>
    <row r="9" customFormat="false" ht="12.8" hidden="false" customHeight="false" outlineLevel="0" collapsed="false">
      <c r="A9" s="47" t="str">
        <f aca="false">_xlfn.CONCAT($A$1, ".", CALC!A10)</f>
        <v>LSD.RID.0.AR.FPITREV.6</v>
      </c>
      <c r="B9" s="50" t="str">
        <f aca="false">_xlfn.CONCAT(CALC!B10, ":", CALC!C10)</f>
        <v>Hospitality:Support</v>
      </c>
      <c r="C9" s="57" t="n">
        <f aca="false">CALC!AV10</f>
        <v>115000000</v>
      </c>
      <c r="D9" s="57" t="n">
        <f aca="false">CALC!AW10</f>
        <v>3960000</v>
      </c>
      <c r="E9" s="57" t="n">
        <f aca="false">CALC!AX10</f>
        <v>1584000</v>
      </c>
      <c r="F9" s="57" t="n">
        <f aca="false">CALC!AY10</f>
        <v>109444000</v>
      </c>
    </row>
    <row r="10" customFormat="false" ht="12.8" hidden="false" customHeight="false" outlineLevel="0" collapsed="false">
      <c r="A10" s="47" t="str">
        <f aca="false">_xlfn.CONCAT($A$1, ".", CALC!A11)</f>
        <v>LSD.RID.0.AR.FPITREV.7</v>
      </c>
      <c r="B10" s="50" t="str">
        <f aca="false">_xlfn.CONCAT(CALC!B11, ":", CALC!C11)</f>
        <v>Cleaning &amp; Maintenance:Worker</v>
      </c>
      <c r="C10" s="57" t="n">
        <f aca="false">CALC!AV11</f>
        <v>195000000</v>
      </c>
      <c r="D10" s="57" t="n">
        <f aca="false">CALC!AW11</f>
        <v>6720000</v>
      </c>
      <c r="E10" s="57" t="n">
        <f aca="false">CALC!AX11</f>
        <v>2688000</v>
      </c>
      <c r="F10" s="57" t="n">
        <f aca="false">CALC!AY11</f>
        <v>185592000</v>
      </c>
    </row>
    <row r="11" customFormat="false" ht="12.8" hidden="false" customHeight="false" outlineLevel="0" collapsed="false">
      <c r="A11" s="47" t="str">
        <f aca="false">_xlfn.CONCAT($A$1, ".", CALC!A12)</f>
        <v>LSD.RID.0.AR.FPITREV.8</v>
      </c>
      <c r="B11" s="50" t="str">
        <f aca="false">_xlfn.CONCAT(CALC!B12, ":", CALC!C12)</f>
        <v>Cleaning &amp; Maintenance:Support</v>
      </c>
      <c r="C11" s="57" t="n">
        <f aca="false">CALC!AV12</f>
        <v>48750000</v>
      </c>
      <c r="D11" s="57" t="n">
        <f aca="false">CALC!AW12</f>
        <v>1680000</v>
      </c>
      <c r="E11" s="57" t="n">
        <f aca="false">CALC!AX12</f>
        <v>672000</v>
      </c>
      <c r="F11" s="57" t="n">
        <f aca="false">CALC!AY12</f>
        <v>46398000</v>
      </c>
    </row>
    <row r="12" customFormat="false" ht="12.8" hidden="false" customHeight="false" outlineLevel="0" collapsed="false">
      <c r="A12" s="47" t="str">
        <f aca="false">_xlfn.CONCAT($A$1, ".", CALC!A13)</f>
        <v>LSD.RID.0.AR.FPITREV.9</v>
      </c>
      <c r="B12" s="50" t="str">
        <f aca="false">_xlfn.CONCAT(CALC!B13, ":", CALC!C13)</f>
        <v>Manufacturing:Worker</v>
      </c>
      <c r="C12" s="57" t="n">
        <f aca="false">CALC!AV13</f>
        <v>885000000</v>
      </c>
      <c r="D12" s="57" t="n">
        <f aca="false">CALC!AW13</f>
        <v>30450000</v>
      </c>
      <c r="E12" s="57" t="n">
        <f aca="false">CALC!AX13</f>
        <v>12180000</v>
      </c>
      <c r="F12" s="57" t="n">
        <f aca="false">CALC!AY13</f>
        <v>842070000</v>
      </c>
    </row>
    <row r="13" customFormat="false" ht="12.8" hidden="false" customHeight="false" outlineLevel="0" collapsed="false">
      <c r="A13" s="47" t="str">
        <f aca="false">_xlfn.CONCAT($A$1, ".", CALC!A14)</f>
        <v>LSD.RID.0.AR.FPITREV.10</v>
      </c>
      <c r="B13" s="50" t="str">
        <f aca="false">_xlfn.CONCAT(CALC!B14, ":", CALC!C14)</f>
        <v>Manufacturing:Support</v>
      </c>
      <c r="C13" s="57" t="n">
        <f aca="false">CALC!AV14</f>
        <v>240094933</v>
      </c>
      <c r="D13" s="57" t="n">
        <f aca="false">CALC!AW14</f>
        <v>11707</v>
      </c>
      <c r="E13" s="57" t="n">
        <f aca="false">CALC!AX14</f>
        <v>14341</v>
      </c>
      <c r="F13" s="57" t="n">
        <f aca="false">CALC!AY14</f>
        <v>174361875</v>
      </c>
    </row>
    <row r="14" customFormat="false" ht="12.8" hidden="false" customHeight="false" outlineLevel="0" collapsed="false">
      <c r="A14" s="47" t="str">
        <f aca="false">_xlfn.CONCAT($A$1, ".", CALC!A15)</f>
        <v>LSD.RID.0.AR.FPITREV.11</v>
      </c>
      <c r="B14" s="50" t="str">
        <f aca="false">_xlfn.CONCAT(CALC!B15, ":", CALC!C15)</f>
        <v>Transportation &amp; Warehousing:Worker</v>
      </c>
      <c r="C14" s="57" t="n">
        <f aca="false">CALC!AV15</f>
        <v>780000000</v>
      </c>
      <c r="D14" s="57" t="n">
        <f aca="false">CALC!AW15</f>
        <v>26880000</v>
      </c>
      <c r="E14" s="57" t="n">
        <f aca="false">CALC!AX15</f>
        <v>10752000</v>
      </c>
      <c r="F14" s="57" t="n">
        <f aca="false">CALC!AY15</f>
        <v>742368000</v>
      </c>
    </row>
    <row r="15" customFormat="false" ht="12.8" hidden="false" customHeight="false" outlineLevel="0" collapsed="false">
      <c r="A15" s="47" t="str">
        <f aca="false">_xlfn.CONCAT($A$1, ".", CALC!A16)</f>
        <v>LSD.RID.0.AR.FPITREV.12</v>
      </c>
      <c r="B15" s="50" t="str">
        <f aca="false">_xlfn.CONCAT(CALC!B16, ":", CALC!C16)</f>
        <v>Transportation &amp; Warehousing:Support</v>
      </c>
      <c r="C15" s="57" t="n">
        <f aca="false">CALC!AV16</f>
        <v>260000000</v>
      </c>
      <c r="D15" s="57" t="n">
        <f aca="false">CALC!AW16</f>
        <v>8960000</v>
      </c>
      <c r="E15" s="57" t="n">
        <f aca="false">CALC!AX16</f>
        <v>3584000</v>
      </c>
      <c r="F15" s="57" t="n">
        <f aca="false">CALC!AY16</f>
        <v>247456000</v>
      </c>
    </row>
    <row r="16" customFormat="false" ht="12.8" hidden="false" customHeight="false" outlineLevel="0" collapsed="false">
      <c r="A16" s="47" t="str">
        <f aca="false">_xlfn.CONCAT($A$1, ".", CALC!A17)</f>
        <v>LSD.RID.0.AR.FPITREV.13</v>
      </c>
      <c r="B16" s="50" t="str">
        <f aca="false">_xlfn.CONCAT(CALC!B17, ":", CALC!C17)</f>
        <v>Retail Trade:Worker</v>
      </c>
      <c r="C16" s="57" t="n">
        <f aca="false">CALC!AV17</f>
        <v>1040000000</v>
      </c>
      <c r="D16" s="57" t="n">
        <f aca="false">CALC!AW17</f>
        <v>35840000</v>
      </c>
      <c r="E16" s="57" t="n">
        <f aca="false">CALC!AX17</f>
        <v>14336000</v>
      </c>
      <c r="F16" s="57" t="n">
        <f aca="false">CALC!AY17</f>
        <v>989760000</v>
      </c>
    </row>
    <row r="17" customFormat="false" ht="12.8" hidden="false" customHeight="false" outlineLevel="0" collapsed="false">
      <c r="A17" s="47" t="str">
        <f aca="false">_xlfn.CONCAT($A$1, ".", CALC!A18)</f>
        <v>LSD.RID.0.AR.FPITREV.14</v>
      </c>
      <c r="B17" s="50" t="str">
        <f aca="false">_xlfn.CONCAT(CALC!B18, ":", CALC!C18)</f>
        <v>Retail Trade:Support</v>
      </c>
      <c r="C17" s="57" t="n">
        <f aca="false">CALC!AV18</f>
        <v>446000000</v>
      </c>
      <c r="D17" s="57" t="n">
        <f aca="false">CALC!AW18</f>
        <v>15360000</v>
      </c>
      <c r="E17" s="57" t="n">
        <f aca="false">CALC!AX18</f>
        <v>6144000</v>
      </c>
      <c r="F17" s="57" t="n">
        <f aca="false">CALC!AY18</f>
        <v>424704000</v>
      </c>
    </row>
    <row r="18" customFormat="false" ht="12.8" hidden="false" customHeight="false" outlineLevel="0" collapsed="false">
      <c r="A18" s="47" t="str">
        <f aca="false">_xlfn.CONCAT($A$1, ".", CALC!A19)</f>
        <v>LSD.RID.0.AR.FPITREV.15</v>
      </c>
      <c r="B18" s="50" t="str">
        <f aca="false">_xlfn.CONCAT(CALC!B19, ":", CALC!C19)</f>
        <v>Landscaping / Groundskeeping:Worker</v>
      </c>
      <c r="C18" s="57" t="n">
        <f aca="false">CALC!AV19</f>
        <v>170000000</v>
      </c>
      <c r="D18" s="57" t="n">
        <f aca="false">CALC!AW19</f>
        <v>5850000</v>
      </c>
      <c r="E18" s="57" t="n">
        <f aca="false">CALC!AX19</f>
        <v>2340000</v>
      </c>
      <c r="F18" s="57" t="n">
        <f aca="false">CALC!AY19</f>
        <v>161850000</v>
      </c>
    </row>
    <row r="19" customFormat="false" ht="12.8" hidden="false" customHeight="false" outlineLevel="0" collapsed="false">
      <c r="A19" s="47" t="str">
        <f aca="false">_xlfn.CONCAT($A$1, ".", CALC!A20)</f>
        <v>LSD.RID.0.AR.FPITREV.16</v>
      </c>
      <c r="B19" s="50" t="str">
        <f aca="false">_xlfn.CONCAT(CALC!B20, ":", CALC!C20)</f>
        <v>Landscaping / Groundskeeping:Support</v>
      </c>
      <c r="C19" s="57" t="n">
        <f aca="false">CALC!AV20</f>
        <v>30000000</v>
      </c>
      <c r="D19" s="57" t="n">
        <f aca="false">CALC!AW20</f>
        <v>1035000</v>
      </c>
      <c r="E19" s="57" t="n">
        <f aca="false">CALC!AX20</f>
        <v>414000</v>
      </c>
      <c r="F19" s="57" t="n">
        <f aca="false">CALC!AY20</f>
        <v>28551000</v>
      </c>
    </row>
    <row r="20" customFormat="false" ht="12.8" hidden="false" customHeight="false" outlineLevel="0" collapsed="false">
      <c r="A20" s="47" t="str">
        <f aca="false">_xlfn.CONCAT($A$1, ".", CALC!A21)</f>
        <v>LSD.RID.0.AR.FPITREV.17</v>
      </c>
      <c r="B20" s="50" t="str">
        <f aca="false">_xlfn.CONCAT(CALC!B21, ":", CALC!C21)</f>
        <v>Automotive &amp; Repair:Worker</v>
      </c>
      <c r="C20" s="57" t="n">
        <f aca="false">CALC!AV21</f>
        <v>120000000</v>
      </c>
      <c r="D20" s="57" t="n">
        <f aca="false">CALC!AW21</f>
        <v>3456000</v>
      </c>
      <c r="E20" s="57" t="n">
        <f aca="false">CALC!AX21</f>
        <v>1864800</v>
      </c>
      <c r="F20" s="57" t="n">
        <f aca="false">CALC!AY21</f>
        <v>114679200</v>
      </c>
    </row>
    <row r="21" customFormat="false" ht="12.8" hidden="false" customHeight="false" outlineLevel="0" collapsed="false">
      <c r="A21" s="47" t="str">
        <f aca="false">_xlfn.CONCAT($A$1, ".", CALC!A22)</f>
        <v>LSD.RID.0.AR.FPITREV.18</v>
      </c>
      <c r="B21" s="50" t="str">
        <f aca="false">_xlfn.CONCAT(CALC!B22, ":", CALC!C22)</f>
        <v>Automotive &amp; Repair:Support</v>
      </c>
      <c r="C21" s="57" t="n">
        <f aca="false">CALC!AV22</f>
        <v>30000000</v>
      </c>
      <c r="D21" s="57" t="n">
        <f aca="false">CALC!AW22</f>
        <v>864000</v>
      </c>
      <c r="E21" s="57" t="n">
        <f aca="false">CALC!AX22</f>
        <v>466200</v>
      </c>
      <c r="F21" s="57" t="n">
        <f aca="false">CALC!AY22</f>
        <v>28669800</v>
      </c>
    </row>
    <row r="22" customFormat="false" ht="12.8" hidden="false" customHeight="false" outlineLevel="0" collapsed="false">
      <c r="A22" s="47" t="str">
        <f aca="false">_xlfn.CONCAT($A$1, ".", CALC!A23)</f>
        <v>LSD.RID.0.AR.FPITREV.19</v>
      </c>
      <c r="B22" s="50" t="str">
        <f aca="false">_xlfn.CONCAT(CALC!B23, ":", CALC!C23)</f>
        <v>Healthcare &amp; Social Assistance:Worker</v>
      </c>
      <c r="C22" s="57" t="n">
        <f aca="false">CALC!AV23</f>
        <v>1200000000</v>
      </c>
      <c r="D22" s="57" t="n">
        <f aca="false">CALC!AW23</f>
        <v>41280000</v>
      </c>
      <c r="E22" s="57" t="n">
        <f aca="false">CALC!AX23</f>
        <v>16512000</v>
      </c>
      <c r="F22" s="57" t="n">
        <f aca="false">CALC!AY23</f>
        <v>1142208000</v>
      </c>
    </row>
    <row r="23" customFormat="false" ht="12.8" hidden="false" customHeight="false" outlineLevel="0" collapsed="false">
      <c r="A23" s="47" t="str">
        <f aca="false">_xlfn.CONCAT($A$1, ".", CALC!A24)</f>
        <v>LSD.RID.0.AR.FPITREV.20</v>
      </c>
      <c r="B23" s="50" t="str">
        <f aca="false">_xlfn.CONCAT(CALC!B24, ":", CALC!C24)</f>
        <v>Healthcare &amp; Social Assistance:Support</v>
      </c>
      <c r="C23" s="57" t="n">
        <f aca="false">CALC!AV24</f>
        <v>300000000</v>
      </c>
      <c r="D23" s="57" t="n">
        <f aca="false">CALC!AW24</f>
        <v>10320000</v>
      </c>
      <c r="E23" s="57" t="n">
        <f aca="false">CALC!AX24</f>
        <v>4128000</v>
      </c>
      <c r="F23" s="57" t="n">
        <f aca="false">CALC!AY24</f>
        <v>285552000</v>
      </c>
    </row>
    <row r="24" customFormat="false" ht="12.8" hidden="false" customHeight="false" outlineLevel="0" collapsed="false">
      <c r="A24" s="47" t="str">
        <f aca="false">_xlfn.CONCAT($A$1, ".", CALC!A25)</f>
        <v>LSD.RID.0.AR.FPITREV.21</v>
      </c>
      <c r="B24" s="50" t="str">
        <f aca="false">_xlfn.CONCAT(CALC!B25, ":", CALC!C25)</f>
        <v>Professional Services:Worker</v>
      </c>
      <c r="C24" s="57" t="n">
        <f aca="false">CALC!AV25</f>
        <v>600000000</v>
      </c>
      <c r="D24" s="57" t="n">
        <f aca="false">CALC!AW25</f>
        <v>20640000</v>
      </c>
      <c r="E24" s="57" t="n">
        <f aca="false">CALC!AX25</f>
        <v>8256000</v>
      </c>
      <c r="F24" s="57" t="n">
        <f aca="false">CALC!AY25</f>
        <v>570984000</v>
      </c>
    </row>
    <row r="25" customFormat="false" ht="12.8" hidden="false" customHeight="false" outlineLevel="0" collapsed="false">
      <c r="A25" s="47" t="str">
        <f aca="false">_xlfn.CONCAT($A$1, ".", CALC!A26)</f>
        <v>LSD.RID.0.AR.FPITREV.22</v>
      </c>
      <c r="B25" s="50" t="str">
        <f aca="false">_xlfn.CONCAT(CALC!B26, ":", CALC!C26)</f>
        <v>Professional Services:Support</v>
      </c>
      <c r="C25" s="57" t="n">
        <f aca="false">CALC!AV26</f>
        <v>150000000</v>
      </c>
      <c r="D25" s="57" t="n">
        <f aca="false">CALC!AW26</f>
        <v>5160000</v>
      </c>
      <c r="E25" s="57" t="n">
        <f aca="false">CALC!AX26</f>
        <v>2064000</v>
      </c>
      <c r="F25" s="57" t="n">
        <f aca="false">CALC!AY26</f>
        <v>142746000</v>
      </c>
    </row>
    <row r="26" customFormat="false" ht="12.8" hidden="false" customHeight="false" outlineLevel="0" collapsed="false">
      <c r="A26" s="47" t="str">
        <f aca="false">_xlfn.CONCAT($A$1, ".", CALC!A27)</f>
        <v>LSD.RID.0.AR.FPITREV.23</v>
      </c>
      <c r="B26" s="50" t="str">
        <f aca="false">_xlfn.CONCAT(CALC!B27, ":", CALC!C27)</f>
        <v>Educational Services:Worker</v>
      </c>
      <c r="C26" s="57" t="n">
        <f aca="false">CALC!AV27</f>
        <v>600000000</v>
      </c>
      <c r="D26" s="57" t="n">
        <f aca="false">CALC!AW27</f>
        <v>20640000</v>
      </c>
      <c r="E26" s="57" t="n">
        <f aca="false">CALC!AX27</f>
        <v>8256000</v>
      </c>
      <c r="F26" s="57" t="n">
        <f aca="false">CALC!AY27</f>
        <v>570984000</v>
      </c>
    </row>
    <row r="27" customFormat="false" ht="12.8" hidden="false" customHeight="false" outlineLevel="0" collapsed="false">
      <c r="A27" s="47" t="str">
        <f aca="false">_xlfn.CONCAT($A$1, ".", CALC!A28)</f>
        <v>LSD.RID.0.AR.FPITREV.24</v>
      </c>
      <c r="B27" s="50" t="str">
        <f aca="false">_xlfn.CONCAT(CALC!B28, ":", CALC!C28)</f>
        <v>Educational Services:Support</v>
      </c>
      <c r="C27" s="57" t="n">
        <f aca="false">CALC!AV28</f>
        <v>150000000</v>
      </c>
      <c r="D27" s="57" t="n">
        <f aca="false">CALC!AW28</f>
        <v>5160000</v>
      </c>
      <c r="E27" s="57" t="n">
        <f aca="false">CALC!AX28</f>
        <v>2064000</v>
      </c>
      <c r="F27" s="57" t="n">
        <f aca="false">CALC!AY28</f>
        <v>142746000</v>
      </c>
    </row>
    <row r="28" customFormat="false" ht="12.8" hidden="false" customHeight="false" outlineLevel="0" collapsed="false">
      <c r="A28" s="47" t="str">
        <f aca="false">_xlfn.CONCAT($A$1, ".", CALC!A29)</f>
        <v>LSD.RID.0.AR.FPITREV.25</v>
      </c>
      <c r="B28" s="50" t="str">
        <f aca="false">_xlfn.CONCAT(CALC!B29, ":", CALC!C29)</f>
        <v>Finance &amp; Insurance:Worker</v>
      </c>
      <c r="C28" s="57" t="n">
        <f aca="false">CALC!AV29</f>
        <v>350000000</v>
      </c>
      <c r="D28" s="57" t="n">
        <f aca="false">CALC!AW29</f>
        <v>12040000</v>
      </c>
      <c r="E28" s="57" t="n">
        <f aca="false">CALC!AX29</f>
        <v>4816000</v>
      </c>
      <c r="F28" s="57" t="n">
        <f aca="false">CALC!AY29</f>
        <v>333132000</v>
      </c>
    </row>
    <row r="29" customFormat="false" ht="12.8" hidden="false" customHeight="false" outlineLevel="0" collapsed="false">
      <c r="A29" s="47" t="str">
        <f aca="false">_xlfn.CONCAT($A$1, ".", CALC!A30)</f>
        <v>LSD.RID.0.AR.FPITREV.26</v>
      </c>
      <c r="B29" s="50" t="str">
        <f aca="false">_xlfn.CONCAT(CALC!B30, ":", CALC!C30)</f>
        <v>Finance &amp; Insurance:Support</v>
      </c>
      <c r="C29" s="57" t="n">
        <f aca="false">CALC!AV30</f>
        <v>87500000</v>
      </c>
      <c r="D29" s="57" t="n">
        <f aca="false">CALC!AW30</f>
        <v>3010000</v>
      </c>
      <c r="E29" s="57" t="n">
        <f aca="false">CALC!AX30</f>
        <v>1204000</v>
      </c>
      <c r="F29" s="57" t="n">
        <f aca="false">CALC!AY30</f>
        <v>83283000</v>
      </c>
    </row>
    <row r="30" customFormat="false" ht="12.8" hidden="false" customHeight="false" outlineLevel="0" collapsed="false">
      <c r="A30" s="47" t="str">
        <f aca="false">_xlfn.CONCAT($A$1, ".", CALC!A31)</f>
        <v>LSD.RID.0.AR.FPITREV.27</v>
      </c>
      <c r="B30" s="50" t="str">
        <f aca="false">_xlfn.CONCAT(CALC!B31, ":", CALC!C31)</f>
        <v>Media and Information Technology:Worker</v>
      </c>
      <c r="C30" s="57" t="n">
        <f aca="false">CALC!AV31</f>
        <v>150000000</v>
      </c>
      <c r="D30" s="57" t="n">
        <f aca="false">CALC!AW31</f>
        <v>5160000</v>
      </c>
      <c r="E30" s="57" t="n">
        <f aca="false">CALC!AX31</f>
        <v>2064000</v>
      </c>
      <c r="F30" s="57" t="n">
        <f aca="false">CALC!AY31</f>
        <v>142746000</v>
      </c>
    </row>
    <row r="31" customFormat="false" ht="12.8" hidden="false" customHeight="false" outlineLevel="0" collapsed="false">
      <c r="A31" s="47" t="str">
        <f aca="false">_xlfn.CONCAT($A$1, ".", CALC!A32)</f>
        <v>LSD.RID.0.AR.FPITREV.28</v>
      </c>
      <c r="B31" s="50" t="str">
        <f aca="false">_xlfn.CONCAT(CALC!B32, ":", CALC!C32)</f>
        <v>Media and Information Technology:Support</v>
      </c>
      <c r="C31" s="57" t="n">
        <f aca="false">CALC!AV32</f>
        <v>37500000</v>
      </c>
      <c r="D31" s="57" t="n">
        <f aca="false">CALC!AW32</f>
        <v>1290000</v>
      </c>
      <c r="E31" s="57" t="n">
        <f aca="false">CALC!AX32</f>
        <v>516000</v>
      </c>
      <c r="F31" s="57" t="n">
        <f aca="false">CALC!AY32</f>
        <v>35686500</v>
      </c>
    </row>
    <row r="32" customFormat="false" ht="12.8" hidden="false" customHeight="false" outlineLevel="0" collapsed="false">
      <c r="A32" s="47" t="str">
        <f aca="false">_xlfn.CONCAT($A$1, ".", CALC!A33)</f>
        <v>LSD.RID.0.AR.FPITREV.29</v>
      </c>
      <c r="B32" s="50" t="str">
        <f aca="false">_xlfn.CONCAT(CALC!B33, ":", CALC!C33)</f>
        <v>Government:Worker</v>
      </c>
      <c r="C32" s="57" t="n">
        <f aca="false">CALC!AV33</f>
        <v>600000000</v>
      </c>
      <c r="D32" s="57" t="n">
        <f aca="false">CALC!AW33</f>
        <v>20640000</v>
      </c>
      <c r="E32" s="57" t="n">
        <f aca="false">CALC!AX33</f>
        <v>8256000</v>
      </c>
      <c r="F32" s="57" t="n">
        <f aca="false">CALC!AY33</f>
        <v>570984000</v>
      </c>
    </row>
    <row r="33" customFormat="false" ht="12.8" hidden="false" customHeight="false" outlineLevel="0" collapsed="false">
      <c r="A33" s="47" t="str">
        <f aca="false">_xlfn.CONCAT($A$1, ".", CALC!A34)</f>
        <v>LSD.RID.0.AR.FPITREV.30</v>
      </c>
      <c r="B33" s="50" t="str">
        <f aca="false">_xlfn.CONCAT(CALC!B34, ":", CALC!C34)</f>
        <v>Government:Support</v>
      </c>
      <c r="C33" s="57" t="n">
        <f aca="false">CALC!AV34</f>
        <v>150000000</v>
      </c>
      <c r="D33" s="57" t="n">
        <f aca="false">CALC!AW34</f>
        <v>5160000</v>
      </c>
      <c r="E33" s="57" t="n">
        <f aca="false">CALC!AX34</f>
        <v>2064000</v>
      </c>
      <c r="F33" s="57" t="n">
        <f aca="false">CALC!AY34</f>
        <v>142746000</v>
      </c>
    </row>
    <row r="34" customFormat="false" ht="12.8" hidden="false" customHeight="false" outlineLevel="0" collapsed="false">
      <c r="A34" s="47" t="str">
        <f aca="false">_xlfn.CONCAT($A$1, ".", CALC!A35)</f>
        <v>LSD.RID.0.AR.FPITREV.31</v>
      </c>
      <c r="B34" s="50" t="str">
        <f aca="false">_xlfn.CONCAT(CALC!B35, ":", CALC!C35)</f>
        <v>Self-Employed / Non-Employer:Support</v>
      </c>
      <c r="C34" s="57" t="n">
        <f aca="false">CALC!AV35</f>
        <v>600000000</v>
      </c>
      <c r="D34" s="57" t="n">
        <f aca="false">CALC!AW35</f>
        <v>20640000</v>
      </c>
      <c r="E34" s="57" t="n">
        <f aca="false">CALC!AX35</f>
        <v>8256000</v>
      </c>
      <c r="F34" s="57" t="n">
        <f aca="false">CALC!AY35</f>
        <v>570984000</v>
      </c>
    </row>
    <row r="35" customFormat="false" ht="12.8" hidden="false" customHeight="false" outlineLevel="0" collapsed="false">
      <c r="A35" s="47" t="str">
        <f aca="false">_xlfn.CONCAT($A$1, ".", CALC!A36)</f>
        <v>LSD.RID.0.AR.FPITREV.32</v>
      </c>
      <c r="B35" s="50" t="str">
        <f aca="false">_xlfn.CONCAT(CALC!B36, ":", CALC!C36)</f>
        <v>Self-Employed / Non-Employer:Worker</v>
      </c>
      <c r="C35" s="57" t="n">
        <f aca="false">CALC!AV36</f>
        <v>1500000000</v>
      </c>
      <c r="D35" s="57" t="n">
        <f aca="false">CALC!AW36</f>
        <v>51600000</v>
      </c>
      <c r="E35" s="57" t="n">
        <f aca="false">CALC!AX36</f>
        <v>20640000</v>
      </c>
      <c r="F35" s="57" t="n">
        <f aca="false">CALC!AY36</f>
        <v>1427760000</v>
      </c>
    </row>
    <row r="36" customFormat="false" ht="12.8" hidden="false" customHeight="false" outlineLevel="0" collapsed="false">
      <c r="A36" s="47" t="str">
        <f aca="false">_xlfn.CONCAT($A$1, ".", CALC!A37)</f>
        <v>LSD.RID.0.AR.FPITREV.33</v>
      </c>
      <c r="B36" s="50" t="str">
        <f aca="false">_xlfn.CONCAT(CALC!B37, ":", CALC!C37)</f>
        <v>Other Services:Support</v>
      </c>
      <c r="C36" s="57" t="n">
        <f aca="false">CALC!AV37</f>
        <v>87500000</v>
      </c>
      <c r="D36" s="57" t="n">
        <f aca="false">CALC!AW37</f>
        <v>3012000</v>
      </c>
      <c r="E36" s="57" t="n">
        <f aca="false">CALC!AX37</f>
        <v>1204800</v>
      </c>
      <c r="F36" s="57" t="n">
        <f aca="false">CALC!AY37</f>
        <v>83283000</v>
      </c>
    </row>
    <row r="37" customFormat="false" ht="12.8" hidden="false" customHeight="false" outlineLevel="0" collapsed="false">
      <c r="A37" s="47" t="str">
        <f aca="false">_xlfn.CONCAT($A$1, ".", CALC!A38)</f>
        <v>LSD.RID.0.AR.FPITREV.34</v>
      </c>
      <c r="B37" s="50" t="str">
        <f aca="false">_xlfn.CONCAT(CALC!B38, ":", CALC!C38)</f>
        <v>Other Services:Worker</v>
      </c>
      <c r="C37" s="57" t="n">
        <f aca="false">CALC!AV38</f>
        <v>350000000</v>
      </c>
      <c r="D37" s="57" t="n">
        <f aca="false">CALC!AW38</f>
        <v>12048000</v>
      </c>
      <c r="E37" s="57" t="n">
        <f aca="false">CALC!AX38</f>
        <v>4819200</v>
      </c>
      <c r="F37" s="57" t="n">
        <f aca="false">CALC!AY38</f>
        <v>333132800</v>
      </c>
    </row>
    <row r="38" customFormat="false" ht="12.8" hidden="false" customHeight="false" outlineLevel="0" collapsed="false">
      <c r="A38" s="47" t="str">
        <f aca="false">_xlfn.CONCAT($A$1, ".", CALC!A39)</f>
        <v>LSD.RID.0.AR.FPITREV.35</v>
      </c>
      <c r="B38" s="50" t="str">
        <f aca="false">_xlfn.CONCAT(CALC!B39, ":", CALC!C39)</f>
        <v>Mining, Quarrying, and Oil/Gas Extraction:Support</v>
      </c>
      <c r="C38" s="57" t="n">
        <f aca="false">CALC!AV39</f>
        <v>60000000</v>
      </c>
      <c r="D38" s="57" t="n">
        <f aca="false">CALC!AW39</f>
        <v>2064000</v>
      </c>
      <c r="E38" s="57" t="n">
        <f aca="false">CALC!AX39</f>
        <v>825600</v>
      </c>
      <c r="F38" s="57" t="n">
        <f aca="false">CALC!AY39</f>
        <v>57098400</v>
      </c>
    </row>
    <row r="39" customFormat="false" ht="12.8" hidden="false" customHeight="false" outlineLevel="0" collapsed="false">
      <c r="A39" s="47" t="str">
        <f aca="false">_xlfn.CONCAT($A$1, ".", CALC!A40)</f>
        <v>LSD.RID.0.AR.FPITREV.36</v>
      </c>
      <c r="B39" s="50" t="str">
        <f aca="false">_xlfn.CONCAT(CALC!B40, ":", CALC!C40)</f>
        <v>Mining, Quarrying, and Oil/Gas Extraction:Worker</v>
      </c>
      <c r="C39" s="57" t="n">
        <f aca="false">CALC!AV40</f>
        <v>150000000</v>
      </c>
      <c r="D39" s="57" t="n">
        <f aca="false">CALC!AW40</f>
        <v>5160000</v>
      </c>
      <c r="E39" s="57" t="n">
        <f aca="false">CALC!AX40</f>
        <v>2064000</v>
      </c>
      <c r="F39" s="57" t="n">
        <f aca="false">CALC!AY40</f>
        <v>142746000</v>
      </c>
    </row>
    <row r="40" customFormat="false" ht="12.8" hidden="false" customHeight="false" outlineLevel="0" collapsed="false">
      <c r="A40" s="47" t="str">
        <f aca="false">_xlfn.CONCAT($A$1, ".", CALC!A41)</f>
        <v>LSD.RID.0.AR.FPITREV.37</v>
      </c>
      <c r="B40" s="50" t="str">
        <f aca="false">_xlfn.CONCAT(CALC!B41, ":", CALC!C41)</f>
        <v>Utilities:Support</v>
      </c>
      <c r="C40" s="57" t="n">
        <f aca="false">CALC!AV41</f>
        <v>32500000</v>
      </c>
      <c r="D40" s="57" t="n">
        <f aca="false">CALC!AW41</f>
        <v>1118000</v>
      </c>
      <c r="E40" s="57" t="n">
        <f aca="false">CALC!AX41</f>
        <v>447200</v>
      </c>
      <c r="F40" s="57" t="n">
        <f aca="false">CALC!AY41</f>
        <v>30934800</v>
      </c>
    </row>
    <row r="41" customFormat="false" ht="12.8" hidden="false" customHeight="false" outlineLevel="0" collapsed="false">
      <c r="A41" s="47" t="str">
        <f aca="false">_xlfn.CONCAT($A$1, ".", CALC!A42)</f>
        <v>LSD.RID.0.AR.FPITREV.38</v>
      </c>
      <c r="B41" s="50" t="str">
        <f aca="false">_xlfn.CONCAT(CALC!B42, ":", CALC!C42)</f>
        <v>Utilities:Worker</v>
      </c>
      <c r="C41" s="57" t="n">
        <f aca="false">CALC!AV42</f>
        <v>130000000</v>
      </c>
      <c r="D41" s="57" t="n">
        <f aca="false">CALC!AW42</f>
        <v>4472000</v>
      </c>
      <c r="E41" s="57" t="n">
        <f aca="false">CALC!AX42</f>
        <v>1788800</v>
      </c>
      <c r="F41" s="57" t="n">
        <f aca="false">CALC!AY42</f>
        <v>123739200</v>
      </c>
    </row>
    <row r="42" customFormat="false" ht="12.8" hidden="false" customHeight="false" outlineLevel="0" collapsed="false">
      <c r="A42" s="47" t="str">
        <f aca="false">_xlfn.CONCAT($A$1, ".", CALC!A43)</f>
        <v>LSD.RID.0.AR.FPITREV.39</v>
      </c>
      <c r="B42" s="50" t="str">
        <f aca="false">_xlfn.CONCAT(CALC!B43, ":", CALC!C43)</f>
        <v>Wholesale Trade:Support</v>
      </c>
      <c r="C42" s="57" t="n">
        <f aca="false">CALC!AV43</f>
        <v>137500000</v>
      </c>
      <c r="D42" s="57" t="n">
        <f aca="false">CALC!AW43</f>
        <v>4730000</v>
      </c>
      <c r="E42" s="57" t="n">
        <f aca="false">CALC!AX43</f>
        <v>1892000</v>
      </c>
      <c r="F42" s="57" t="n">
        <f aca="false">CALC!AY43</f>
        <v>130888000</v>
      </c>
    </row>
    <row r="43" customFormat="false" ht="12.8" hidden="false" customHeight="false" outlineLevel="0" collapsed="false">
      <c r="A43" s="47" t="str">
        <f aca="false">_xlfn.CONCAT($A$1, ".", CALC!A44)</f>
        <v>LSD.RID.0.AR.FPITREV.40</v>
      </c>
      <c r="B43" s="50" t="str">
        <f aca="false">_xlfn.CONCAT(CALC!B44, ":", CALC!C44)</f>
        <v>Wholesale Trade:Worker</v>
      </c>
      <c r="C43" s="57" t="n">
        <f aca="false">CALC!AV44</f>
        <v>550000000</v>
      </c>
      <c r="D43" s="57" t="n">
        <f aca="false">CALC!AW44</f>
        <v>18920000</v>
      </c>
      <c r="E43" s="57" t="n">
        <f aca="false">CALC!AX44</f>
        <v>7568000</v>
      </c>
      <c r="F43" s="57" t="n">
        <f aca="false">CALC!AY44</f>
        <v>521552000</v>
      </c>
    </row>
    <row r="44" customFormat="false" ht="12.8" hidden="false" customHeight="false" outlineLevel="0" collapsed="false">
      <c r="A44" s="47" t="str">
        <f aca="false">_xlfn.CONCAT($A$1, ".", CALC!A45)</f>
        <v>LSD.RID.0.AR.FPITREV.41</v>
      </c>
      <c r="B44" s="50" t="str">
        <f aca="false">_xlfn.CONCAT(CALC!B45, ":", CALC!C45)</f>
        <v>Information:Support</v>
      </c>
      <c r="C44" s="57" t="n">
        <f aca="false">CALC!AV45</f>
        <v>37500000</v>
      </c>
      <c r="D44" s="57" t="n">
        <f aca="false">CALC!AW45</f>
        <v>1290000</v>
      </c>
      <c r="E44" s="57" t="n">
        <f aca="false">CALC!AX45</f>
        <v>516000</v>
      </c>
      <c r="F44" s="57" t="n">
        <f aca="false">CALC!AY45</f>
        <v>35686500</v>
      </c>
    </row>
    <row r="45" customFormat="false" ht="12.8" hidden="false" customHeight="false" outlineLevel="0" collapsed="false">
      <c r="A45" s="47" t="str">
        <f aca="false">_xlfn.CONCAT($A$1, ".", CALC!A46)</f>
        <v>LSD.RID.0.AR.FPITREV.42</v>
      </c>
      <c r="B45" s="50" t="str">
        <f aca="false">_xlfn.CONCAT(CALC!B46, ":", CALC!C46)</f>
        <v>Information:Worker</v>
      </c>
      <c r="C45" s="57" t="n">
        <f aca="false">CALC!AV46</f>
        <v>150000000</v>
      </c>
      <c r="D45" s="57" t="n">
        <f aca="false">CALC!AW46</f>
        <v>5160000</v>
      </c>
      <c r="E45" s="57" t="n">
        <f aca="false">CALC!AX46</f>
        <v>2064000</v>
      </c>
      <c r="F45" s="57" t="n">
        <f aca="false">CALC!AY46</f>
        <v>142746000</v>
      </c>
    </row>
    <row r="46" customFormat="false" ht="12.8" hidden="false" customHeight="false" outlineLevel="0" collapsed="false">
      <c r="A46" s="47" t="str">
        <f aca="false">_xlfn.CONCAT($A$1, ".", CALC!A47)</f>
        <v>LSD.RID.0.AR.FPITREV.43</v>
      </c>
      <c r="B46" s="50" t="str">
        <f aca="false">_xlfn.CONCAT(CALC!B47, ":", CALC!C47)</f>
        <v>Real Estate, Rental and Leasing:Support</v>
      </c>
      <c r="C46" s="57" t="n">
        <f aca="false">CALC!AV47</f>
        <v>52500000</v>
      </c>
      <c r="D46" s="57" t="n">
        <f aca="false">CALC!AW47</f>
        <v>1806000</v>
      </c>
      <c r="E46" s="57" t="n">
        <f aca="false">CALC!AX47</f>
        <v>722400</v>
      </c>
      <c r="F46" s="57" t="n">
        <f aca="false">CALC!AY47</f>
        <v>49971600</v>
      </c>
    </row>
    <row r="47" customFormat="false" ht="12.8" hidden="false" customHeight="false" outlineLevel="0" collapsed="false">
      <c r="A47" s="47" t="str">
        <f aca="false">_xlfn.CONCAT($A$1, ".", CALC!A48)</f>
        <v>LSD.RID.0.AR.FPITREV.44</v>
      </c>
      <c r="B47" s="50" t="str">
        <f aca="false">_xlfn.CONCAT(CALC!B48, ":", CALC!C48)</f>
        <v>Real Estate, Rental and Leasing:Worker</v>
      </c>
      <c r="C47" s="57" t="n">
        <f aca="false">CALC!AV48</f>
        <v>210000000</v>
      </c>
      <c r="D47" s="57" t="n">
        <f aca="false">CALC!AW48</f>
        <v>7224000</v>
      </c>
      <c r="E47" s="57" t="n">
        <f aca="false">CALC!AX48</f>
        <v>2889600</v>
      </c>
      <c r="F47" s="57" t="n">
        <f aca="false">CALC!AY48</f>
        <v>199886400</v>
      </c>
    </row>
    <row r="48" customFormat="false" ht="12.8" hidden="false" customHeight="false" outlineLevel="0" collapsed="false">
      <c r="A48" s="47" t="str">
        <f aca="false">_xlfn.CONCAT($A$1, ".", CALC!A49)</f>
        <v>LSD.RID.0.AR.FPITREV.45</v>
      </c>
      <c r="B48" s="50" t="str">
        <f aca="false">_xlfn.CONCAT(CALC!B49, ":", CALC!C49)</f>
        <v>Waste Management Services:Support</v>
      </c>
      <c r="C48" s="57" t="n">
        <f aca="false">CALC!AV49</f>
        <v>25000000</v>
      </c>
      <c r="D48" s="57" t="n">
        <f aca="false">CALC!AW49</f>
        <v>860000</v>
      </c>
      <c r="E48" s="57" t="n">
        <f aca="false">CALC!AX49</f>
        <v>344000</v>
      </c>
      <c r="F48" s="57" t="n">
        <f aca="false">CALC!AY49</f>
        <v>23786400</v>
      </c>
    </row>
    <row r="49" customFormat="false" ht="12.8" hidden="false" customHeight="false" outlineLevel="0" collapsed="false">
      <c r="A49" s="47" t="str">
        <f aca="false">_xlfn.CONCAT($A$1, ".", CALC!A50)</f>
        <v>LSD.RID.0.AR.FPITREV.46</v>
      </c>
      <c r="B49" s="50" t="str">
        <f aca="false">_xlfn.CONCAT(CALC!B50, ":", CALC!C50)</f>
        <v>Waste Management Services:Worker</v>
      </c>
      <c r="C49" s="57" t="n">
        <f aca="false">CALC!AV50</f>
        <v>100000000</v>
      </c>
      <c r="D49" s="57" t="n">
        <f aca="false">CALC!AW50</f>
        <v>3440000</v>
      </c>
      <c r="E49" s="57" t="n">
        <f aca="false">CALC!AX50</f>
        <v>1376000</v>
      </c>
      <c r="F49" s="57" t="n">
        <f aca="false">CALC!AY50</f>
        <v>95145600</v>
      </c>
    </row>
    <row r="50" customFormat="false" ht="12.8" hidden="false" customHeight="false" outlineLevel="0" collapsed="false">
      <c r="A50" s="47" t="str">
        <f aca="false">_xlfn.CONCAT($A$1, ".", CALC!A51)</f>
        <v>LSD.RID.0.AR.FPITREV.47</v>
      </c>
      <c r="B50" s="50" t="str">
        <f aca="false">_xlfn.CONCAT(CALC!B51, ":", CALC!C51)</f>
        <v>Arts, Entertainment, and Recreation:Support</v>
      </c>
      <c r="C50" s="57" t="n">
        <f aca="false">CALC!AV51</f>
        <v>47500000</v>
      </c>
      <c r="D50" s="57" t="n">
        <f aca="false">CALC!AW51</f>
        <v>1634000</v>
      </c>
      <c r="E50" s="57" t="n">
        <f aca="false">CALC!AX51</f>
        <v>653600</v>
      </c>
      <c r="F50" s="57" t="n">
        <f aca="false">CALC!AY51</f>
        <v>45315400</v>
      </c>
    </row>
    <row r="51" customFormat="false" ht="12.8" hidden="false" customHeight="false" outlineLevel="0" collapsed="false">
      <c r="A51" s="47" t="str">
        <f aca="false">_xlfn.CONCAT($A$1, ".", CALC!A52)</f>
        <v>LSD.RID.0.AR.FPITREV.48</v>
      </c>
      <c r="B51" s="50" t="str">
        <f aca="false">_xlfn.CONCAT(CALC!B52, ":", CALC!C52)</f>
        <v>Arts, Entertainment, and Recreation:Worker</v>
      </c>
      <c r="C51" s="57" t="n">
        <f aca="false">CALC!AV52</f>
        <v>190000000</v>
      </c>
      <c r="D51" s="57" t="n">
        <f aca="false">CALC!AW52</f>
        <v>6536000</v>
      </c>
      <c r="E51" s="57" t="n">
        <f aca="false">CALC!AX52</f>
        <v>2614400</v>
      </c>
      <c r="F51" s="57" t="n">
        <f aca="false">CALC!AY52</f>
        <v>181261600</v>
      </c>
    </row>
    <row r="52" customFormat="false" ht="12.8" hidden="false" customHeight="false" outlineLevel="0" collapsed="false">
      <c r="A52" s="47" t="str">
        <f aca="false">_xlfn.CONCAT($A$1, ".", CALC!A53)</f>
        <v>LSD.RID.0.AR.FPITREV.49</v>
      </c>
      <c r="B52" s="50" t="str">
        <f aca="false">_xlfn.CONCAT(CALC!B53, ":", CALC!C53)</f>
        <v>Accommodation and Food Services:Support</v>
      </c>
      <c r="C52" s="57" t="n">
        <f aca="false">CALC!AV53</f>
        <v>115000000</v>
      </c>
      <c r="D52" s="57" t="n">
        <f aca="false">CALC!AW53</f>
        <v>3960000</v>
      </c>
      <c r="E52" s="57" t="n">
        <f aca="false">CALC!AX53</f>
        <v>1584000</v>
      </c>
      <c r="F52" s="57" t="n">
        <f aca="false">CALC!AY53</f>
        <v>109444000</v>
      </c>
    </row>
    <row r="53" customFormat="false" ht="12.8" hidden="false" customHeight="false" outlineLevel="0" collapsed="false">
      <c r="A53" s="47" t="str">
        <f aca="false">_xlfn.CONCAT($A$1, ".", CALC!A54)</f>
        <v>LSD.RID.0.AR.FPITREV.50</v>
      </c>
      <c r="B53" s="50" t="str">
        <f aca="false">_xlfn.CONCAT(CALC!B54, ":", CALC!C54)</f>
        <v>Accommodation and Food Services:Worker</v>
      </c>
      <c r="C53" s="57" t="n">
        <f aca="false">CALC!AV54</f>
        <v>460000000</v>
      </c>
      <c r="D53" s="57" t="n">
        <f aca="false">CALC!AW54</f>
        <v>15840000</v>
      </c>
      <c r="E53" s="57" t="n">
        <f aca="false">CALC!AX54</f>
        <v>6336000</v>
      </c>
      <c r="F53" s="57" t="n">
        <f aca="false">CALC!AY54</f>
        <v>437776000</v>
      </c>
    </row>
    <row r="54" customFormat="false" ht="12.8" hidden="false" customHeight="false" outlineLevel="0" collapsed="false">
      <c r="A54" s="47" t="str">
        <f aca="false">_xlfn.CONCAT($A$1, ".", CALC!A55)</f>
        <v>LSD.RID.0.AR.FPITREV.51</v>
      </c>
      <c r="B54" s="50" t="str">
        <f aca="false">_xlfn.CONCAT(CALC!B55, ":", CALC!C55)</f>
        <v>Public Administration:Support</v>
      </c>
      <c r="C54" s="57" t="n">
        <f aca="false">CALC!AV55</f>
        <v>150000000</v>
      </c>
      <c r="D54" s="57" t="n">
        <f aca="false">CALC!AW55</f>
        <v>5160000</v>
      </c>
      <c r="E54" s="57" t="n">
        <f aca="false">CALC!AX55</f>
        <v>2064000</v>
      </c>
      <c r="F54" s="57" t="n">
        <f aca="false">CALC!AY55</f>
        <v>142746000</v>
      </c>
    </row>
    <row r="55" customFormat="false" ht="12.8" hidden="false" customHeight="false" outlineLevel="0" collapsed="false">
      <c r="A55" s="47" t="str">
        <f aca="false">_xlfn.CONCAT($A$1, ".", CALC!A56)</f>
        <v>LSD.RID.0.AR.FPITREV.52</v>
      </c>
      <c r="B55" s="50" t="str">
        <f aca="false">_xlfn.CONCAT(CALC!B56, ":", CALC!C56)</f>
        <v>Public Administration:Worker</v>
      </c>
      <c r="C55" s="57" t="n">
        <f aca="false">CALC!AV56</f>
        <v>600000000</v>
      </c>
      <c r="D55" s="57" t="n">
        <f aca="false">CALC!AW56</f>
        <v>20640000</v>
      </c>
      <c r="E55" s="57" t="n">
        <f aca="false">CALC!AX56</f>
        <v>8256000</v>
      </c>
      <c r="F55" s="57" t="n">
        <f aca="false">CALC!AY56</f>
        <v>570984000</v>
      </c>
    </row>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4"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row r="250"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BP248"/>
  <sheetViews>
    <sheetView showFormulas="false" showGridLines="true" showRowColHeaders="true" showZeros="true" rightToLeft="false" tabSelected="false" showOutlineSymbols="true" defaultGridColor="true" view="normal" topLeftCell="A232" colorId="64" zoomScale="75" zoomScaleNormal="75" zoomScalePageLayoutView="100" workbookViewId="0">
      <selection pane="topLeft" activeCell="A154" activeCellId="1" sqref="155:249 A154"/>
    </sheetView>
  </sheetViews>
  <sheetFormatPr defaultColWidth="11.53515625" defaultRowHeight="12.8" customHeight="false" zeroHeight="false" outlineLevelRow="1" outlineLevelCol="0"/>
  <cols>
    <col collapsed="false" customWidth="false" hidden="false" outlineLevel="0" max="1" min="1" style="34" width="11.53"/>
    <col collapsed="false" customWidth="true" hidden="false" outlineLevel="0" max="2" min="2" style="23" width="36.9"/>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23.85" hidden="false" customHeight="false" outlineLevel="0" collapsed="false">
      <c r="A1" s="3" t="s">
        <v>823</v>
      </c>
      <c r="B1" s="30" t="s">
        <v>824</v>
      </c>
      <c r="C1" s="5" t="s">
        <v>2</v>
      </c>
      <c r="D1" s="48" t="s">
        <v>825</v>
      </c>
      <c r="AZ1" s="23"/>
      <c r="BP1" s="23"/>
    </row>
    <row r="2" customFormat="false" ht="46.25" hidden="false" customHeight="false" outlineLevel="0" collapsed="false">
      <c r="A2" s="25" t="s">
        <v>799</v>
      </c>
      <c r="B2" s="30" t="s">
        <v>800</v>
      </c>
      <c r="C2" s="32" t="str">
        <f aca="false">CALC!AV3</f>
        <v>Federal Personal Income Tax Revenue ($)</v>
      </c>
      <c r="D2" s="32" t="str">
        <f aca="false">CALC!AW3</f>
        <v>Authorized Immigrant Federal Personal Income Tax Revenue ($)</v>
      </c>
      <c r="E2" s="32" t="str">
        <f aca="false">CALC!AX3</f>
        <v>Unauthorized Immigrant Federal Personal Income Tax Revenue ($)</v>
      </c>
      <c r="F2" s="32" t="str">
        <f aca="false">CALC!AY3</f>
        <v>American Federal Personal Income Tax Revenue ($)</v>
      </c>
    </row>
    <row r="3" customFormat="false" ht="12.8" hidden="false" customHeight="false" outlineLevel="0" collapsed="false">
      <c r="A3" s="3" t="str">
        <f aca="false">_xlfn.CONCAT($A$1, ".", CALC!A4)</f>
        <v>LSD.RID.0.AR.FPPTR.0</v>
      </c>
      <c r="B3" s="44" t="str">
        <f aca="false">_xlfn.CONCAT(CALC!B4, ":", CALC!C4)</f>
        <v>All Industries:All Roles</v>
      </c>
      <c r="C3" s="32" t="n">
        <f aca="false">CALC!AV4</f>
        <v>9248649200</v>
      </c>
      <c r="D3" s="32" t="n">
        <f aca="false">CALC!AW4</f>
        <v>281851851</v>
      </c>
      <c r="E3" s="32" t="n">
        <f aca="false">CALC!AX4</f>
        <v>112742647</v>
      </c>
      <c r="F3" s="32" t="n">
        <f aca="false">CALC!AY4</f>
        <v>8855054870</v>
      </c>
    </row>
    <row r="4" customFormat="false" ht="12.8" hidden="false" customHeight="false" outlineLevel="0" collapsed="false">
      <c r="A4" s="47" t="str">
        <f aca="false">_xlfn.CONCAT($A$1, ".", CALC!A5)</f>
        <v>LSD.RID.0.AR.FPPTR.1</v>
      </c>
      <c r="B4" s="50" t="str">
        <f aca="false">_xlfn.CONCAT(CALC!B5, ":", CALC!C5)</f>
        <v>Agriculture:Worker</v>
      </c>
      <c r="C4" s="57" t="n">
        <f aca="false">CALC!AV5</f>
        <v>181200000</v>
      </c>
      <c r="D4" s="57" t="n">
        <f aca="false">CALC!AW5</f>
        <v>6000000</v>
      </c>
      <c r="E4" s="57" t="n">
        <f aca="false">CALC!AX5</f>
        <v>2400000</v>
      </c>
      <c r="F4" s="57" t="n">
        <f aca="false">CALC!AY5</f>
        <v>172800000</v>
      </c>
    </row>
    <row r="5" customFormat="false" ht="12.8" hidden="false" customHeight="false" outlineLevel="0" collapsed="false">
      <c r="A5" s="47" t="str">
        <f aca="false">_xlfn.CONCAT($A$1, ".", CALC!A6)</f>
        <v>LSD.RID.0.AR.FPPTR.2</v>
      </c>
      <c r="B5" s="50" t="str">
        <f aca="false">_xlfn.CONCAT(CALC!B6, ":", CALC!C6)</f>
        <v>Agriculture:Support</v>
      </c>
      <c r="C5" s="57" t="n">
        <f aca="false">CALC!AV6</f>
        <v>45300000</v>
      </c>
      <c r="D5" s="57" t="n">
        <f aca="false">CALC!AW6</f>
        <v>1500000</v>
      </c>
      <c r="E5" s="57" t="n">
        <f aca="false">CALC!AX6</f>
        <v>600000</v>
      </c>
      <c r="F5" s="57" t="n">
        <f aca="false">CALC!AY6</f>
        <v>43200000</v>
      </c>
    </row>
    <row r="6" customFormat="false" ht="12.8" hidden="false" customHeight="false" outlineLevel="0" collapsed="false">
      <c r="A6" s="47" t="str">
        <f aca="false">_xlfn.CONCAT($A$1, ".", CALC!A7)</f>
        <v>LSD.RID.0.AR.FPPTR.3</v>
      </c>
      <c r="B6" s="50" t="str">
        <f aca="false">_xlfn.CONCAT(CALC!B7, ":", CALC!C7)</f>
        <v>Construction:Worker</v>
      </c>
      <c r="C6" s="57" t="n">
        <f aca="false">CALC!AV7</f>
        <v>372000000</v>
      </c>
      <c r="D6" s="57" t="n">
        <f aca="false">CALC!AW7</f>
        <v>12800000</v>
      </c>
      <c r="E6" s="57" t="n">
        <f aca="false">CALC!AX7</f>
        <v>5120000</v>
      </c>
      <c r="F6" s="57" t="n">
        <f aca="false">CALC!AY7</f>
        <v>354080000</v>
      </c>
    </row>
    <row r="7" customFormat="false" ht="12.8" hidden="false" customHeight="false" outlineLevel="0" collapsed="false">
      <c r="A7" s="47" t="str">
        <f aca="false">_xlfn.CONCAT($A$1, ".", CALC!A8)</f>
        <v>LSD.RID.0.AR.FPPTR.4</v>
      </c>
      <c r="B7" s="50" t="str">
        <f aca="false">_xlfn.CONCAT(CALC!B8, ":", CALC!C8)</f>
        <v>Construction:Support</v>
      </c>
      <c r="C7" s="57" t="n">
        <f aca="false">CALC!AV8</f>
        <v>93000000</v>
      </c>
      <c r="D7" s="57" t="n">
        <f aca="false">CALC!AW8</f>
        <v>3200000</v>
      </c>
      <c r="E7" s="57" t="n">
        <f aca="false">CALC!AX8</f>
        <v>1280000</v>
      </c>
      <c r="F7" s="57" t="n">
        <f aca="false">CALC!AY8</f>
        <v>88520000</v>
      </c>
    </row>
    <row r="8" customFormat="false" ht="12.8" hidden="false" customHeight="false" outlineLevel="0" collapsed="false">
      <c r="A8" s="47" t="str">
        <f aca="false">_xlfn.CONCAT($A$1, ".", CALC!A9)</f>
        <v>LSD.RID.0.AR.FPPTR.5</v>
      </c>
      <c r="B8" s="50" t="str">
        <f aca="false">_xlfn.CONCAT(CALC!B9, ":", CALC!C9)</f>
        <v>Hospitality:Worker</v>
      </c>
      <c r="C8" s="57" t="n">
        <f aca="false">CALC!AV9</f>
        <v>460000000</v>
      </c>
      <c r="D8" s="57" t="n">
        <f aca="false">CALC!AW9</f>
        <v>15840000</v>
      </c>
      <c r="E8" s="57" t="n">
        <f aca="false">CALC!AX9</f>
        <v>6336000</v>
      </c>
      <c r="F8" s="57" t="n">
        <f aca="false">CALC!AY9</f>
        <v>437776000</v>
      </c>
    </row>
    <row r="9" customFormat="false" ht="12.8" hidden="false" customHeight="false" outlineLevel="0" collapsed="false">
      <c r="A9" s="47" t="str">
        <f aca="false">_xlfn.CONCAT($A$1, ".", CALC!A10)</f>
        <v>LSD.RID.0.AR.FPPTR.6</v>
      </c>
      <c r="B9" s="50" t="str">
        <f aca="false">_xlfn.CONCAT(CALC!B10, ":", CALC!C10)</f>
        <v>Hospitality:Support</v>
      </c>
      <c r="C9" s="57" t="n">
        <f aca="false">CALC!AV10</f>
        <v>115000000</v>
      </c>
      <c r="D9" s="57" t="n">
        <f aca="false">CALC!AW10</f>
        <v>3960000</v>
      </c>
      <c r="E9" s="57" t="n">
        <f aca="false">CALC!AX10</f>
        <v>1584000</v>
      </c>
      <c r="F9" s="57" t="n">
        <f aca="false">CALC!AY10</f>
        <v>109444000</v>
      </c>
    </row>
    <row r="10" customFormat="false" ht="12.8" hidden="false" customHeight="false" outlineLevel="0" collapsed="false">
      <c r="A10" s="47" t="str">
        <f aca="false">_xlfn.CONCAT($A$1, ".", CALC!A11)</f>
        <v>LSD.RID.0.AR.FPPTR.7</v>
      </c>
      <c r="B10" s="50" t="str">
        <f aca="false">_xlfn.CONCAT(CALC!B11, ":", CALC!C11)</f>
        <v>Cleaning &amp; Maintenance:Worker</v>
      </c>
      <c r="C10" s="57" t="n">
        <f aca="false">CALC!AV11</f>
        <v>195000000</v>
      </c>
      <c r="D10" s="57" t="n">
        <f aca="false">CALC!AW11</f>
        <v>6720000</v>
      </c>
      <c r="E10" s="57" t="n">
        <f aca="false">CALC!AX11</f>
        <v>2688000</v>
      </c>
      <c r="F10" s="57" t="n">
        <f aca="false">CALC!AY11</f>
        <v>185592000</v>
      </c>
    </row>
    <row r="11" customFormat="false" ht="12.8" hidden="false" customHeight="false" outlineLevel="0" collapsed="false">
      <c r="A11" s="47" t="str">
        <f aca="false">_xlfn.CONCAT($A$1, ".", CALC!A12)</f>
        <v>LSD.RID.0.AR.FPPTR.8</v>
      </c>
      <c r="B11" s="50" t="str">
        <f aca="false">_xlfn.CONCAT(CALC!B12, ":", CALC!C12)</f>
        <v>Cleaning &amp; Maintenance:Support</v>
      </c>
      <c r="C11" s="57" t="n">
        <f aca="false">CALC!AV12</f>
        <v>48750000</v>
      </c>
      <c r="D11" s="57" t="n">
        <f aca="false">CALC!AW12</f>
        <v>1680000</v>
      </c>
      <c r="E11" s="57" t="n">
        <f aca="false">CALC!AX12</f>
        <v>672000</v>
      </c>
      <c r="F11" s="57" t="n">
        <f aca="false">CALC!AY12</f>
        <v>46398000</v>
      </c>
    </row>
    <row r="12" customFormat="false" ht="12.8" hidden="false" customHeight="false" outlineLevel="0" collapsed="false">
      <c r="A12" s="47" t="str">
        <f aca="false">_xlfn.CONCAT($A$1, ".", CALC!A13)</f>
        <v>LSD.RID.0.AR.FPPTR.9</v>
      </c>
      <c r="B12" s="50" t="str">
        <f aca="false">_xlfn.CONCAT(CALC!B13, ":", CALC!C13)</f>
        <v>Manufacturing:Worker</v>
      </c>
      <c r="C12" s="57" t="n">
        <f aca="false">CALC!AV13</f>
        <v>885000000</v>
      </c>
      <c r="D12" s="57" t="n">
        <f aca="false">CALC!AW13</f>
        <v>30450000</v>
      </c>
      <c r="E12" s="57" t="n">
        <f aca="false">CALC!AX13</f>
        <v>12180000</v>
      </c>
      <c r="F12" s="57" t="n">
        <f aca="false">CALC!AY13</f>
        <v>842070000</v>
      </c>
    </row>
    <row r="13" customFormat="false" ht="12.8" hidden="false" customHeight="false" outlineLevel="0" collapsed="false">
      <c r="A13" s="47" t="str">
        <f aca="false">_xlfn.CONCAT($A$1, ".", CALC!A14)</f>
        <v>LSD.RID.0.AR.FPPTR.10</v>
      </c>
      <c r="B13" s="50" t="str">
        <f aca="false">_xlfn.CONCAT(CALC!B14, ":", CALC!C14)</f>
        <v>Manufacturing:Support</v>
      </c>
      <c r="C13" s="57" t="n">
        <f aca="false">CALC!AV14</f>
        <v>240094933</v>
      </c>
      <c r="D13" s="57" t="n">
        <f aca="false">CALC!AW14</f>
        <v>11707</v>
      </c>
      <c r="E13" s="57" t="n">
        <f aca="false">CALC!AX14</f>
        <v>14341</v>
      </c>
      <c r="F13" s="57" t="n">
        <f aca="false">CALC!AY14</f>
        <v>174361875</v>
      </c>
    </row>
    <row r="14" customFormat="false" ht="12.8" hidden="false" customHeight="false" outlineLevel="0" collapsed="false">
      <c r="A14" s="47" t="str">
        <f aca="false">_xlfn.CONCAT($A$1, ".", CALC!A15)</f>
        <v>LSD.RID.0.AR.FPPTR.11</v>
      </c>
      <c r="B14" s="50" t="str">
        <f aca="false">_xlfn.CONCAT(CALC!B15, ":", CALC!C15)</f>
        <v>Transportation &amp; Warehousing:Worker</v>
      </c>
      <c r="C14" s="57" t="n">
        <f aca="false">CALC!AV15</f>
        <v>780000000</v>
      </c>
      <c r="D14" s="57" t="n">
        <f aca="false">CALC!AW15</f>
        <v>26880000</v>
      </c>
      <c r="E14" s="57" t="n">
        <f aca="false">CALC!AX15</f>
        <v>10752000</v>
      </c>
      <c r="F14" s="57" t="n">
        <f aca="false">CALC!AY15</f>
        <v>742368000</v>
      </c>
    </row>
    <row r="15" customFormat="false" ht="12.8" hidden="false" customHeight="false" outlineLevel="0" collapsed="false">
      <c r="A15" s="47" t="str">
        <f aca="false">_xlfn.CONCAT($A$1, ".", CALC!A16)</f>
        <v>LSD.RID.0.AR.FPPTR.12</v>
      </c>
      <c r="B15" s="50" t="str">
        <f aca="false">_xlfn.CONCAT(CALC!B16, ":", CALC!C16)</f>
        <v>Transportation &amp; Warehousing:Support</v>
      </c>
      <c r="C15" s="57" t="n">
        <f aca="false">CALC!AV16</f>
        <v>260000000</v>
      </c>
      <c r="D15" s="57" t="n">
        <f aca="false">CALC!AW16</f>
        <v>8960000</v>
      </c>
      <c r="E15" s="57" t="n">
        <f aca="false">CALC!AX16</f>
        <v>3584000</v>
      </c>
      <c r="F15" s="57" t="n">
        <f aca="false">CALC!AY16</f>
        <v>247456000</v>
      </c>
    </row>
    <row r="16" customFormat="false" ht="12.8" hidden="false" customHeight="false" outlineLevel="0" collapsed="false">
      <c r="A16" s="47" t="str">
        <f aca="false">_xlfn.CONCAT($A$1, ".", CALC!A17)</f>
        <v>LSD.RID.0.AR.FPPTR.13</v>
      </c>
      <c r="B16" s="50" t="str">
        <f aca="false">_xlfn.CONCAT(CALC!B17, ":", CALC!C17)</f>
        <v>Retail Trade:Worker</v>
      </c>
      <c r="C16" s="57" t="n">
        <f aca="false">CALC!AV17</f>
        <v>1040000000</v>
      </c>
      <c r="D16" s="57" t="n">
        <f aca="false">CALC!AW17</f>
        <v>35840000</v>
      </c>
      <c r="E16" s="57" t="n">
        <f aca="false">CALC!AX17</f>
        <v>14336000</v>
      </c>
      <c r="F16" s="57" t="n">
        <f aca="false">CALC!AY17</f>
        <v>989760000</v>
      </c>
    </row>
    <row r="17" customFormat="false" ht="12.8" hidden="false" customHeight="false" outlineLevel="0" collapsed="false">
      <c r="A17" s="47" t="str">
        <f aca="false">_xlfn.CONCAT($A$1, ".", CALC!A18)</f>
        <v>LSD.RID.0.AR.FPPTR.14</v>
      </c>
      <c r="B17" s="50" t="str">
        <f aca="false">_xlfn.CONCAT(CALC!B18, ":", CALC!C18)</f>
        <v>Retail Trade:Support</v>
      </c>
      <c r="C17" s="57" t="n">
        <f aca="false">CALC!AV18</f>
        <v>446000000</v>
      </c>
      <c r="D17" s="57" t="n">
        <f aca="false">CALC!AW18</f>
        <v>15360000</v>
      </c>
      <c r="E17" s="57" t="n">
        <f aca="false">CALC!AX18</f>
        <v>6144000</v>
      </c>
      <c r="F17" s="57" t="n">
        <f aca="false">CALC!AY18</f>
        <v>424704000</v>
      </c>
    </row>
    <row r="18" customFormat="false" ht="12.8" hidden="false" customHeight="false" outlineLevel="0" collapsed="false">
      <c r="A18" s="47" t="str">
        <f aca="false">_xlfn.CONCAT($A$1, ".", CALC!A19)</f>
        <v>LSD.RID.0.AR.FPPTR.15</v>
      </c>
      <c r="B18" s="50" t="str">
        <f aca="false">_xlfn.CONCAT(CALC!B19, ":", CALC!C19)</f>
        <v>Landscaping / Groundskeeping:Worker</v>
      </c>
      <c r="C18" s="57" t="n">
        <f aca="false">CALC!AV19</f>
        <v>170000000</v>
      </c>
      <c r="D18" s="57" t="n">
        <f aca="false">CALC!AW19</f>
        <v>5850000</v>
      </c>
      <c r="E18" s="57" t="n">
        <f aca="false">CALC!AX19</f>
        <v>2340000</v>
      </c>
      <c r="F18" s="57" t="n">
        <f aca="false">CALC!AY19</f>
        <v>161850000</v>
      </c>
    </row>
    <row r="19" customFormat="false" ht="12.8" hidden="false" customHeight="false" outlineLevel="0" collapsed="false">
      <c r="A19" s="47" t="str">
        <f aca="false">_xlfn.CONCAT($A$1, ".", CALC!A20)</f>
        <v>LSD.RID.0.AR.FPPTR.16</v>
      </c>
      <c r="B19" s="50" t="str">
        <f aca="false">_xlfn.CONCAT(CALC!B20, ":", CALC!C20)</f>
        <v>Landscaping / Groundskeeping:Support</v>
      </c>
      <c r="C19" s="57" t="n">
        <f aca="false">CALC!AV20</f>
        <v>30000000</v>
      </c>
      <c r="D19" s="57" t="n">
        <f aca="false">CALC!AW20</f>
        <v>1035000</v>
      </c>
      <c r="E19" s="57" t="n">
        <f aca="false">CALC!AX20</f>
        <v>414000</v>
      </c>
      <c r="F19" s="57" t="n">
        <f aca="false">CALC!AY20</f>
        <v>28551000</v>
      </c>
    </row>
    <row r="20" customFormat="false" ht="12.8" hidden="false" customHeight="false" outlineLevel="0" collapsed="false">
      <c r="A20" s="47" t="str">
        <f aca="false">_xlfn.CONCAT($A$1, ".", CALC!A21)</f>
        <v>LSD.RID.0.AR.FPPTR.17</v>
      </c>
      <c r="B20" s="50" t="str">
        <f aca="false">_xlfn.CONCAT(CALC!B21, ":", CALC!C21)</f>
        <v>Automotive &amp; Repair:Worker</v>
      </c>
      <c r="C20" s="57" t="n">
        <f aca="false">CALC!AV21</f>
        <v>120000000</v>
      </c>
      <c r="D20" s="57" t="n">
        <f aca="false">CALC!AW21</f>
        <v>3456000</v>
      </c>
      <c r="E20" s="57" t="n">
        <f aca="false">CALC!AX21</f>
        <v>1864800</v>
      </c>
      <c r="F20" s="57" t="n">
        <f aca="false">CALC!AY21</f>
        <v>114679200</v>
      </c>
    </row>
    <row r="21" customFormat="false" ht="12.8" hidden="false" customHeight="false" outlineLevel="0" collapsed="false">
      <c r="A21" s="47" t="str">
        <f aca="false">_xlfn.CONCAT($A$1, ".", CALC!A22)</f>
        <v>LSD.RID.0.AR.FPPTR.18</v>
      </c>
      <c r="B21" s="50" t="str">
        <f aca="false">_xlfn.CONCAT(CALC!B22, ":", CALC!C22)</f>
        <v>Automotive &amp; Repair:Support</v>
      </c>
      <c r="C21" s="57" t="n">
        <f aca="false">CALC!AV22</f>
        <v>30000000</v>
      </c>
      <c r="D21" s="57" t="n">
        <f aca="false">CALC!AW22</f>
        <v>864000</v>
      </c>
      <c r="E21" s="57" t="n">
        <f aca="false">CALC!AX22</f>
        <v>466200</v>
      </c>
      <c r="F21" s="57" t="n">
        <f aca="false">CALC!AY22</f>
        <v>28669800</v>
      </c>
    </row>
    <row r="22" customFormat="false" ht="12.8" hidden="false" customHeight="false" outlineLevel="0" collapsed="false">
      <c r="A22" s="47" t="str">
        <f aca="false">_xlfn.CONCAT($A$1, ".", CALC!A23)</f>
        <v>LSD.RID.0.AR.FPPTR.19</v>
      </c>
      <c r="B22" s="50" t="str">
        <f aca="false">_xlfn.CONCAT(CALC!B23, ":", CALC!C23)</f>
        <v>Healthcare &amp; Social Assistance:Worker</v>
      </c>
      <c r="C22" s="57" t="n">
        <f aca="false">CALC!AV23</f>
        <v>1200000000</v>
      </c>
      <c r="D22" s="57" t="n">
        <f aca="false">CALC!AW23</f>
        <v>41280000</v>
      </c>
      <c r="E22" s="57" t="n">
        <f aca="false">CALC!AX23</f>
        <v>16512000</v>
      </c>
      <c r="F22" s="57" t="n">
        <f aca="false">CALC!AY23</f>
        <v>1142208000</v>
      </c>
    </row>
    <row r="23" customFormat="false" ht="12.8" hidden="false" customHeight="false" outlineLevel="0" collapsed="false">
      <c r="A23" s="47" t="str">
        <f aca="false">_xlfn.CONCAT($A$1, ".", CALC!A24)</f>
        <v>LSD.RID.0.AR.FPPTR.20</v>
      </c>
      <c r="B23" s="50" t="str">
        <f aca="false">_xlfn.CONCAT(CALC!B24, ":", CALC!C24)</f>
        <v>Healthcare &amp; Social Assistance:Support</v>
      </c>
      <c r="C23" s="57" t="n">
        <f aca="false">CALC!AV24</f>
        <v>300000000</v>
      </c>
      <c r="D23" s="57" t="n">
        <f aca="false">CALC!AW24</f>
        <v>10320000</v>
      </c>
      <c r="E23" s="57" t="n">
        <f aca="false">CALC!AX24</f>
        <v>4128000</v>
      </c>
      <c r="F23" s="57" t="n">
        <f aca="false">CALC!AY24</f>
        <v>285552000</v>
      </c>
    </row>
    <row r="24" customFormat="false" ht="12.8" hidden="false" customHeight="false" outlineLevel="0" collapsed="false">
      <c r="A24" s="47" t="str">
        <f aca="false">_xlfn.CONCAT($A$1, ".", CALC!A25)</f>
        <v>LSD.RID.0.AR.FPPTR.21</v>
      </c>
      <c r="B24" s="50" t="str">
        <f aca="false">_xlfn.CONCAT(CALC!B25, ":", CALC!C25)</f>
        <v>Professional Services:Worker</v>
      </c>
      <c r="C24" s="57" t="n">
        <f aca="false">CALC!AV25</f>
        <v>600000000</v>
      </c>
      <c r="D24" s="57" t="n">
        <f aca="false">CALC!AW25</f>
        <v>20640000</v>
      </c>
      <c r="E24" s="57" t="n">
        <f aca="false">CALC!AX25</f>
        <v>8256000</v>
      </c>
      <c r="F24" s="57" t="n">
        <f aca="false">CALC!AY25</f>
        <v>570984000</v>
      </c>
    </row>
    <row r="25" customFormat="false" ht="12.8" hidden="false" customHeight="false" outlineLevel="0" collapsed="false">
      <c r="A25" s="47" t="str">
        <f aca="false">_xlfn.CONCAT($A$1, ".", CALC!A26)</f>
        <v>LSD.RID.0.AR.FPPTR.22</v>
      </c>
      <c r="B25" s="50" t="str">
        <f aca="false">_xlfn.CONCAT(CALC!B26, ":", CALC!C26)</f>
        <v>Professional Services:Support</v>
      </c>
      <c r="C25" s="57" t="n">
        <f aca="false">CALC!AV26</f>
        <v>150000000</v>
      </c>
      <c r="D25" s="57" t="n">
        <f aca="false">CALC!AW26</f>
        <v>5160000</v>
      </c>
      <c r="E25" s="57" t="n">
        <f aca="false">CALC!AX26</f>
        <v>2064000</v>
      </c>
      <c r="F25" s="57" t="n">
        <f aca="false">CALC!AY26</f>
        <v>142746000</v>
      </c>
    </row>
    <row r="26" customFormat="false" ht="12.8" hidden="false" customHeight="false" outlineLevel="0" collapsed="false">
      <c r="A26" s="47" t="str">
        <f aca="false">_xlfn.CONCAT($A$1, ".", CALC!A27)</f>
        <v>LSD.RID.0.AR.FPPTR.23</v>
      </c>
      <c r="B26" s="50" t="str">
        <f aca="false">_xlfn.CONCAT(CALC!B27, ":", CALC!C27)</f>
        <v>Educational Services:Worker</v>
      </c>
      <c r="C26" s="57" t="n">
        <f aca="false">CALC!AV27</f>
        <v>600000000</v>
      </c>
      <c r="D26" s="57" t="n">
        <f aca="false">CALC!AW27</f>
        <v>20640000</v>
      </c>
      <c r="E26" s="57" t="n">
        <f aca="false">CALC!AX27</f>
        <v>8256000</v>
      </c>
      <c r="F26" s="57" t="n">
        <f aca="false">CALC!AY27</f>
        <v>570984000</v>
      </c>
    </row>
    <row r="27" customFormat="false" ht="12.8" hidden="false" customHeight="false" outlineLevel="0" collapsed="false">
      <c r="A27" s="47" t="str">
        <f aca="false">_xlfn.CONCAT($A$1, ".", CALC!A28)</f>
        <v>LSD.RID.0.AR.FPPTR.24</v>
      </c>
      <c r="B27" s="50" t="str">
        <f aca="false">_xlfn.CONCAT(CALC!B28, ":", CALC!C28)</f>
        <v>Educational Services:Support</v>
      </c>
      <c r="C27" s="57" t="n">
        <f aca="false">CALC!AV28</f>
        <v>150000000</v>
      </c>
      <c r="D27" s="57" t="n">
        <f aca="false">CALC!AW28</f>
        <v>5160000</v>
      </c>
      <c r="E27" s="57" t="n">
        <f aca="false">CALC!AX28</f>
        <v>2064000</v>
      </c>
      <c r="F27" s="57" t="n">
        <f aca="false">CALC!AY28</f>
        <v>142746000</v>
      </c>
    </row>
    <row r="28" customFormat="false" ht="12.8" hidden="false" customHeight="false" outlineLevel="0" collapsed="false">
      <c r="A28" s="47" t="str">
        <f aca="false">_xlfn.CONCAT($A$1, ".", CALC!A29)</f>
        <v>LSD.RID.0.AR.FPPTR.25</v>
      </c>
      <c r="B28" s="50" t="str">
        <f aca="false">_xlfn.CONCAT(CALC!B29, ":", CALC!C29)</f>
        <v>Finance &amp; Insurance:Worker</v>
      </c>
      <c r="C28" s="57" t="n">
        <f aca="false">CALC!AV29</f>
        <v>350000000</v>
      </c>
      <c r="D28" s="57" t="n">
        <f aca="false">CALC!AW29</f>
        <v>12040000</v>
      </c>
      <c r="E28" s="57" t="n">
        <f aca="false">CALC!AX29</f>
        <v>4816000</v>
      </c>
      <c r="F28" s="57" t="n">
        <f aca="false">CALC!AY29</f>
        <v>333132000</v>
      </c>
    </row>
    <row r="29" customFormat="false" ht="12.8" hidden="false" customHeight="false" outlineLevel="0" collapsed="false">
      <c r="A29" s="47" t="str">
        <f aca="false">_xlfn.CONCAT($A$1, ".", CALC!A30)</f>
        <v>LSD.RID.0.AR.FPPTR.26</v>
      </c>
      <c r="B29" s="50" t="str">
        <f aca="false">_xlfn.CONCAT(CALC!B30, ":", CALC!C30)</f>
        <v>Finance &amp; Insurance:Support</v>
      </c>
      <c r="C29" s="57" t="n">
        <f aca="false">CALC!AV30</f>
        <v>87500000</v>
      </c>
      <c r="D29" s="57" t="n">
        <f aca="false">CALC!AW30</f>
        <v>3010000</v>
      </c>
      <c r="E29" s="57" t="n">
        <f aca="false">CALC!AX30</f>
        <v>1204000</v>
      </c>
      <c r="F29" s="57" t="n">
        <f aca="false">CALC!AY30</f>
        <v>83283000</v>
      </c>
    </row>
    <row r="30" customFormat="false" ht="12.8" hidden="false" customHeight="false" outlineLevel="0" collapsed="false">
      <c r="A30" s="47" t="str">
        <f aca="false">_xlfn.CONCAT($A$1, ".", CALC!A31)</f>
        <v>LSD.RID.0.AR.FPPTR.27</v>
      </c>
      <c r="B30" s="50" t="str">
        <f aca="false">_xlfn.CONCAT(CALC!B31, ":", CALC!C31)</f>
        <v>Media and Information Technology:Worker</v>
      </c>
      <c r="C30" s="57" t="n">
        <f aca="false">CALC!AV31</f>
        <v>150000000</v>
      </c>
      <c r="D30" s="57" t="n">
        <f aca="false">CALC!AW31</f>
        <v>5160000</v>
      </c>
      <c r="E30" s="57" t="n">
        <f aca="false">CALC!AX31</f>
        <v>2064000</v>
      </c>
      <c r="F30" s="57" t="n">
        <f aca="false">CALC!AY31</f>
        <v>142746000</v>
      </c>
    </row>
    <row r="31" customFormat="false" ht="12.8" hidden="false" customHeight="false" outlineLevel="0" collapsed="false">
      <c r="A31" s="47" t="str">
        <f aca="false">_xlfn.CONCAT($A$1, ".", CALC!A32)</f>
        <v>LSD.RID.0.AR.FPPTR.28</v>
      </c>
      <c r="B31" s="50" t="str">
        <f aca="false">_xlfn.CONCAT(CALC!B32, ":", CALC!C32)</f>
        <v>Media and Information Technology:Support</v>
      </c>
      <c r="C31" s="57" t="n">
        <f aca="false">CALC!AV32</f>
        <v>37500000</v>
      </c>
      <c r="D31" s="57" t="n">
        <f aca="false">CALC!AW32</f>
        <v>1290000</v>
      </c>
      <c r="E31" s="57" t="n">
        <f aca="false">CALC!AX32</f>
        <v>516000</v>
      </c>
      <c r="F31" s="57" t="n">
        <f aca="false">CALC!AY32</f>
        <v>35686500</v>
      </c>
    </row>
    <row r="32" customFormat="false" ht="12.8" hidden="false" customHeight="false" outlineLevel="0" collapsed="false">
      <c r="A32" s="47" t="str">
        <f aca="false">_xlfn.CONCAT($A$1, ".", CALC!A33)</f>
        <v>LSD.RID.0.AR.FPPTR.29</v>
      </c>
      <c r="B32" s="50" t="str">
        <f aca="false">_xlfn.CONCAT(CALC!B33, ":", CALC!C33)</f>
        <v>Government:Worker</v>
      </c>
      <c r="C32" s="57" t="n">
        <f aca="false">CALC!AV33</f>
        <v>600000000</v>
      </c>
      <c r="D32" s="57" t="n">
        <f aca="false">CALC!AW33</f>
        <v>20640000</v>
      </c>
      <c r="E32" s="57" t="n">
        <f aca="false">CALC!AX33</f>
        <v>8256000</v>
      </c>
      <c r="F32" s="57" t="n">
        <f aca="false">CALC!AY33</f>
        <v>570984000</v>
      </c>
    </row>
    <row r="33" customFormat="false" ht="12.8" hidden="false" customHeight="false" outlineLevel="0" collapsed="false">
      <c r="A33" s="47" t="str">
        <f aca="false">_xlfn.CONCAT($A$1, ".", CALC!A34)</f>
        <v>LSD.RID.0.AR.FPPTR.30</v>
      </c>
      <c r="B33" s="50" t="str">
        <f aca="false">_xlfn.CONCAT(CALC!B34, ":", CALC!C34)</f>
        <v>Government:Support</v>
      </c>
      <c r="C33" s="57" t="n">
        <f aca="false">CALC!AV34</f>
        <v>150000000</v>
      </c>
      <c r="D33" s="57" t="n">
        <f aca="false">CALC!AW34</f>
        <v>5160000</v>
      </c>
      <c r="E33" s="57" t="n">
        <f aca="false">CALC!AX34</f>
        <v>2064000</v>
      </c>
      <c r="F33" s="57" t="n">
        <f aca="false">CALC!AY34</f>
        <v>142746000</v>
      </c>
    </row>
    <row r="34" customFormat="false" ht="12.8" hidden="false" customHeight="false" outlineLevel="0" collapsed="false">
      <c r="A34" s="47" t="str">
        <f aca="false">_xlfn.CONCAT($A$1, ".", CALC!A35)</f>
        <v>LSD.RID.0.AR.FPPTR.31</v>
      </c>
      <c r="B34" s="50" t="str">
        <f aca="false">_xlfn.CONCAT(CALC!B35, ":", CALC!C35)</f>
        <v>Self-Employed / Non-Employer:Support</v>
      </c>
      <c r="C34" s="57" t="n">
        <f aca="false">CALC!AV35</f>
        <v>600000000</v>
      </c>
      <c r="D34" s="57" t="n">
        <f aca="false">CALC!AW35</f>
        <v>20640000</v>
      </c>
      <c r="E34" s="57" t="n">
        <f aca="false">CALC!AX35</f>
        <v>8256000</v>
      </c>
      <c r="F34" s="57" t="n">
        <f aca="false">CALC!AY35</f>
        <v>570984000</v>
      </c>
    </row>
    <row r="35" customFormat="false" ht="12.8" hidden="false" customHeight="false" outlineLevel="0" collapsed="false">
      <c r="A35" s="47" t="str">
        <f aca="false">_xlfn.CONCAT($A$1, ".", CALC!A36)</f>
        <v>LSD.RID.0.AR.FPPTR.32</v>
      </c>
      <c r="B35" s="50" t="str">
        <f aca="false">_xlfn.CONCAT(CALC!B36, ":", CALC!C36)</f>
        <v>Self-Employed / Non-Employer:Worker</v>
      </c>
      <c r="C35" s="57" t="n">
        <f aca="false">CALC!AV36</f>
        <v>1500000000</v>
      </c>
      <c r="D35" s="57" t="n">
        <f aca="false">CALC!AW36</f>
        <v>51600000</v>
      </c>
      <c r="E35" s="57" t="n">
        <f aca="false">CALC!AX36</f>
        <v>20640000</v>
      </c>
      <c r="F35" s="57" t="n">
        <f aca="false">CALC!AY36</f>
        <v>1427760000</v>
      </c>
    </row>
    <row r="36" customFormat="false" ht="12.8" hidden="false" customHeight="false" outlineLevel="0" collapsed="false">
      <c r="A36" s="47" t="str">
        <f aca="false">_xlfn.CONCAT($A$1, ".", CALC!A37)</f>
        <v>LSD.RID.0.AR.FPPTR.33</v>
      </c>
      <c r="B36" s="50" t="str">
        <f aca="false">_xlfn.CONCAT(CALC!B37, ":", CALC!C37)</f>
        <v>Other Services:Support</v>
      </c>
      <c r="C36" s="57" t="n">
        <f aca="false">CALC!AV37</f>
        <v>87500000</v>
      </c>
      <c r="D36" s="57" t="n">
        <f aca="false">CALC!AW37</f>
        <v>3012000</v>
      </c>
      <c r="E36" s="57" t="n">
        <f aca="false">CALC!AX37</f>
        <v>1204800</v>
      </c>
      <c r="F36" s="57" t="n">
        <f aca="false">CALC!AY37</f>
        <v>83283000</v>
      </c>
    </row>
    <row r="37" customFormat="false" ht="12.8" hidden="false" customHeight="false" outlineLevel="0" collapsed="false">
      <c r="A37" s="47" t="str">
        <f aca="false">_xlfn.CONCAT($A$1, ".", CALC!A38)</f>
        <v>LSD.RID.0.AR.FPPTR.34</v>
      </c>
      <c r="B37" s="50" t="str">
        <f aca="false">_xlfn.CONCAT(CALC!B38, ":", CALC!C38)</f>
        <v>Other Services:Worker</v>
      </c>
      <c r="C37" s="57" t="n">
        <f aca="false">CALC!AV38</f>
        <v>350000000</v>
      </c>
      <c r="D37" s="57" t="n">
        <f aca="false">CALC!AW38</f>
        <v>12048000</v>
      </c>
      <c r="E37" s="57" t="n">
        <f aca="false">CALC!AX38</f>
        <v>4819200</v>
      </c>
      <c r="F37" s="57" t="n">
        <f aca="false">CALC!AY38</f>
        <v>333132800</v>
      </c>
    </row>
    <row r="38" customFormat="false" ht="12.8" hidden="false" customHeight="false" outlineLevel="0" collapsed="false">
      <c r="A38" s="47" t="str">
        <f aca="false">_xlfn.CONCAT($A$1, ".", CALC!A39)</f>
        <v>LSD.RID.0.AR.FPPTR.35</v>
      </c>
      <c r="B38" s="50" t="str">
        <f aca="false">_xlfn.CONCAT(CALC!B39, ":", CALC!C39)</f>
        <v>Mining, Quarrying, and Oil/Gas Extraction:Support</v>
      </c>
      <c r="C38" s="57" t="n">
        <f aca="false">CALC!AV39</f>
        <v>60000000</v>
      </c>
      <c r="D38" s="57" t="n">
        <f aca="false">CALC!AW39</f>
        <v>2064000</v>
      </c>
      <c r="E38" s="57" t="n">
        <f aca="false">CALC!AX39</f>
        <v>825600</v>
      </c>
      <c r="F38" s="57" t="n">
        <f aca="false">CALC!AY39</f>
        <v>57098400</v>
      </c>
    </row>
    <row r="39" customFormat="false" ht="12.8" hidden="false" customHeight="false" outlineLevel="0" collapsed="false">
      <c r="A39" s="47" t="str">
        <f aca="false">_xlfn.CONCAT($A$1, ".", CALC!A40)</f>
        <v>LSD.RID.0.AR.FPPTR.36</v>
      </c>
      <c r="B39" s="50" t="str">
        <f aca="false">_xlfn.CONCAT(CALC!B40, ":", CALC!C40)</f>
        <v>Mining, Quarrying, and Oil/Gas Extraction:Worker</v>
      </c>
      <c r="C39" s="57" t="n">
        <f aca="false">CALC!AV40</f>
        <v>150000000</v>
      </c>
      <c r="D39" s="57" t="n">
        <f aca="false">CALC!AW40</f>
        <v>5160000</v>
      </c>
      <c r="E39" s="57" t="n">
        <f aca="false">CALC!AX40</f>
        <v>2064000</v>
      </c>
      <c r="F39" s="57" t="n">
        <f aca="false">CALC!AY40</f>
        <v>142746000</v>
      </c>
    </row>
    <row r="40" customFormat="false" ht="12.8" hidden="false" customHeight="false" outlineLevel="0" collapsed="false">
      <c r="A40" s="47" t="str">
        <f aca="false">_xlfn.CONCAT($A$1, ".", CALC!A41)</f>
        <v>LSD.RID.0.AR.FPPTR.37</v>
      </c>
      <c r="B40" s="50" t="str">
        <f aca="false">_xlfn.CONCAT(CALC!B41, ":", CALC!C41)</f>
        <v>Utilities:Support</v>
      </c>
      <c r="C40" s="57" t="n">
        <f aca="false">CALC!AV41</f>
        <v>32500000</v>
      </c>
      <c r="D40" s="57" t="n">
        <f aca="false">CALC!AW41</f>
        <v>1118000</v>
      </c>
      <c r="E40" s="57" t="n">
        <f aca="false">CALC!AX41</f>
        <v>447200</v>
      </c>
      <c r="F40" s="57" t="n">
        <f aca="false">CALC!AY41</f>
        <v>30934800</v>
      </c>
    </row>
    <row r="41" customFormat="false" ht="12.8" hidden="false" customHeight="false" outlineLevel="0" collapsed="false">
      <c r="A41" s="47" t="str">
        <f aca="false">_xlfn.CONCAT($A$1, ".", CALC!A42)</f>
        <v>LSD.RID.0.AR.FPPTR.38</v>
      </c>
      <c r="B41" s="50" t="str">
        <f aca="false">_xlfn.CONCAT(CALC!B42, ":", CALC!C42)</f>
        <v>Utilities:Worker</v>
      </c>
      <c r="C41" s="57" t="n">
        <f aca="false">CALC!AV42</f>
        <v>130000000</v>
      </c>
      <c r="D41" s="57" t="n">
        <f aca="false">CALC!AW42</f>
        <v>4472000</v>
      </c>
      <c r="E41" s="57" t="n">
        <f aca="false">CALC!AX42</f>
        <v>1788800</v>
      </c>
      <c r="F41" s="57" t="n">
        <f aca="false">CALC!AY42</f>
        <v>123739200</v>
      </c>
    </row>
    <row r="42" customFormat="false" ht="12.8" hidden="false" customHeight="false" outlineLevel="0" collapsed="false">
      <c r="A42" s="47" t="str">
        <f aca="false">_xlfn.CONCAT($A$1, ".", CALC!A43)</f>
        <v>LSD.RID.0.AR.FPPTR.39</v>
      </c>
      <c r="B42" s="50" t="str">
        <f aca="false">_xlfn.CONCAT(CALC!B43, ":", CALC!C43)</f>
        <v>Wholesale Trade:Support</v>
      </c>
      <c r="C42" s="57" t="n">
        <f aca="false">CALC!AV43</f>
        <v>137500000</v>
      </c>
      <c r="D42" s="57" t="n">
        <f aca="false">CALC!AW43</f>
        <v>4730000</v>
      </c>
      <c r="E42" s="57" t="n">
        <f aca="false">CALC!AX43</f>
        <v>1892000</v>
      </c>
      <c r="F42" s="57" t="n">
        <f aca="false">CALC!AY43</f>
        <v>130888000</v>
      </c>
    </row>
    <row r="43" customFormat="false" ht="12.8" hidden="false" customHeight="false" outlineLevel="0" collapsed="false">
      <c r="A43" s="47" t="str">
        <f aca="false">_xlfn.CONCAT($A$1, ".", CALC!A44)</f>
        <v>LSD.RID.0.AR.FPPTR.40</v>
      </c>
      <c r="B43" s="50" t="str">
        <f aca="false">_xlfn.CONCAT(CALC!B44, ":", CALC!C44)</f>
        <v>Wholesale Trade:Worker</v>
      </c>
      <c r="C43" s="57" t="n">
        <f aca="false">CALC!AV44</f>
        <v>550000000</v>
      </c>
      <c r="D43" s="57" t="n">
        <f aca="false">CALC!AW44</f>
        <v>18920000</v>
      </c>
      <c r="E43" s="57" t="n">
        <f aca="false">CALC!AX44</f>
        <v>7568000</v>
      </c>
      <c r="F43" s="57" t="n">
        <f aca="false">CALC!AY44</f>
        <v>521552000</v>
      </c>
    </row>
    <row r="44" customFormat="false" ht="12.8" hidden="false" customHeight="false" outlineLevel="0" collapsed="false">
      <c r="A44" s="47" t="str">
        <f aca="false">_xlfn.CONCAT($A$1, ".", CALC!A45)</f>
        <v>LSD.RID.0.AR.FPPTR.41</v>
      </c>
      <c r="B44" s="50" t="str">
        <f aca="false">_xlfn.CONCAT(CALC!B45, ":", CALC!C45)</f>
        <v>Information:Support</v>
      </c>
      <c r="C44" s="57" t="n">
        <f aca="false">CALC!AV45</f>
        <v>37500000</v>
      </c>
      <c r="D44" s="57" t="n">
        <f aca="false">CALC!AW45</f>
        <v>1290000</v>
      </c>
      <c r="E44" s="57" t="n">
        <f aca="false">CALC!AX45</f>
        <v>516000</v>
      </c>
      <c r="F44" s="57" t="n">
        <f aca="false">CALC!AY45</f>
        <v>35686500</v>
      </c>
    </row>
    <row r="45" customFormat="false" ht="12.8" hidden="false" customHeight="false" outlineLevel="0" collapsed="false">
      <c r="A45" s="47" t="str">
        <f aca="false">_xlfn.CONCAT($A$1, ".", CALC!A46)</f>
        <v>LSD.RID.0.AR.FPPTR.42</v>
      </c>
      <c r="B45" s="50" t="str">
        <f aca="false">_xlfn.CONCAT(CALC!B46, ":", CALC!C46)</f>
        <v>Information:Worker</v>
      </c>
      <c r="C45" s="57" t="n">
        <f aca="false">CALC!AV46</f>
        <v>150000000</v>
      </c>
      <c r="D45" s="57" t="n">
        <f aca="false">CALC!AW46</f>
        <v>5160000</v>
      </c>
      <c r="E45" s="57" t="n">
        <f aca="false">CALC!AX46</f>
        <v>2064000</v>
      </c>
      <c r="F45" s="57" t="n">
        <f aca="false">CALC!AY46</f>
        <v>142746000</v>
      </c>
    </row>
    <row r="46" customFormat="false" ht="12.8" hidden="false" customHeight="false" outlineLevel="0" collapsed="false">
      <c r="A46" s="47" t="str">
        <f aca="false">_xlfn.CONCAT($A$1, ".", CALC!A47)</f>
        <v>LSD.RID.0.AR.FPPTR.43</v>
      </c>
      <c r="B46" s="50" t="str">
        <f aca="false">_xlfn.CONCAT(CALC!B47, ":", CALC!C47)</f>
        <v>Real Estate, Rental and Leasing:Support</v>
      </c>
      <c r="C46" s="57" t="n">
        <f aca="false">CALC!AV47</f>
        <v>52500000</v>
      </c>
      <c r="D46" s="57" t="n">
        <f aca="false">CALC!AW47</f>
        <v>1806000</v>
      </c>
      <c r="E46" s="57" t="n">
        <f aca="false">CALC!AX47</f>
        <v>722400</v>
      </c>
      <c r="F46" s="57" t="n">
        <f aca="false">CALC!AY47</f>
        <v>49971600</v>
      </c>
    </row>
    <row r="47" customFormat="false" ht="12.8" hidden="false" customHeight="false" outlineLevel="0" collapsed="false">
      <c r="A47" s="47" t="str">
        <f aca="false">_xlfn.CONCAT($A$1, ".", CALC!A48)</f>
        <v>LSD.RID.0.AR.FPPTR.44</v>
      </c>
      <c r="B47" s="50" t="str">
        <f aca="false">_xlfn.CONCAT(CALC!B48, ":", CALC!C48)</f>
        <v>Real Estate, Rental and Leasing:Worker</v>
      </c>
      <c r="C47" s="57" t="n">
        <f aca="false">CALC!AV48</f>
        <v>210000000</v>
      </c>
      <c r="D47" s="57" t="n">
        <f aca="false">CALC!AW48</f>
        <v>7224000</v>
      </c>
      <c r="E47" s="57" t="n">
        <f aca="false">CALC!AX48</f>
        <v>2889600</v>
      </c>
      <c r="F47" s="57" t="n">
        <f aca="false">CALC!AY48</f>
        <v>199886400</v>
      </c>
    </row>
    <row r="48" customFormat="false" ht="12.8" hidden="false" customHeight="false" outlineLevel="0" collapsed="false">
      <c r="A48" s="47" t="str">
        <f aca="false">_xlfn.CONCAT($A$1, ".", CALC!A49)</f>
        <v>LSD.RID.0.AR.FPPTR.45</v>
      </c>
      <c r="B48" s="50" t="str">
        <f aca="false">_xlfn.CONCAT(CALC!B49, ":", CALC!C49)</f>
        <v>Waste Management Services:Support</v>
      </c>
      <c r="C48" s="57" t="n">
        <f aca="false">CALC!AV49</f>
        <v>25000000</v>
      </c>
      <c r="D48" s="57" t="n">
        <f aca="false">CALC!AW49</f>
        <v>860000</v>
      </c>
      <c r="E48" s="57" t="n">
        <f aca="false">CALC!AX49</f>
        <v>344000</v>
      </c>
      <c r="F48" s="57" t="n">
        <f aca="false">CALC!AY49</f>
        <v>23786400</v>
      </c>
    </row>
    <row r="49" customFormat="false" ht="12.8" hidden="false" customHeight="false" outlineLevel="0" collapsed="false">
      <c r="A49" s="47" t="str">
        <f aca="false">_xlfn.CONCAT($A$1, ".", CALC!A50)</f>
        <v>LSD.RID.0.AR.FPPTR.46</v>
      </c>
      <c r="B49" s="50" t="str">
        <f aca="false">_xlfn.CONCAT(CALC!B50, ":", CALC!C50)</f>
        <v>Waste Management Services:Worker</v>
      </c>
      <c r="C49" s="57" t="n">
        <f aca="false">CALC!AV50</f>
        <v>100000000</v>
      </c>
      <c r="D49" s="57" t="n">
        <f aca="false">CALC!AW50</f>
        <v>3440000</v>
      </c>
      <c r="E49" s="57" t="n">
        <f aca="false">CALC!AX50</f>
        <v>1376000</v>
      </c>
      <c r="F49" s="57" t="n">
        <f aca="false">CALC!AY50</f>
        <v>95145600</v>
      </c>
    </row>
    <row r="50" customFormat="false" ht="12.8" hidden="false" customHeight="false" outlineLevel="0" collapsed="false">
      <c r="A50" s="47" t="str">
        <f aca="false">_xlfn.CONCAT($A$1, ".", CALC!A51)</f>
        <v>LSD.RID.0.AR.FPPTR.47</v>
      </c>
      <c r="B50" s="50" t="str">
        <f aca="false">_xlfn.CONCAT(CALC!B51, ":", CALC!C51)</f>
        <v>Arts, Entertainment, and Recreation:Support</v>
      </c>
      <c r="C50" s="57" t="n">
        <f aca="false">CALC!AV51</f>
        <v>47500000</v>
      </c>
      <c r="D50" s="57" t="n">
        <f aca="false">CALC!AW51</f>
        <v>1634000</v>
      </c>
      <c r="E50" s="57" t="n">
        <f aca="false">CALC!AX51</f>
        <v>653600</v>
      </c>
      <c r="F50" s="57" t="n">
        <f aca="false">CALC!AY51</f>
        <v>45315400</v>
      </c>
    </row>
    <row r="51" customFormat="false" ht="12.8" hidden="false" customHeight="false" outlineLevel="0" collapsed="false">
      <c r="A51" s="47" t="str">
        <f aca="false">_xlfn.CONCAT($A$1, ".", CALC!A52)</f>
        <v>LSD.RID.0.AR.FPPTR.48</v>
      </c>
      <c r="B51" s="50" t="str">
        <f aca="false">_xlfn.CONCAT(CALC!B52, ":", CALC!C52)</f>
        <v>Arts, Entertainment, and Recreation:Worker</v>
      </c>
      <c r="C51" s="57" t="n">
        <f aca="false">CALC!AV52</f>
        <v>190000000</v>
      </c>
      <c r="D51" s="57" t="n">
        <f aca="false">CALC!AW52</f>
        <v>6536000</v>
      </c>
      <c r="E51" s="57" t="n">
        <f aca="false">CALC!AX52</f>
        <v>2614400</v>
      </c>
      <c r="F51" s="57" t="n">
        <f aca="false">CALC!AY52</f>
        <v>181261600</v>
      </c>
    </row>
    <row r="52" customFormat="false" ht="12.8" hidden="false" customHeight="false" outlineLevel="0" collapsed="false">
      <c r="A52" s="47" t="str">
        <f aca="false">_xlfn.CONCAT($A$1, ".", CALC!A53)</f>
        <v>LSD.RID.0.AR.FPPTR.49</v>
      </c>
      <c r="B52" s="50" t="str">
        <f aca="false">_xlfn.CONCAT(CALC!B53, ":", CALC!C53)</f>
        <v>Accommodation and Food Services:Support</v>
      </c>
      <c r="C52" s="57" t="n">
        <f aca="false">CALC!AV53</f>
        <v>115000000</v>
      </c>
      <c r="D52" s="57" t="n">
        <f aca="false">CALC!AW53</f>
        <v>3960000</v>
      </c>
      <c r="E52" s="57" t="n">
        <f aca="false">CALC!AX53</f>
        <v>1584000</v>
      </c>
      <c r="F52" s="57" t="n">
        <f aca="false">CALC!AY53</f>
        <v>109444000</v>
      </c>
    </row>
    <row r="53" customFormat="false" ht="12.8" hidden="false" customHeight="false" outlineLevel="0" collapsed="false">
      <c r="A53" s="47" t="str">
        <f aca="false">_xlfn.CONCAT($A$1, ".", CALC!A54)</f>
        <v>LSD.RID.0.AR.FPPTR.50</v>
      </c>
      <c r="B53" s="50" t="str">
        <f aca="false">_xlfn.CONCAT(CALC!B54, ":", CALC!C54)</f>
        <v>Accommodation and Food Services:Worker</v>
      </c>
      <c r="C53" s="57" t="n">
        <f aca="false">CALC!AV54</f>
        <v>460000000</v>
      </c>
      <c r="D53" s="57" t="n">
        <f aca="false">CALC!AW54</f>
        <v>15840000</v>
      </c>
      <c r="E53" s="57" t="n">
        <f aca="false">CALC!AX54</f>
        <v>6336000</v>
      </c>
      <c r="F53" s="57" t="n">
        <f aca="false">CALC!AY54</f>
        <v>437776000</v>
      </c>
    </row>
    <row r="54" customFormat="false" ht="12.8" hidden="false" customHeight="false" outlineLevel="0" collapsed="false">
      <c r="A54" s="47" t="str">
        <f aca="false">_xlfn.CONCAT($A$1, ".", CALC!A55)</f>
        <v>LSD.RID.0.AR.FPPTR.51</v>
      </c>
      <c r="B54" s="50" t="str">
        <f aca="false">_xlfn.CONCAT(CALC!B55, ":", CALC!C55)</f>
        <v>Public Administration:Support</v>
      </c>
      <c r="C54" s="57" t="n">
        <f aca="false">CALC!AV55</f>
        <v>150000000</v>
      </c>
      <c r="D54" s="57" t="n">
        <f aca="false">CALC!AW55</f>
        <v>5160000</v>
      </c>
      <c r="E54" s="57" t="n">
        <f aca="false">CALC!AX55</f>
        <v>2064000</v>
      </c>
      <c r="F54" s="57" t="n">
        <f aca="false">CALC!AY55</f>
        <v>142746000</v>
      </c>
    </row>
    <row r="55" customFormat="false" ht="12.8" hidden="false" customHeight="false" outlineLevel="0" collapsed="false">
      <c r="A55" s="47" t="str">
        <f aca="false">_xlfn.CONCAT($A$1, ".", CALC!A56)</f>
        <v>LSD.RID.0.AR.FPPTR.52</v>
      </c>
      <c r="B55" s="50" t="str">
        <f aca="false">_xlfn.CONCAT(CALC!B56, ":", CALC!C56)</f>
        <v>Public Administration:Worker</v>
      </c>
      <c r="C55" s="57" t="n">
        <f aca="false">CALC!AV56</f>
        <v>600000000</v>
      </c>
      <c r="D55" s="57" t="n">
        <f aca="false">CALC!AW56</f>
        <v>20640000</v>
      </c>
      <c r="E55" s="57" t="n">
        <f aca="false">CALC!AX56</f>
        <v>8256000</v>
      </c>
      <c r="F55" s="57" t="n">
        <f aca="false">CALC!AY56</f>
        <v>570984000</v>
      </c>
    </row>
    <row r="56" customFormat="false" ht="12.8" hidden="false" customHeight="false" outlineLevel="0" collapsed="false">
      <c r="C56" s="32"/>
      <c r="D56" s="32"/>
      <c r="E56" s="32"/>
      <c r="F56" s="32"/>
    </row>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7500"/>
    <pageSetUpPr fitToPage="false"/>
  </sheetPr>
  <dimension ref="A1:BP250"/>
  <sheetViews>
    <sheetView showFormulas="false" showGridLines="true" showRowColHeaders="true" showZeros="true" rightToLeft="false" tabSelected="false" showOutlineSymbols="true" defaultGridColor="true" view="normal" topLeftCell="A22" colorId="64" zoomScale="75" zoomScaleNormal="75" zoomScalePageLayoutView="100" workbookViewId="0">
      <selection pane="topLeft" activeCell="A153" activeCellId="1" sqref="155:249 A153"/>
    </sheetView>
  </sheetViews>
  <sheetFormatPr defaultColWidth="11.53515625" defaultRowHeight="12.8" customHeight="false" zeroHeight="false" outlineLevelRow="1" outlineLevelCol="0"/>
  <cols>
    <col collapsed="false" customWidth="true" hidden="false" outlineLevel="0" max="1" min="1" style="34" width="13.84"/>
    <col collapsed="false" customWidth="true" hidden="false" outlineLevel="0" max="2" min="2" style="23" width="36.9"/>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23.85" hidden="false" customHeight="false" outlineLevel="0" collapsed="false">
      <c r="A1" s="3" t="s">
        <v>826</v>
      </c>
      <c r="B1" s="30" t="s">
        <v>827</v>
      </c>
      <c r="C1" s="5" t="s">
        <v>2</v>
      </c>
      <c r="D1" s="48" t="s">
        <v>828</v>
      </c>
      <c r="AZ1" s="23"/>
      <c r="BP1" s="23"/>
    </row>
    <row r="2" customFormat="false" ht="35.05" hidden="false" customHeight="false" outlineLevel="0" collapsed="false">
      <c r="A2" s="25" t="s">
        <v>799</v>
      </c>
      <c r="B2" s="30" t="s">
        <v>800</v>
      </c>
      <c r="C2" s="32" t="str">
        <f aca="false">CALC!BD3</f>
        <v>EITC Credit Refund</v>
      </c>
      <c r="D2" s="32" t="str">
        <f aca="false">CALC!BE3</f>
        <v>Authorized Immigrant EITC Credit Refund</v>
      </c>
      <c r="E2" s="32" t="str">
        <f aca="false">CALC!BF3</f>
        <v>Unauthorized Immigrant EITC Credit Refund</v>
      </c>
      <c r="F2" s="32" t="str">
        <f aca="false">CALC!BG3</f>
        <v>American Effective Tax EITC Credit Refund</v>
      </c>
    </row>
    <row r="3" customFormat="false" ht="12.8" hidden="false" customHeight="false" outlineLevel="0" collapsed="false">
      <c r="A3" s="3" t="str">
        <f aca="false">_xlfn.CONCAT($A$1, ".", CALC!A4)</f>
        <v>LSD.RID.0.AR.EITCREF.0</v>
      </c>
      <c r="B3" s="44" t="str">
        <f aca="false">_xlfn.CONCAT(CALC!B4, ":", CALC!C4)</f>
        <v>All Industries:All Roles</v>
      </c>
      <c r="C3" s="32" t="n">
        <f aca="false">CALC!BD4</f>
        <v>150000000</v>
      </c>
      <c r="D3" s="32" t="n">
        <f aca="false">CALC!BE4</f>
        <v>135000000</v>
      </c>
      <c r="E3" s="32" t="n">
        <f aca="false">CALC!BF4</f>
        <v>0</v>
      </c>
      <c r="F3" s="32" t="n">
        <f aca="false">CALC!BG4</f>
        <v>15000000</v>
      </c>
    </row>
    <row r="4" customFormat="false" ht="12.8" hidden="false" customHeight="false" outlineLevel="0" collapsed="false">
      <c r="A4" s="47" t="str">
        <f aca="false">_xlfn.CONCAT($A$1, ".", CALC!A5)</f>
        <v>LSD.RID.0.AR.EITCREF.1</v>
      </c>
      <c r="B4" s="50" t="str">
        <f aca="false">_xlfn.CONCAT(CALC!B5, ":", CALC!C5)</f>
        <v>Agriculture:Worker</v>
      </c>
      <c r="C4" s="57" t="n">
        <f aca="false">CALC!BD5</f>
        <v>5000000</v>
      </c>
      <c r="D4" s="57" t="n">
        <f aca="false">CALC!BE5</f>
        <v>4500000</v>
      </c>
      <c r="E4" s="57" t="n">
        <f aca="false">CALC!BF5</f>
        <v>0</v>
      </c>
      <c r="F4" s="57" t="n">
        <f aca="false">CALC!BG5</f>
        <v>500000</v>
      </c>
    </row>
    <row r="5" customFormat="false" ht="12.8" hidden="false" customHeight="false" outlineLevel="0" collapsed="false">
      <c r="A5" s="47" t="str">
        <f aca="false">_xlfn.CONCAT($A$1, ".", CALC!A6)</f>
        <v>LSD.RID.0.AR.EITCREF.2</v>
      </c>
      <c r="B5" s="50" t="str">
        <f aca="false">_xlfn.CONCAT(CALC!B6, ":", CALC!C6)</f>
        <v>Agriculture:Support</v>
      </c>
      <c r="C5" s="57" t="n">
        <f aca="false">CALC!BD6</f>
        <v>1250000</v>
      </c>
      <c r="D5" s="57" t="n">
        <f aca="false">CALC!BE6</f>
        <v>1125000</v>
      </c>
      <c r="E5" s="57" t="n">
        <f aca="false">CALC!BF6</f>
        <v>0</v>
      </c>
      <c r="F5" s="57" t="n">
        <f aca="false">CALC!BG6</f>
        <v>125000</v>
      </c>
    </row>
    <row r="6" customFormat="false" ht="12.8" hidden="false" customHeight="false" outlineLevel="0" collapsed="false">
      <c r="A6" s="47" t="str">
        <f aca="false">_xlfn.CONCAT($A$1, ".", CALC!A7)</f>
        <v>LSD.RID.0.AR.EITCREF.3</v>
      </c>
      <c r="B6" s="50" t="str">
        <f aca="false">_xlfn.CONCAT(CALC!B7, ":", CALC!C7)</f>
        <v>Construction:Worker</v>
      </c>
      <c r="C6" s="57" t="n">
        <f aca="false">CALC!BD7</f>
        <v>12000000</v>
      </c>
      <c r="D6" s="57" t="n">
        <f aca="false">CALC!BE7</f>
        <v>10800000</v>
      </c>
      <c r="E6" s="57" t="n">
        <f aca="false">CALC!BF7</f>
        <v>0</v>
      </c>
      <c r="F6" s="57" t="n">
        <f aca="false">CALC!BG7</f>
        <v>1200000</v>
      </c>
    </row>
    <row r="7" customFormat="false" ht="12.8" hidden="false" customHeight="false" outlineLevel="0" collapsed="false">
      <c r="A7" s="47" t="str">
        <f aca="false">_xlfn.CONCAT($A$1, ".", CALC!A8)</f>
        <v>LSD.RID.0.AR.EITCREF.4</v>
      </c>
      <c r="B7" s="50" t="str">
        <f aca="false">_xlfn.CONCAT(CALC!B8, ":", CALC!C8)</f>
        <v>Construction:Support</v>
      </c>
      <c r="C7" s="57" t="n">
        <f aca="false">CALC!BD8</f>
        <v>3000000</v>
      </c>
      <c r="D7" s="57" t="n">
        <f aca="false">CALC!BE8</f>
        <v>2700000</v>
      </c>
      <c r="E7" s="57" t="n">
        <f aca="false">CALC!BF8</f>
        <v>0</v>
      </c>
      <c r="F7" s="57" t="n">
        <f aca="false">CALC!BG8</f>
        <v>300000</v>
      </c>
    </row>
    <row r="8" customFormat="false" ht="12.8" hidden="false" customHeight="false" outlineLevel="0" collapsed="false">
      <c r="A8" s="47" t="str">
        <f aca="false">_xlfn.CONCAT($A$1, ".", CALC!A9)</f>
        <v>LSD.RID.0.AR.EITCREF.5</v>
      </c>
      <c r="B8" s="50" t="str">
        <f aca="false">_xlfn.CONCAT(CALC!B9, ":", CALC!C9)</f>
        <v>Hospitality:Worker</v>
      </c>
      <c r="C8" s="57" t="n">
        <f aca="false">CALC!BD9</f>
        <v>30000000</v>
      </c>
      <c r="D8" s="57" t="n">
        <f aca="false">CALC!BE9</f>
        <v>27000000</v>
      </c>
      <c r="E8" s="57" t="n">
        <f aca="false">CALC!BF9</f>
        <v>0</v>
      </c>
      <c r="F8" s="57" t="n">
        <f aca="false">CALC!BG9</f>
        <v>3000000</v>
      </c>
    </row>
    <row r="9" customFormat="false" ht="12.8" hidden="false" customHeight="false" outlineLevel="0" collapsed="false">
      <c r="A9" s="47" t="str">
        <f aca="false">_xlfn.CONCAT($A$1, ".", CALC!A10)</f>
        <v>LSD.RID.0.AR.EITCREF.6</v>
      </c>
      <c r="B9" s="50" t="str">
        <f aca="false">_xlfn.CONCAT(CALC!B10, ":", CALC!C10)</f>
        <v>Hospitality:Support</v>
      </c>
      <c r="C9" s="57" t="n">
        <f aca="false">CALC!BD10</f>
        <v>7500000</v>
      </c>
      <c r="D9" s="57" t="n">
        <f aca="false">CALC!BE10</f>
        <v>6750000</v>
      </c>
      <c r="E9" s="57" t="n">
        <f aca="false">CALC!BF10</f>
        <v>0</v>
      </c>
      <c r="F9" s="57" t="n">
        <f aca="false">CALC!BG10</f>
        <v>750000</v>
      </c>
    </row>
    <row r="10" customFormat="false" ht="12.8" hidden="false" customHeight="false" outlineLevel="0" collapsed="false">
      <c r="A10" s="47" t="str">
        <f aca="false">_xlfn.CONCAT($A$1, ".", CALC!A11)</f>
        <v>LSD.RID.0.AR.EITCREF.7</v>
      </c>
      <c r="B10" s="50" t="str">
        <f aca="false">_xlfn.CONCAT(CALC!B11, ":", CALC!C11)</f>
        <v>Cleaning &amp; Maintenance:Worker</v>
      </c>
      <c r="C10" s="57" t="n">
        <f aca="false">CALC!BD11</f>
        <v>8500000</v>
      </c>
      <c r="D10" s="57" t="n">
        <f aca="false">CALC!BE11</f>
        <v>7650000</v>
      </c>
      <c r="E10" s="57" t="n">
        <f aca="false">CALC!BF11</f>
        <v>0</v>
      </c>
      <c r="F10" s="57" t="n">
        <f aca="false">CALC!BG11</f>
        <v>850000</v>
      </c>
    </row>
    <row r="11" customFormat="false" ht="12.8" hidden="false" customHeight="false" outlineLevel="0" collapsed="false">
      <c r="A11" s="47" t="str">
        <f aca="false">_xlfn.CONCAT($A$1, ".", CALC!A12)</f>
        <v>LSD.RID.0.AR.EITCREF.8</v>
      </c>
      <c r="B11" s="50" t="str">
        <f aca="false">_xlfn.CONCAT(CALC!B12, ":", CALC!C12)</f>
        <v>Cleaning &amp; Maintenance:Support</v>
      </c>
      <c r="C11" s="57" t="n">
        <f aca="false">CALC!BD12</f>
        <v>2125000</v>
      </c>
      <c r="D11" s="57" t="n">
        <f aca="false">CALC!BE12</f>
        <v>1912500</v>
      </c>
      <c r="E11" s="57" t="n">
        <f aca="false">CALC!BF12</f>
        <v>0</v>
      </c>
      <c r="F11" s="57" t="n">
        <f aca="false">CALC!BG12</f>
        <v>212500</v>
      </c>
    </row>
    <row r="12" customFormat="false" ht="12.8" hidden="false" customHeight="false" outlineLevel="0" collapsed="false">
      <c r="A12" s="47" t="str">
        <f aca="false">_xlfn.CONCAT($A$1, ".", CALC!A13)</f>
        <v>LSD.RID.0.AR.EITCREF.9</v>
      </c>
      <c r="B12" s="50" t="str">
        <f aca="false">_xlfn.CONCAT(CALC!B13, ":", CALC!C13)</f>
        <v>Manufacturing:Worker</v>
      </c>
      <c r="C12" s="57" t="n">
        <f aca="false">CALC!BD13</f>
        <v>40000000</v>
      </c>
      <c r="D12" s="57" t="n">
        <f aca="false">CALC!BE13</f>
        <v>36000000</v>
      </c>
      <c r="E12" s="57" t="n">
        <f aca="false">CALC!BF13</f>
        <v>0</v>
      </c>
      <c r="F12" s="57" t="n">
        <f aca="false">CALC!BG13</f>
        <v>4000000</v>
      </c>
    </row>
    <row r="13" customFormat="false" ht="12.8" hidden="false" customHeight="false" outlineLevel="0" collapsed="false">
      <c r="A13" s="47" t="str">
        <f aca="false">_xlfn.CONCAT($A$1, ".", CALC!A14)</f>
        <v>LSD.RID.0.AR.EITCREF.10</v>
      </c>
      <c r="B13" s="50" t="str">
        <f aca="false">_xlfn.CONCAT(CALC!B14, ":", CALC!C14)</f>
        <v>Manufacturing:Support</v>
      </c>
      <c r="C13" s="57" t="n">
        <f aca="false">CALC!BD14</f>
        <v>3894000</v>
      </c>
      <c r="D13" s="57" t="n">
        <f aca="false">CALC!BE14</f>
        <v>5607</v>
      </c>
      <c r="E13" s="57" t="n">
        <f aca="false">CALC!BF14</f>
        <v>0</v>
      </c>
      <c r="F13" s="57" t="n">
        <f aca="false">CALC!BG14</f>
        <v>295360</v>
      </c>
    </row>
    <row r="14" customFormat="false" ht="12.8" hidden="false" customHeight="false" outlineLevel="0" collapsed="false">
      <c r="A14" s="47" t="str">
        <f aca="false">_xlfn.CONCAT($A$1, ".", CALC!A15)</f>
        <v>LSD.RID.0.AR.EITCREF.11</v>
      </c>
      <c r="B14" s="50" t="str">
        <f aca="false">_xlfn.CONCAT(CALC!B15, ":", CALC!C15)</f>
        <v>Transportation &amp; Warehousing:Worker</v>
      </c>
      <c r="C14" s="57" t="n">
        <f aca="false">CALC!BD15</f>
        <v>28000000</v>
      </c>
      <c r="D14" s="57" t="n">
        <f aca="false">CALC!BE15</f>
        <v>25200000</v>
      </c>
      <c r="E14" s="57" t="n">
        <f aca="false">CALC!BF15</f>
        <v>0</v>
      </c>
      <c r="F14" s="57" t="n">
        <f aca="false">CALC!BG15</f>
        <v>2800000</v>
      </c>
    </row>
    <row r="15" customFormat="false" ht="12.8" hidden="false" customHeight="false" outlineLevel="0" collapsed="false">
      <c r="A15" s="47" t="str">
        <f aca="false">_xlfn.CONCAT($A$1, ".", CALC!A16)</f>
        <v>LSD.RID.0.AR.EITCREF.12</v>
      </c>
      <c r="B15" s="50" t="str">
        <f aca="false">_xlfn.CONCAT(CALC!B16, ":", CALC!C16)</f>
        <v>Transportation &amp; Warehousing:Support</v>
      </c>
      <c r="C15" s="57" t="n">
        <f aca="false">CALC!BD16</f>
        <v>9333333</v>
      </c>
      <c r="D15" s="57" t="n">
        <f aca="false">CALC!BE16</f>
        <v>8400000</v>
      </c>
      <c r="E15" s="57" t="n">
        <f aca="false">CALC!BF16</f>
        <v>0</v>
      </c>
      <c r="F15" s="57" t="n">
        <f aca="false">CALC!BG16</f>
        <v>933333</v>
      </c>
    </row>
    <row r="16" customFormat="false" ht="12.8" hidden="false" customHeight="false" outlineLevel="0" collapsed="false">
      <c r="A16" s="47" t="str">
        <f aca="false">_xlfn.CONCAT($A$1, ".", CALC!A17)</f>
        <v>LSD.RID.0.AR.EITCREF.13</v>
      </c>
      <c r="B16" s="50" t="str">
        <f aca="false">_xlfn.CONCAT(CALC!B17, ":", CALC!C17)</f>
        <v>Retail Trade:Worker</v>
      </c>
      <c r="C16" s="57" t="n">
        <f aca="false">CALC!BD17</f>
        <v>60000000</v>
      </c>
      <c r="D16" s="57" t="n">
        <f aca="false">CALC!BE17</f>
        <v>54000000</v>
      </c>
      <c r="E16" s="57" t="n">
        <f aca="false">CALC!BF17</f>
        <v>0</v>
      </c>
      <c r="F16" s="57" t="n">
        <f aca="false">CALC!BG17</f>
        <v>6000000</v>
      </c>
    </row>
    <row r="17" customFormat="false" ht="12.8" hidden="false" customHeight="false" outlineLevel="0" collapsed="false">
      <c r="A17" s="47" t="str">
        <f aca="false">_xlfn.CONCAT($A$1, ".", CALC!A18)</f>
        <v>LSD.RID.0.AR.EITCREF.14</v>
      </c>
      <c r="B17" s="50" t="str">
        <f aca="false">_xlfn.CONCAT(CALC!B18, ":", CALC!C18)</f>
        <v>Retail Trade:Support</v>
      </c>
      <c r="C17" s="57" t="n">
        <f aca="false">CALC!BD18</f>
        <v>25714286</v>
      </c>
      <c r="D17" s="57" t="n">
        <f aca="false">CALC!BE18</f>
        <v>23142857</v>
      </c>
      <c r="E17" s="57" t="n">
        <f aca="false">CALC!BF18</f>
        <v>0</v>
      </c>
      <c r="F17" s="57" t="n">
        <f aca="false">CALC!BG18</f>
        <v>2571429</v>
      </c>
    </row>
    <row r="18" customFormat="false" ht="12.8" hidden="false" customHeight="false" outlineLevel="0" collapsed="false">
      <c r="A18" s="47" t="str">
        <f aca="false">_xlfn.CONCAT($A$1, ".", CALC!A19)</f>
        <v>LSD.RID.0.AR.EITCREF.15</v>
      </c>
      <c r="B18" s="50" t="str">
        <f aca="false">_xlfn.CONCAT(CALC!B19, ":", CALC!C19)</f>
        <v>Landscaping / Groundskeeping:Worker</v>
      </c>
      <c r="C18" s="57" t="n">
        <f aca="false">CALC!BD19</f>
        <v>7000000</v>
      </c>
      <c r="D18" s="57" t="n">
        <f aca="false">CALC!BE19</f>
        <v>6300000</v>
      </c>
      <c r="E18" s="57" t="n">
        <f aca="false">CALC!BF19</f>
        <v>0</v>
      </c>
      <c r="F18" s="57" t="n">
        <f aca="false">CALC!BG19</f>
        <v>700000</v>
      </c>
    </row>
    <row r="19" customFormat="false" ht="12.8" hidden="false" customHeight="false" outlineLevel="0" collapsed="false">
      <c r="A19" s="47" t="str">
        <f aca="false">_xlfn.CONCAT($A$1, ".", CALC!A20)</f>
        <v>LSD.RID.0.AR.EITCREF.16</v>
      </c>
      <c r="B19" s="50" t="str">
        <f aca="false">_xlfn.CONCAT(CALC!B20, ":", CALC!C20)</f>
        <v>Landscaping / Groundskeeping:Support</v>
      </c>
      <c r="C19" s="57" t="n">
        <f aca="false">CALC!BD20</f>
        <v>1234286</v>
      </c>
      <c r="D19" s="57" t="n">
        <f aca="false">CALC!BE20</f>
        <v>1110857</v>
      </c>
      <c r="E19" s="57" t="n">
        <f aca="false">CALC!BF20</f>
        <v>0</v>
      </c>
      <c r="F19" s="57" t="n">
        <f aca="false">CALC!BG20</f>
        <v>123429</v>
      </c>
    </row>
    <row r="20" customFormat="false" ht="12.8" hidden="false" customHeight="false" outlineLevel="0" collapsed="false">
      <c r="A20" s="47" t="str">
        <f aca="false">_xlfn.CONCAT($A$1, ".", CALC!A21)</f>
        <v>LSD.RID.0.AR.EITCREF.17</v>
      </c>
      <c r="B20" s="50" t="str">
        <f aca="false">_xlfn.CONCAT(CALC!B21, ":", CALC!C21)</f>
        <v>Automotive &amp; Repair:Worker</v>
      </c>
      <c r="C20" s="57" t="n">
        <f aca="false">CALC!BD21</f>
        <v>2400000</v>
      </c>
      <c r="D20" s="57" t="n">
        <f aca="false">CALC!BE21</f>
        <v>3456</v>
      </c>
      <c r="E20" s="57" t="n">
        <f aca="false">CALC!BF21</f>
        <v>0</v>
      </c>
      <c r="F20" s="57" t="n">
        <f aca="false">CALC!BG21</f>
        <v>186480</v>
      </c>
    </row>
    <row r="21" customFormat="false" ht="12.8" hidden="false" customHeight="false" outlineLevel="0" collapsed="false">
      <c r="A21" s="47" t="str">
        <f aca="false">_xlfn.CONCAT($A$1, ".", CALC!A22)</f>
        <v>LSD.RID.0.AR.EITCREF.18</v>
      </c>
      <c r="B21" s="50" t="str">
        <f aca="false">_xlfn.CONCAT(CALC!B22, ":", CALC!C22)</f>
        <v>Automotive &amp; Repair:Support</v>
      </c>
      <c r="C21" s="57" t="n">
        <f aca="false">CALC!BD22</f>
        <v>600000</v>
      </c>
      <c r="D21" s="57" t="n">
        <f aca="false">CALC!BE22</f>
        <v>864</v>
      </c>
      <c r="E21" s="57" t="n">
        <f aca="false">CALC!BF22</f>
        <v>0</v>
      </c>
      <c r="F21" s="57" t="n">
        <f aca="false">CALC!BG22</f>
        <v>46620</v>
      </c>
    </row>
    <row r="22" customFormat="false" ht="12.8" hidden="false" customHeight="false" outlineLevel="0" collapsed="false">
      <c r="A22" s="47" t="str">
        <f aca="false">_xlfn.CONCAT($A$1, ".", CALC!A23)</f>
        <v>LSD.RID.0.AR.EITCREF.19</v>
      </c>
      <c r="B22" s="50" t="str">
        <f aca="false">_xlfn.CONCAT(CALC!B23, ":", CALC!C23)</f>
        <v>Healthcare &amp; Social Assistance:Worker</v>
      </c>
      <c r="C22" s="57" t="n">
        <f aca="false">CALC!BD23</f>
        <v>48000000</v>
      </c>
      <c r="D22" s="57" t="n">
        <f aca="false">CALC!BE23</f>
        <v>43200000</v>
      </c>
      <c r="E22" s="57" t="n">
        <f aca="false">CALC!BF23</f>
        <v>0</v>
      </c>
      <c r="F22" s="57" t="n">
        <f aca="false">CALC!BG23</f>
        <v>4800000</v>
      </c>
    </row>
    <row r="23" customFormat="false" ht="12.8" hidden="false" customHeight="false" outlineLevel="0" collapsed="false">
      <c r="A23" s="47" t="str">
        <f aca="false">_xlfn.CONCAT($A$1, ".", CALC!A24)</f>
        <v>LSD.RID.0.AR.EITCREF.20</v>
      </c>
      <c r="B23" s="50" t="str">
        <f aca="false">_xlfn.CONCAT(CALC!B24, ":", CALC!C24)</f>
        <v>Healthcare &amp; Social Assistance:Support</v>
      </c>
      <c r="C23" s="57" t="n">
        <f aca="false">CALC!BD24</f>
        <v>12000000</v>
      </c>
      <c r="D23" s="57" t="n">
        <f aca="false">CALC!BE24</f>
        <v>10800000</v>
      </c>
      <c r="E23" s="57" t="n">
        <f aca="false">CALC!BF24</f>
        <v>0</v>
      </c>
      <c r="F23" s="57" t="n">
        <f aca="false">CALC!BG24</f>
        <v>1200000</v>
      </c>
    </row>
    <row r="24" customFormat="false" ht="12.8" hidden="false" customHeight="false" outlineLevel="0" collapsed="false">
      <c r="A24" s="47" t="str">
        <f aca="false">_xlfn.CONCAT($A$1, ".", CALC!A25)</f>
        <v>LSD.RID.0.AR.EITCREF.21</v>
      </c>
      <c r="B24" s="50" t="str">
        <f aca="false">_xlfn.CONCAT(CALC!B25, ":", CALC!C25)</f>
        <v>Professional Services:Worker</v>
      </c>
      <c r="C24" s="57" t="n">
        <f aca="false">CALC!BD25</f>
        <v>20000000</v>
      </c>
      <c r="D24" s="57" t="n">
        <f aca="false">CALC!BE25</f>
        <v>18000000</v>
      </c>
      <c r="E24" s="57" t="n">
        <f aca="false">CALC!BF25</f>
        <v>0</v>
      </c>
      <c r="F24" s="57" t="n">
        <f aca="false">CALC!BG25</f>
        <v>2000000</v>
      </c>
    </row>
    <row r="25" customFormat="false" ht="12.8" hidden="false" customHeight="false" outlineLevel="0" collapsed="false">
      <c r="A25" s="47" t="str">
        <f aca="false">_xlfn.CONCAT($A$1, ".", CALC!A26)</f>
        <v>LSD.RID.0.AR.EITCREF.22</v>
      </c>
      <c r="B25" s="50" t="str">
        <f aca="false">_xlfn.CONCAT(CALC!B26, ":", CALC!C26)</f>
        <v>Professional Services:Support</v>
      </c>
      <c r="C25" s="57" t="n">
        <f aca="false">CALC!BD26</f>
        <v>5000000</v>
      </c>
      <c r="D25" s="57" t="n">
        <f aca="false">CALC!BE26</f>
        <v>4500000</v>
      </c>
      <c r="E25" s="57" t="n">
        <f aca="false">CALC!BF26</f>
        <v>0</v>
      </c>
      <c r="F25" s="57" t="n">
        <f aca="false">CALC!BG26</f>
        <v>500000</v>
      </c>
    </row>
    <row r="26" customFormat="false" ht="12.8" hidden="false" customHeight="false" outlineLevel="0" collapsed="false">
      <c r="A26" s="47" t="str">
        <f aca="false">_xlfn.CONCAT($A$1, ".", CALC!A27)</f>
        <v>LSD.RID.0.AR.EITCREF.23</v>
      </c>
      <c r="B26" s="50" t="str">
        <f aca="false">_xlfn.CONCAT(CALC!B27, ":", CALC!C27)</f>
        <v>Educational Services:Worker</v>
      </c>
      <c r="C26" s="57" t="n">
        <f aca="false">CALC!BD27</f>
        <v>20000000</v>
      </c>
      <c r="D26" s="57" t="n">
        <f aca="false">CALC!BE27</f>
        <v>18000000</v>
      </c>
      <c r="E26" s="57" t="n">
        <f aca="false">CALC!BF27</f>
        <v>0</v>
      </c>
      <c r="F26" s="57" t="n">
        <f aca="false">CALC!BG27</f>
        <v>2000000</v>
      </c>
    </row>
    <row r="27" customFormat="false" ht="12.8" hidden="false" customHeight="false" outlineLevel="0" collapsed="false">
      <c r="A27" s="47" t="str">
        <f aca="false">_xlfn.CONCAT($A$1, ".", CALC!A28)</f>
        <v>LSD.RID.0.AR.EITCREF.24</v>
      </c>
      <c r="B27" s="50" t="str">
        <f aca="false">_xlfn.CONCAT(CALC!B28, ":", CALC!C28)</f>
        <v>Educational Services:Support</v>
      </c>
      <c r="C27" s="57" t="n">
        <f aca="false">CALC!BD28</f>
        <v>5000000</v>
      </c>
      <c r="D27" s="57" t="n">
        <f aca="false">CALC!BE28</f>
        <v>4500000</v>
      </c>
      <c r="E27" s="57" t="n">
        <f aca="false">CALC!BF28</f>
        <v>0</v>
      </c>
      <c r="F27" s="57" t="n">
        <f aca="false">CALC!BG28</f>
        <v>500000</v>
      </c>
    </row>
    <row r="28" customFormat="false" ht="12.8" hidden="false" customHeight="false" outlineLevel="0" collapsed="false">
      <c r="A28" s="47" t="str">
        <f aca="false">_xlfn.CONCAT($A$1, ".", CALC!A29)</f>
        <v>LSD.RID.0.AR.EITCREF.25</v>
      </c>
      <c r="B28" s="50" t="str">
        <f aca="false">_xlfn.CONCAT(CALC!B29, ":", CALC!C29)</f>
        <v>Finance &amp; Insurance:Worker</v>
      </c>
      <c r="C28" s="57" t="n">
        <f aca="false">CALC!BD29</f>
        <v>14000000</v>
      </c>
      <c r="D28" s="57" t="n">
        <f aca="false">CALC!BE29</f>
        <v>12600000</v>
      </c>
      <c r="E28" s="57" t="n">
        <f aca="false">CALC!BF29</f>
        <v>0</v>
      </c>
      <c r="F28" s="57" t="n">
        <f aca="false">CALC!BG29</f>
        <v>1400000</v>
      </c>
    </row>
    <row r="29" customFormat="false" ht="12.8" hidden="false" customHeight="false" outlineLevel="0" collapsed="false">
      <c r="A29" s="47" t="str">
        <f aca="false">_xlfn.CONCAT($A$1, ".", CALC!A30)</f>
        <v>LSD.RID.0.AR.EITCREF.26</v>
      </c>
      <c r="B29" s="50" t="str">
        <f aca="false">_xlfn.CONCAT(CALC!B30, ":", CALC!C30)</f>
        <v>Finance &amp; Insurance:Support</v>
      </c>
      <c r="C29" s="57" t="n">
        <f aca="false">CALC!BD30</f>
        <v>3500000</v>
      </c>
      <c r="D29" s="57" t="n">
        <f aca="false">CALC!BE30</f>
        <v>3150000</v>
      </c>
      <c r="E29" s="57" t="n">
        <f aca="false">CALC!BF30</f>
        <v>0</v>
      </c>
      <c r="F29" s="57" t="n">
        <f aca="false">CALC!BG30</f>
        <v>350000</v>
      </c>
    </row>
    <row r="30" customFormat="false" ht="12.8" hidden="false" customHeight="false" outlineLevel="0" collapsed="false">
      <c r="A30" s="47" t="str">
        <f aca="false">_xlfn.CONCAT($A$1, ".", CALC!A31)</f>
        <v>LSD.RID.0.AR.EITCREF.27</v>
      </c>
      <c r="B30" s="50" t="str">
        <f aca="false">_xlfn.CONCAT(CALC!B31, ":", CALC!C31)</f>
        <v>Media and Information Technology:Worker</v>
      </c>
      <c r="C30" s="57" t="n">
        <f aca="false">CALC!BD31</f>
        <v>4000000</v>
      </c>
      <c r="D30" s="57" t="n">
        <f aca="false">CALC!BE31</f>
        <v>3600000</v>
      </c>
      <c r="E30" s="57" t="n">
        <f aca="false">CALC!BF31</f>
        <v>0</v>
      </c>
      <c r="F30" s="57" t="n">
        <f aca="false">CALC!BG31</f>
        <v>400000</v>
      </c>
    </row>
    <row r="31" customFormat="false" ht="12.8" hidden="false" customHeight="false" outlineLevel="0" collapsed="false">
      <c r="A31" s="47" t="str">
        <f aca="false">_xlfn.CONCAT($A$1, ".", CALC!A32)</f>
        <v>LSD.RID.0.AR.EITCREF.28</v>
      </c>
      <c r="B31" s="50" t="str">
        <f aca="false">_xlfn.CONCAT(CALC!B32, ":", CALC!C32)</f>
        <v>Media and Information Technology:Support</v>
      </c>
      <c r="C31" s="57" t="n">
        <f aca="false">CALC!BD32</f>
        <v>1000000</v>
      </c>
      <c r="D31" s="57" t="n">
        <f aca="false">CALC!BE32</f>
        <v>900000</v>
      </c>
      <c r="E31" s="57" t="n">
        <f aca="false">CALC!BF32</f>
        <v>0</v>
      </c>
      <c r="F31" s="57" t="n">
        <f aca="false">CALC!BG32</f>
        <v>100000</v>
      </c>
    </row>
    <row r="32" customFormat="false" ht="12.8" hidden="false" customHeight="false" outlineLevel="0" collapsed="false">
      <c r="A32" s="47" t="str">
        <f aca="false">_xlfn.CONCAT($A$1, ".", CALC!A33)</f>
        <v>LSD.RID.0.AR.EITCREF.29</v>
      </c>
      <c r="B32" s="50" t="str">
        <f aca="false">_xlfn.CONCAT(CALC!B33, ":", CALC!C33)</f>
        <v>Government:Worker</v>
      </c>
      <c r="C32" s="57" t="n">
        <f aca="false">CALC!BD33</f>
        <v>20000000</v>
      </c>
      <c r="D32" s="57" t="n">
        <f aca="false">CALC!BE33</f>
        <v>18000000</v>
      </c>
      <c r="E32" s="57" t="n">
        <f aca="false">CALC!BF33</f>
        <v>0</v>
      </c>
      <c r="F32" s="57" t="n">
        <f aca="false">CALC!BG33</f>
        <v>2000000</v>
      </c>
    </row>
    <row r="33" customFormat="false" ht="12.8" hidden="false" customHeight="false" outlineLevel="0" collapsed="false">
      <c r="A33" s="47" t="str">
        <f aca="false">_xlfn.CONCAT($A$1, ".", CALC!A34)</f>
        <v>LSD.RID.0.AR.EITCREF.30</v>
      </c>
      <c r="B33" s="50" t="str">
        <f aca="false">_xlfn.CONCAT(CALC!B34, ":", CALC!C34)</f>
        <v>Government:Support</v>
      </c>
      <c r="C33" s="57" t="n">
        <f aca="false">CALC!BD34</f>
        <v>5000000</v>
      </c>
      <c r="D33" s="57" t="n">
        <f aca="false">CALC!BE34</f>
        <v>4500000</v>
      </c>
      <c r="E33" s="57" t="n">
        <f aca="false">CALC!BF34</f>
        <v>0</v>
      </c>
      <c r="F33" s="57" t="n">
        <f aca="false">CALC!BG34</f>
        <v>500000</v>
      </c>
    </row>
    <row r="34" customFormat="false" ht="12.8" hidden="false" customHeight="false" outlineLevel="0" collapsed="false">
      <c r="A34" s="47" t="str">
        <f aca="false">_xlfn.CONCAT($A$1, ".", CALC!A35)</f>
        <v>LSD.RID.0.AR.EITCREF.31</v>
      </c>
      <c r="B34" s="50" t="str">
        <f aca="false">_xlfn.CONCAT(CALC!B35, ":", CALC!C35)</f>
        <v>Self-Employed / Non-Employer:Support</v>
      </c>
      <c r="C34" s="57" t="n">
        <f aca="false">CALC!BD35</f>
        <v>20000000</v>
      </c>
      <c r="D34" s="57" t="n">
        <f aca="false">CALC!BE35</f>
        <v>18000000</v>
      </c>
      <c r="E34" s="57" t="n">
        <f aca="false">CALC!BF35</f>
        <v>0</v>
      </c>
      <c r="F34" s="57" t="n">
        <f aca="false">CALC!BG35</f>
        <v>2000000</v>
      </c>
    </row>
    <row r="35" customFormat="false" ht="12.8" hidden="false" customHeight="false" outlineLevel="0" collapsed="false">
      <c r="A35" s="47" t="str">
        <f aca="false">_xlfn.CONCAT($A$1, ".", CALC!A36)</f>
        <v>LSD.RID.0.AR.EITCREF.32</v>
      </c>
      <c r="B35" s="50" t="str">
        <f aca="false">_xlfn.CONCAT(CALC!B36, ":", CALC!C36)</f>
        <v>Self-Employed / Non-Employer:Worker</v>
      </c>
      <c r="C35" s="57" t="n">
        <f aca="false">CALC!BD36</f>
        <v>62500000</v>
      </c>
      <c r="D35" s="57" t="n">
        <f aca="false">CALC!BE36</f>
        <v>56250000</v>
      </c>
      <c r="E35" s="57" t="n">
        <f aca="false">CALC!BF36</f>
        <v>0</v>
      </c>
      <c r="F35" s="57" t="n">
        <f aca="false">CALC!BG36</f>
        <v>6250000</v>
      </c>
    </row>
    <row r="36" customFormat="false" ht="12.8" hidden="false" customHeight="false" outlineLevel="0" collapsed="false">
      <c r="A36" s="47" t="str">
        <f aca="false">_xlfn.CONCAT($A$1, ".", CALC!A37)</f>
        <v>LSD.RID.0.AR.EITCREF.33</v>
      </c>
      <c r="B36" s="50" t="str">
        <f aca="false">_xlfn.CONCAT(CALC!B37, ":", CALC!C37)</f>
        <v>Other Services:Support</v>
      </c>
      <c r="C36" s="57" t="n">
        <f aca="false">CALC!BD37</f>
        <v>3500000</v>
      </c>
      <c r="D36" s="57" t="n">
        <f aca="false">CALC!BE37</f>
        <v>3150000</v>
      </c>
      <c r="E36" s="57" t="n">
        <f aca="false">CALC!BF37</f>
        <v>0</v>
      </c>
      <c r="F36" s="57" t="n">
        <f aca="false">CALC!BG37</f>
        <v>350000</v>
      </c>
    </row>
    <row r="37" customFormat="false" ht="12.8" hidden="false" customHeight="false" outlineLevel="0" collapsed="false">
      <c r="A37" s="47" t="str">
        <f aca="false">_xlfn.CONCAT($A$1, ".", CALC!A38)</f>
        <v>LSD.RID.0.AR.EITCREF.34</v>
      </c>
      <c r="B37" s="50" t="str">
        <f aca="false">_xlfn.CONCAT(CALC!B38, ":", CALC!C38)</f>
        <v>Other Services:Worker</v>
      </c>
      <c r="C37" s="57" t="n">
        <f aca="false">CALC!BD38</f>
        <v>14000000</v>
      </c>
      <c r="D37" s="57" t="n">
        <f aca="false">CALC!BE38</f>
        <v>12600000</v>
      </c>
      <c r="E37" s="57" t="n">
        <f aca="false">CALC!BF38</f>
        <v>0</v>
      </c>
      <c r="F37" s="57" t="n">
        <f aca="false">CALC!BG38</f>
        <v>1400000</v>
      </c>
    </row>
    <row r="38" customFormat="false" ht="12.8" hidden="false" customHeight="false" outlineLevel="0" collapsed="false">
      <c r="A38" s="47" t="str">
        <f aca="false">_xlfn.CONCAT($A$1, ".", CALC!A39)</f>
        <v>LSD.RID.0.AR.EITCREF.35</v>
      </c>
      <c r="B38" s="50" t="str">
        <f aca="false">_xlfn.CONCAT(CALC!B39, ":", CALC!C39)</f>
        <v>Mining, Quarrying, and Oil/Gas Extraction:Support</v>
      </c>
      <c r="C38" s="57" t="n">
        <f aca="false">CALC!BD39</f>
        <v>2000000</v>
      </c>
      <c r="D38" s="57" t="n">
        <f aca="false">CALC!BE39</f>
        <v>1800000</v>
      </c>
      <c r="E38" s="57" t="n">
        <f aca="false">CALC!BF39</f>
        <v>0</v>
      </c>
      <c r="F38" s="57" t="n">
        <f aca="false">CALC!BG39</f>
        <v>200000</v>
      </c>
    </row>
    <row r="39" customFormat="false" ht="12.8" hidden="false" customHeight="false" outlineLevel="0" collapsed="false">
      <c r="A39" s="47" t="str">
        <f aca="false">_xlfn.CONCAT($A$1, ".", CALC!A40)</f>
        <v>LSD.RID.0.AR.EITCREF.36</v>
      </c>
      <c r="B39" s="50" t="str">
        <f aca="false">_xlfn.CONCAT(CALC!B40, ":", CALC!C40)</f>
        <v>Mining, Quarrying, and Oil/Gas Extraction:Worker</v>
      </c>
      <c r="C39" s="57" t="n">
        <f aca="false">CALC!BD40</f>
        <v>5000000</v>
      </c>
      <c r="D39" s="57" t="n">
        <f aca="false">CALC!BE40</f>
        <v>4500000</v>
      </c>
      <c r="E39" s="57" t="n">
        <f aca="false">CALC!BF40</f>
        <v>0</v>
      </c>
      <c r="F39" s="57" t="n">
        <f aca="false">CALC!BG40</f>
        <v>500000</v>
      </c>
    </row>
    <row r="40" customFormat="false" ht="12.8" hidden="false" customHeight="false" outlineLevel="0" collapsed="false">
      <c r="A40" s="47" t="str">
        <f aca="false">_xlfn.CONCAT($A$1, ".", CALC!A41)</f>
        <v>LSD.RID.0.AR.EITCREF.37</v>
      </c>
      <c r="B40" s="50" t="str">
        <f aca="false">_xlfn.CONCAT(CALC!B41, ":", CALC!C41)</f>
        <v>Utilities:Support</v>
      </c>
      <c r="C40" s="57" t="n">
        <f aca="false">CALC!BD41</f>
        <v>1000000</v>
      </c>
      <c r="D40" s="57" t="n">
        <f aca="false">CALC!BE41</f>
        <v>900000</v>
      </c>
      <c r="E40" s="57" t="n">
        <f aca="false">CALC!BF41</f>
        <v>0</v>
      </c>
      <c r="F40" s="57" t="n">
        <f aca="false">CALC!BG41</f>
        <v>100000</v>
      </c>
    </row>
    <row r="41" customFormat="false" ht="12.8" hidden="false" customHeight="false" outlineLevel="0" collapsed="false">
      <c r="A41" s="47" t="str">
        <f aca="false">_xlfn.CONCAT($A$1, ".", CALC!A42)</f>
        <v>LSD.RID.0.AR.EITCREF.38</v>
      </c>
      <c r="B41" s="50" t="str">
        <f aca="false">_xlfn.CONCAT(CALC!B42, ":", CALC!C42)</f>
        <v>Utilities:Worker</v>
      </c>
      <c r="C41" s="57" t="n">
        <f aca="false">CALC!BD42</f>
        <v>4000000</v>
      </c>
      <c r="D41" s="57" t="n">
        <f aca="false">CALC!BE42</f>
        <v>3600000</v>
      </c>
      <c r="E41" s="57" t="n">
        <f aca="false">CALC!BF42</f>
        <v>0</v>
      </c>
      <c r="F41" s="57" t="n">
        <f aca="false">CALC!BG42</f>
        <v>400000</v>
      </c>
    </row>
    <row r="42" customFormat="false" ht="12.8" hidden="false" customHeight="false" outlineLevel="0" collapsed="false">
      <c r="A42" s="47" t="str">
        <f aca="false">_xlfn.CONCAT($A$1, ".", CALC!A43)</f>
        <v>LSD.RID.0.AR.EITCREF.39</v>
      </c>
      <c r="B42" s="50" t="str">
        <f aca="false">_xlfn.CONCAT(CALC!B43, ":", CALC!C43)</f>
        <v>Wholesale Trade:Support</v>
      </c>
      <c r="C42" s="57" t="n">
        <f aca="false">CALC!BD43</f>
        <v>5500000</v>
      </c>
      <c r="D42" s="57" t="n">
        <f aca="false">CALC!BE43</f>
        <v>4950000</v>
      </c>
      <c r="E42" s="57" t="n">
        <f aca="false">CALC!BF43</f>
        <v>0</v>
      </c>
      <c r="F42" s="57" t="n">
        <f aca="false">CALC!BG43</f>
        <v>550000</v>
      </c>
    </row>
    <row r="43" customFormat="false" ht="12.8" hidden="false" customHeight="false" outlineLevel="0" collapsed="false">
      <c r="A43" s="47" t="str">
        <f aca="false">_xlfn.CONCAT($A$1, ".", CALC!A44)</f>
        <v>LSD.RID.0.AR.EITCREF.40</v>
      </c>
      <c r="B43" s="50" t="str">
        <f aca="false">_xlfn.CONCAT(CALC!B44, ":", CALC!C44)</f>
        <v>Wholesale Trade:Worker</v>
      </c>
      <c r="C43" s="57" t="n">
        <f aca="false">CALC!BD44</f>
        <v>22000000</v>
      </c>
      <c r="D43" s="57" t="n">
        <f aca="false">CALC!BE44</f>
        <v>19800000</v>
      </c>
      <c r="E43" s="57" t="n">
        <f aca="false">CALC!BF44</f>
        <v>0</v>
      </c>
      <c r="F43" s="57" t="n">
        <f aca="false">CALC!BG44</f>
        <v>2200000</v>
      </c>
    </row>
    <row r="44" customFormat="false" ht="12.8" hidden="false" customHeight="false" outlineLevel="0" collapsed="false">
      <c r="A44" s="47" t="str">
        <f aca="false">_xlfn.CONCAT($A$1, ".", CALC!A45)</f>
        <v>LSD.RID.0.AR.EITCREF.41</v>
      </c>
      <c r="B44" s="50" t="str">
        <f aca="false">_xlfn.CONCAT(CALC!B45, ":", CALC!C45)</f>
        <v>Information:Support</v>
      </c>
      <c r="C44" s="57" t="n">
        <f aca="false">CALC!BD45</f>
        <v>1000000</v>
      </c>
      <c r="D44" s="57" t="n">
        <f aca="false">CALC!BE45</f>
        <v>900000</v>
      </c>
      <c r="E44" s="57" t="n">
        <f aca="false">CALC!BF45</f>
        <v>0</v>
      </c>
      <c r="F44" s="57" t="n">
        <f aca="false">CALC!BG45</f>
        <v>100000</v>
      </c>
    </row>
    <row r="45" customFormat="false" ht="12.8" hidden="false" customHeight="false" outlineLevel="0" collapsed="false">
      <c r="A45" s="47" t="str">
        <f aca="false">_xlfn.CONCAT($A$1, ".", CALC!A46)</f>
        <v>LSD.RID.0.AR.EITCREF.42</v>
      </c>
      <c r="B45" s="50" t="str">
        <f aca="false">_xlfn.CONCAT(CALC!B46, ":", CALC!C46)</f>
        <v>Information:Worker</v>
      </c>
      <c r="C45" s="57" t="n">
        <f aca="false">CALC!BD46</f>
        <v>4000000</v>
      </c>
      <c r="D45" s="57" t="n">
        <f aca="false">CALC!BE46</f>
        <v>3600000</v>
      </c>
      <c r="E45" s="57" t="n">
        <f aca="false">CALC!BF46</f>
        <v>0</v>
      </c>
      <c r="F45" s="57" t="n">
        <f aca="false">CALC!BG46</f>
        <v>400000</v>
      </c>
    </row>
    <row r="46" customFormat="false" ht="12.8" hidden="false" customHeight="false" outlineLevel="0" collapsed="false">
      <c r="A46" s="47" t="str">
        <f aca="false">_xlfn.CONCAT($A$1, ".", CALC!A47)</f>
        <v>LSD.RID.0.AR.EITCREF.43</v>
      </c>
      <c r="B46" s="50" t="str">
        <f aca="false">_xlfn.CONCAT(CALC!B47, ":", CALC!C47)</f>
        <v>Real Estate, Rental and Leasing:Support</v>
      </c>
      <c r="C46" s="57" t="n">
        <f aca="false">CALC!BD47</f>
        <v>2000000</v>
      </c>
      <c r="D46" s="57" t="n">
        <f aca="false">CALC!BE47</f>
        <v>1800000</v>
      </c>
      <c r="E46" s="57" t="n">
        <f aca="false">CALC!BF47</f>
        <v>0</v>
      </c>
      <c r="F46" s="57" t="n">
        <f aca="false">CALC!BG47</f>
        <v>200000</v>
      </c>
    </row>
    <row r="47" customFormat="false" ht="12.8" hidden="false" customHeight="false" outlineLevel="0" collapsed="false">
      <c r="A47" s="47" t="str">
        <f aca="false">_xlfn.CONCAT($A$1, ".", CALC!A48)</f>
        <v>LSD.RID.0.AR.EITCREF.44</v>
      </c>
      <c r="B47" s="50" t="str">
        <f aca="false">_xlfn.CONCAT(CALC!B48, ":", CALC!C48)</f>
        <v>Real Estate, Rental and Leasing:Worker</v>
      </c>
      <c r="C47" s="57" t="n">
        <f aca="false">CALC!BD48</f>
        <v>8000000</v>
      </c>
      <c r="D47" s="57" t="n">
        <f aca="false">CALC!BE48</f>
        <v>7200000</v>
      </c>
      <c r="E47" s="57" t="n">
        <f aca="false">CALC!BF48</f>
        <v>0</v>
      </c>
      <c r="F47" s="57" t="n">
        <f aca="false">CALC!BG48</f>
        <v>800000</v>
      </c>
    </row>
    <row r="48" customFormat="false" ht="12.8" hidden="false" customHeight="false" outlineLevel="0" collapsed="false">
      <c r="A48" s="47" t="str">
        <f aca="false">_xlfn.CONCAT($A$1, ".", CALC!A49)</f>
        <v>LSD.RID.0.AR.EITCREF.45</v>
      </c>
      <c r="B48" s="50" t="str">
        <f aca="false">_xlfn.CONCAT(CALC!B49, ":", CALC!C49)</f>
        <v>Waste Management Services:Support</v>
      </c>
      <c r="C48" s="57" t="n">
        <f aca="false">CALC!BD49</f>
        <v>1000000</v>
      </c>
      <c r="D48" s="57" t="n">
        <f aca="false">CALC!BE49</f>
        <v>900000</v>
      </c>
      <c r="E48" s="57" t="n">
        <f aca="false">CALC!BF49</f>
        <v>0</v>
      </c>
      <c r="F48" s="57" t="n">
        <f aca="false">CALC!BG49</f>
        <v>100000</v>
      </c>
    </row>
    <row r="49" customFormat="false" ht="12.8" hidden="false" customHeight="false" outlineLevel="0" collapsed="false">
      <c r="A49" s="47" t="str">
        <f aca="false">_xlfn.CONCAT($A$1, ".", CALC!A50)</f>
        <v>LSD.RID.0.AR.EITCREF.46</v>
      </c>
      <c r="B49" s="50" t="str">
        <f aca="false">_xlfn.CONCAT(CALC!B50, ":", CALC!C50)</f>
        <v>Waste Management Services:Worker</v>
      </c>
      <c r="C49" s="57" t="n">
        <f aca="false">CALC!BD50</f>
        <v>4000000</v>
      </c>
      <c r="D49" s="57" t="n">
        <f aca="false">CALC!BE50</f>
        <v>3600000</v>
      </c>
      <c r="E49" s="57" t="n">
        <f aca="false">CALC!BF50</f>
        <v>0</v>
      </c>
      <c r="F49" s="57" t="n">
        <f aca="false">CALC!BG50</f>
        <v>400000</v>
      </c>
    </row>
    <row r="50" customFormat="false" ht="12.8" hidden="false" customHeight="false" outlineLevel="0" collapsed="false">
      <c r="A50" s="47" t="str">
        <f aca="false">_xlfn.CONCAT($A$1, ".", CALC!A51)</f>
        <v>LSD.RID.0.AR.EITCREF.47</v>
      </c>
      <c r="B50" s="50" t="str">
        <f aca="false">_xlfn.CONCAT(CALC!B51, ":", CALC!C51)</f>
        <v>Arts, Entertainment, and Recreation:Support</v>
      </c>
      <c r="C50" s="57" t="n">
        <f aca="false">CALC!BD51</f>
        <v>2500000</v>
      </c>
      <c r="D50" s="57" t="n">
        <f aca="false">CALC!BE51</f>
        <v>2250000</v>
      </c>
      <c r="E50" s="57" t="n">
        <f aca="false">CALC!BF51</f>
        <v>0</v>
      </c>
      <c r="F50" s="57" t="n">
        <f aca="false">CALC!BG51</f>
        <v>250000</v>
      </c>
    </row>
    <row r="51" customFormat="false" ht="12.8" hidden="false" customHeight="false" outlineLevel="0" collapsed="false">
      <c r="A51" s="47" t="str">
        <f aca="false">_xlfn.CONCAT($A$1, ".", CALC!A52)</f>
        <v>LSD.RID.0.AR.EITCREF.48</v>
      </c>
      <c r="B51" s="50" t="str">
        <f aca="false">_xlfn.CONCAT(CALC!B52, ":", CALC!C52)</f>
        <v>Arts, Entertainment, and Recreation:Worker</v>
      </c>
      <c r="C51" s="57" t="n">
        <f aca="false">CALC!BD52</f>
        <v>10000000</v>
      </c>
      <c r="D51" s="57" t="n">
        <f aca="false">CALC!BE52</f>
        <v>9000000</v>
      </c>
      <c r="E51" s="57" t="n">
        <f aca="false">CALC!BF52</f>
        <v>0</v>
      </c>
      <c r="F51" s="57" t="n">
        <f aca="false">CALC!BG52</f>
        <v>1000000</v>
      </c>
    </row>
    <row r="52" customFormat="false" ht="12.8" hidden="false" customHeight="false" outlineLevel="0" collapsed="false">
      <c r="A52" s="47" t="str">
        <f aca="false">_xlfn.CONCAT($A$1, ".", CALC!A53)</f>
        <v>LSD.RID.0.AR.EITCREF.49</v>
      </c>
      <c r="B52" s="50" t="str">
        <f aca="false">_xlfn.CONCAT(CALC!B53, ":", CALC!C53)</f>
        <v>Accommodation and Food Services:Support</v>
      </c>
      <c r="C52" s="57" t="n">
        <f aca="false">CALC!BD53</f>
        <v>7500000</v>
      </c>
      <c r="D52" s="57" t="n">
        <f aca="false">CALC!BE53</f>
        <v>6750000</v>
      </c>
      <c r="E52" s="57" t="n">
        <f aca="false">CALC!BF53</f>
        <v>0</v>
      </c>
      <c r="F52" s="57" t="n">
        <f aca="false">CALC!BG53</f>
        <v>750000</v>
      </c>
    </row>
    <row r="53" customFormat="false" ht="12.8" hidden="false" customHeight="false" outlineLevel="0" collapsed="false">
      <c r="A53" s="47" t="str">
        <f aca="false">_xlfn.CONCAT($A$1, ".", CALC!A54)</f>
        <v>LSD.RID.0.AR.EITCREF.50</v>
      </c>
      <c r="B53" s="50" t="str">
        <f aca="false">_xlfn.CONCAT(CALC!B54, ":", CALC!C54)</f>
        <v>Accommodation and Food Services:Worker</v>
      </c>
      <c r="C53" s="57" t="n">
        <f aca="false">CALC!BD54</f>
        <v>30000000</v>
      </c>
      <c r="D53" s="57" t="n">
        <f aca="false">CALC!BE54</f>
        <v>27000000</v>
      </c>
      <c r="E53" s="57" t="n">
        <f aca="false">CALC!BF54</f>
        <v>0</v>
      </c>
      <c r="F53" s="57" t="n">
        <f aca="false">CALC!BG54</f>
        <v>3000000</v>
      </c>
    </row>
    <row r="54" customFormat="false" ht="12.8" hidden="false" customHeight="false" outlineLevel="0" collapsed="false">
      <c r="A54" s="47" t="str">
        <f aca="false">_xlfn.CONCAT($A$1, ".", CALC!A55)</f>
        <v>LSD.RID.0.AR.EITCREF.51</v>
      </c>
      <c r="B54" s="50" t="str">
        <f aca="false">_xlfn.CONCAT(CALC!B55, ":", CALC!C55)</f>
        <v>Public Administration:Support</v>
      </c>
      <c r="C54" s="57" t="n">
        <f aca="false">CALC!BD55</f>
        <v>5000000</v>
      </c>
      <c r="D54" s="57" t="n">
        <f aca="false">CALC!BE55</f>
        <v>4500000</v>
      </c>
      <c r="E54" s="57" t="n">
        <f aca="false">CALC!BF55</f>
        <v>0</v>
      </c>
      <c r="F54" s="57" t="n">
        <f aca="false">CALC!BG55</f>
        <v>500000</v>
      </c>
    </row>
    <row r="55" customFormat="false" ht="12.8" hidden="false" customHeight="false" outlineLevel="0" collapsed="false">
      <c r="A55" s="47" t="str">
        <f aca="false">_xlfn.CONCAT($A$1, ".", CALC!A56)</f>
        <v>LSD.RID.0.AR.EITCREF.52</v>
      </c>
      <c r="B55" s="50" t="str">
        <f aca="false">_xlfn.CONCAT(CALC!B56, ":", CALC!C56)</f>
        <v>Public Administration:Worker</v>
      </c>
      <c r="C55" s="57" t="n">
        <f aca="false">CALC!BD56</f>
        <v>20000000</v>
      </c>
      <c r="D55" s="57" t="n">
        <f aca="false">CALC!BE56</f>
        <v>18000000</v>
      </c>
      <c r="E55" s="57" t="n">
        <f aca="false">CALC!BF56</f>
        <v>0</v>
      </c>
      <c r="F55" s="57" t="n">
        <f aca="false">CALC!BG56</f>
        <v>2000000</v>
      </c>
    </row>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row r="250"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202"/>
    <pageSetUpPr fitToPage="false"/>
  </sheetPr>
  <dimension ref="A1:BP249"/>
  <sheetViews>
    <sheetView showFormulas="false" showGridLines="true" showRowColHeaders="true" showZeros="true" rightToLeft="false" tabSelected="false" showOutlineSymbols="true" defaultGridColor="true" view="normal" topLeftCell="A110" colorId="64" zoomScale="75" zoomScaleNormal="75" zoomScalePageLayoutView="100" workbookViewId="0">
      <selection pane="topLeft" activeCell="A153" activeCellId="1" sqref="155:249 A153"/>
    </sheetView>
  </sheetViews>
  <sheetFormatPr defaultColWidth="11.53515625" defaultRowHeight="12.8" customHeight="false" zeroHeight="false" outlineLevelRow="1" outlineLevelCol="0"/>
  <cols>
    <col collapsed="false" customWidth="true" hidden="false" outlineLevel="0" max="1" min="1" style="34" width="13.84"/>
    <col collapsed="false" customWidth="true" hidden="false" outlineLevel="0" max="2" min="2" style="23" width="36.9"/>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23.85" hidden="false" customHeight="false" outlineLevel="0" collapsed="false">
      <c r="A1" s="3" t="s">
        <v>829</v>
      </c>
      <c r="B1" s="30" t="s">
        <v>830</v>
      </c>
      <c r="C1" s="5" t="s">
        <v>2</v>
      </c>
      <c r="D1" s="48" t="s">
        <v>831</v>
      </c>
      <c r="AZ1" s="23"/>
      <c r="BP1" s="23"/>
    </row>
    <row r="2" customFormat="false" ht="35.05" hidden="false" customHeight="false" outlineLevel="0" collapsed="false">
      <c r="A2" s="25" t="s">
        <v>799</v>
      </c>
      <c r="B2" s="30" t="s">
        <v>800</v>
      </c>
      <c r="C2" s="32" t="str">
        <f aca="false">CALC!BH3</f>
        <v>ACTC Credit Refund</v>
      </c>
      <c r="D2" s="32" t="str">
        <f aca="false">CALC!BI3</f>
        <v>Authorized Immigrant ACTC Credit Refund</v>
      </c>
      <c r="E2" s="32" t="str">
        <f aca="false">CALC!BJ3</f>
        <v>Unauthorized Immigrant ACTC Credit Refund</v>
      </c>
      <c r="F2" s="32" t="str">
        <f aca="false">CALC!BK3</f>
        <v>American Effective Tax ACTC Credit Refund</v>
      </c>
    </row>
    <row r="3" customFormat="false" ht="12.8" hidden="false" customHeight="false" outlineLevel="0" collapsed="false">
      <c r="A3" s="3" t="str">
        <f aca="false">_xlfn.CONCAT($A$1, ".", CALC!A4)</f>
        <v>LSD.RID.0.AR.ACTCREF.0</v>
      </c>
      <c r="B3" s="44" t="str">
        <f aca="false">_xlfn.CONCAT(CALC!B4, ":", CALC!C4)</f>
        <v>All Industries:All Roles</v>
      </c>
      <c r="C3" s="32" t="n">
        <f aca="false">CALC!BH4</f>
        <v>120000000</v>
      </c>
      <c r="D3" s="32" t="n">
        <f aca="false">CALC!BI4</f>
        <v>30000000</v>
      </c>
      <c r="E3" s="32" t="n">
        <f aca="false">CALC!BJ4</f>
        <v>60000000</v>
      </c>
      <c r="F3" s="32" t="n">
        <f aca="false">CALC!BK4</f>
        <v>30000000</v>
      </c>
    </row>
    <row r="4" customFormat="false" ht="12.8" hidden="false" customHeight="false" outlineLevel="0" collapsed="false">
      <c r="A4" s="47" t="str">
        <f aca="false">_xlfn.CONCAT($A$1, ".", CALC!A5)</f>
        <v>LSD.RID.0.AR.ACTCREF.1</v>
      </c>
      <c r="B4" s="50" t="str">
        <f aca="false">_xlfn.CONCAT(CALC!B5, ":", CALC!C5)</f>
        <v>Agriculture:Worker</v>
      </c>
      <c r="C4" s="57" t="n">
        <f aca="false">CALC!BH5</f>
        <v>4000000</v>
      </c>
      <c r="D4" s="57" t="n">
        <f aca="false">CALC!BI5</f>
        <v>1000000</v>
      </c>
      <c r="E4" s="57" t="n">
        <f aca="false">CALC!BJ5</f>
        <v>2000000</v>
      </c>
      <c r="F4" s="57" t="n">
        <f aca="false">CALC!BK5</f>
        <v>1000000</v>
      </c>
    </row>
    <row r="5" customFormat="false" ht="12.8" hidden="false" customHeight="false" outlineLevel="0" collapsed="false">
      <c r="A5" s="47" t="str">
        <f aca="false">_xlfn.CONCAT($A$1, ".", CALC!A6)</f>
        <v>LSD.RID.0.AR.ACTCREF.2</v>
      </c>
      <c r="B5" s="50" t="str">
        <f aca="false">_xlfn.CONCAT(CALC!B6, ":", CALC!C6)</f>
        <v>Agriculture:Support</v>
      </c>
      <c r="C5" s="57" t="n">
        <f aca="false">CALC!BH6</f>
        <v>1000000</v>
      </c>
      <c r="D5" s="57" t="n">
        <f aca="false">CALC!BI6</f>
        <v>250000</v>
      </c>
      <c r="E5" s="57" t="n">
        <f aca="false">CALC!BJ6</f>
        <v>500000</v>
      </c>
      <c r="F5" s="57" t="n">
        <f aca="false">CALC!BK6</f>
        <v>250000</v>
      </c>
    </row>
    <row r="6" customFormat="false" ht="12.8" hidden="false" customHeight="false" outlineLevel="0" collapsed="false">
      <c r="A6" s="47" t="str">
        <f aca="false">_xlfn.CONCAT($A$1, ".", CALC!A7)</f>
        <v>LSD.RID.0.AR.ACTCREF.3</v>
      </c>
      <c r="B6" s="50" t="str">
        <f aca="false">_xlfn.CONCAT(CALC!B7, ":", CALC!C7)</f>
        <v>Construction:Worker</v>
      </c>
      <c r="C6" s="57" t="n">
        <f aca="false">CALC!BH7</f>
        <v>9600000</v>
      </c>
      <c r="D6" s="57" t="n">
        <f aca="false">CALC!BI7</f>
        <v>2400000</v>
      </c>
      <c r="E6" s="57" t="n">
        <f aca="false">CALC!BJ7</f>
        <v>4800000</v>
      </c>
      <c r="F6" s="57" t="n">
        <f aca="false">CALC!BK7</f>
        <v>2400000</v>
      </c>
    </row>
    <row r="7" customFormat="false" ht="12.8" hidden="false" customHeight="false" outlineLevel="0" collapsed="false">
      <c r="A7" s="47" t="str">
        <f aca="false">_xlfn.CONCAT($A$1, ".", CALC!A8)</f>
        <v>LSD.RID.0.AR.ACTCREF.4</v>
      </c>
      <c r="B7" s="50" t="str">
        <f aca="false">_xlfn.CONCAT(CALC!B8, ":", CALC!C8)</f>
        <v>Construction:Support</v>
      </c>
      <c r="C7" s="57" t="n">
        <f aca="false">CALC!BH8</f>
        <v>2400000</v>
      </c>
      <c r="D7" s="57" t="n">
        <f aca="false">CALC!BI8</f>
        <v>600000</v>
      </c>
      <c r="E7" s="57" t="n">
        <f aca="false">CALC!BJ8</f>
        <v>1200000</v>
      </c>
      <c r="F7" s="57" t="n">
        <f aca="false">CALC!BK8</f>
        <v>600000</v>
      </c>
    </row>
    <row r="8" customFormat="false" ht="12.8" hidden="false" customHeight="false" outlineLevel="0" collapsed="false">
      <c r="A8" s="47" t="str">
        <f aca="false">_xlfn.CONCAT($A$1, ".", CALC!A9)</f>
        <v>LSD.RID.0.AR.ACTCREF.5</v>
      </c>
      <c r="B8" s="50" t="str">
        <f aca="false">_xlfn.CONCAT(CALC!B9, ":", CALC!C9)</f>
        <v>Hospitality:Worker</v>
      </c>
      <c r="C8" s="57" t="n">
        <f aca="false">CALC!BH9</f>
        <v>24000000</v>
      </c>
      <c r="D8" s="57" t="n">
        <f aca="false">CALC!BI9</f>
        <v>6000000</v>
      </c>
      <c r="E8" s="57" t="n">
        <f aca="false">CALC!BJ9</f>
        <v>12000000</v>
      </c>
      <c r="F8" s="57" t="n">
        <f aca="false">CALC!BK9</f>
        <v>6000000</v>
      </c>
    </row>
    <row r="9" customFormat="false" ht="12.8" hidden="false" customHeight="false" outlineLevel="0" collapsed="false">
      <c r="A9" s="47" t="str">
        <f aca="false">_xlfn.CONCAT($A$1, ".", CALC!A10)</f>
        <v>LSD.RID.0.AR.ACTCREF.6</v>
      </c>
      <c r="B9" s="50" t="str">
        <f aca="false">_xlfn.CONCAT(CALC!B10, ":", CALC!C10)</f>
        <v>Hospitality:Support</v>
      </c>
      <c r="C9" s="57" t="n">
        <f aca="false">CALC!BH10</f>
        <v>6000000</v>
      </c>
      <c r="D9" s="57" t="n">
        <f aca="false">CALC!BI10</f>
        <v>1500000</v>
      </c>
      <c r="E9" s="57" t="n">
        <f aca="false">CALC!BJ10</f>
        <v>3000000</v>
      </c>
      <c r="F9" s="57" t="n">
        <f aca="false">CALC!BK10</f>
        <v>1500000</v>
      </c>
    </row>
    <row r="10" customFormat="false" ht="12.8" hidden="false" customHeight="false" outlineLevel="0" collapsed="false">
      <c r="A10" s="47" t="str">
        <f aca="false">_xlfn.CONCAT($A$1, ".", CALC!A11)</f>
        <v>LSD.RID.0.AR.ACTCREF.7</v>
      </c>
      <c r="B10" s="50" t="str">
        <f aca="false">_xlfn.CONCAT(CALC!B11, ":", CALC!C11)</f>
        <v>Cleaning &amp; Maintenance:Worker</v>
      </c>
      <c r="C10" s="57" t="n">
        <f aca="false">CALC!BH11</f>
        <v>6800000</v>
      </c>
      <c r="D10" s="57" t="n">
        <f aca="false">CALC!BI11</f>
        <v>1700000</v>
      </c>
      <c r="E10" s="57" t="n">
        <f aca="false">CALC!BJ11</f>
        <v>3400000</v>
      </c>
      <c r="F10" s="57" t="n">
        <f aca="false">CALC!BK11</f>
        <v>1700000</v>
      </c>
    </row>
    <row r="11" customFormat="false" ht="12.8" hidden="false" customHeight="false" outlineLevel="0" collapsed="false">
      <c r="A11" s="47" t="str">
        <f aca="false">_xlfn.CONCAT($A$1, ".", CALC!A12)</f>
        <v>LSD.RID.0.AR.ACTCREF.8</v>
      </c>
      <c r="B11" s="50" t="str">
        <f aca="false">_xlfn.CONCAT(CALC!B12, ":", CALC!C12)</f>
        <v>Cleaning &amp; Maintenance:Support</v>
      </c>
      <c r="C11" s="57" t="n">
        <f aca="false">CALC!BH12</f>
        <v>1700000</v>
      </c>
      <c r="D11" s="57" t="n">
        <f aca="false">CALC!BI12</f>
        <v>425000</v>
      </c>
      <c r="E11" s="57" t="n">
        <f aca="false">CALC!BJ12</f>
        <v>850000</v>
      </c>
      <c r="F11" s="57" t="n">
        <f aca="false">CALC!BK12</f>
        <v>425000</v>
      </c>
    </row>
    <row r="12" customFormat="false" ht="12.8" hidden="false" customHeight="false" outlineLevel="0" collapsed="false">
      <c r="A12" s="47" t="str">
        <f aca="false">_xlfn.CONCAT($A$1, ".", CALC!A13)</f>
        <v>LSD.RID.0.AR.ACTCREF.9</v>
      </c>
      <c r="B12" s="50" t="str">
        <f aca="false">_xlfn.CONCAT(CALC!B13, ":", CALC!C13)</f>
        <v>Manufacturing:Worker</v>
      </c>
      <c r="C12" s="57" t="n">
        <f aca="false">CALC!BH13</f>
        <v>32000000</v>
      </c>
      <c r="D12" s="57" t="n">
        <f aca="false">CALC!BI13</f>
        <v>8000000</v>
      </c>
      <c r="E12" s="57" t="n">
        <f aca="false">CALC!BJ13</f>
        <v>16000000</v>
      </c>
      <c r="F12" s="57" t="n">
        <f aca="false">CALC!BK13</f>
        <v>8000000</v>
      </c>
    </row>
    <row r="13" customFormat="false" ht="12.8" hidden="false" customHeight="false" outlineLevel="0" collapsed="false">
      <c r="A13" s="47" t="str">
        <f aca="false">_xlfn.CONCAT($A$1, ".", CALC!A14)</f>
        <v>LSD.RID.0.AR.ACTCREF.10</v>
      </c>
      <c r="B13" s="50" t="str">
        <f aca="false">_xlfn.CONCAT(CALC!B14, ":", CALC!C14)</f>
        <v>Manufacturing:Support</v>
      </c>
      <c r="C13" s="57" t="n">
        <f aca="false">CALC!BH14</f>
        <v>3115200</v>
      </c>
      <c r="D13" s="57" t="n">
        <f aca="false">CALC!BI14</f>
        <v>1246</v>
      </c>
      <c r="E13" s="57" t="n">
        <f aca="false">CALC!BJ14</f>
        <v>3816</v>
      </c>
      <c r="F13" s="57" t="n">
        <f aca="false">CALC!BK14</f>
        <v>590720</v>
      </c>
    </row>
    <row r="14" customFormat="false" ht="12.8" hidden="false" customHeight="false" outlineLevel="0" collapsed="false">
      <c r="A14" s="47" t="str">
        <f aca="false">_xlfn.CONCAT($A$1, ".", CALC!A15)</f>
        <v>LSD.RID.0.AR.ACTCREF.11</v>
      </c>
      <c r="B14" s="50" t="str">
        <f aca="false">_xlfn.CONCAT(CALC!B15, ":", CALC!C15)</f>
        <v>Transportation &amp; Warehousing:Worker</v>
      </c>
      <c r="C14" s="57" t="n">
        <f aca="false">CALC!BH15</f>
        <v>22400000</v>
      </c>
      <c r="D14" s="57" t="n">
        <f aca="false">CALC!BI15</f>
        <v>5600000</v>
      </c>
      <c r="E14" s="57" t="n">
        <f aca="false">CALC!BJ15</f>
        <v>11200000</v>
      </c>
      <c r="F14" s="57" t="n">
        <f aca="false">CALC!BK15</f>
        <v>5600000</v>
      </c>
    </row>
    <row r="15" customFormat="false" ht="12.8" hidden="false" customHeight="false" outlineLevel="0" collapsed="false">
      <c r="A15" s="47" t="str">
        <f aca="false">_xlfn.CONCAT($A$1, ".", CALC!A16)</f>
        <v>LSD.RID.0.AR.ACTCREF.12</v>
      </c>
      <c r="B15" s="50" t="str">
        <f aca="false">_xlfn.CONCAT(CALC!B16, ":", CALC!C16)</f>
        <v>Transportation &amp; Warehousing:Support</v>
      </c>
      <c r="C15" s="57" t="n">
        <f aca="false">CALC!BH16</f>
        <v>7466667</v>
      </c>
      <c r="D15" s="57" t="n">
        <f aca="false">CALC!BI16</f>
        <v>1866667</v>
      </c>
      <c r="E15" s="57" t="n">
        <f aca="false">CALC!BJ16</f>
        <v>3733333</v>
      </c>
      <c r="F15" s="57" t="n">
        <f aca="false">CALC!BK16</f>
        <v>1866667</v>
      </c>
    </row>
    <row r="16" customFormat="false" ht="12.8" hidden="false" customHeight="false" outlineLevel="0" collapsed="false">
      <c r="A16" s="47" t="str">
        <f aca="false">_xlfn.CONCAT($A$1, ".", CALC!A17)</f>
        <v>LSD.RID.0.AR.ACTCREF.13</v>
      </c>
      <c r="B16" s="50" t="str">
        <f aca="false">_xlfn.CONCAT(CALC!B17, ":", CALC!C17)</f>
        <v>Retail Trade:Worker</v>
      </c>
      <c r="C16" s="57" t="n">
        <f aca="false">CALC!BH17</f>
        <v>48000000</v>
      </c>
      <c r="D16" s="57" t="n">
        <f aca="false">CALC!BI17</f>
        <v>12000000</v>
      </c>
      <c r="E16" s="57" t="n">
        <f aca="false">CALC!BJ17</f>
        <v>24000000</v>
      </c>
      <c r="F16" s="57" t="n">
        <f aca="false">CALC!BK17</f>
        <v>12000000</v>
      </c>
    </row>
    <row r="17" customFormat="false" ht="12.8" hidden="false" customHeight="false" outlineLevel="0" collapsed="false">
      <c r="A17" s="47" t="str">
        <f aca="false">_xlfn.CONCAT($A$1, ".", CALC!A18)</f>
        <v>LSD.RID.0.AR.ACTCREF.14</v>
      </c>
      <c r="B17" s="50" t="str">
        <f aca="false">_xlfn.CONCAT(CALC!B18, ":", CALC!C18)</f>
        <v>Retail Trade:Support</v>
      </c>
      <c r="C17" s="57" t="n">
        <f aca="false">CALC!BH18</f>
        <v>20571429</v>
      </c>
      <c r="D17" s="57" t="n">
        <f aca="false">CALC!BI18</f>
        <v>5142857</v>
      </c>
      <c r="E17" s="57" t="n">
        <f aca="false">CALC!BJ18</f>
        <v>10285714</v>
      </c>
      <c r="F17" s="57" t="n">
        <f aca="false">CALC!BK18</f>
        <v>5142857</v>
      </c>
    </row>
    <row r="18" customFormat="false" ht="12.8" hidden="false" customHeight="false" outlineLevel="0" collapsed="false">
      <c r="A18" s="47" t="str">
        <f aca="false">_xlfn.CONCAT($A$1, ".", CALC!A19)</f>
        <v>LSD.RID.0.AR.ACTCREF.15</v>
      </c>
      <c r="B18" s="50" t="str">
        <f aca="false">_xlfn.CONCAT(CALC!B19, ":", CALC!C19)</f>
        <v>Landscaping / Groundskeeping:Worker</v>
      </c>
      <c r="C18" s="57" t="n">
        <f aca="false">CALC!BH19</f>
        <v>5600000</v>
      </c>
      <c r="D18" s="57" t="n">
        <f aca="false">CALC!BI19</f>
        <v>1400000</v>
      </c>
      <c r="E18" s="57" t="n">
        <f aca="false">CALC!BJ19</f>
        <v>2800000</v>
      </c>
      <c r="F18" s="57" t="n">
        <f aca="false">CALC!BK19</f>
        <v>1400000</v>
      </c>
    </row>
    <row r="19" customFormat="false" ht="12.8" hidden="false" customHeight="false" outlineLevel="0" collapsed="false">
      <c r="A19" s="47" t="str">
        <f aca="false">_xlfn.CONCAT($A$1, ".", CALC!A20)</f>
        <v>LSD.RID.0.AR.ACTCREF.16</v>
      </c>
      <c r="B19" s="50" t="str">
        <f aca="false">_xlfn.CONCAT(CALC!B20, ":", CALC!C20)</f>
        <v>Landscaping / Groundskeeping:Support</v>
      </c>
      <c r="C19" s="57" t="n">
        <f aca="false">CALC!BH20</f>
        <v>987429</v>
      </c>
      <c r="D19" s="57" t="n">
        <f aca="false">CALC!BI20</f>
        <v>246786</v>
      </c>
      <c r="E19" s="57" t="n">
        <f aca="false">CALC!BJ20</f>
        <v>493571</v>
      </c>
      <c r="F19" s="57" t="n">
        <f aca="false">CALC!BK20</f>
        <v>246786</v>
      </c>
    </row>
    <row r="20" customFormat="false" ht="12.8" hidden="false" customHeight="false" outlineLevel="0" collapsed="false">
      <c r="A20" s="47" t="str">
        <f aca="false">_xlfn.CONCAT($A$1, ".", CALC!A21)</f>
        <v>LSD.RID.0.AR.ACTCREF.17</v>
      </c>
      <c r="B20" s="50" t="str">
        <f aca="false">_xlfn.CONCAT(CALC!B21, ":", CALC!C21)</f>
        <v>Automotive &amp; Repair:Worker</v>
      </c>
      <c r="C20" s="57" t="n">
        <f aca="false">CALC!BH21</f>
        <v>1920000</v>
      </c>
      <c r="D20" s="57" t="n">
        <f aca="false">CALC!BI21</f>
        <v>6912</v>
      </c>
      <c r="E20" s="57" t="n">
        <f aca="false">CALC!BJ21</f>
        <v>3072</v>
      </c>
      <c r="F20" s="57" t="n">
        <f aca="false">CALC!BK21</f>
        <v>1849536</v>
      </c>
    </row>
    <row r="21" customFormat="false" ht="12.8" hidden="false" customHeight="false" outlineLevel="0" collapsed="false">
      <c r="A21" s="47" t="str">
        <f aca="false">_xlfn.CONCAT($A$1, ".", CALC!A22)</f>
        <v>LSD.RID.0.AR.ACTCREF.18</v>
      </c>
      <c r="B21" s="50" t="str">
        <f aca="false">_xlfn.CONCAT(CALC!B22, ":", CALC!C22)</f>
        <v>Automotive &amp; Repair:Support</v>
      </c>
      <c r="C21" s="57" t="n">
        <f aca="false">CALC!BH22</f>
        <v>480000</v>
      </c>
      <c r="D21" s="57" t="n">
        <f aca="false">CALC!BI22</f>
        <v>1728</v>
      </c>
      <c r="E21" s="57" t="n">
        <f aca="false">CALC!BJ22</f>
        <v>768</v>
      </c>
      <c r="F21" s="57" t="n">
        <f aca="false">CALC!BK22</f>
        <v>462384</v>
      </c>
    </row>
    <row r="22" customFormat="false" ht="12.8" hidden="false" customHeight="false" outlineLevel="0" collapsed="false">
      <c r="A22" s="47" t="str">
        <f aca="false">_xlfn.CONCAT($A$1, ".", CALC!A23)</f>
        <v>LSD.RID.0.AR.ACTCREF.19</v>
      </c>
      <c r="B22" s="50" t="str">
        <f aca="false">_xlfn.CONCAT(CALC!B23, ":", CALC!C23)</f>
        <v>Healthcare &amp; Social Assistance:Worker</v>
      </c>
      <c r="C22" s="57" t="n">
        <f aca="false">CALC!BH23</f>
        <v>38400000</v>
      </c>
      <c r="D22" s="57" t="n">
        <f aca="false">CALC!BI23</f>
        <v>9600000</v>
      </c>
      <c r="E22" s="57" t="n">
        <f aca="false">CALC!BJ23</f>
        <v>19200000</v>
      </c>
      <c r="F22" s="57" t="n">
        <f aca="false">CALC!BK23</f>
        <v>9600000</v>
      </c>
    </row>
    <row r="23" customFormat="false" ht="12.8" hidden="false" customHeight="false" outlineLevel="0" collapsed="false">
      <c r="A23" s="47" t="str">
        <f aca="false">_xlfn.CONCAT($A$1, ".", CALC!A24)</f>
        <v>LSD.RID.0.AR.ACTCREF.20</v>
      </c>
      <c r="B23" s="50" t="str">
        <f aca="false">_xlfn.CONCAT(CALC!B24, ":", CALC!C24)</f>
        <v>Healthcare &amp; Social Assistance:Support</v>
      </c>
      <c r="C23" s="57" t="n">
        <f aca="false">CALC!BH24</f>
        <v>9600000</v>
      </c>
      <c r="D23" s="57" t="n">
        <f aca="false">CALC!BI24</f>
        <v>2400000</v>
      </c>
      <c r="E23" s="57" t="n">
        <f aca="false">CALC!BJ24</f>
        <v>4800000</v>
      </c>
      <c r="F23" s="57" t="n">
        <f aca="false">CALC!BK24</f>
        <v>2400000</v>
      </c>
    </row>
    <row r="24" customFormat="false" ht="12.8" hidden="false" customHeight="false" outlineLevel="0" collapsed="false">
      <c r="A24" s="47" t="str">
        <f aca="false">_xlfn.CONCAT($A$1, ".", CALC!A25)</f>
        <v>LSD.RID.0.AR.ACTCREF.21</v>
      </c>
      <c r="B24" s="50" t="str">
        <f aca="false">_xlfn.CONCAT(CALC!B25, ":", CALC!C25)</f>
        <v>Professional Services:Worker</v>
      </c>
      <c r="C24" s="57" t="n">
        <f aca="false">CALC!BH25</f>
        <v>16000000</v>
      </c>
      <c r="D24" s="57" t="n">
        <f aca="false">CALC!BI25</f>
        <v>4000000</v>
      </c>
      <c r="E24" s="57" t="n">
        <f aca="false">CALC!BJ25</f>
        <v>8000000</v>
      </c>
      <c r="F24" s="57" t="n">
        <f aca="false">CALC!BK25</f>
        <v>4000000</v>
      </c>
    </row>
    <row r="25" customFormat="false" ht="12.8" hidden="false" customHeight="false" outlineLevel="0" collapsed="false">
      <c r="A25" s="47" t="str">
        <f aca="false">_xlfn.CONCAT($A$1, ".", CALC!A26)</f>
        <v>LSD.RID.0.AR.ACTCREF.22</v>
      </c>
      <c r="B25" s="50" t="str">
        <f aca="false">_xlfn.CONCAT(CALC!B26, ":", CALC!C26)</f>
        <v>Professional Services:Support</v>
      </c>
      <c r="C25" s="57" t="n">
        <f aca="false">CALC!BH26</f>
        <v>4000000</v>
      </c>
      <c r="D25" s="57" t="n">
        <f aca="false">CALC!BI26</f>
        <v>1000000</v>
      </c>
      <c r="E25" s="57" t="n">
        <f aca="false">CALC!BJ26</f>
        <v>2000000</v>
      </c>
      <c r="F25" s="57" t="n">
        <f aca="false">CALC!BK26</f>
        <v>1000000</v>
      </c>
    </row>
    <row r="26" customFormat="false" ht="12.8" hidden="false" customHeight="false" outlineLevel="0" collapsed="false">
      <c r="A26" s="47" t="str">
        <f aca="false">_xlfn.CONCAT($A$1, ".", CALC!A27)</f>
        <v>LSD.RID.0.AR.ACTCREF.23</v>
      </c>
      <c r="B26" s="50" t="str">
        <f aca="false">_xlfn.CONCAT(CALC!B27, ":", CALC!C27)</f>
        <v>Educational Services:Worker</v>
      </c>
      <c r="C26" s="57" t="n">
        <f aca="false">CALC!BH27</f>
        <v>16000000</v>
      </c>
      <c r="D26" s="57" t="n">
        <f aca="false">CALC!BI27</f>
        <v>4000000</v>
      </c>
      <c r="E26" s="57" t="n">
        <f aca="false">CALC!BJ27</f>
        <v>8000000</v>
      </c>
      <c r="F26" s="57" t="n">
        <f aca="false">CALC!BK27</f>
        <v>4000000</v>
      </c>
    </row>
    <row r="27" customFormat="false" ht="12.8" hidden="false" customHeight="false" outlineLevel="0" collapsed="false">
      <c r="A27" s="47" t="str">
        <f aca="false">_xlfn.CONCAT($A$1, ".", CALC!A28)</f>
        <v>LSD.RID.0.AR.ACTCREF.24</v>
      </c>
      <c r="B27" s="50" t="str">
        <f aca="false">_xlfn.CONCAT(CALC!B28, ":", CALC!C28)</f>
        <v>Educational Services:Support</v>
      </c>
      <c r="C27" s="57" t="n">
        <f aca="false">CALC!BH28</f>
        <v>4000000</v>
      </c>
      <c r="D27" s="57" t="n">
        <f aca="false">CALC!BI28</f>
        <v>1000000</v>
      </c>
      <c r="E27" s="57" t="n">
        <f aca="false">CALC!BJ28</f>
        <v>2000000</v>
      </c>
      <c r="F27" s="57" t="n">
        <f aca="false">CALC!BK28</f>
        <v>1000000</v>
      </c>
    </row>
    <row r="28" customFormat="false" ht="12.8" hidden="false" customHeight="false" outlineLevel="0" collapsed="false">
      <c r="A28" s="47" t="str">
        <f aca="false">_xlfn.CONCAT($A$1, ".", CALC!A29)</f>
        <v>LSD.RID.0.AR.ACTCREF.25</v>
      </c>
      <c r="B28" s="50" t="str">
        <f aca="false">_xlfn.CONCAT(CALC!B29, ":", CALC!C29)</f>
        <v>Finance &amp; Insurance:Worker</v>
      </c>
      <c r="C28" s="57" t="n">
        <f aca="false">CALC!BH29</f>
        <v>11200000</v>
      </c>
      <c r="D28" s="57" t="n">
        <f aca="false">CALC!BI29</f>
        <v>2800000</v>
      </c>
      <c r="E28" s="57" t="n">
        <f aca="false">CALC!BJ29</f>
        <v>5600000</v>
      </c>
      <c r="F28" s="57" t="n">
        <f aca="false">CALC!BK29</f>
        <v>2800000</v>
      </c>
    </row>
    <row r="29" customFormat="false" ht="12.8" hidden="false" customHeight="false" outlineLevel="0" collapsed="false">
      <c r="A29" s="47" t="str">
        <f aca="false">_xlfn.CONCAT($A$1, ".", CALC!A30)</f>
        <v>LSD.RID.0.AR.ACTCREF.26</v>
      </c>
      <c r="B29" s="50" t="str">
        <f aca="false">_xlfn.CONCAT(CALC!B30, ":", CALC!C30)</f>
        <v>Finance &amp; Insurance:Support</v>
      </c>
      <c r="C29" s="57" t="n">
        <f aca="false">CALC!BH30</f>
        <v>2800000</v>
      </c>
      <c r="D29" s="57" t="n">
        <f aca="false">CALC!BI30</f>
        <v>700000</v>
      </c>
      <c r="E29" s="57" t="n">
        <f aca="false">CALC!BJ30</f>
        <v>1400000</v>
      </c>
      <c r="F29" s="57" t="n">
        <f aca="false">CALC!BK30</f>
        <v>700000</v>
      </c>
    </row>
    <row r="30" customFormat="false" ht="12.8" hidden="false" customHeight="false" outlineLevel="0" collapsed="false">
      <c r="A30" s="47" t="str">
        <f aca="false">_xlfn.CONCAT($A$1, ".", CALC!A31)</f>
        <v>LSD.RID.0.AR.ACTCREF.27</v>
      </c>
      <c r="B30" s="50" t="str">
        <f aca="false">_xlfn.CONCAT(CALC!B31, ":", CALC!C31)</f>
        <v>Media and Information Technology:Worker</v>
      </c>
      <c r="C30" s="57" t="n">
        <f aca="false">CALC!BH31</f>
        <v>3200000</v>
      </c>
      <c r="D30" s="57" t="n">
        <f aca="false">CALC!BI31</f>
        <v>800000</v>
      </c>
      <c r="E30" s="57" t="n">
        <f aca="false">CALC!BJ31</f>
        <v>1600000</v>
      </c>
      <c r="F30" s="57" t="n">
        <f aca="false">CALC!BK31</f>
        <v>800000</v>
      </c>
    </row>
    <row r="31" customFormat="false" ht="12.8" hidden="false" customHeight="false" outlineLevel="0" collapsed="false">
      <c r="A31" s="47" t="str">
        <f aca="false">_xlfn.CONCAT($A$1, ".", CALC!A32)</f>
        <v>LSD.RID.0.AR.ACTCREF.28</v>
      </c>
      <c r="B31" s="50" t="str">
        <f aca="false">_xlfn.CONCAT(CALC!B32, ":", CALC!C32)</f>
        <v>Media and Information Technology:Support</v>
      </c>
      <c r="C31" s="57" t="n">
        <f aca="false">CALC!BH32</f>
        <v>800000</v>
      </c>
      <c r="D31" s="57" t="n">
        <f aca="false">CALC!BI32</f>
        <v>200000</v>
      </c>
      <c r="E31" s="57" t="n">
        <f aca="false">CALC!BJ32</f>
        <v>400000</v>
      </c>
      <c r="F31" s="57" t="n">
        <f aca="false">CALC!BK32</f>
        <v>200000</v>
      </c>
    </row>
    <row r="32" customFormat="false" ht="12.8" hidden="false" customHeight="false" outlineLevel="0" collapsed="false">
      <c r="A32" s="47" t="str">
        <f aca="false">_xlfn.CONCAT($A$1, ".", CALC!A33)</f>
        <v>LSD.RID.0.AR.ACTCREF.29</v>
      </c>
      <c r="B32" s="50" t="str">
        <f aca="false">_xlfn.CONCAT(CALC!B33, ":", CALC!C33)</f>
        <v>Government:Worker</v>
      </c>
      <c r="C32" s="57" t="n">
        <f aca="false">CALC!BH33</f>
        <v>16000000</v>
      </c>
      <c r="D32" s="57" t="n">
        <f aca="false">CALC!BI33</f>
        <v>4000000</v>
      </c>
      <c r="E32" s="57" t="n">
        <f aca="false">CALC!BJ33</f>
        <v>8000000</v>
      </c>
      <c r="F32" s="57" t="n">
        <f aca="false">CALC!BK33</f>
        <v>4000000</v>
      </c>
    </row>
    <row r="33" customFormat="false" ht="12.8" hidden="false" customHeight="false" outlineLevel="0" collapsed="false">
      <c r="A33" s="47" t="str">
        <f aca="false">_xlfn.CONCAT($A$1, ".", CALC!A34)</f>
        <v>LSD.RID.0.AR.ACTCREF.30</v>
      </c>
      <c r="B33" s="50" t="str">
        <f aca="false">_xlfn.CONCAT(CALC!B34, ":", CALC!C34)</f>
        <v>Government:Support</v>
      </c>
      <c r="C33" s="57" t="n">
        <f aca="false">CALC!BH34</f>
        <v>4000000</v>
      </c>
      <c r="D33" s="57" t="n">
        <f aca="false">CALC!BI34</f>
        <v>1000000</v>
      </c>
      <c r="E33" s="57" t="n">
        <f aca="false">CALC!BJ34</f>
        <v>2000000</v>
      </c>
      <c r="F33" s="57" t="n">
        <f aca="false">CALC!BK34</f>
        <v>1000000</v>
      </c>
    </row>
    <row r="34" customFormat="false" ht="12.8" hidden="false" customHeight="false" outlineLevel="0" collapsed="false">
      <c r="A34" s="47" t="str">
        <f aca="false">_xlfn.CONCAT($A$1, ".", CALC!A35)</f>
        <v>LSD.RID.0.AR.ACTCREF.31</v>
      </c>
      <c r="B34" s="50" t="str">
        <f aca="false">_xlfn.CONCAT(CALC!B35, ":", CALC!C35)</f>
        <v>Self-Employed / Non-Employer:Support</v>
      </c>
      <c r="C34" s="57" t="n">
        <f aca="false">CALC!BH35</f>
        <v>16000000</v>
      </c>
      <c r="D34" s="57" t="n">
        <f aca="false">CALC!BI35</f>
        <v>4000000</v>
      </c>
      <c r="E34" s="57" t="n">
        <f aca="false">CALC!BJ35</f>
        <v>8000000</v>
      </c>
      <c r="F34" s="57" t="n">
        <f aca="false">CALC!BK35</f>
        <v>4000000</v>
      </c>
    </row>
    <row r="35" customFormat="false" ht="12.8" hidden="false" customHeight="false" outlineLevel="0" collapsed="false">
      <c r="A35" s="47" t="str">
        <f aca="false">_xlfn.CONCAT($A$1, ".", CALC!A36)</f>
        <v>LSD.RID.0.AR.ACTCREF.32</v>
      </c>
      <c r="B35" s="50" t="str">
        <f aca="false">_xlfn.CONCAT(CALC!B36, ":", CALC!C36)</f>
        <v>Self-Employed / Non-Employer:Worker</v>
      </c>
      <c r="C35" s="57" t="n">
        <f aca="false">CALC!BH36</f>
        <v>50000000</v>
      </c>
      <c r="D35" s="57" t="n">
        <f aca="false">CALC!BI36</f>
        <v>12500000</v>
      </c>
      <c r="E35" s="57" t="n">
        <f aca="false">CALC!BJ36</f>
        <v>25000000</v>
      </c>
      <c r="F35" s="57" t="n">
        <f aca="false">CALC!BK36</f>
        <v>12500000</v>
      </c>
    </row>
    <row r="36" customFormat="false" ht="12.8" hidden="false" customHeight="false" outlineLevel="0" collapsed="false">
      <c r="A36" s="47" t="str">
        <f aca="false">_xlfn.CONCAT($A$1, ".", CALC!A37)</f>
        <v>LSD.RID.0.AR.ACTCREF.33</v>
      </c>
      <c r="B36" s="50" t="str">
        <f aca="false">_xlfn.CONCAT(CALC!B37, ":", CALC!C37)</f>
        <v>Other Services:Support</v>
      </c>
      <c r="C36" s="57" t="n">
        <f aca="false">CALC!BH37</f>
        <v>2800000</v>
      </c>
      <c r="D36" s="57" t="n">
        <f aca="false">CALC!BI37</f>
        <v>700000</v>
      </c>
      <c r="E36" s="57" t="n">
        <f aca="false">CALC!BJ37</f>
        <v>1400000</v>
      </c>
      <c r="F36" s="57" t="n">
        <f aca="false">CALC!BK37</f>
        <v>700000</v>
      </c>
    </row>
    <row r="37" customFormat="false" ht="12.8" hidden="false" customHeight="false" outlineLevel="0" collapsed="false">
      <c r="A37" s="47" t="str">
        <f aca="false">_xlfn.CONCAT($A$1, ".", CALC!A38)</f>
        <v>LSD.RID.0.AR.ACTCREF.34</v>
      </c>
      <c r="B37" s="50" t="str">
        <f aca="false">_xlfn.CONCAT(CALC!B38, ":", CALC!C38)</f>
        <v>Other Services:Worker</v>
      </c>
      <c r="C37" s="57" t="n">
        <f aca="false">CALC!BH38</f>
        <v>11200000</v>
      </c>
      <c r="D37" s="57" t="n">
        <f aca="false">CALC!BI38</f>
        <v>2800000</v>
      </c>
      <c r="E37" s="57" t="n">
        <f aca="false">CALC!BJ38</f>
        <v>5600000</v>
      </c>
      <c r="F37" s="57" t="n">
        <f aca="false">CALC!BK38</f>
        <v>2800000</v>
      </c>
    </row>
    <row r="38" customFormat="false" ht="12.8" hidden="false" customHeight="false" outlineLevel="0" collapsed="false">
      <c r="A38" s="47" t="str">
        <f aca="false">_xlfn.CONCAT($A$1, ".", CALC!A39)</f>
        <v>LSD.RID.0.AR.ACTCREF.35</v>
      </c>
      <c r="B38" s="50" t="str">
        <f aca="false">_xlfn.CONCAT(CALC!B39, ":", CALC!C39)</f>
        <v>Mining, Quarrying, and Oil/Gas Extraction:Support</v>
      </c>
      <c r="C38" s="57" t="n">
        <f aca="false">CALC!BH39</f>
        <v>1600000</v>
      </c>
      <c r="D38" s="57" t="n">
        <f aca="false">CALC!BI39</f>
        <v>400000</v>
      </c>
      <c r="E38" s="57" t="n">
        <f aca="false">CALC!BJ39</f>
        <v>800000</v>
      </c>
      <c r="F38" s="57" t="n">
        <f aca="false">CALC!BK39</f>
        <v>400000</v>
      </c>
    </row>
    <row r="39" customFormat="false" ht="12.8" hidden="false" customHeight="false" outlineLevel="0" collapsed="false">
      <c r="A39" s="47" t="str">
        <f aca="false">_xlfn.CONCAT($A$1, ".", CALC!A40)</f>
        <v>LSD.RID.0.AR.ACTCREF.36</v>
      </c>
      <c r="B39" s="50" t="str">
        <f aca="false">_xlfn.CONCAT(CALC!B40, ":", CALC!C40)</f>
        <v>Mining, Quarrying, and Oil/Gas Extraction:Worker</v>
      </c>
      <c r="C39" s="57" t="n">
        <f aca="false">CALC!BH40</f>
        <v>4000000</v>
      </c>
      <c r="D39" s="57" t="n">
        <f aca="false">CALC!BI40</f>
        <v>1000000</v>
      </c>
      <c r="E39" s="57" t="n">
        <f aca="false">CALC!BJ40</f>
        <v>2000000</v>
      </c>
      <c r="F39" s="57" t="n">
        <f aca="false">CALC!BK40</f>
        <v>1000000</v>
      </c>
    </row>
    <row r="40" customFormat="false" ht="12.8" hidden="false" customHeight="false" outlineLevel="0" collapsed="false">
      <c r="A40" s="47" t="str">
        <f aca="false">_xlfn.CONCAT($A$1, ".", CALC!A41)</f>
        <v>LSD.RID.0.AR.ACTCREF.37</v>
      </c>
      <c r="B40" s="50" t="str">
        <f aca="false">_xlfn.CONCAT(CALC!B41, ":", CALC!C41)</f>
        <v>Utilities:Support</v>
      </c>
      <c r="C40" s="57" t="n">
        <f aca="false">CALC!BH41</f>
        <v>800000</v>
      </c>
      <c r="D40" s="57" t="n">
        <f aca="false">CALC!BI41</f>
        <v>200000</v>
      </c>
      <c r="E40" s="57" t="n">
        <f aca="false">CALC!BJ41</f>
        <v>400000</v>
      </c>
      <c r="F40" s="57" t="n">
        <f aca="false">CALC!BK41</f>
        <v>200000</v>
      </c>
    </row>
    <row r="41" customFormat="false" ht="12.8" hidden="false" customHeight="false" outlineLevel="0" collapsed="false">
      <c r="A41" s="47" t="str">
        <f aca="false">_xlfn.CONCAT($A$1, ".", CALC!A42)</f>
        <v>LSD.RID.0.AR.ACTCREF.38</v>
      </c>
      <c r="B41" s="50" t="str">
        <f aca="false">_xlfn.CONCAT(CALC!B42, ":", CALC!C42)</f>
        <v>Utilities:Worker</v>
      </c>
      <c r="C41" s="57" t="n">
        <f aca="false">CALC!BH42</f>
        <v>3200000</v>
      </c>
      <c r="D41" s="57" t="n">
        <f aca="false">CALC!BI42</f>
        <v>800000</v>
      </c>
      <c r="E41" s="57" t="n">
        <f aca="false">CALC!BJ42</f>
        <v>1600000</v>
      </c>
      <c r="F41" s="57" t="n">
        <f aca="false">CALC!BK42</f>
        <v>800000</v>
      </c>
    </row>
    <row r="42" customFormat="false" ht="12.8" hidden="false" customHeight="false" outlineLevel="0" collapsed="false">
      <c r="A42" s="47" t="str">
        <f aca="false">_xlfn.CONCAT($A$1, ".", CALC!A43)</f>
        <v>LSD.RID.0.AR.ACTCREF.39</v>
      </c>
      <c r="B42" s="50" t="str">
        <f aca="false">_xlfn.CONCAT(CALC!B43, ":", CALC!C43)</f>
        <v>Wholesale Trade:Support</v>
      </c>
      <c r="C42" s="57" t="n">
        <f aca="false">CALC!BH43</f>
        <v>4400000</v>
      </c>
      <c r="D42" s="57" t="n">
        <f aca="false">CALC!BI43</f>
        <v>1100000</v>
      </c>
      <c r="E42" s="57" t="n">
        <f aca="false">CALC!BJ43</f>
        <v>2200000</v>
      </c>
      <c r="F42" s="57" t="n">
        <f aca="false">CALC!BK43</f>
        <v>1100000</v>
      </c>
    </row>
    <row r="43" customFormat="false" ht="12.8" hidden="false" customHeight="false" outlineLevel="0" collapsed="false">
      <c r="A43" s="47" t="str">
        <f aca="false">_xlfn.CONCAT($A$1, ".", CALC!A44)</f>
        <v>LSD.RID.0.AR.ACTCREF.40</v>
      </c>
      <c r="B43" s="50" t="str">
        <f aca="false">_xlfn.CONCAT(CALC!B44, ":", CALC!C44)</f>
        <v>Wholesale Trade:Worker</v>
      </c>
      <c r="C43" s="57" t="n">
        <f aca="false">CALC!BH44</f>
        <v>17600000</v>
      </c>
      <c r="D43" s="57" t="n">
        <f aca="false">CALC!BI44</f>
        <v>4400000</v>
      </c>
      <c r="E43" s="57" t="n">
        <f aca="false">CALC!BJ44</f>
        <v>8800000</v>
      </c>
      <c r="F43" s="57" t="n">
        <f aca="false">CALC!BK44</f>
        <v>4400000</v>
      </c>
    </row>
    <row r="44" customFormat="false" ht="12.8" hidden="false" customHeight="false" outlineLevel="0" collapsed="false">
      <c r="A44" s="47" t="str">
        <f aca="false">_xlfn.CONCAT($A$1, ".", CALC!A45)</f>
        <v>LSD.RID.0.AR.ACTCREF.41</v>
      </c>
      <c r="B44" s="50" t="str">
        <f aca="false">_xlfn.CONCAT(CALC!B45, ":", CALC!C45)</f>
        <v>Information:Support</v>
      </c>
      <c r="C44" s="57" t="n">
        <f aca="false">CALC!BH45</f>
        <v>800000</v>
      </c>
      <c r="D44" s="57" t="n">
        <f aca="false">CALC!BI45</f>
        <v>200000</v>
      </c>
      <c r="E44" s="57" t="n">
        <f aca="false">CALC!BJ45</f>
        <v>400000</v>
      </c>
      <c r="F44" s="57" t="n">
        <f aca="false">CALC!BK45</f>
        <v>200000</v>
      </c>
    </row>
    <row r="45" customFormat="false" ht="12.8" hidden="false" customHeight="false" outlineLevel="0" collapsed="false">
      <c r="A45" s="47" t="str">
        <f aca="false">_xlfn.CONCAT($A$1, ".", CALC!A46)</f>
        <v>LSD.RID.0.AR.ACTCREF.42</v>
      </c>
      <c r="B45" s="50" t="str">
        <f aca="false">_xlfn.CONCAT(CALC!B46, ":", CALC!C46)</f>
        <v>Information:Worker</v>
      </c>
      <c r="C45" s="57" t="n">
        <f aca="false">CALC!BH46</f>
        <v>3200000</v>
      </c>
      <c r="D45" s="57" t="n">
        <f aca="false">CALC!BI46</f>
        <v>800000</v>
      </c>
      <c r="E45" s="57" t="n">
        <f aca="false">CALC!BJ46</f>
        <v>1600000</v>
      </c>
      <c r="F45" s="57" t="n">
        <f aca="false">CALC!BK46</f>
        <v>800000</v>
      </c>
    </row>
    <row r="46" customFormat="false" ht="12.8" hidden="false" customHeight="false" outlineLevel="0" collapsed="false">
      <c r="A46" s="47" t="str">
        <f aca="false">_xlfn.CONCAT($A$1, ".", CALC!A47)</f>
        <v>LSD.RID.0.AR.ACTCREF.43</v>
      </c>
      <c r="B46" s="50" t="str">
        <f aca="false">_xlfn.CONCAT(CALC!B47, ":", CALC!C47)</f>
        <v>Real Estate, Rental and Leasing:Support</v>
      </c>
      <c r="C46" s="57" t="n">
        <f aca="false">CALC!BH47</f>
        <v>1600000</v>
      </c>
      <c r="D46" s="57" t="n">
        <f aca="false">CALC!BI47</f>
        <v>400000</v>
      </c>
      <c r="E46" s="57" t="n">
        <f aca="false">CALC!BJ47</f>
        <v>800000</v>
      </c>
      <c r="F46" s="57" t="n">
        <f aca="false">CALC!BK47</f>
        <v>400000</v>
      </c>
    </row>
    <row r="47" customFormat="false" ht="12.8" hidden="false" customHeight="false" outlineLevel="0" collapsed="false">
      <c r="A47" s="47" t="str">
        <f aca="false">_xlfn.CONCAT($A$1, ".", CALC!A48)</f>
        <v>LSD.RID.0.AR.ACTCREF.44</v>
      </c>
      <c r="B47" s="50" t="str">
        <f aca="false">_xlfn.CONCAT(CALC!B48, ":", CALC!C48)</f>
        <v>Real Estate, Rental and Leasing:Worker</v>
      </c>
      <c r="C47" s="57" t="n">
        <f aca="false">CALC!BH48</f>
        <v>6400000</v>
      </c>
      <c r="D47" s="57" t="n">
        <f aca="false">CALC!BI48</f>
        <v>1600000</v>
      </c>
      <c r="E47" s="57" t="n">
        <f aca="false">CALC!BJ48</f>
        <v>3200000</v>
      </c>
      <c r="F47" s="57" t="n">
        <f aca="false">CALC!BK48</f>
        <v>1600000</v>
      </c>
    </row>
    <row r="48" customFormat="false" ht="12.8" hidden="false" customHeight="false" outlineLevel="0" collapsed="false">
      <c r="A48" s="47" t="str">
        <f aca="false">_xlfn.CONCAT($A$1, ".", CALC!A49)</f>
        <v>LSD.RID.0.AR.ACTCREF.45</v>
      </c>
      <c r="B48" s="50" t="str">
        <f aca="false">_xlfn.CONCAT(CALC!B49, ":", CALC!C49)</f>
        <v>Waste Management Services:Support</v>
      </c>
      <c r="C48" s="57" t="n">
        <f aca="false">CALC!BH49</f>
        <v>800000</v>
      </c>
      <c r="D48" s="57" t="n">
        <f aca="false">CALC!BI49</f>
        <v>200000</v>
      </c>
      <c r="E48" s="57" t="n">
        <f aca="false">CALC!BJ49</f>
        <v>400000</v>
      </c>
      <c r="F48" s="57" t="n">
        <f aca="false">CALC!BK49</f>
        <v>200000</v>
      </c>
    </row>
    <row r="49" customFormat="false" ht="12.8" hidden="false" customHeight="false" outlineLevel="0" collapsed="false">
      <c r="A49" s="47" t="str">
        <f aca="false">_xlfn.CONCAT($A$1, ".", CALC!A50)</f>
        <v>LSD.RID.0.AR.ACTCREF.46</v>
      </c>
      <c r="B49" s="50" t="str">
        <f aca="false">_xlfn.CONCAT(CALC!B50, ":", CALC!C50)</f>
        <v>Waste Management Services:Worker</v>
      </c>
      <c r="C49" s="57" t="n">
        <f aca="false">CALC!BH50</f>
        <v>3200000</v>
      </c>
      <c r="D49" s="57" t="n">
        <f aca="false">CALC!BI50</f>
        <v>800000</v>
      </c>
      <c r="E49" s="57" t="n">
        <f aca="false">CALC!BJ50</f>
        <v>1600000</v>
      </c>
      <c r="F49" s="57" t="n">
        <f aca="false">CALC!BK50</f>
        <v>800000</v>
      </c>
    </row>
    <row r="50" customFormat="false" ht="12.8" hidden="false" customHeight="false" outlineLevel="0" collapsed="false">
      <c r="A50" s="47" t="str">
        <f aca="false">_xlfn.CONCAT($A$1, ".", CALC!A51)</f>
        <v>LSD.RID.0.AR.ACTCREF.47</v>
      </c>
      <c r="B50" s="50" t="str">
        <f aca="false">_xlfn.CONCAT(CALC!B51, ":", CALC!C51)</f>
        <v>Arts, Entertainment, and Recreation:Support</v>
      </c>
      <c r="C50" s="57" t="n">
        <f aca="false">CALC!BH51</f>
        <v>2000000</v>
      </c>
      <c r="D50" s="57" t="n">
        <f aca="false">CALC!BI51</f>
        <v>500000</v>
      </c>
      <c r="E50" s="57" t="n">
        <f aca="false">CALC!BJ51</f>
        <v>1000000</v>
      </c>
      <c r="F50" s="57" t="n">
        <f aca="false">CALC!BK51</f>
        <v>500000</v>
      </c>
    </row>
    <row r="51" customFormat="false" ht="12.8" hidden="false" customHeight="false" outlineLevel="0" collapsed="false">
      <c r="A51" s="47" t="str">
        <f aca="false">_xlfn.CONCAT($A$1, ".", CALC!A52)</f>
        <v>LSD.RID.0.AR.ACTCREF.48</v>
      </c>
      <c r="B51" s="50" t="str">
        <f aca="false">_xlfn.CONCAT(CALC!B52, ":", CALC!C52)</f>
        <v>Arts, Entertainment, and Recreation:Worker</v>
      </c>
      <c r="C51" s="57" t="n">
        <f aca="false">CALC!BH52</f>
        <v>8000000</v>
      </c>
      <c r="D51" s="57" t="n">
        <f aca="false">CALC!BI52</f>
        <v>2000000</v>
      </c>
      <c r="E51" s="57" t="n">
        <f aca="false">CALC!BJ52</f>
        <v>4000000</v>
      </c>
      <c r="F51" s="57" t="n">
        <f aca="false">CALC!BK52</f>
        <v>2000000</v>
      </c>
    </row>
    <row r="52" customFormat="false" ht="12.8" hidden="false" customHeight="false" outlineLevel="0" collapsed="false">
      <c r="A52" s="47" t="str">
        <f aca="false">_xlfn.CONCAT($A$1, ".", CALC!A53)</f>
        <v>LSD.RID.0.AR.ACTCREF.49</v>
      </c>
      <c r="B52" s="50" t="str">
        <f aca="false">_xlfn.CONCAT(CALC!B53, ":", CALC!C53)</f>
        <v>Accommodation and Food Services:Support</v>
      </c>
      <c r="C52" s="57" t="n">
        <f aca="false">CALC!BH53</f>
        <v>6000000</v>
      </c>
      <c r="D52" s="57" t="n">
        <f aca="false">CALC!BI53</f>
        <v>1500000</v>
      </c>
      <c r="E52" s="57" t="n">
        <f aca="false">CALC!BJ53</f>
        <v>3000000</v>
      </c>
      <c r="F52" s="57" t="n">
        <f aca="false">CALC!BK53</f>
        <v>1500000</v>
      </c>
    </row>
    <row r="53" customFormat="false" ht="12.8" hidden="false" customHeight="false" outlineLevel="0" collapsed="false">
      <c r="A53" s="47" t="str">
        <f aca="false">_xlfn.CONCAT($A$1, ".", CALC!A54)</f>
        <v>LSD.RID.0.AR.ACTCREF.50</v>
      </c>
      <c r="B53" s="50" t="str">
        <f aca="false">_xlfn.CONCAT(CALC!B54, ":", CALC!C54)</f>
        <v>Accommodation and Food Services:Worker</v>
      </c>
      <c r="C53" s="57" t="n">
        <f aca="false">CALC!BH54</f>
        <v>24000000</v>
      </c>
      <c r="D53" s="57" t="n">
        <f aca="false">CALC!BI54</f>
        <v>6000000</v>
      </c>
      <c r="E53" s="57" t="n">
        <f aca="false">CALC!BJ54</f>
        <v>12000000</v>
      </c>
      <c r="F53" s="57" t="n">
        <f aca="false">CALC!BK54</f>
        <v>6000000</v>
      </c>
    </row>
    <row r="54" customFormat="false" ht="12.8" hidden="false" customHeight="false" outlineLevel="0" collapsed="false">
      <c r="A54" s="47" t="str">
        <f aca="false">_xlfn.CONCAT($A$1, ".", CALC!A55)</f>
        <v>LSD.RID.0.AR.ACTCREF.51</v>
      </c>
      <c r="B54" s="50" t="str">
        <f aca="false">_xlfn.CONCAT(CALC!B55, ":", CALC!C55)</f>
        <v>Public Administration:Support</v>
      </c>
      <c r="C54" s="57" t="n">
        <f aca="false">CALC!BH55</f>
        <v>4000000</v>
      </c>
      <c r="D54" s="57" t="n">
        <f aca="false">CALC!BI55</f>
        <v>1000000</v>
      </c>
      <c r="E54" s="57" t="n">
        <f aca="false">CALC!BJ55</f>
        <v>2000000</v>
      </c>
      <c r="F54" s="57" t="n">
        <f aca="false">CALC!BK55</f>
        <v>1000000</v>
      </c>
    </row>
    <row r="55" customFormat="false" ht="12.8" hidden="false" customHeight="false" outlineLevel="0" collapsed="false">
      <c r="A55" s="47" t="str">
        <f aca="false">_xlfn.CONCAT($A$1, ".", CALC!A56)</f>
        <v>LSD.RID.0.AR.ACTCREF.52</v>
      </c>
      <c r="B55" s="50" t="str">
        <f aca="false">_xlfn.CONCAT(CALC!B56, ":", CALC!C56)</f>
        <v>Public Administration:Worker</v>
      </c>
      <c r="C55" s="57" t="n">
        <f aca="false">CALC!BH56</f>
        <v>16000000</v>
      </c>
      <c r="D55" s="57" t="n">
        <f aca="false">CALC!BI56</f>
        <v>4000000</v>
      </c>
      <c r="E55" s="57" t="n">
        <f aca="false">CALC!BJ56</f>
        <v>8000000</v>
      </c>
      <c r="F55" s="57" t="n">
        <f aca="false">CALC!BK56</f>
        <v>4000000</v>
      </c>
    </row>
    <row r="56" customFormat="false" ht="12.8" hidden="false" customHeight="false" outlineLevel="0" collapsed="false">
      <c r="A56" s="47"/>
      <c r="C56" s="32"/>
      <c r="D56" s="32"/>
      <c r="E56" s="32"/>
      <c r="F56" s="32"/>
    </row>
    <row r="57" customFormat="false" ht="12.8" hidden="false" customHeight="false" outlineLevel="0" collapsed="false">
      <c r="A57" s="47"/>
      <c r="C57" s="32"/>
      <c r="D57" s="32"/>
      <c r="E57" s="32"/>
      <c r="F57" s="32"/>
    </row>
    <row r="58" customFormat="false" ht="12.8" hidden="false" customHeight="false" outlineLevel="0" collapsed="false">
      <c r="A58" s="47"/>
      <c r="C58" s="32"/>
      <c r="D58" s="32"/>
      <c r="E58" s="32"/>
      <c r="F58" s="32"/>
    </row>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E905"/>
    <pageSetUpPr fitToPage="false"/>
  </sheetPr>
  <dimension ref="A1:BP249"/>
  <sheetViews>
    <sheetView showFormulas="false" showGridLines="true" showRowColHeaders="true" showZeros="true" rightToLeft="false" tabSelected="true" showOutlineSymbols="true" defaultGridColor="true" view="normal" topLeftCell="A131" colorId="64" zoomScale="75" zoomScaleNormal="75" zoomScalePageLayoutView="100" workbookViewId="0">
      <selection pane="topLeft" activeCell="A155" activeCellId="0" sqref="155:249"/>
    </sheetView>
  </sheetViews>
  <sheetFormatPr defaultColWidth="11.53515625" defaultRowHeight="12.8" customHeight="false" zeroHeight="false" outlineLevelRow="1" outlineLevelCol="0"/>
  <cols>
    <col collapsed="false" customWidth="true" hidden="false" outlineLevel="0" max="1" min="1" style="34" width="13.84"/>
    <col collapsed="false" customWidth="true" hidden="false" outlineLevel="0" max="2" min="2" style="37" width="36.9"/>
    <col collapsed="false" customWidth="true" hidden="false" outlineLevel="0" max="3" min="3" style="23" width="21.47"/>
    <col collapsed="false" customWidth="true" hidden="false" outlineLevel="0" max="34" min="4" style="23" width="16.84"/>
    <col collapsed="false" customWidth="true" hidden="false" outlineLevel="0" max="48" min="35" style="23" width="17.78"/>
    <col collapsed="false" customWidth="true" hidden="false" outlineLevel="0" max="51" min="49" style="23" width="15.48"/>
    <col collapsed="false" customWidth="true" hidden="false" outlineLevel="0" max="56" min="56" style="23" width="18.45"/>
    <col collapsed="false" customWidth="true" hidden="false" outlineLevel="0" max="59" min="57" style="23" width="16.14"/>
    <col collapsed="false" customWidth="true" hidden="false" outlineLevel="0" max="67" min="60" style="23" width="13.84"/>
  </cols>
  <sheetData>
    <row r="1" customFormat="false" ht="23.85" hidden="false" customHeight="false" outlineLevel="0" collapsed="false">
      <c r="A1" s="3" t="s">
        <v>832</v>
      </c>
      <c r="B1" s="58" t="s">
        <v>833</v>
      </c>
      <c r="C1" s="5" t="s">
        <v>2</v>
      </c>
      <c r="D1" s="23" t="s">
        <v>834</v>
      </c>
      <c r="AZ1" s="23"/>
      <c r="BP1" s="23"/>
    </row>
    <row r="2" customFormat="false" ht="35.05" hidden="false" customHeight="false" outlineLevel="0" collapsed="false">
      <c r="A2" s="59" t="s">
        <v>799</v>
      </c>
      <c r="B2" s="60" t="s">
        <v>800</v>
      </c>
      <c r="C2" s="32" t="str">
        <f aca="false">CALC!BL3</f>
        <v>AOTC Credit Refund</v>
      </c>
      <c r="D2" s="32" t="str">
        <f aca="false">CALC!BM3</f>
        <v>Authorized Immigrant AOTC Credit Refund</v>
      </c>
      <c r="E2" s="32" t="str">
        <f aca="false">CALC!BN3</f>
        <v>Unauthorized Immigrant AOTC Credit Refund</v>
      </c>
      <c r="F2" s="32" t="str">
        <f aca="false">CALC!BO3</f>
        <v>American Effective Tax AOTC Credit Refund</v>
      </c>
    </row>
    <row r="3" customFormat="false" ht="12.8" hidden="false" customHeight="false" outlineLevel="0" collapsed="false">
      <c r="A3" s="47" t="str">
        <f aca="false">_xlfn.CONCAT($A$1, ".", CALC!A4)</f>
        <v>LSD.RID.0.AR.AOTCREF.0</v>
      </c>
      <c r="B3" s="49" t="str">
        <f aca="false">_xlfn.CONCAT(CALC!B4, ":", CALC!C4)</f>
        <v>All Industries:All Roles</v>
      </c>
      <c r="C3" s="32" t="n">
        <f aca="false">CALC!BL4</f>
        <v>80000000</v>
      </c>
      <c r="D3" s="32" t="n">
        <f aca="false">CALC!BM4</f>
        <v>20000000</v>
      </c>
      <c r="E3" s="32" t="n">
        <f aca="false">CALC!BN4</f>
        <v>4000000</v>
      </c>
      <c r="F3" s="32" t="n">
        <f aca="false">CALC!BO4</f>
        <v>56000000</v>
      </c>
    </row>
    <row r="4" customFormat="false" ht="12.8" hidden="false" customHeight="false" outlineLevel="0" collapsed="false">
      <c r="A4" s="47" t="str">
        <f aca="false">_xlfn.CONCAT($A$1, ".", CALC!A5)</f>
        <v>LSD.RID.0.AR.AOTCREF.1</v>
      </c>
      <c r="B4" s="49" t="str">
        <f aca="false">_xlfn.CONCAT(CALC!B5, ":", CALC!C5)</f>
        <v>Agriculture:Worker</v>
      </c>
      <c r="C4" s="32" t="n">
        <f aca="false">CALC!BL5</f>
        <v>3000000</v>
      </c>
      <c r="D4" s="32" t="n">
        <f aca="false">CALC!BM5</f>
        <v>750000</v>
      </c>
      <c r="E4" s="32" t="n">
        <f aca="false">CALC!BN5</f>
        <v>150000</v>
      </c>
      <c r="F4" s="32" t="n">
        <f aca="false">CALC!BO5</f>
        <v>2100000</v>
      </c>
    </row>
    <row r="5" customFormat="false" ht="12.8" hidden="false" customHeight="false" outlineLevel="0" collapsed="false">
      <c r="A5" s="47" t="str">
        <f aca="false">_xlfn.CONCAT($A$1, ".", CALC!A6)</f>
        <v>LSD.RID.0.AR.AOTCREF.2</v>
      </c>
      <c r="B5" s="49" t="str">
        <f aca="false">_xlfn.CONCAT(CALC!B6, ":", CALC!C6)</f>
        <v>Agriculture:Support</v>
      </c>
      <c r="C5" s="32" t="n">
        <f aca="false">CALC!BL6</f>
        <v>750000</v>
      </c>
      <c r="D5" s="32" t="n">
        <f aca="false">CALC!BM6</f>
        <v>187500</v>
      </c>
      <c r="E5" s="32" t="n">
        <f aca="false">CALC!BN6</f>
        <v>37500</v>
      </c>
      <c r="F5" s="32" t="n">
        <f aca="false">CALC!BO6</f>
        <v>525000</v>
      </c>
    </row>
    <row r="6" customFormat="false" ht="12.8" hidden="false" customHeight="false" outlineLevel="0" collapsed="false">
      <c r="A6" s="47" t="str">
        <f aca="false">_xlfn.CONCAT($A$1, ".", CALC!A7)</f>
        <v>LSD.RID.0.AR.AOTCREF.3</v>
      </c>
      <c r="B6" s="49" t="str">
        <f aca="false">_xlfn.CONCAT(CALC!B7, ":", CALC!C7)</f>
        <v>Construction:Worker</v>
      </c>
      <c r="C6" s="32" t="n">
        <f aca="false">CALC!BL7</f>
        <v>7200000</v>
      </c>
      <c r="D6" s="32" t="n">
        <f aca="false">CALC!BM7</f>
        <v>1800000</v>
      </c>
      <c r="E6" s="32" t="n">
        <f aca="false">CALC!BN7</f>
        <v>360000</v>
      </c>
      <c r="F6" s="32" t="n">
        <f aca="false">CALC!BO7</f>
        <v>5040000</v>
      </c>
    </row>
    <row r="7" customFormat="false" ht="12.8" hidden="false" customHeight="false" outlineLevel="0" collapsed="false">
      <c r="A7" s="47" t="str">
        <f aca="false">_xlfn.CONCAT($A$1, ".", CALC!A8)</f>
        <v>LSD.RID.0.AR.AOTCREF.4</v>
      </c>
      <c r="B7" s="49" t="str">
        <f aca="false">_xlfn.CONCAT(CALC!B8, ":", CALC!C8)</f>
        <v>Construction:Support</v>
      </c>
      <c r="C7" s="32" t="n">
        <f aca="false">CALC!BL8</f>
        <v>1800000</v>
      </c>
      <c r="D7" s="32" t="n">
        <f aca="false">CALC!BM8</f>
        <v>450000</v>
      </c>
      <c r="E7" s="32" t="n">
        <f aca="false">CALC!BN8</f>
        <v>90000</v>
      </c>
      <c r="F7" s="32" t="n">
        <f aca="false">CALC!BO8</f>
        <v>1260000</v>
      </c>
    </row>
    <row r="8" customFormat="false" ht="12.8" hidden="false" customHeight="false" outlineLevel="0" collapsed="false">
      <c r="A8" s="47" t="str">
        <f aca="false">_xlfn.CONCAT($A$1, ".", CALC!A9)</f>
        <v>LSD.RID.0.AR.AOTCREF.5</v>
      </c>
      <c r="B8" s="49" t="str">
        <f aca="false">_xlfn.CONCAT(CALC!B9, ":", CALC!C9)</f>
        <v>Hospitality:Worker</v>
      </c>
      <c r="C8" s="32" t="n">
        <f aca="false">CALC!BL9</f>
        <v>18000000</v>
      </c>
      <c r="D8" s="32" t="n">
        <f aca="false">CALC!BM9</f>
        <v>4500000</v>
      </c>
      <c r="E8" s="32" t="n">
        <f aca="false">CALC!BN9</f>
        <v>900000</v>
      </c>
      <c r="F8" s="32" t="n">
        <f aca="false">CALC!BO9</f>
        <v>12600000</v>
      </c>
    </row>
    <row r="9" customFormat="false" ht="12.8" hidden="false" customHeight="false" outlineLevel="0" collapsed="false">
      <c r="A9" s="47" t="str">
        <f aca="false">_xlfn.CONCAT($A$1, ".", CALC!A10)</f>
        <v>LSD.RID.0.AR.AOTCREF.6</v>
      </c>
      <c r="B9" s="49" t="str">
        <f aca="false">_xlfn.CONCAT(CALC!B10, ":", CALC!C10)</f>
        <v>Hospitality:Support</v>
      </c>
      <c r="C9" s="32" t="n">
        <f aca="false">CALC!BL10</f>
        <v>4500000</v>
      </c>
      <c r="D9" s="32" t="n">
        <f aca="false">CALC!BM10</f>
        <v>1125000</v>
      </c>
      <c r="E9" s="32" t="n">
        <f aca="false">CALC!BN10</f>
        <v>225000</v>
      </c>
      <c r="F9" s="32" t="n">
        <f aca="false">CALC!BO10</f>
        <v>3150000</v>
      </c>
    </row>
    <row r="10" customFormat="false" ht="12.8" hidden="false" customHeight="false" outlineLevel="0" collapsed="false">
      <c r="A10" s="47" t="str">
        <f aca="false">_xlfn.CONCAT($A$1, ".", CALC!A11)</f>
        <v>LSD.RID.0.AR.AOTCREF.7</v>
      </c>
      <c r="B10" s="49" t="str">
        <f aca="false">_xlfn.CONCAT(CALC!B11, ":", CALC!C11)</f>
        <v>Cleaning &amp; Maintenance:Worker</v>
      </c>
      <c r="C10" s="32" t="n">
        <f aca="false">CALC!BL11</f>
        <v>5100000</v>
      </c>
      <c r="D10" s="32" t="n">
        <f aca="false">CALC!BM11</f>
        <v>1275000</v>
      </c>
      <c r="E10" s="32" t="n">
        <f aca="false">CALC!BN11</f>
        <v>255000</v>
      </c>
      <c r="F10" s="32" t="n">
        <f aca="false">CALC!BO11</f>
        <v>3570000</v>
      </c>
    </row>
    <row r="11" customFormat="false" ht="12.8" hidden="false" customHeight="false" outlineLevel="0" collapsed="false">
      <c r="A11" s="47" t="str">
        <f aca="false">_xlfn.CONCAT($A$1, ".", CALC!A12)</f>
        <v>LSD.RID.0.AR.AOTCREF.8</v>
      </c>
      <c r="B11" s="49" t="str">
        <f aca="false">_xlfn.CONCAT(CALC!B12, ":", CALC!C12)</f>
        <v>Cleaning &amp; Maintenance:Support</v>
      </c>
      <c r="C11" s="32" t="n">
        <f aca="false">CALC!BL12</f>
        <v>1275000</v>
      </c>
      <c r="D11" s="32" t="n">
        <f aca="false">CALC!BM12</f>
        <v>318750</v>
      </c>
      <c r="E11" s="32" t="n">
        <f aca="false">CALC!BN12</f>
        <v>63750</v>
      </c>
      <c r="F11" s="32" t="n">
        <f aca="false">CALC!BO12</f>
        <v>892500</v>
      </c>
    </row>
    <row r="12" customFormat="false" ht="12.8" hidden="false" customHeight="false" outlineLevel="0" collapsed="false">
      <c r="A12" s="47" t="str">
        <f aca="false">_xlfn.CONCAT($A$1, ".", CALC!A13)</f>
        <v>LSD.RID.0.AR.AOTCREF.9</v>
      </c>
      <c r="B12" s="49" t="str">
        <f aca="false">_xlfn.CONCAT(CALC!B13, ":", CALC!C13)</f>
        <v>Manufacturing:Worker</v>
      </c>
      <c r="C12" s="32" t="n">
        <f aca="false">CALC!BL13</f>
        <v>24000000</v>
      </c>
      <c r="D12" s="32" t="n">
        <f aca="false">CALC!BM13</f>
        <v>6000000</v>
      </c>
      <c r="E12" s="32" t="n">
        <f aca="false">CALC!BN13</f>
        <v>1200000</v>
      </c>
      <c r="F12" s="32" t="n">
        <f aca="false">CALC!BO13</f>
        <v>16800000</v>
      </c>
    </row>
    <row r="13" customFormat="false" ht="12.8" hidden="false" customHeight="false" outlineLevel="0" collapsed="false">
      <c r="A13" s="47" t="str">
        <f aca="false">_xlfn.CONCAT($A$1, ".", CALC!A14)</f>
        <v>LSD.RID.0.AR.AOTCREF.10</v>
      </c>
      <c r="B13" s="49" t="str">
        <f aca="false">_xlfn.CONCAT(CALC!B14, ":", CALC!C14)</f>
        <v>Manufacturing:Support</v>
      </c>
      <c r="C13" s="32" t="n">
        <f aca="false">CALC!BL14</f>
        <v>2076800</v>
      </c>
      <c r="D13" s="32" t="n">
        <f aca="false">CALC!BM14</f>
        <v>831</v>
      </c>
      <c r="E13" s="32" t="n">
        <f aca="false">CALC!BN14</f>
        <v>153</v>
      </c>
      <c r="F13" s="32" t="n">
        <f aca="false">CALC!BO14</f>
        <v>1102677</v>
      </c>
    </row>
    <row r="14" customFormat="false" ht="12.8" hidden="false" customHeight="false" outlineLevel="0" collapsed="false">
      <c r="A14" s="47" t="str">
        <f aca="false">_xlfn.CONCAT($A$1, ".", CALC!A15)</f>
        <v>LSD.RID.0.AR.AOTCREF.11</v>
      </c>
      <c r="B14" s="49" t="str">
        <f aca="false">_xlfn.CONCAT(CALC!B15, ":", CALC!C15)</f>
        <v>Transportation &amp; Warehousing:Worker</v>
      </c>
      <c r="C14" s="32" t="n">
        <f aca="false">CALC!BL15</f>
        <v>16800000</v>
      </c>
      <c r="D14" s="32" t="n">
        <f aca="false">CALC!BM15</f>
        <v>4200000</v>
      </c>
      <c r="E14" s="32" t="n">
        <f aca="false">CALC!BN15</f>
        <v>840000</v>
      </c>
      <c r="F14" s="32" t="n">
        <f aca="false">CALC!BO15</f>
        <v>11760000</v>
      </c>
    </row>
    <row r="15" customFormat="false" ht="12.8" hidden="false" customHeight="false" outlineLevel="0" collapsed="false">
      <c r="A15" s="47" t="str">
        <f aca="false">_xlfn.CONCAT($A$1, ".", CALC!A16)</f>
        <v>LSD.RID.0.AR.AOTCREF.12</v>
      </c>
      <c r="B15" s="49" t="str">
        <f aca="false">_xlfn.CONCAT(CALC!B16, ":", CALC!C16)</f>
        <v>Transportation &amp; Warehousing:Support</v>
      </c>
      <c r="C15" s="32" t="n">
        <f aca="false">CALC!BL16</f>
        <v>5600000</v>
      </c>
      <c r="D15" s="32" t="n">
        <f aca="false">CALC!BM16</f>
        <v>1400000</v>
      </c>
      <c r="E15" s="32" t="n">
        <f aca="false">CALC!BN16</f>
        <v>280000</v>
      </c>
      <c r="F15" s="32" t="n">
        <f aca="false">CALC!BO16</f>
        <v>3920000</v>
      </c>
    </row>
    <row r="16" customFormat="false" ht="12.8" hidden="false" customHeight="false" outlineLevel="0" collapsed="false">
      <c r="A16" s="47" t="str">
        <f aca="false">_xlfn.CONCAT($A$1, ".", CALC!A17)</f>
        <v>LSD.RID.0.AR.AOTCREF.13</v>
      </c>
      <c r="B16" s="49" t="str">
        <f aca="false">_xlfn.CONCAT(CALC!B17, ":", CALC!C17)</f>
        <v>Retail Trade:Worker</v>
      </c>
      <c r="C16" s="32" t="n">
        <f aca="false">CALC!BL17</f>
        <v>36000000</v>
      </c>
      <c r="D16" s="32" t="n">
        <f aca="false">CALC!BM17</f>
        <v>9000000</v>
      </c>
      <c r="E16" s="32" t="n">
        <f aca="false">CALC!BN17</f>
        <v>1800000</v>
      </c>
      <c r="F16" s="32" t="n">
        <f aca="false">CALC!BO17</f>
        <v>25200000</v>
      </c>
    </row>
    <row r="17" customFormat="false" ht="12.8" hidden="false" customHeight="false" outlineLevel="0" collapsed="false">
      <c r="A17" s="47" t="str">
        <f aca="false">_xlfn.CONCAT($A$1, ".", CALC!A18)</f>
        <v>LSD.RID.0.AR.AOTCREF.14</v>
      </c>
      <c r="B17" s="49" t="str">
        <f aca="false">_xlfn.CONCAT(CALC!B18, ":", CALC!C18)</f>
        <v>Retail Trade:Support</v>
      </c>
      <c r="C17" s="32" t="n">
        <f aca="false">CALC!BL18</f>
        <v>15428571</v>
      </c>
      <c r="D17" s="32" t="n">
        <f aca="false">CALC!BM18</f>
        <v>3857143</v>
      </c>
      <c r="E17" s="32" t="n">
        <f aca="false">CALC!BN18</f>
        <v>771429</v>
      </c>
      <c r="F17" s="32" t="n">
        <f aca="false">CALC!BO18</f>
        <v>10800000</v>
      </c>
    </row>
    <row r="18" customFormat="false" ht="12.8" hidden="false" customHeight="false" outlineLevel="0" collapsed="false">
      <c r="A18" s="47" t="str">
        <f aca="false">_xlfn.CONCAT($A$1, ".", CALC!A19)</f>
        <v>LSD.RID.0.AR.AOTCREF.15</v>
      </c>
      <c r="B18" s="49" t="str">
        <f aca="false">_xlfn.CONCAT(CALC!B19, ":", CALC!C19)</f>
        <v>Landscaping / Groundskeeping:Worker</v>
      </c>
      <c r="C18" s="32" t="n">
        <f aca="false">CALC!BL19</f>
        <v>4200000</v>
      </c>
      <c r="D18" s="32" t="n">
        <f aca="false">CALC!BM19</f>
        <v>1050000</v>
      </c>
      <c r="E18" s="32" t="n">
        <f aca="false">CALC!BN19</f>
        <v>210000</v>
      </c>
      <c r="F18" s="32" t="n">
        <f aca="false">CALC!BO19</f>
        <v>2940000</v>
      </c>
    </row>
    <row r="19" customFormat="false" ht="12.8" hidden="false" customHeight="false" outlineLevel="0" collapsed="false">
      <c r="A19" s="47" t="str">
        <f aca="false">_xlfn.CONCAT($A$1, ".", CALC!A20)</f>
        <v>LSD.RID.0.AR.AOTCREF.16</v>
      </c>
      <c r="B19" s="49" t="str">
        <f aca="false">_xlfn.CONCAT(CALC!B20, ":", CALC!C20)</f>
        <v>Landscaping / Groundskeeping:Support</v>
      </c>
      <c r="C19" s="32" t="n">
        <f aca="false">CALC!BL20</f>
        <v>740357</v>
      </c>
      <c r="D19" s="32" t="n">
        <f aca="false">CALC!BM20</f>
        <v>185089</v>
      </c>
      <c r="E19" s="32" t="n">
        <f aca="false">CALC!BN20</f>
        <v>37018</v>
      </c>
      <c r="F19" s="32" t="n">
        <f aca="false">CALC!BO20</f>
        <v>518250</v>
      </c>
    </row>
    <row r="20" customFormat="false" ht="12.8" hidden="false" customHeight="false" outlineLevel="0" collapsed="false">
      <c r="A20" s="47" t="str">
        <f aca="false">_xlfn.CONCAT($A$1, ".", CALC!A21)</f>
        <v>LSD.RID.0.AR.AOTCREF.17</v>
      </c>
      <c r="B20" s="49" t="str">
        <f aca="false">_xlfn.CONCAT(CALC!B21, ":", CALC!C21)</f>
        <v>Automotive &amp; Repair:Worker</v>
      </c>
      <c r="C20" s="32" t="n">
        <f aca="false">CALC!BL21</f>
        <v>1440000</v>
      </c>
      <c r="D20" s="32" t="n">
        <f aca="false">CALC!BM21</f>
        <v>5760</v>
      </c>
      <c r="E20" s="32" t="n">
        <f aca="false">CALC!BN21</f>
        <v>2304</v>
      </c>
      <c r="F20" s="32" t="n">
        <f aca="false">CALC!BO21</f>
        <v>1387152</v>
      </c>
    </row>
    <row r="21" customFormat="false" ht="12.8" hidden="false" customHeight="false" outlineLevel="0" collapsed="false">
      <c r="A21" s="47" t="str">
        <f aca="false">_xlfn.CONCAT($A$1, ".", CALC!A22)</f>
        <v>LSD.RID.0.AR.AOTCREF.18</v>
      </c>
      <c r="B21" s="49" t="str">
        <f aca="false">_xlfn.CONCAT(CALC!B22, ":", CALC!C22)</f>
        <v>Automotive &amp; Repair:Support</v>
      </c>
      <c r="C21" s="32" t="n">
        <f aca="false">CALC!BL22</f>
        <v>360000</v>
      </c>
      <c r="D21" s="32" t="n">
        <f aca="false">CALC!BM22</f>
        <v>1440</v>
      </c>
      <c r="E21" s="32" t="n">
        <f aca="false">CALC!BN22</f>
        <v>576</v>
      </c>
      <c r="F21" s="32" t="n">
        <f aca="false">CALC!BO22</f>
        <v>346788</v>
      </c>
    </row>
    <row r="22" customFormat="false" ht="12.8" hidden="false" customHeight="false" outlineLevel="0" collapsed="false">
      <c r="A22" s="47" t="str">
        <f aca="false">_xlfn.CONCAT($A$1, ".", CALC!A23)</f>
        <v>LSD.RID.0.AR.AOTCREF.19</v>
      </c>
      <c r="B22" s="49" t="str">
        <f aca="false">_xlfn.CONCAT(CALC!B23, ":", CALC!C23)</f>
        <v>Healthcare &amp; Social Assistance:Worker</v>
      </c>
      <c r="C22" s="32" t="n">
        <f aca="false">CALC!BL23</f>
        <v>28800000</v>
      </c>
      <c r="D22" s="32" t="n">
        <f aca="false">CALC!BM23</f>
        <v>7200000</v>
      </c>
      <c r="E22" s="32" t="n">
        <f aca="false">CALC!BN23</f>
        <v>1440000</v>
      </c>
      <c r="F22" s="32" t="n">
        <f aca="false">CALC!BO23</f>
        <v>20160000</v>
      </c>
    </row>
    <row r="23" customFormat="false" ht="12.8" hidden="false" customHeight="false" outlineLevel="0" collapsed="false">
      <c r="A23" s="47" t="str">
        <f aca="false">_xlfn.CONCAT($A$1, ".", CALC!A24)</f>
        <v>LSD.RID.0.AR.AOTCREF.20</v>
      </c>
      <c r="B23" s="49" t="str">
        <f aca="false">_xlfn.CONCAT(CALC!B24, ":", CALC!C24)</f>
        <v>Healthcare &amp; Social Assistance:Support</v>
      </c>
      <c r="C23" s="32" t="n">
        <f aca="false">CALC!BL24</f>
        <v>7200000</v>
      </c>
      <c r="D23" s="32" t="n">
        <f aca="false">CALC!BM24</f>
        <v>1800000</v>
      </c>
      <c r="E23" s="32" t="n">
        <f aca="false">CALC!BN24</f>
        <v>360000</v>
      </c>
      <c r="F23" s="32" t="n">
        <f aca="false">CALC!BO24</f>
        <v>5040000</v>
      </c>
    </row>
    <row r="24" customFormat="false" ht="12.8" hidden="false" customHeight="false" outlineLevel="0" collapsed="false">
      <c r="A24" s="47" t="str">
        <f aca="false">_xlfn.CONCAT($A$1, ".", CALC!A25)</f>
        <v>LSD.RID.0.AR.AOTCREF.21</v>
      </c>
      <c r="B24" s="49" t="str">
        <f aca="false">_xlfn.CONCAT(CALC!B25, ":", CALC!C25)</f>
        <v>Professional Services:Worker</v>
      </c>
      <c r="C24" s="32" t="n">
        <f aca="false">CALC!BL25</f>
        <v>12000000</v>
      </c>
      <c r="D24" s="32" t="n">
        <f aca="false">CALC!BM25</f>
        <v>3000000</v>
      </c>
      <c r="E24" s="32" t="n">
        <f aca="false">CALC!BN25</f>
        <v>600000</v>
      </c>
      <c r="F24" s="32" t="n">
        <f aca="false">CALC!BO25</f>
        <v>8400000</v>
      </c>
    </row>
    <row r="25" customFormat="false" ht="12.8" hidden="false" customHeight="false" outlineLevel="0" collapsed="false">
      <c r="A25" s="47" t="str">
        <f aca="false">_xlfn.CONCAT($A$1, ".", CALC!A26)</f>
        <v>LSD.RID.0.AR.AOTCREF.22</v>
      </c>
      <c r="B25" s="49" t="str">
        <f aca="false">_xlfn.CONCAT(CALC!B26, ":", CALC!C26)</f>
        <v>Professional Services:Support</v>
      </c>
      <c r="C25" s="32" t="n">
        <f aca="false">CALC!BL26</f>
        <v>3000000</v>
      </c>
      <c r="D25" s="32" t="n">
        <f aca="false">CALC!BM26</f>
        <v>750000</v>
      </c>
      <c r="E25" s="32" t="n">
        <f aca="false">CALC!BN26</f>
        <v>150000</v>
      </c>
      <c r="F25" s="32" t="n">
        <f aca="false">CALC!BO26</f>
        <v>2100000</v>
      </c>
    </row>
    <row r="26" customFormat="false" ht="12.8" hidden="false" customHeight="false" outlineLevel="0" collapsed="false">
      <c r="A26" s="47" t="str">
        <f aca="false">_xlfn.CONCAT($A$1, ".", CALC!A27)</f>
        <v>LSD.RID.0.AR.AOTCREF.23</v>
      </c>
      <c r="B26" s="49" t="str">
        <f aca="false">_xlfn.CONCAT(CALC!B27, ":", CALC!C27)</f>
        <v>Educational Services:Worker</v>
      </c>
      <c r="C26" s="32" t="n">
        <f aca="false">CALC!BL27</f>
        <v>12000000</v>
      </c>
      <c r="D26" s="32" t="n">
        <f aca="false">CALC!BM27</f>
        <v>3000000</v>
      </c>
      <c r="E26" s="32" t="n">
        <f aca="false">CALC!BN27</f>
        <v>600000</v>
      </c>
      <c r="F26" s="32" t="n">
        <f aca="false">CALC!BO27</f>
        <v>8400000</v>
      </c>
    </row>
    <row r="27" customFormat="false" ht="12.8" hidden="false" customHeight="false" outlineLevel="0" collapsed="false">
      <c r="A27" s="47" t="str">
        <f aca="false">_xlfn.CONCAT($A$1, ".", CALC!A28)</f>
        <v>LSD.RID.0.AR.AOTCREF.24</v>
      </c>
      <c r="B27" s="49" t="str">
        <f aca="false">_xlfn.CONCAT(CALC!B28, ":", CALC!C28)</f>
        <v>Educational Services:Support</v>
      </c>
      <c r="C27" s="32" t="n">
        <f aca="false">CALC!BL28</f>
        <v>3000000</v>
      </c>
      <c r="D27" s="32" t="n">
        <f aca="false">CALC!BM28</f>
        <v>750000</v>
      </c>
      <c r="E27" s="32" t="n">
        <f aca="false">CALC!BN28</f>
        <v>150000</v>
      </c>
      <c r="F27" s="32" t="n">
        <f aca="false">CALC!BO28</f>
        <v>2100000</v>
      </c>
    </row>
    <row r="28" customFormat="false" ht="12.8" hidden="false" customHeight="false" outlineLevel="0" collapsed="false">
      <c r="A28" s="47" t="str">
        <f aca="false">_xlfn.CONCAT($A$1, ".", CALC!A29)</f>
        <v>LSD.RID.0.AR.AOTCREF.25</v>
      </c>
      <c r="B28" s="49" t="str">
        <f aca="false">_xlfn.CONCAT(CALC!B29, ":", CALC!C29)</f>
        <v>Finance &amp; Insurance:Worker</v>
      </c>
      <c r="C28" s="32" t="n">
        <f aca="false">CALC!BL29</f>
        <v>8400000</v>
      </c>
      <c r="D28" s="32" t="n">
        <f aca="false">CALC!BM29</f>
        <v>2100000</v>
      </c>
      <c r="E28" s="32" t="n">
        <f aca="false">CALC!BN29</f>
        <v>420000</v>
      </c>
      <c r="F28" s="32" t="n">
        <f aca="false">CALC!BO29</f>
        <v>5880000</v>
      </c>
    </row>
    <row r="29" customFormat="false" ht="12.8" hidden="false" customHeight="false" outlineLevel="0" collapsed="false">
      <c r="A29" s="47" t="str">
        <f aca="false">_xlfn.CONCAT($A$1, ".", CALC!A30)</f>
        <v>LSD.RID.0.AR.AOTCREF.26</v>
      </c>
      <c r="B29" s="49" t="str">
        <f aca="false">_xlfn.CONCAT(CALC!B30, ":", CALC!C30)</f>
        <v>Finance &amp; Insurance:Support</v>
      </c>
      <c r="C29" s="32" t="n">
        <f aca="false">CALC!BL30</f>
        <v>2100000</v>
      </c>
      <c r="D29" s="32" t="n">
        <f aca="false">CALC!BM30</f>
        <v>525000</v>
      </c>
      <c r="E29" s="32" t="n">
        <f aca="false">CALC!BN30</f>
        <v>105000</v>
      </c>
      <c r="F29" s="32" t="n">
        <f aca="false">CALC!BO30</f>
        <v>1470000</v>
      </c>
    </row>
    <row r="30" customFormat="false" ht="12.8" hidden="false" customHeight="false" outlineLevel="0" collapsed="false">
      <c r="A30" s="47" t="str">
        <f aca="false">_xlfn.CONCAT($A$1, ".", CALC!A31)</f>
        <v>LSD.RID.0.AR.AOTCREF.27</v>
      </c>
      <c r="B30" s="49" t="str">
        <f aca="false">_xlfn.CONCAT(CALC!B31, ":", CALC!C31)</f>
        <v>Media and Information Technology:Worker</v>
      </c>
      <c r="C30" s="32" t="n">
        <f aca="false">CALC!BL31</f>
        <v>2400000</v>
      </c>
      <c r="D30" s="32" t="n">
        <f aca="false">CALC!BM31</f>
        <v>600000</v>
      </c>
      <c r="E30" s="32" t="n">
        <f aca="false">CALC!BN31</f>
        <v>120000</v>
      </c>
      <c r="F30" s="32" t="n">
        <f aca="false">CALC!BO31</f>
        <v>1680000</v>
      </c>
    </row>
    <row r="31" customFormat="false" ht="12.8" hidden="false" customHeight="false" outlineLevel="0" collapsed="false">
      <c r="A31" s="47" t="str">
        <f aca="false">_xlfn.CONCAT($A$1, ".", CALC!A32)</f>
        <v>LSD.RID.0.AR.AOTCREF.28</v>
      </c>
      <c r="B31" s="49" t="str">
        <f aca="false">_xlfn.CONCAT(CALC!B32, ":", CALC!C32)</f>
        <v>Media and Information Technology:Support</v>
      </c>
      <c r="C31" s="32" t="n">
        <f aca="false">CALC!BL32</f>
        <v>600000</v>
      </c>
      <c r="D31" s="32" t="n">
        <f aca="false">CALC!BM32</f>
        <v>150000</v>
      </c>
      <c r="E31" s="32" t="n">
        <f aca="false">CALC!BN32</f>
        <v>30000</v>
      </c>
      <c r="F31" s="32" t="n">
        <f aca="false">CALC!BO32</f>
        <v>420000</v>
      </c>
    </row>
    <row r="32" customFormat="false" ht="12.8" hidden="false" customHeight="false" outlineLevel="0" collapsed="false">
      <c r="A32" s="47" t="str">
        <f aca="false">_xlfn.CONCAT($A$1, ".", CALC!A33)</f>
        <v>LSD.RID.0.AR.AOTCREF.29</v>
      </c>
      <c r="B32" s="49" t="str">
        <f aca="false">_xlfn.CONCAT(CALC!B33, ":", CALC!C33)</f>
        <v>Government:Worker</v>
      </c>
      <c r="C32" s="32" t="n">
        <f aca="false">CALC!BL33</f>
        <v>12000000</v>
      </c>
      <c r="D32" s="32" t="n">
        <f aca="false">CALC!BM33</f>
        <v>3000000</v>
      </c>
      <c r="E32" s="32" t="n">
        <f aca="false">CALC!BN33</f>
        <v>600000</v>
      </c>
      <c r="F32" s="32" t="n">
        <f aca="false">CALC!BO33</f>
        <v>8400000</v>
      </c>
    </row>
    <row r="33" customFormat="false" ht="12.8" hidden="false" customHeight="false" outlineLevel="0" collapsed="false">
      <c r="A33" s="47" t="str">
        <f aca="false">_xlfn.CONCAT($A$1, ".", CALC!A34)</f>
        <v>LSD.RID.0.AR.AOTCREF.30</v>
      </c>
      <c r="B33" s="49" t="str">
        <f aca="false">_xlfn.CONCAT(CALC!B34, ":", CALC!C34)</f>
        <v>Government:Support</v>
      </c>
      <c r="C33" s="32" t="n">
        <f aca="false">CALC!BL34</f>
        <v>3000000</v>
      </c>
      <c r="D33" s="32" t="n">
        <f aca="false">CALC!BM34</f>
        <v>750000</v>
      </c>
      <c r="E33" s="32" t="n">
        <f aca="false">CALC!BN34</f>
        <v>150000</v>
      </c>
      <c r="F33" s="32" t="n">
        <f aca="false">CALC!BO34</f>
        <v>2100000</v>
      </c>
    </row>
    <row r="34" customFormat="false" ht="12.8" hidden="false" customHeight="false" outlineLevel="0" collapsed="false">
      <c r="A34" s="47" t="str">
        <f aca="false">_xlfn.CONCAT($A$1, ".", CALC!A35)</f>
        <v>LSD.RID.0.AR.AOTCREF.31</v>
      </c>
      <c r="B34" s="49" t="str">
        <f aca="false">_xlfn.CONCAT(CALC!B35, ":", CALC!C35)</f>
        <v>Self-Employed / Non-Employer:Support</v>
      </c>
      <c r="C34" s="32" t="n">
        <f aca="false">CALC!BL35</f>
        <v>12000000</v>
      </c>
      <c r="D34" s="32" t="n">
        <f aca="false">CALC!BM35</f>
        <v>3000000</v>
      </c>
      <c r="E34" s="32" t="n">
        <f aca="false">CALC!BN35</f>
        <v>600000</v>
      </c>
      <c r="F34" s="32" t="n">
        <f aca="false">CALC!BO35</f>
        <v>8400000</v>
      </c>
    </row>
    <row r="35" customFormat="false" ht="12.8" hidden="false" customHeight="false" outlineLevel="0" collapsed="false">
      <c r="A35" s="47" t="str">
        <f aca="false">_xlfn.CONCAT($A$1, ".", CALC!A36)</f>
        <v>LSD.RID.0.AR.AOTCREF.32</v>
      </c>
      <c r="B35" s="49" t="str">
        <f aca="false">_xlfn.CONCAT(CALC!B36, ":", CALC!C36)</f>
        <v>Self-Employed / Non-Employer:Worker</v>
      </c>
      <c r="C35" s="32" t="n">
        <f aca="false">CALC!BL36</f>
        <v>37500000</v>
      </c>
      <c r="D35" s="32" t="n">
        <f aca="false">CALC!BM36</f>
        <v>9375000</v>
      </c>
      <c r="E35" s="32" t="n">
        <f aca="false">CALC!BN36</f>
        <v>1875000</v>
      </c>
      <c r="F35" s="32" t="n">
        <f aca="false">CALC!BO36</f>
        <v>26250000</v>
      </c>
    </row>
    <row r="36" customFormat="false" ht="12.8" hidden="false" customHeight="false" outlineLevel="0" collapsed="false">
      <c r="A36" s="47" t="str">
        <f aca="false">_xlfn.CONCAT($A$1, ".", CALC!A37)</f>
        <v>LSD.RID.0.AR.AOTCREF.33</v>
      </c>
      <c r="B36" s="49" t="str">
        <f aca="false">_xlfn.CONCAT(CALC!B37, ":", CALC!C37)</f>
        <v>Other Services:Support</v>
      </c>
      <c r="C36" s="32" t="n">
        <f aca="false">CALC!BL37</f>
        <v>2100000</v>
      </c>
      <c r="D36" s="32" t="n">
        <f aca="false">CALC!BM37</f>
        <v>525000</v>
      </c>
      <c r="E36" s="32" t="n">
        <f aca="false">CALC!BN37</f>
        <v>105000</v>
      </c>
      <c r="F36" s="32" t="n">
        <f aca="false">CALC!BO37</f>
        <v>1470000</v>
      </c>
    </row>
    <row r="37" customFormat="false" ht="12.8" hidden="false" customHeight="false" outlineLevel="0" collapsed="false">
      <c r="A37" s="47" t="str">
        <f aca="false">_xlfn.CONCAT($A$1, ".", CALC!A38)</f>
        <v>LSD.RID.0.AR.AOTCREF.34</v>
      </c>
      <c r="B37" s="49" t="str">
        <f aca="false">_xlfn.CONCAT(CALC!B38, ":", CALC!C38)</f>
        <v>Other Services:Worker</v>
      </c>
      <c r="C37" s="32" t="n">
        <f aca="false">CALC!BL38</f>
        <v>8400000</v>
      </c>
      <c r="D37" s="32" t="n">
        <f aca="false">CALC!BM38</f>
        <v>2100000</v>
      </c>
      <c r="E37" s="32" t="n">
        <f aca="false">CALC!BN38</f>
        <v>420000</v>
      </c>
      <c r="F37" s="32" t="n">
        <f aca="false">CALC!BO38</f>
        <v>5880000</v>
      </c>
    </row>
    <row r="38" customFormat="false" ht="12.8" hidden="false" customHeight="false" outlineLevel="0" collapsed="false">
      <c r="A38" s="47" t="str">
        <f aca="false">_xlfn.CONCAT($A$1, ".", CALC!A39)</f>
        <v>LSD.RID.0.AR.AOTCREF.35</v>
      </c>
      <c r="B38" s="49" t="str">
        <f aca="false">_xlfn.CONCAT(CALC!B39, ":", CALC!C39)</f>
        <v>Mining, Quarrying, and Oil/Gas Extraction:Support</v>
      </c>
      <c r="C38" s="32" t="n">
        <f aca="false">CALC!BL39</f>
        <v>1200000</v>
      </c>
      <c r="D38" s="32" t="n">
        <f aca="false">CALC!BM39</f>
        <v>300000</v>
      </c>
      <c r="E38" s="32" t="n">
        <f aca="false">CALC!BN39</f>
        <v>60000</v>
      </c>
      <c r="F38" s="32" t="n">
        <f aca="false">CALC!BO39</f>
        <v>840000</v>
      </c>
    </row>
    <row r="39" customFormat="false" ht="12.8" hidden="false" customHeight="false" outlineLevel="0" collapsed="false">
      <c r="A39" s="47" t="str">
        <f aca="false">_xlfn.CONCAT($A$1, ".", CALC!A40)</f>
        <v>LSD.RID.0.AR.AOTCREF.36</v>
      </c>
      <c r="B39" s="49" t="str">
        <f aca="false">_xlfn.CONCAT(CALC!B40, ":", CALC!C40)</f>
        <v>Mining, Quarrying, and Oil/Gas Extraction:Worker</v>
      </c>
      <c r="C39" s="32" t="n">
        <f aca="false">CALC!BL40</f>
        <v>3000000</v>
      </c>
      <c r="D39" s="32" t="n">
        <f aca="false">CALC!BM40</f>
        <v>750000</v>
      </c>
      <c r="E39" s="32" t="n">
        <f aca="false">CALC!BN40</f>
        <v>150000</v>
      </c>
      <c r="F39" s="32" t="n">
        <f aca="false">CALC!BO40</f>
        <v>2100000</v>
      </c>
    </row>
    <row r="40" customFormat="false" ht="12.8" hidden="false" customHeight="false" outlineLevel="0" collapsed="false">
      <c r="A40" s="47" t="str">
        <f aca="false">_xlfn.CONCAT($A$1, ".", CALC!A41)</f>
        <v>LSD.RID.0.AR.AOTCREF.37</v>
      </c>
      <c r="B40" s="49" t="str">
        <f aca="false">_xlfn.CONCAT(CALC!B41, ":", CALC!C41)</f>
        <v>Utilities:Support</v>
      </c>
      <c r="C40" s="32" t="n">
        <f aca="false">CALC!BL41</f>
        <v>600000</v>
      </c>
      <c r="D40" s="32" t="n">
        <f aca="false">CALC!BM41</f>
        <v>150000</v>
      </c>
      <c r="E40" s="32" t="n">
        <f aca="false">CALC!BN41</f>
        <v>30000</v>
      </c>
      <c r="F40" s="32" t="n">
        <f aca="false">CALC!BO41</f>
        <v>420000</v>
      </c>
    </row>
    <row r="41" customFormat="false" ht="12.8" hidden="false" customHeight="false" outlineLevel="0" collapsed="false">
      <c r="A41" s="47" t="str">
        <f aca="false">_xlfn.CONCAT($A$1, ".", CALC!A42)</f>
        <v>LSD.RID.0.AR.AOTCREF.38</v>
      </c>
      <c r="B41" s="49" t="str">
        <f aca="false">_xlfn.CONCAT(CALC!B42, ":", CALC!C42)</f>
        <v>Utilities:Worker</v>
      </c>
      <c r="C41" s="32" t="n">
        <f aca="false">CALC!BL42</f>
        <v>2400000</v>
      </c>
      <c r="D41" s="32" t="n">
        <f aca="false">CALC!BM42</f>
        <v>600000</v>
      </c>
      <c r="E41" s="32" t="n">
        <f aca="false">CALC!BN42</f>
        <v>120000</v>
      </c>
      <c r="F41" s="32" t="n">
        <f aca="false">CALC!BO42</f>
        <v>1680000</v>
      </c>
    </row>
    <row r="42" customFormat="false" ht="12.8" hidden="false" customHeight="false" outlineLevel="0" collapsed="false">
      <c r="A42" s="47" t="str">
        <f aca="false">_xlfn.CONCAT($A$1, ".", CALC!A43)</f>
        <v>LSD.RID.0.AR.AOTCREF.39</v>
      </c>
      <c r="B42" s="49" t="str">
        <f aca="false">_xlfn.CONCAT(CALC!B43, ":", CALC!C43)</f>
        <v>Wholesale Trade:Support</v>
      </c>
      <c r="C42" s="32" t="n">
        <f aca="false">CALC!BL43</f>
        <v>3300000</v>
      </c>
      <c r="D42" s="32" t="n">
        <f aca="false">CALC!BM43</f>
        <v>825000</v>
      </c>
      <c r="E42" s="32" t="n">
        <f aca="false">CALC!BN43</f>
        <v>165000</v>
      </c>
      <c r="F42" s="32" t="n">
        <f aca="false">CALC!BO43</f>
        <v>2310000</v>
      </c>
    </row>
    <row r="43" customFormat="false" ht="12.8" hidden="false" customHeight="false" outlineLevel="0" collapsed="false">
      <c r="A43" s="47" t="str">
        <f aca="false">_xlfn.CONCAT($A$1, ".", CALC!A44)</f>
        <v>LSD.RID.0.AR.AOTCREF.40</v>
      </c>
      <c r="B43" s="49" t="str">
        <f aca="false">_xlfn.CONCAT(CALC!B44, ":", CALC!C44)</f>
        <v>Wholesale Trade:Worker</v>
      </c>
      <c r="C43" s="32" t="n">
        <f aca="false">CALC!BL44</f>
        <v>13200000</v>
      </c>
      <c r="D43" s="32" t="n">
        <f aca="false">CALC!BM44</f>
        <v>3300000</v>
      </c>
      <c r="E43" s="32" t="n">
        <f aca="false">CALC!BN44</f>
        <v>660000</v>
      </c>
      <c r="F43" s="32" t="n">
        <f aca="false">CALC!BO44</f>
        <v>9240000</v>
      </c>
    </row>
    <row r="44" customFormat="false" ht="12.8" hidden="false" customHeight="false" outlineLevel="0" collapsed="false">
      <c r="A44" s="47" t="str">
        <f aca="false">_xlfn.CONCAT($A$1, ".", CALC!A45)</f>
        <v>LSD.RID.0.AR.AOTCREF.41</v>
      </c>
      <c r="B44" s="49" t="str">
        <f aca="false">_xlfn.CONCAT(CALC!B45, ":", CALC!C45)</f>
        <v>Information:Support</v>
      </c>
      <c r="C44" s="32" t="n">
        <f aca="false">CALC!BL45</f>
        <v>600000</v>
      </c>
      <c r="D44" s="32" t="n">
        <f aca="false">CALC!BM45</f>
        <v>150000</v>
      </c>
      <c r="E44" s="32" t="n">
        <f aca="false">CALC!BN45</f>
        <v>30000</v>
      </c>
      <c r="F44" s="32" t="n">
        <f aca="false">CALC!BO45</f>
        <v>420000</v>
      </c>
    </row>
    <row r="45" customFormat="false" ht="12.8" hidden="false" customHeight="false" outlineLevel="0" collapsed="false">
      <c r="A45" s="47" t="str">
        <f aca="false">_xlfn.CONCAT($A$1, ".", CALC!A46)</f>
        <v>LSD.RID.0.AR.AOTCREF.42</v>
      </c>
      <c r="B45" s="49" t="str">
        <f aca="false">_xlfn.CONCAT(CALC!B46, ":", CALC!C46)</f>
        <v>Information:Worker</v>
      </c>
      <c r="C45" s="32" t="n">
        <f aca="false">CALC!BL46</f>
        <v>2400000</v>
      </c>
      <c r="D45" s="32" t="n">
        <f aca="false">CALC!BM46</f>
        <v>600000</v>
      </c>
      <c r="E45" s="32" t="n">
        <f aca="false">CALC!BN46</f>
        <v>120000</v>
      </c>
      <c r="F45" s="32" t="n">
        <f aca="false">CALC!BO46</f>
        <v>1680000</v>
      </c>
    </row>
    <row r="46" customFormat="false" ht="12.8" hidden="false" customHeight="false" outlineLevel="0" collapsed="false">
      <c r="A46" s="47" t="str">
        <f aca="false">_xlfn.CONCAT($A$1, ".", CALC!A47)</f>
        <v>LSD.RID.0.AR.AOTCREF.43</v>
      </c>
      <c r="B46" s="49" t="str">
        <f aca="false">_xlfn.CONCAT(CALC!B47, ":", CALC!C47)</f>
        <v>Real Estate, Rental and Leasing:Support</v>
      </c>
      <c r="C46" s="32" t="n">
        <f aca="false">CALC!BL47</f>
        <v>1200000</v>
      </c>
      <c r="D46" s="32" t="n">
        <f aca="false">CALC!BM47</f>
        <v>300000</v>
      </c>
      <c r="E46" s="32" t="n">
        <f aca="false">CALC!BN47</f>
        <v>60000</v>
      </c>
      <c r="F46" s="32" t="n">
        <f aca="false">CALC!BO47</f>
        <v>840000</v>
      </c>
    </row>
    <row r="47" customFormat="false" ht="12.8" hidden="false" customHeight="false" outlineLevel="0" collapsed="false">
      <c r="A47" s="47" t="str">
        <f aca="false">_xlfn.CONCAT($A$1, ".", CALC!A48)</f>
        <v>LSD.RID.0.AR.AOTCREF.44</v>
      </c>
      <c r="B47" s="49" t="str">
        <f aca="false">_xlfn.CONCAT(CALC!B48, ":", CALC!C48)</f>
        <v>Real Estate, Rental and Leasing:Worker</v>
      </c>
      <c r="C47" s="32" t="n">
        <f aca="false">CALC!BL48</f>
        <v>4800000</v>
      </c>
      <c r="D47" s="32" t="n">
        <f aca="false">CALC!BM48</f>
        <v>1200000</v>
      </c>
      <c r="E47" s="32" t="n">
        <f aca="false">CALC!BN48</f>
        <v>240000</v>
      </c>
      <c r="F47" s="32" t="n">
        <f aca="false">CALC!BO48</f>
        <v>3360000</v>
      </c>
    </row>
    <row r="48" customFormat="false" ht="12.8" hidden="false" customHeight="false" outlineLevel="0" collapsed="false">
      <c r="A48" s="47" t="str">
        <f aca="false">_xlfn.CONCAT($A$1, ".", CALC!A49)</f>
        <v>LSD.RID.0.AR.AOTCREF.45</v>
      </c>
      <c r="B48" s="49" t="str">
        <f aca="false">_xlfn.CONCAT(CALC!B49, ":", CALC!C49)</f>
        <v>Waste Management Services:Support</v>
      </c>
      <c r="C48" s="32" t="n">
        <f aca="false">CALC!BL49</f>
        <v>600000</v>
      </c>
      <c r="D48" s="32" t="n">
        <f aca="false">CALC!BM49</f>
        <v>150000</v>
      </c>
      <c r="E48" s="32" t="n">
        <f aca="false">CALC!BN49</f>
        <v>30000</v>
      </c>
      <c r="F48" s="32" t="n">
        <f aca="false">CALC!BO49</f>
        <v>420000</v>
      </c>
    </row>
    <row r="49" customFormat="false" ht="12.8" hidden="false" customHeight="false" outlineLevel="0" collapsed="false">
      <c r="A49" s="47" t="str">
        <f aca="false">_xlfn.CONCAT($A$1, ".", CALC!A50)</f>
        <v>LSD.RID.0.AR.AOTCREF.46</v>
      </c>
      <c r="B49" s="49" t="str">
        <f aca="false">_xlfn.CONCAT(CALC!B50, ":", CALC!C50)</f>
        <v>Waste Management Services:Worker</v>
      </c>
      <c r="C49" s="32" t="n">
        <f aca="false">CALC!BL50</f>
        <v>2400000</v>
      </c>
      <c r="D49" s="32" t="n">
        <f aca="false">CALC!BM50</f>
        <v>600000</v>
      </c>
      <c r="E49" s="32" t="n">
        <f aca="false">CALC!BN50</f>
        <v>120000</v>
      </c>
      <c r="F49" s="32" t="n">
        <f aca="false">CALC!BO50</f>
        <v>1680000</v>
      </c>
    </row>
    <row r="50" customFormat="false" ht="12.8" hidden="false" customHeight="false" outlineLevel="0" collapsed="false">
      <c r="A50" s="47" t="str">
        <f aca="false">_xlfn.CONCAT($A$1, ".", CALC!A51)</f>
        <v>LSD.RID.0.AR.AOTCREF.47</v>
      </c>
      <c r="B50" s="49" t="str">
        <f aca="false">_xlfn.CONCAT(CALC!B51, ":", CALC!C51)</f>
        <v>Arts, Entertainment, and Recreation:Support</v>
      </c>
      <c r="C50" s="32" t="n">
        <f aca="false">CALC!BL51</f>
        <v>1500000</v>
      </c>
      <c r="D50" s="32" t="n">
        <f aca="false">CALC!BM51</f>
        <v>375000</v>
      </c>
      <c r="E50" s="32" t="n">
        <f aca="false">CALC!BN51</f>
        <v>75000</v>
      </c>
      <c r="F50" s="32" t="n">
        <f aca="false">CALC!BO51</f>
        <v>1050000</v>
      </c>
    </row>
    <row r="51" customFormat="false" ht="12.8" hidden="false" customHeight="false" outlineLevel="0" collapsed="false">
      <c r="A51" s="47" t="str">
        <f aca="false">_xlfn.CONCAT($A$1, ".", CALC!A52)</f>
        <v>LSD.RID.0.AR.AOTCREF.48</v>
      </c>
      <c r="B51" s="49" t="str">
        <f aca="false">_xlfn.CONCAT(CALC!B52, ":", CALC!C52)</f>
        <v>Arts, Entertainment, and Recreation:Worker</v>
      </c>
      <c r="C51" s="32" t="n">
        <f aca="false">CALC!BL52</f>
        <v>6000000</v>
      </c>
      <c r="D51" s="32" t="n">
        <f aca="false">CALC!BM52</f>
        <v>1500000</v>
      </c>
      <c r="E51" s="32" t="n">
        <f aca="false">CALC!BN52</f>
        <v>300000</v>
      </c>
      <c r="F51" s="32" t="n">
        <f aca="false">CALC!BO52</f>
        <v>4200000</v>
      </c>
    </row>
    <row r="52" customFormat="false" ht="12.8" hidden="false" customHeight="false" outlineLevel="0" collapsed="false">
      <c r="A52" s="47" t="str">
        <f aca="false">_xlfn.CONCAT($A$1, ".", CALC!A53)</f>
        <v>LSD.RID.0.AR.AOTCREF.49</v>
      </c>
      <c r="B52" s="49" t="str">
        <f aca="false">_xlfn.CONCAT(CALC!B53, ":", CALC!C53)</f>
        <v>Accommodation and Food Services:Support</v>
      </c>
      <c r="C52" s="32" t="n">
        <f aca="false">CALC!BL53</f>
        <v>4500000</v>
      </c>
      <c r="D52" s="32" t="n">
        <f aca="false">CALC!BM53</f>
        <v>1125000</v>
      </c>
      <c r="E52" s="32" t="n">
        <f aca="false">CALC!BN53</f>
        <v>225000</v>
      </c>
      <c r="F52" s="32" t="n">
        <f aca="false">CALC!BO53</f>
        <v>3150000</v>
      </c>
    </row>
    <row r="53" customFormat="false" ht="12.8" hidden="false" customHeight="false" outlineLevel="0" collapsed="false">
      <c r="A53" s="47" t="str">
        <f aca="false">_xlfn.CONCAT($A$1, ".", CALC!A54)</f>
        <v>LSD.RID.0.AR.AOTCREF.50</v>
      </c>
      <c r="B53" s="49" t="str">
        <f aca="false">_xlfn.CONCAT(CALC!B54, ":", CALC!C54)</f>
        <v>Accommodation and Food Services:Worker</v>
      </c>
      <c r="C53" s="32" t="n">
        <f aca="false">CALC!BL54</f>
        <v>18000000</v>
      </c>
      <c r="D53" s="32" t="n">
        <f aca="false">CALC!BM54</f>
        <v>4500000</v>
      </c>
      <c r="E53" s="32" t="n">
        <f aca="false">CALC!BN54</f>
        <v>900000</v>
      </c>
      <c r="F53" s="32" t="n">
        <f aca="false">CALC!BO54</f>
        <v>12600000</v>
      </c>
    </row>
    <row r="54" customFormat="false" ht="12.8" hidden="false" customHeight="false" outlineLevel="0" collapsed="false">
      <c r="A54" s="47" t="str">
        <f aca="false">_xlfn.CONCAT($A$1, ".", CALC!A55)</f>
        <v>LSD.RID.0.AR.AOTCREF.51</v>
      </c>
      <c r="B54" s="49" t="str">
        <f aca="false">_xlfn.CONCAT(CALC!B55, ":", CALC!C55)</f>
        <v>Public Administration:Support</v>
      </c>
      <c r="C54" s="32" t="n">
        <f aca="false">CALC!BL55</f>
        <v>3000000</v>
      </c>
      <c r="D54" s="32" t="n">
        <f aca="false">CALC!BM55</f>
        <v>750000</v>
      </c>
      <c r="E54" s="32" t="n">
        <f aca="false">CALC!BN55</f>
        <v>150000</v>
      </c>
      <c r="F54" s="32" t="n">
        <f aca="false">CALC!BO55</f>
        <v>2100000</v>
      </c>
    </row>
    <row r="55" customFormat="false" ht="12.8" hidden="false" customHeight="false" outlineLevel="0" collapsed="false">
      <c r="A55" s="47" t="str">
        <f aca="false">_xlfn.CONCAT($A$1, ".", CALC!A56)</f>
        <v>LSD.RID.0.AR.AOTCREF.52</v>
      </c>
      <c r="B55" s="49" t="str">
        <f aca="false">_xlfn.CONCAT(CALC!B56, ":", CALC!C56)</f>
        <v>Public Administration:Worker</v>
      </c>
      <c r="C55" s="32" t="n">
        <f aca="false">CALC!BL56</f>
        <v>12000000</v>
      </c>
      <c r="D55" s="32" t="n">
        <f aca="false">CALC!BM56</f>
        <v>3000000</v>
      </c>
      <c r="E55" s="32" t="n">
        <f aca="false">CALC!BN56</f>
        <v>600000</v>
      </c>
      <c r="F55" s="32" t="n">
        <f aca="false">CALC!BO56</f>
        <v>8400000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5051</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2026-02-13T15:15:31Z</dcterms:modified>
  <cp:revision>663</cp:revision>
  <dc:subject/>
  <dc:title/>
</cp:coreProperties>
</file>

<file path=docProps/custom.xml><?xml version="1.0" encoding="utf-8"?>
<Properties xmlns="http://schemas.openxmlformats.org/officeDocument/2006/custom-properties" xmlns:vt="http://schemas.openxmlformats.org/officeDocument/2006/docPropsVTypes"/>
</file>