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SD.REFERENCE" sheetId="1" state="visible" r:id="rId3"/>
    <sheet name="UNEMPLOYMENT.MEASURES" sheetId="2" state="hidden" r:id="rId4"/>
    <sheet name="LSD.AL" sheetId="3" state="visible" r:id="rId5"/>
    <sheet name="LSD.AR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<sst xmlns="http://schemas.openxmlformats.org/spreadsheetml/2006/main" count="1297" uniqueCount="777">
  <si>
    <t xml:space="preserve">Labor Security Division (LSD) – Reference</t>
  </si>
  <si>
    <t xml:space="preserve">TAB</t>
  </si>
  <si>
    <t xml:space="preserve">LSD – State Labor Statistic Logic</t>
  </si>
  <si>
    <t xml:space="preserve">RID</t>
  </si>
  <si>
    <t xml:space="preserve">State</t>
  </si>
  <si>
    <t xml:space="preserve">Name</t>
  </si>
  <si>
    <t xml:space="preserve">Tab</t>
  </si>
  <si>
    <t xml:space="preserve">AL</t>
  </si>
  <si>
    <t xml:space="preserve">LSD.AL</t>
  </si>
  <si>
    <t xml:space="preserve">AR</t>
  </si>
  <si>
    <t xml:space="preserve">LSD.AR</t>
  </si>
  <si>
    <t xml:space="preserve">INV</t>
  </si>
  <si>
    <t xml:space="preserve">Invocations</t>
  </si>
  <si>
    <t xml:space="preserve">INVID</t>
  </si>
  <si>
    <t xml:space="preserve">Reference Name</t>
  </si>
  <si>
    <t xml:space="preserve">Script</t>
  </si>
  <si>
    <t xml:space="preserve">References</t>
  </si>
  <si>
    <t xml:space="preserve">Reference Account</t>
  </si>
  <si>
    <t xml:space="preserve">Alabama Labor Statistics Formulae</t>
  </si>
  <si>
    <t xml:space="preserve">This session's purpose is to generate formulae and parameters that calculate state labor statistics. Consider the spreadsheet `LSD.REFERENCE`. Notice the `LSD.AL` tab containing logic and parameters to calculate `RID.0` spreadsheet `AL` tab. There should complementary labor statistic logic and labor statistic calculations in respective `LSD.REFERENCE` state tab and `RID.*` tab for each state in a region. When the formulae and parameters are generated for each state it should be done irrespective of prior logic for other states, unless as a reference for resources (source original material). The statistic calculations should be the most accurate possible. Prompt me to begin. </t>
  </si>
  <si>
    <t xml:space="preserve">https://grok.com/share/bGVnYWN5LWNvcHk_c14991f8-72e1-4af0-99de-7a02c424064c</t>
  </si>
  <si>
    <t xml:space="preserve">thomas.patrick.welborn@outlook.com</t>
  </si>
  <si>
    <t xml:space="preserve">Arkansas Labor Statistics Formulae</t>
  </si>
  <si>
    <t xml:space="preserve">https://grok.com/share/c2hhcmQtMg_05f8d4b3-2d59-4349-93d9-6c5bafa3bacd</t>
  </si>
  <si>
    <t xml:space="preserve">Unemployment Measures</t>
  </si>
  <si>
    <t xml:space="preserve">Measure ID</t>
  </si>
  <si>
    <t xml:space="preserve">Name/Focus</t>
  </si>
  <si>
    <t xml:space="preserve">Definition</t>
  </si>
  <si>
    <t xml:space="preserve">U-1</t>
  </si>
  <si>
    <t xml:space="preserve">Long-term Unemployment</t>
  </si>
  <si>
    <t xml:space="preserve">Persons unemployed 15 weeks or longer, as a percentage of the civilian labor force. (Bureau of Labor Statistics)</t>
  </si>
  <si>
    <t xml:space="preserve">U-2</t>
  </si>
  <si>
    <t xml:space="preserve">Job Losers &amp; Temporary Job Completers</t>
  </si>
  <si>
    <t xml:space="preserve">Persons who lost jobs or completed temporary jobs, as a percentage of the civilian labor force. (Bureau of Labor Statistics)</t>
  </si>
  <si>
    <t xml:space="preserve">U-3</t>
  </si>
  <si>
    <t xml:space="preserve">Official Unemployment Rate</t>
  </si>
  <si>
    <t xml:space="preserve">Total unemployed persons (actively looking and available for work), as a percentage of the civilian labor force. This is the standard headline rate reported in monthly jobs reports. (Bureau of Labor Statistics)</t>
  </si>
  <si>
    <t xml:space="preserve">U-4</t>
  </si>
  <si>
    <t xml:space="preserve">U-3 + Discouraged Workers</t>
  </si>
  <si>
    <t xml:space="preserve">U-3 plus discouraged workers (people not in the labor force who want a job but have stopped looking for job-market reasons), expressed as a percentage of the civilian labor force plus discouraged workers. (Bureau of Labor Statistics)</t>
  </si>
  <si>
    <t xml:space="preserve">U-5</t>
  </si>
  <si>
    <t xml:space="preserve">U-4 + All Marginally Attached Workers</t>
  </si>
  <si>
    <t xml:space="preserve">U-4 plus all marginally attached workers (including discouraged workers and others who want a job and have looked in the past 12 months but not in the last 4 weeks), expressed as a percentage of the civilian labor force plus all marginally attached workers. (Bureau of Labor Statistics)</t>
  </si>
  <si>
    <t xml:space="preserve">U-6</t>
  </si>
  <si>
    <t xml:space="preserve">Broadest Underutilization Measure</t>
  </si>
  <si>
    <t xml:space="preserve">U-5 plus persons employed part-time for economic reasons (involuntary part-time workers who want full-time work), expressed as a percentage of the civilian labor force plus all marginally attached workers. This is the broadest measure of labor underutilization reported. (Bureau of Labor Statistics)</t>
  </si>
  <si>
    <t xml:space="preserve">LSD – Alabama Labor Statistic Logic</t>
  </si>
  <si>
    <t xml:space="preserve">FORM</t>
  </si>
  <si>
    <t xml:space="preserve">Formulae</t>
  </si>
  <si>
    <t xml:space="preserve">Alabama-Specific Labor Statistics Calculation Rules</t>
  </si>
  <si>
    <t xml:space="preserve">FID</t>
  </si>
  <si>
    <t xml:space="preserve">Formula Name</t>
  </si>
  <si>
    <t xml:space="preserve">Formula (using PARAMETERS)</t>
  </si>
  <si>
    <t xml:space="preserve">Logic / Key Inputs</t>
  </si>
  <si>
    <t xml:space="preserve">Notes / Machine Instruction</t>
  </si>
  <si>
    <t xml:space="preserve">Total Workers (i)</t>
  </si>
  <si>
    <t xml:space="preserve">T_i = VLOOKUP(i, PARAMETERS!INDUSTRY_EMPLOYMENT_AL, 3, FALSE)</t>
  </si>
  <si>
    <t xml:space="preserve">Total employed in industry i from BLS CES Dec 2025 override table</t>
  </si>
  <si>
    <t xml:space="preserve">Sum should = 2,211,200 (nonfarm total from BLS CES Dec 2025)</t>
  </si>
  <si>
    <t xml:space="preserve">American Population (i)</t>
  </si>
  <si>
    <t xml:space="preserve">A_i = T_i × VLOOKUP("AMER_SHARE_OVERALL", PARAMETERS!OTHER.ADJUSTMENTS, 3, FALSE)</t>
  </si>
  <si>
    <t xml:space="preserve">Total × American share (derived)</t>
  </si>
  <si>
    <t xml:space="preserve">Authorized Workers (i)</t>
  </si>
  <si>
    <t xml:space="preserve">V_i = T_i × VLOOKUP("AUTH_SHARE_OVERALL", PARAMETERS!OTHER.ADJUSTMENTS, 3, FALSE)</t>
  </si>
  <si>
    <t xml:space="preserve">Total × authorized share (~72k total employed)</t>
  </si>
  <si>
    <t xml:space="preserve">Unauthorized Workers (i)</t>
  </si>
  <si>
    <t xml:space="preserve">U_i = T_i × VLOOKUP("UNAUTH_SHARE_OVERALL", PARAMETERS!OTHER.ADJUSTMENTS, 3, FALSE)</t>
  </si>
  <si>
    <t xml:space="preserve">Total × unauthorized share (~47k employed)</t>
  </si>
  <si>
    <t xml:space="preserve">Unemployment Rate (g,i)</t>
  </si>
  <si>
    <t xml:space="preserve">Unemp_g,i = VLOOKUP("UNEMP_RATE_"&amp;i&amp;"_"&amp;g, PARAMETERS!OTHER.ADJUSTMENTS, 3, FALSE)</t>
  </si>
  <si>
    <t xml:space="preserve">Group and industry-specific unemployment rate</t>
  </si>
  <si>
    <t xml:space="preserve">Uses per-industry and per-group parameters adjusted from national BLS data scaled to Alabama overall rate</t>
  </si>
  <si>
    <t xml:space="preserve">Overall Unemployment Rate (i)</t>
  </si>
  <si>
    <t xml:space="preserve">Unemp_overall,i = (A_i × Unemp_AMER + V_i × Unemp_AUTH + U_i × Unemp_UNAUTH) / (A_i + V_i + U_i)</t>
  </si>
  <si>
    <t xml:space="preserve">Weighted average using employed populations as proxy weights (approximates labor force share)</t>
  </si>
  <si>
    <t xml:space="preserve">Now reflects combined Authorized + Unauthorized + American; close to BLS due to high American share</t>
  </si>
  <si>
    <t xml:space="preserve">Underemployment Rate (g,i)</t>
  </si>
  <si>
    <t xml:space="preserve">Under_g,i = VLOOKUP("U6_BASE_AL", PARAMETERS!OTHER.ADJUSTMENTS, 3, FALSE) × VLOOKUP("UNDEREMP_RATIO_"&amp;i, PARAMETERS!OTHER.ADJUSTMENTS, 3, FALSE) × VLOOKUP("UNDEREMP_RATIO"&amp;g, PARAMETERS!OTHER.ADJUSTMENTS, 3, FALSE) × VLOOKUP("UNDEREMP_RATIO_"&amp;subrole, PARAMETERS!OTHER.ADJUSTMENTS, 3, FALSE)</t>
  </si>
  <si>
    <t xml:space="preserve">Industry base × group × role/sub-role multiplier (defaults to 1 if no sub-role)</t>
  </si>
  <si>
    <t xml:space="preserve">Group-specific U-6 style now with industry and role/sub-role variation (higher in unskilled/service)</t>
  </si>
  <si>
    <t xml:space="preserve">Overall Underemployment Rate (i)</t>
  </si>
  <si>
    <t xml:space="preserve">Under_overall,i = (A_i × Under_AMER + V_i × Under_AUTH + U_i × Under_UNAUTH) / (A_i + V_i + U_i)</t>
  </si>
  <si>
    <t xml:space="preserve">Weighted average of group underemployment rates</t>
  </si>
  <si>
    <t xml:space="preserve">Explicit blend; aligns with U-6 concept</t>
  </si>
  <si>
    <t xml:space="preserve">Wage Average (g,i)</t>
  </si>
  <si>
    <t xml:space="preserve">IF(g = "UNAUTH", VLOOKUP("WAGE_MEAN"&amp;i, PARAMETERS!OTHER.ADJUSTMENTS, 3, FALSE) × VLOOKUP("UNAUTH_WAGE_RATIO_"&amp;i, PARAMETERS!OTHER.ADJUSTMENTS, 3, FALSE), VLOOKUP("WAGE_MEAN_"&amp;i, PARAMETERS!OTHER.ADJUSTMENTS, 3, FALSE) × VLOOKUP("WAGE_RATIO_"&amp;g, PARAMETERS!OTHER.ADJUSTMENTS, 3, FALSE))</t>
  </si>
  <si>
    <t xml:space="preserve">Group-specific wage mean (base × ratio; unauthorized discount per industry)</t>
  </si>
  <si>
    <t xml:space="preserve">BLS OEWS 2025 proj. with group adjustments (MPI/CPS wage gaps scaled to AL)</t>
  </si>
  <si>
    <t xml:space="preserve">Overall Wage Average (i)</t>
  </si>
  <si>
    <t xml:space="preserve">Wage_overall,i = (A_i × Wage_AMER + V_i × Wage_AUTH + U_i × Wage_UNAUTH) / (A_i + V_i + U_i)</t>
  </si>
  <si>
    <t xml:space="preserve">Weighted average by employed population</t>
  </si>
  <si>
    <t xml:space="preserve">Explicit blend across groups</t>
  </si>
  <si>
    <t xml:space="preserve">Annual Income (g,i)</t>
  </si>
  <si>
    <t xml:space="preserve">Income_g,i = Wage_g,i × 2080 × VLOOKUP("UNDERREPORT_"&amp;g, PARAMETERS!OTHER.ADJUSTMENTS, 3, FALSE)</t>
  </si>
  <si>
    <t xml:space="preserve">Hourly wage × full-time hours equivalent × underreporting adjustment (unauthorized lower)</t>
  </si>
  <si>
    <t xml:space="preserve">Assumes 2080 hours/year; underreporting from ITEP est. for tax/income visibility</t>
  </si>
  <si>
    <t xml:space="preserve">Overall Annual Income (i)</t>
  </si>
  <si>
    <t xml:space="preserve">Income_overall,i = (A_i × Income_AMER + V_i × Income_AUTH + U_i × Income_UNAUTH) / (A_i + V_i + U_i)</t>
  </si>
  <si>
    <t xml:space="preserve">Weighted average</t>
  </si>
  <si>
    <t xml:space="preserve">Blend; aligns with overrides for total income</t>
  </si>
  <si>
    <t xml:space="preserve">Labor Force (g,i)</t>
  </si>
  <si>
    <t xml:space="preserve">LF_g,i = employed_g,i / (1 - Unemp_g,i)</t>
  </si>
  <si>
    <t xml:space="preserve">Employed divided by employment rate (derived as 1 - unemployment)</t>
  </si>
  <si>
    <t xml:space="preserve">Calculates labor force size per group and industry for further ratios</t>
  </si>
  <si>
    <t xml:space="preserve">Overall Labor Force (i)</t>
  </si>
  <si>
    <t xml:space="preserve">LF_overall,i = LF_AMER,i + LF_AUTH,i + LF_UNAUTH,i</t>
  </si>
  <si>
    <t xml:space="preserve">Sum across groups</t>
  </si>
  <si>
    <t xml:space="preserve">Labor Force Participation Rate (g,i)</t>
  </si>
  <si>
    <t xml:space="preserve">LFPR_g,i = VLOOKUP("LFPR_"&amp;g, PARAMETERS!OTHER.ADJUSTMENTS, 3, FALSE) * VLOOKUP("LFPR_RATIO_"&amp;i, PARAMETERS!OTHER.ADJUSTMENTS, 3, FALSE) * VLOOKUP("LFPR_RATIO_"&amp;role, PARAMETERS!OTHER.ADJUSTMENTS, 3, FALSE)</t>
  </si>
  <si>
    <t xml:space="preserve">Group-specific LFPR adjusted by industry and occupation/role</t>
  </si>
  <si>
    <t xml:space="preserve">BLS CPS scaled; occupation expansion for Worker/Support diffs</t>
  </si>
  <si>
    <t xml:space="preserve">Overall Labor Force Participation Rate (i)</t>
  </si>
  <si>
    <t xml:space="preserve">LFPR_overall,i = LF_overall,i / (LF_AMER,i / LFPR_AMER,i + LF_AUTH,i / LFPR_AUTH,i + LF_UNAUTH,i / LFPR_UNAUTH,i)</t>
  </si>
  <si>
    <t xml:space="preserve">Total LF / total working-age pop (derived as sum LF_g / LFPR_g)</t>
  </si>
  <si>
    <t xml:space="preserve">Weighted by implicit population shares</t>
  </si>
  <si>
    <t xml:space="preserve">Employment-to-Population Ratio (g,i)</t>
  </si>
  <si>
    <t xml:space="preserve">EPOP_g,i = (1 - Unemp_g,i) * LFPR_g,i</t>
  </si>
  <si>
    <t xml:space="preserve">EPOP as product of employment rate and LFPR per group and industry</t>
  </si>
  <si>
    <t xml:space="preserve">Direct calculation; aligns with BLS definitions (employed / working-age pop)</t>
  </si>
  <si>
    <t xml:space="preserve">Overall Employment-to-Population Ratio (i)</t>
  </si>
  <si>
    <t xml:space="preserve">EPOP_overall,i = T_i / (LF_AMER,i / LFPR_AMER,i + LF_AUTH,i / LFPR_AUTH,i + LF_UNAUTH,i / LFPR_UNAUTH,i)</t>
  </si>
  <si>
    <t xml:space="preserve">Total employed / total working-age pop</t>
  </si>
  <si>
    <t xml:space="preserve">Consistent with overall LFPR derivation</t>
  </si>
  <si>
    <t xml:space="preserve">EITC Credit Refund (g,i)</t>
  </si>
  <si>
    <t xml:space="preserve">EITC_g,i = IF(ELIG_g &gt; 0, Employed_g,i * VLOOKUP("EITC_ELIG_RATE_"&amp;g, PARAMETERS!OTHER.ADJUSTMENTS, 3, FALSE) * VLOOKUP("EITC_AVG_"&amp;g, PARAMETERS!OTHER.ADJUSTMENTS, 3, FALSE) * VLOOKUP("FRAUD_ADJ_"&amp;g, PARAMETERS!OTHER.ADJUSTMENTS, 3, FALSE), 0)</t>
  </si>
  <si>
    <t xml:space="preserve">Eligible employed * eligibility rate * average claim * fraud adjustment (for unauthorized)</t>
  </si>
  <si>
    <t xml:space="preserve">IRS avg claims ~$3,338 with children (2022 adj. to 2025); fraud adj. 0 for eligible groups, 0.1-0.5 for unauthorized via SSN misuse</t>
  </si>
  <si>
    <t xml:space="preserve">Overall EITC Credit Refund (i)</t>
  </si>
  <si>
    <t xml:space="preserve">EITC_overall,i = (A_i * EITC_AMER + V_i * EITC_AUTH + U_i * EITC_UNAUTH) / T_i</t>
  </si>
  <si>
    <t xml:space="preserve">Weighted sum by population</t>
  </si>
  <si>
    <t xml:space="preserve">Blend; caps at 0 if negative</t>
  </si>
  <si>
    <t xml:space="preserve">ACTC Credit Refund (g,i)</t>
  </si>
  <si>
    <t xml:space="preserve">ACTC_g,i = Employed_g,i * VLOOKUP("ACTC_ELIG_RATE_"&amp;g, PARAMETERS!OTHER.ADJUSTMENTS, 3, FALSE) * VLOOKUP("ACTC_AVG_"&amp;g, PARAMETERS!OTHER.ADJUSTMENTS, 3, FALSE) * (1 + VLOOKUP("FRAUD_ADJ_"&amp;g, PARAMETERS!OTHER.ADJUSTMENTS, 3, FALSE))</t>
  </si>
  <si>
    <t xml:space="preserve">Eligible employed * rate * avg per child (assume 1-2 avg) * fraud uplift</t>
  </si>
  <si>
    <t xml:space="preserve">IRS max $1,700/child; avg ~$1,200-1,500; partial for unauthorized via child SSN; fraud 0.05-0.3</t>
  </si>
  <si>
    <t xml:space="preserve">Overall ACTC Credit Refund (i)</t>
  </si>
  <si>
    <t xml:space="preserve">ACTC_overall,i = (A_i * ACTC_AMER + V_i * ACTC_AUTH + U_i * ACTC_UNAUTH) / T_i</t>
  </si>
  <si>
    <t xml:space="preserve">Weighted sum</t>
  </si>
  <si>
    <t xml:space="preserve">AOTC Credit Refund (g,i)</t>
  </si>
  <si>
    <t xml:space="preserve">AOTC_g,i = Employed_g,i * VLOOKUP("AOTC_ELIG_RATE_"&amp;g, PARAMETERS!OTHER.ADJUSTMENTS, 3, FALSE) * VLOOKUP("AOTC_AVG_"&amp;g, PARAMETERS!OTHER.ADJUSTMENTS, 3, FALSE) * (1 + VLOOKUP("FRAUD_ADJ_"&amp;g, PARAMETERS!OTHER.ADJUSTMENTS, 3, FALSE))</t>
  </si>
  <si>
    <t xml:space="preserve">Eligible * rate (lower, ~10-20% families) * avg $1,000 refundable * fraud</t>
  </si>
  <si>
    <t xml:space="preserve">IRS max $1,000 refundable; avg ~$1,500-2,000 per claim; ITIN ok for unauthorized in 2025</t>
  </si>
  <si>
    <t xml:space="preserve">Overall AOTC Credit Refund (i)</t>
  </si>
  <si>
    <t xml:space="preserve">AOTC_overall,i = (A_i * AOTC_AMER + V_i * AOTC_AUTH + U_i * AOTC_UNAUTH) / T_i</t>
  </si>
  <si>
    <t xml:space="preserve">PARAMETERS</t>
  </si>
  <si>
    <t xml:space="preserve">PID</t>
  </si>
  <si>
    <t xml:space="preserve">Parameter Name</t>
  </si>
  <si>
    <t xml:space="preserve">Value</t>
  </si>
  <si>
    <t xml:space="preserve">Description / Scope</t>
  </si>
  <si>
    <t xml:space="preserve">Source / Notes</t>
  </si>
  <si>
    <t xml:space="preserve">P1</t>
  </si>
  <si>
    <t xml:space="preserve">AMER_SHARE_OVERALL</t>
  </si>
  <si>
    <t xml:space="preserve">AL / American share of employed</t>
  </si>
  <si>
    <t xml:space="preserve">BLS CPS/MPI est.</t>
  </si>
  <si>
    <t xml:space="preserve">P2</t>
  </si>
  <si>
    <t xml:space="preserve">AUTH_SHARE_OVERALL</t>
  </si>
  <si>
    <t xml:space="preserve">AL / Authorized share (~72k)</t>
  </si>
  <si>
    <t xml:space="preserve">BLS CPS foreign-born est.</t>
  </si>
  <si>
    <t xml:space="preserve">P3</t>
  </si>
  <si>
    <t xml:space="preserve">UNAUTH_SHARE_OVERALL</t>
  </si>
  <si>
    <t xml:space="preserve">AL / Unauthorized share (~47k)</t>
  </si>
  <si>
    <t xml:space="preserve">MPI 2025 est.</t>
  </si>
  <si>
    <t xml:space="preserve">P4</t>
  </si>
  <si>
    <t xml:space="preserve">U6_BASE_AL</t>
  </si>
  <si>
    <t xml:space="preserve">AL / U-6 base rate</t>
  </si>
  <si>
    <t xml:space="preserve">BLS Q4 2025 avg. ~5.4%</t>
  </si>
  <si>
    <t xml:space="preserve">P5</t>
  </si>
  <si>
    <t xml:space="preserve">BLS_OVERALL_UNEMP_AL</t>
  </si>
  <si>
    <t xml:space="preserve">AL / U-3 rate</t>
  </si>
  <si>
    <t xml:space="preserve">BLS Dec 2025 ~2.7%</t>
  </si>
  <si>
    <t xml:space="preserve">P6</t>
  </si>
  <si>
    <t xml:space="preserve">UNEMP_RATIO_AUTH</t>
  </si>
  <si>
    <t xml:space="preserve">AL / Authorized relative to American</t>
  </si>
  <si>
    <t xml:space="preserve">BLS CPS foreign-born</t>
  </si>
  <si>
    <t xml:space="preserve">P7</t>
  </si>
  <si>
    <t xml:space="preserve">UNEMP_RATIO_UNAUTH</t>
  </si>
  <si>
    <t xml:space="preserve">AL / Unauthorized relative to American</t>
  </si>
  <si>
    <t xml:space="preserve">MPI/CPS unauthorized est.</t>
  </si>
  <si>
    <t xml:space="preserve">P8</t>
  </si>
  <si>
    <t xml:space="preserve">UNEMP_RATIO_AG</t>
  </si>
  <si>
    <t xml:space="preserve">AL / Agriculture relative to overall</t>
  </si>
  <si>
    <t xml:space="preserve">BLS CES volatility</t>
  </si>
  <si>
    <t xml:space="preserve">P9</t>
  </si>
  <si>
    <t xml:space="preserve">UNEMP_RATIO_CONSTR</t>
  </si>
  <si>
    <t xml:space="preserve">AL / Construction relative to overall</t>
  </si>
  <si>
    <t xml:space="preserve">BLS CES cyclical</t>
  </si>
  <si>
    <t xml:space="preserve">P10</t>
  </si>
  <si>
    <t xml:space="preserve">UNEMP_RATIO_HOSP</t>
  </si>
  <si>
    <t xml:space="preserve">AL / Hospitality relative to overall</t>
  </si>
  <si>
    <t xml:space="preserve">BLS JOLTS turnover</t>
  </si>
  <si>
    <t xml:space="preserve">P11</t>
  </si>
  <si>
    <t xml:space="preserve">UNEMP_RATIO_CLEAN</t>
  </si>
  <si>
    <t xml:space="preserve">AL / Cleaning relative to overall</t>
  </si>
  <si>
    <t xml:space="preserve">Hospitality proxy</t>
  </si>
  <si>
    <t xml:space="preserve">P12</t>
  </si>
  <si>
    <t xml:space="preserve">UNEMP_RATIO_MFG</t>
  </si>
  <si>
    <t xml:space="preserve">AL / Manufacturing relative to overall</t>
  </si>
  <si>
    <t xml:space="preserve">BLS CES stable</t>
  </si>
  <si>
    <t xml:space="preserve">P13</t>
  </si>
  <si>
    <t xml:space="preserve">UNEMP_RATIO_TRANS</t>
  </si>
  <si>
    <t xml:space="preserve">AL / Trans/Ware relative to overall</t>
  </si>
  <si>
    <t xml:space="preserve">BLS CES moderate</t>
  </si>
  <si>
    <t xml:space="preserve">P14</t>
  </si>
  <si>
    <t xml:space="preserve">UNEMP_RATIO_RETAIL</t>
  </si>
  <si>
    <t xml:space="preserve">AL / Retail relative to overall</t>
  </si>
  <si>
    <t xml:space="preserve">BLS JOLTS slight higher</t>
  </si>
  <si>
    <t xml:space="preserve">P15</t>
  </si>
  <si>
    <t xml:space="preserve">UNEMP_RATIO_LAND</t>
  </si>
  <si>
    <t xml:space="preserve">AL / Landscaping relative to overall</t>
  </si>
  <si>
    <t xml:space="preserve">Ag seasonal proxy</t>
  </si>
  <si>
    <t xml:space="preserve">P16</t>
  </si>
  <si>
    <t xml:space="preserve">UNEMP_RATIO_AUTO</t>
  </si>
  <si>
    <t xml:space="preserve">AL / Auto &amp; Repair relative to overall</t>
  </si>
  <si>
    <t xml:space="preserve">Mfg/trans proxy</t>
  </si>
  <si>
    <t xml:space="preserve">P17</t>
  </si>
  <si>
    <t xml:space="preserve">UNEMP_RATIO_OTHER</t>
  </si>
  <si>
    <t xml:space="preserve">AL / Other Services relative to overall</t>
  </si>
  <si>
    <t xml:space="preserve">Average</t>
  </si>
  <si>
    <t xml:space="preserve">P18</t>
  </si>
  <si>
    <t xml:space="preserve">UNEMP_RATE_AG_AMER</t>
  </si>
  <si>
    <t xml:space="preserve">AL / American / Agriculture</t>
  </si>
  <si>
    <t xml:space="preserve">Overall * ratio_ag</t>
  </si>
  <si>
    <t xml:space="preserve">P19</t>
  </si>
  <si>
    <t xml:space="preserve">UNEMP_RATE_AG_AUTH</t>
  </si>
  <si>
    <t xml:space="preserve">AL / Authorized / Agriculture</t>
  </si>
  <si>
    <t xml:space="preserve">American * 1.2 * ratio_ag</t>
  </si>
  <si>
    <t xml:space="preserve">P20</t>
  </si>
  <si>
    <t xml:space="preserve">UNEMP_RATE_AG_UNAUTH</t>
  </si>
  <si>
    <t xml:space="preserve">AL / Unauthorized / Agriculture</t>
  </si>
  <si>
    <t xml:space="preserve">American * 1.5 * ratio_ag</t>
  </si>
  <si>
    <t xml:space="preserve">P21</t>
  </si>
  <si>
    <t xml:space="preserve">UNEMP_RATE_CONSTR_AMER</t>
  </si>
  <si>
    <t xml:space="preserve">AL / American / Construction</t>
  </si>
  <si>
    <t xml:space="preserve">Overall * ratio_constr</t>
  </si>
  <si>
    <t xml:space="preserve">P22</t>
  </si>
  <si>
    <t xml:space="preserve">UNEMP_RATE_CONSTR_AUTH</t>
  </si>
  <si>
    <t xml:space="preserve">AL / Authorized / Construction</t>
  </si>
  <si>
    <t xml:space="preserve">American * 1.2</t>
  </si>
  <si>
    <t xml:space="preserve">P23</t>
  </si>
  <si>
    <t xml:space="preserve">UNEMP_RATE_CONSTR_UNAUTH</t>
  </si>
  <si>
    <t xml:space="preserve">AL / Unauthorized / Construction</t>
  </si>
  <si>
    <t xml:space="preserve">American * 1.5</t>
  </si>
  <si>
    <t xml:space="preserve">P24</t>
  </si>
  <si>
    <t xml:space="preserve">UNEMP_RATE_HOSP_AMER</t>
  </si>
  <si>
    <t xml:space="preserve">AL / American / Hospitality</t>
  </si>
  <si>
    <t xml:space="preserve">Overall * ratio_hosp</t>
  </si>
  <si>
    <t xml:space="preserve">P25</t>
  </si>
  <si>
    <t xml:space="preserve">UNEMP_RATE_HOSP_AUTH</t>
  </si>
  <si>
    <t xml:space="preserve">AL / Authorized / Hospitality</t>
  </si>
  <si>
    <t xml:space="preserve">P26</t>
  </si>
  <si>
    <t xml:space="preserve">UNEMP_RATE_HOSP_UNAUTH</t>
  </si>
  <si>
    <t xml:space="preserve">AL / Unauthorized / Hospitality</t>
  </si>
  <si>
    <t xml:space="preserve">P27</t>
  </si>
  <si>
    <t xml:space="preserve">UNEMP_RATE_CLEAN_AMER</t>
  </si>
  <si>
    <t xml:space="preserve">AL / American / Cleaning &amp; Maintenance</t>
  </si>
  <si>
    <t xml:space="preserve">Overall * ratio_clean</t>
  </si>
  <si>
    <t xml:space="preserve">P28</t>
  </si>
  <si>
    <t xml:space="preserve">UNEMP_RATE_CLEAN_AUTH</t>
  </si>
  <si>
    <t xml:space="preserve">AL / Authorized / Cleaning &amp; Maintenance</t>
  </si>
  <si>
    <t xml:space="preserve">P29</t>
  </si>
  <si>
    <t xml:space="preserve">UNEMP_RATE_CLEAN_UNAUTH</t>
  </si>
  <si>
    <t xml:space="preserve">AL / Unauthorized / Cleaning &amp; Maintenance</t>
  </si>
  <si>
    <t xml:space="preserve">P30</t>
  </si>
  <si>
    <t xml:space="preserve">UNEMP_RATE_MFG_AMER</t>
  </si>
  <si>
    <t xml:space="preserve">AL / American / Manufacturing</t>
  </si>
  <si>
    <t xml:space="preserve">Overall * ratio_mfg</t>
  </si>
  <si>
    <t xml:space="preserve">P31</t>
  </si>
  <si>
    <t xml:space="preserve">UNEMP_RATE_MFG_AUTH</t>
  </si>
  <si>
    <t xml:space="preserve">AL / Authorized / Manufacturing</t>
  </si>
  <si>
    <t xml:space="preserve">P32</t>
  </si>
  <si>
    <t xml:space="preserve">UNEMP_RATE_MFG_UNAUTH</t>
  </si>
  <si>
    <t xml:space="preserve">AL / Unauthorized / Manufacturing</t>
  </si>
  <si>
    <t xml:space="preserve">P33</t>
  </si>
  <si>
    <t xml:space="preserve">UNEMP_RATE_TRANS_AMER</t>
  </si>
  <si>
    <t xml:space="preserve">AL / American / Transportation &amp; Warehousing</t>
  </si>
  <si>
    <t xml:space="preserve">Overall * ratio_trans</t>
  </si>
  <si>
    <t xml:space="preserve">P34</t>
  </si>
  <si>
    <t xml:space="preserve">UNEMP_RATE_TRANS_AUTH</t>
  </si>
  <si>
    <t xml:space="preserve">AL / Authorized / Transportation &amp; Warehousing</t>
  </si>
  <si>
    <t xml:space="preserve">P35</t>
  </si>
  <si>
    <t xml:space="preserve">UNEMP_RATE_TRANS_UNAUTH</t>
  </si>
  <si>
    <t xml:space="preserve">AL / Unauthorized / Transportation &amp; Warehousing</t>
  </si>
  <si>
    <t xml:space="preserve">P36</t>
  </si>
  <si>
    <t xml:space="preserve">UNEMP_RATE_RETAIL_AMER</t>
  </si>
  <si>
    <t xml:space="preserve">AL / American / Retail Trade</t>
  </si>
  <si>
    <t xml:space="preserve">Overall * ratio_retail</t>
  </si>
  <si>
    <t xml:space="preserve">P37</t>
  </si>
  <si>
    <t xml:space="preserve">UNEMP_RATE_RETAIL_AUTH</t>
  </si>
  <si>
    <t xml:space="preserve">AL / Authorized / Retail Trade</t>
  </si>
  <si>
    <t xml:space="preserve">P38</t>
  </si>
  <si>
    <t xml:space="preserve">UNEMP_RATE_RETAIL_UNAUTH</t>
  </si>
  <si>
    <t xml:space="preserve">AL / Unauthorized / Retail Trade</t>
  </si>
  <si>
    <t xml:space="preserve">P39</t>
  </si>
  <si>
    <t xml:space="preserve">UNEMP_RATE_LAND_AMER</t>
  </si>
  <si>
    <t xml:space="preserve">AL / American / Landscaping / Groundskeeping</t>
  </si>
  <si>
    <t xml:space="preserve">Overall * ratio_land</t>
  </si>
  <si>
    <t xml:space="preserve">P40</t>
  </si>
  <si>
    <t xml:space="preserve">UNEMP_RATE_LAND_AUTH</t>
  </si>
  <si>
    <t xml:space="preserve">AL / Authorized / Landscaping / Groundskeeping</t>
  </si>
  <si>
    <t xml:space="preserve">P41</t>
  </si>
  <si>
    <t xml:space="preserve">UNEMP_RATE_LAND_UNAUTH</t>
  </si>
  <si>
    <t xml:space="preserve">AL / Unauthorized / Landscaping / Groundskeeping</t>
  </si>
  <si>
    <t xml:space="preserve">P42</t>
  </si>
  <si>
    <t xml:space="preserve">UNEMP_RATE_AUTO_AMER</t>
  </si>
  <si>
    <t xml:space="preserve">AL / American / Automotive &amp; Repair</t>
  </si>
  <si>
    <t xml:space="preserve">Overall * ratio_auto</t>
  </si>
  <si>
    <t xml:space="preserve">P43</t>
  </si>
  <si>
    <t xml:space="preserve">UNEMP_RATE_AUTO_AUTH</t>
  </si>
  <si>
    <t xml:space="preserve">AL / Authorized / Automotive &amp; Repair</t>
  </si>
  <si>
    <t xml:space="preserve">P44</t>
  </si>
  <si>
    <t xml:space="preserve">UNEMP_RATE_AUTO_UNAUTH</t>
  </si>
  <si>
    <t xml:space="preserve">AL / Unauthorized / Automotive &amp; Repair</t>
  </si>
  <si>
    <t xml:space="preserve">P45</t>
  </si>
  <si>
    <t xml:space="preserve">UNEMP_RATE_OTHER_AMER</t>
  </si>
  <si>
    <t xml:space="preserve">AL / American / Other Services</t>
  </si>
  <si>
    <t xml:space="preserve">Overall * ratio_other</t>
  </si>
  <si>
    <t xml:space="preserve">P46</t>
  </si>
  <si>
    <t xml:space="preserve">UNEMP_RATE_OTHER_AUTH</t>
  </si>
  <si>
    <t xml:space="preserve">AL / Authorized / Other Services</t>
  </si>
  <si>
    <t xml:space="preserve">P47</t>
  </si>
  <si>
    <t xml:space="preserve">UNEMP_RATE_OTHER_UNAUTH</t>
  </si>
  <si>
    <t xml:space="preserve">AL / Unauthorized / Other Services</t>
  </si>
  <si>
    <t xml:space="preserve">P94</t>
  </si>
  <si>
    <t xml:space="preserve">WAGE_RATIO_WORKER</t>
  </si>
  <si>
    <t xml:space="preserve">AL / Worker roles baseline</t>
  </si>
  <si>
    <t xml:space="preserve">P95</t>
  </si>
  <si>
    <t xml:space="preserve">WAGE_RATIO_SUPPORT_AG</t>
  </si>
  <si>
    <t xml:space="preserve">AL / Ag support lower</t>
  </si>
  <si>
    <t xml:space="preserve">P96</t>
  </si>
  <si>
    <t xml:space="preserve">WAGE_RATIO_SUPPORT_CONSTR</t>
  </si>
  <si>
    <t xml:space="preserve">AL / Constr support discount</t>
  </si>
  <si>
    <t xml:space="preserve">P97</t>
  </si>
  <si>
    <t xml:space="preserve">WAGE_RATIO_SUPPORT_HOSP</t>
  </si>
  <si>
    <t xml:space="preserve">AL / Hosp support lower</t>
  </si>
  <si>
    <t xml:space="preserve">P98</t>
  </si>
  <si>
    <t xml:space="preserve">WAGE_RATIO_SUPPORT_CLEAN</t>
  </si>
  <si>
    <t xml:space="preserve">AL / Clean support lowest</t>
  </si>
  <si>
    <t xml:space="preserve">P99</t>
  </si>
  <si>
    <t xml:space="preserve">WAGE_RATIO_SUPPORT_MFG</t>
  </si>
  <si>
    <t xml:space="preserve">AL / Mfg support closer</t>
  </si>
  <si>
    <t xml:space="preserve">P100</t>
  </si>
  <si>
    <t xml:space="preserve">WAGE_RATIO_SUPPORT_TRANS</t>
  </si>
  <si>
    <t xml:space="preserve">AL / Trans support moderate</t>
  </si>
  <si>
    <t xml:space="preserve">P101</t>
  </si>
  <si>
    <t xml:space="preserve">WAGE_RATIO_SUPPORT_RETAIL</t>
  </si>
  <si>
    <t xml:space="preserve">AL / Retail support lower</t>
  </si>
  <si>
    <t xml:space="preserve">P102</t>
  </si>
  <si>
    <t xml:space="preserve">WAGE_RATIO_SUPPORT_LAND</t>
  </si>
  <si>
    <t xml:space="preserve">AL / Land support discount</t>
  </si>
  <si>
    <t xml:space="preserve">P103</t>
  </si>
  <si>
    <t xml:space="preserve">WAGE_RATIO_SUPPORT_AUTO</t>
  </si>
  <si>
    <t xml:space="preserve">AL / Auto support discount</t>
  </si>
  <si>
    <t xml:space="preserve">P104</t>
  </si>
  <si>
    <t xml:space="preserve">WAGE_RATIO_SUPPORT_OTHER</t>
  </si>
  <si>
    <t xml:space="preserve">AL / Other support avg</t>
  </si>
  <si>
    <t xml:space="preserve">P105</t>
  </si>
  <si>
    <t xml:space="preserve">UNDEREMP_RATIO_SKILLED</t>
  </si>
  <si>
    <t xml:space="preserve">AL / Skilled lower underemp</t>
  </si>
  <si>
    <t xml:space="preserve">P106</t>
  </si>
  <si>
    <t xml:space="preserve">UNDEREMP_RATIO_UNSKILLED</t>
  </si>
  <si>
    <t xml:space="preserve">AL / Unskilled higher underemp</t>
  </si>
  <si>
    <t xml:space="preserve">P107</t>
  </si>
  <si>
    <t xml:space="preserve">WAGE_MEAN_AG</t>
  </si>
  <si>
    <t xml:space="preserve">AL / Agriculture mean</t>
  </si>
  <si>
    <t xml:space="preserve">BLS OEWS proxy</t>
  </si>
  <si>
    <t xml:space="preserve">P108</t>
  </si>
  <si>
    <t xml:space="preserve">WAGE_MEAN_CONSTR</t>
  </si>
  <si>
    <t xml:space="preserve">AL / Construction mean</t>
  </si>
  <si>
    <t xml:space="preserve">BLS OEWS 2025 proj.</t>
  </si>
  <si>
    <t xml:space="preserve">P109</t>
  </si>
  <si>
    <t xml:space="preserve">WAGE_MEAN_HOSP</t>
  </si>
  <si>
    <t xml:space="preserve">AL / Hospitality mean</t>
  </si>
  <si>
    <t xml:space="preserve">P110</t>
  </si>
  <si>
    <t xml:space="preserve">WAGE_MEAN_CLEAN</t>
  </si>
  <si>
    <t xml:space="preserve">AL / Cleaning mean</t>
  </si>
  <si>
    <t xml:space="preserve">P111</t>
  </si>
  <si>
    <t xml:space="preserve">WAGE_MEAN_MFG</t>
  </si>
  <si>
    <t xml:space="preserve">AL / Manufacturing mean</t>
  </si>
  <si>
    <t xml:space="preserve">BLS OEWS AL avg.</t>
  </si>
  <si>
    <t xml:space="preserve">P112</t>
  </si>
  <si>
    <t xml:space="preserve">WAGE_MEAN_TRANS</t>
  </si>
  <si>
    <t xml:space="preserve">AL / Trans/Ware mean</t>
  </si>
  <si>
    <t xml:space="preserve">P113</t>
  </si>
  <si>
    <t xml:space="preserve">WAGE_MEAN_RETAIL</t>
  </si>
  <si>
    <t xml:space="preserve">AL / Retail mean</t>
  </si>
  <si>
    <t xml:space="preserve">P114</t>
  </si>
  <si>
    <t xml:space="preserve">WAGE_MEAN_LAND</t>
  </si>
  <si>
    <t xml:space="preserve">AL / Landscaping mean</t>
  </si>
  <si>
    <t xml:space="preserve">P115</t>
  </si>
  <si>
    <t xml:space="preserve">WAGE_MEAN_AUTO</t>
  </si>
  <si>
    <t xml:space="preserve">AL / Auto &amp; Repair mean</t>
  </si>
  <si>
    <t xml:space="preserve">P116</t>
  </si>
  <si>
    <t xml:space="preserve">WAGE_MEAN_OTHER</t>
  </si>
  <si>
    <t xml:space="preserve">AL / Other Services mean</t>
  </si>
  <si>
    <t xml:space="preserve">P117</t>
  </si>
  <si>
    <t xml:space="preserve">WAGE_RATIO_AUTH_AL</t>
  </si>
  <si>
    <t xml:space="preserve">AL / Authorized narrower gap</t>
  </si>
  <si>
    <t xml:space="preserve">BLS CPS regional</t>
  </si>
  <si>
    <t xml:space="preserve">P118</t>
  </si>
  <si>
    <t xml:space="preserve">WAGE_RATIO_UNAUTH_AL</t>
  </si>
  <si>
    <t xml:space="preserve">AL / Unauthorized ag/constr gap</t>
  </si>
  <si>
    <t xml:space="preserve">MPI South est.</t>
  </si>
  <si>
    <t xml:space="preserve">P119</t>
  </si>
  <si>
    <t xml:space="preserve">UNDERREPORT_UNAUTH_AL</t>
  </si>
  <si>
    <t xml:space="preserve">AL / Unauthorized underreport</t>
  </si>
  <si>
    <t xml:space="preserve">ITEP est.</t>
  </si>
  <si>
    <t xml:space="preserve">P120</t>
  </si>
  <si>
    <t xml:space="preserve">UNDERREPORT_AUTH_AL</t>
  </si>
  <si>
    <t xml:space="preserve">AL / Authorized minimal</t>
  </si>
  <si>
    <t xml:space="preserve">P121</t>
  </si>
  <si>
    <t xml:space="preserve">UNAUTH_INCOME_OVERRIDE_AL</t>
  </si>
  <si>
    <t xml:space="preserve">AL / Unauthorized total income</t>
  </si>
  <si>
    <t xml:space="preserve">MPI-derived</t>
  </si>
  <si>
    <t xml:space="preserve">P122</t>
  </si>
  <si>
    <t xml:space="preserve">AUTH_INCOME_OVERRIDE_AL</t>
  </si>
  <si>
    <t xml:space="preserve">AL / Authorized total income</t>
  </si>
  <si>
    <t xml:space="preserve">BLS CPS est.</t>
  </si>
  <si>
    <t xml:space="preserve">P123</t>
  </si>
  <si>
    <t xml:space="preserve">UNAUTH_WAGE_RATIO_AG</t>
  </si>
  <si>
    <t xml:space="preserve">AL / Unauthorized ag ratio</t>
  </si>
  <si>
    <t xml:space="preserve">MPI gap</t>
  </si>
  <si>
    <t xml:space="preserve">P124</t>
  </si>
  <si>
    <t xml:space="preserve">UNAUTH_WAGE_RATIO_CONSTR</t>
  </si>
  <si>
    <t xml:space="preserve">AL / Unauthorized constr ratio</t>
  </si>
  <si>
    <t xml:space="preserve">P125</t>
  </si>
  <si>
    <t xml:space="preserve">UNAUTH_WAGE_RATIO_HOSP</t>
  </si>
  <si>
    <t xml:space="preserve">AL / Unauthorized hosp ratio</t>
  </si>
  <si>
    <t xml:space="preserve">Discount</t>
  </si>
  <si>
    <t xml:space="preserve">P126</t>
  </si>
  <si>
    <t xml:space="preserve">UNAUTH_WAGE_RATIO_CLEAN</t>
  </si>
  <si>
    <t xml:space="preserve">AL / Unauthorized clean ratio</t>
  </si>
  <si>
    <t xml:space="preserve">MPI sector</t>
  </si>
  <si>
    <t xml:space="preserve">P127</t>
  </si>
  <si>
    <t xml:space="preserve">UNAUTH_WAGE_RATIO_MFG</t>
  </si>
  <si>
    <t xml:space="preserve">AL / Unauthorized mfg ratio</t>
  </si>
  <si>
    <t xml:space="preserve">Smaller gap</t>
  </si>
  <si>
    <t xml:space="preserve">P128</t>
  </si>
  <si>
    <t xml:space="preserve">UNAUTH_WAGE_RATIO_TRANS</t>
  </si>
  <si>
    <t xml:space="preserve">AL / Unauthorized trans ratio</t>
  </si>
  <si>
    <t xml:space="preserve">Transport</t>
  </si>
  <si>
    <t xml:space="preserve">P129</t>
  </si>
  <si>
    <t xml:space="preserve">UNAUTH_WAGE_RATIO_RETAIL</t>
  </si>
  <si>
    <t xml:space="preserve">AL / Unauthorized retail ratio</t>
  </si>
  <si>
    <t xml:space="preserve">Retail avg</t>
  </si>
  <si>
    <t xml:space="preserve">P130</t>
  </si>
  <si>
    <t xml:space="preserve">UNAUTH_WAGE_RATIO_LAND</t>
  </si>
  <si>
    <t xml:space="preserve">AL / Unauthorized land ratio</t>
  </si>
  <si>
    <t xml:space="preserve">Cleaning proxy</t>
  </si>
  <si>
    <t xml:space="preserve">P131</t>
  </si>
  <si>
    <t xml:space="preserve">UNAUTH_WAGE_RATIO_AUTO</t>
  </si>
  <si>
    <t xml:space="preserve">AL / Unauthorized auto ratio</t>
  </si>
  <si>
    <t xml:space="preserve">Repair</t>
  </si>
  <si>
    <t xml:space="preserve">P132</t>
  </si>
  <si>
    <t xml:space="preserve">UNAUTH_WAGE_RATIO_OTHER</t>
  </si>
  <si>
    <t xml:space="preserve">AL / Unauthorized other ratio</t>
  </si>
  <si>
    <t xml:space="preserve">Other services</t>
  </si>
  <si>
    <t xml:space="preserve">P134</t>
  </si>
  <si>
    <t xml:space="preserve">LFPR_AMER</t>
  </si>
  <si>
    <t xml:space="preserve">AL / American overall LFPR</t>
  </si>
  <si>
    <t xml:space="preserve">BLS/ADOL avg.</t>
  </si>
  <si>
    <t xml:space="preserve">P135</t>
  </si>
  <si>
    <t xml:space="preserve">LFPR_AUTH</t>
  </si>
  <si>
    <t xml:space="preserve">AL / Authorized overall LFPR</t>
  </si>
  <si>
    <t xml:space="preserve">USAFacts/BLS CPS</t>
  </si>
  <si>
    <t xml:space="preserve">P136</t>
  </si>
  <si>
    <t xml:space="preserve">LFPR_UNAUTH</t>
  </si>
  <si>
    <t xml:space="preserve">AL / Unauthorized overall LFPR</t>
  </si>
  <si>
    <t xml:space="preserve">MPI/Pew est.</t>
  </si>
  <si>
    <t xml:space="preserve">P137</t>
  </si>
  <si>
    <t xml:space="preserve">LFPR_RATIO_AG</t>
  </si>
  <si>
    <t xml:space="preserve">AL / Ag multiplier</t>
  </si>
  <si>
    <t xml:space="preserve">Labor-intensive</t>
  </si>
  <si>
    <t xml:space="preserve">P138</t>
  </si>
  <si>
    <t xml:space="preserve">LFPR_RATIO_CONSTR</t>
  </si>
  <si>
    <t xml:space="preserve">AL / Constr multiplier</t>
  </si>
  <si>
    <t xml:space="preserve">Demand high</t>
  </si>
  <si>
    <t xml:space="preserve">P139</t>
  </si>
  <si>
    <t xml:space="preserve">LFPR_RATIO_HOSP</t>
  </si>
  <si>
    <t xml:space="preserve">AL / Hosp multiplier</t>
  </si>
  <si>
    <t xml:space="preserve">Slightly lower</t>
  </si>
  <si>
    <t xml:space="preserve">P140</t>
  </si>
  <si>
    <t xml:space="preserve">LFPR_RATIO_MFG</t>
  </si>
  <si>
    <t xml:space="preserve">AL / Mfg multiplier</t>
  </si>
  <si>
    <t xml:space="preserve">Stable full-time</t>
  </si>
  <si>
    <t xml:space="preserve">P141</t>
  </si>
  <si>
    <t xml:space="preserve">LFPR_RATIO_TRANS</t>
  </si>
  <si>
    <t xml:space="preserve">AL / Trans multiplier</t>
  </si>
  <si>
    <t xml:space="preserve">Drivers/warehouse demand</t>
  </si>
  <si>
    <t xml:space="preserve">P142</t>
  </si>
  <si>
    <t xml:space="preserve">LFPR_RATIO_RETAIL</t>
  </si>
  <si>
    <t xml:space="preserve">AL / Retail multiplier</t>
  </si>
  <si>
    <t xml:space="preserve">Part-time lower</t>
  </si>
  <si>
    <t xml:space="preserve">P143</t>
  </si>
  <si>
    <t xml:space="preserve">LFPR_RATIO_LAND</t>
  </si>
  <si>
    <t xml:space="preserve">AL / Land multiplier</t>
  </si>
  <si>
    <t xml:space="preserve">Seasonal intensive</t>
  </si>
  <si>
    <t xml:space="preserve">P144</t>
  </si>
  <si>
    <t xml:space="preserve">LFPR_RATIO_AUTO</t>
  </si>
  <si>
    <t xml:space="preserve">AL / Auto multiplier</t>
  </si>
  <si>
    <t xml:space="preserve">Mfg/trans moderate</t>
  </si>
  <si>
    <t xml:space="preserve">P145</t>
  </si>
  <si>
    <t xml:space="preserve">LFPR_RATIO_OTHER</t>
  </si>
  <si>
    <t xml:space="preserve">AL / Other multiplier</t>
  </si>
  <si>
    <t xml:space="preserve">Avg lower</t>
  </si>
  <si>
    <t xml:space="preserve">P146</t>
  </si>
  <si>
    <t xml:space="preserve">LFPR_RATIO_CLEAN</t>
  </si>
  <si>
    <t xml:space="preserve">AL / Clean multiplier</t>
  </si>
  <si>
    <t xml:space="preserve">Service manual high</t>
  </si>
  <si>
    <t xml:space="preserve">P147</t>
  </si>
  <si>
    <t xml:space="preserve">Demand seasonal</t>
  </si>
  <si>
    <t xml:space="preserve">P148</t>
  </si>
  <si>
    <t xml:space="preserve">Manual demand</t>
  </si>
  <si>
    <t xml:space="preserve">P149</t>
  </si>
  <si>
    <t xml:space="preserve">Part-time turnover</t>
  </si>
  <si>
    <t xml:space="preserve">P150</t>
  </si>
  <si>
    <t xml:space="preserve">LFPR_RATIO_WORKER</t>
  </si>
  <si>
    <t xml:space="preserve">AL / Worker roles multiplier</t>
  </si>
  <si>
    <t xml:space="preserve">Core roles higher</t>
  </si>
  <si>
    <t xml:space="preserve">P151</t>
  </si>
  <si>
    <t xml:space="preserve">LFPR_RATIO_SUPPORT</t>
  </si>
  <si>
    <t xml:space="preserve">AL / Support roles multiplier</t>
  </si>
  <si>
    <t xml:space="preserve">Support roles lower</t>
  </si>
  <si>
    <t xml:space="preserve">P200</t>
  </si>
  <si>
    <t xml:space="preserve">AG_EMPLOYMENT</t>
  </si>
  <si>
    <t xml:space="preserve">AL / Agriculture total employed</t>
  </si>
  <si>
    <t xml:space="preserve">BLS CES proxy + QCEW ag</t>
  </si>
  <si>
    <t xml:space="preserve">P201</t>
  </si>
  <si>
    <t xml:space="preserve">CONSTR_EMPLOYMENT</t>
  </si>
  <si>
    <t xml:space="preserve">AL / Construction total employed</t>
  </si>
  <si>
    <t xml:space="preserve">BLS CES Dec 2025</t>
  </si>
  <si>
    <t xml:space="preserve">P202</t>
  </si>
  <si>
    <t xml:space="preserve">HOSP_EMPLOYMENT</t>
  </si>
  <si>
    <t xml:space="preserve">AL / Hospitality total employed</t>
  </si>
  <si>
    <t xml:space="preserve">BLS CES Leisure &amp; Hosp proxy</t>
  </si>
  <si>
    <t xml:space="preserve">P203</t>
  </si>
  <si>
    <t xml:space="preserve">CLEAN_EMPLOYMENT</t>
  </si>
  <si>
    <t xml:space="preserve">AL / Cleaning &amp; Maintenance total employed</t>
  </si>
  <si>
    <t xml:space="preserve">OEWS est. from CES</t>
  </si>
  <si>
    <t xml:space="preserve">P204</t>
  </si>
  <si>
    <t xml:space="preserve">MFG_EMPLOYMENT</t>
  </si>
  <si>
    <t xml:space="preserve">AL / Manufacturing total employed</t>
  </si>
  <si>
    <t xml:space="preserve">P205</t>
  </si>
  <si>
    <t xml:space="preserve">TRANS_EMPLOYMENT</t>
  </si>
  <si>
    <t xml:space="preserve">AL / Trans &amp; Ware total employed</t>
  </si>
  <si>
    <t xml:space="preserve">BLS CES supersector split</t>
  </si>
  <si>
    <t xml:space="preserve">P206</t>
  </si>
  <si>
    <t xml:space="preserve">RETAIL_EMPLOYMENT</t>
  </si>
  <si>
    <t xml:space="preserve">AL / Retail Trade total employed</t>
  </si>
  <si>
    <t xml:space="preserve">BLS CES trade split</t>
  </si>
  <si>
    <t xml:space="preserve">P207</t>
  </si>
  <si>
    <t xml:space="preserve">LAND_EMPLOYMENT</t>
  </si>
  <si>
    <t xml:space="preserve">AL / Landscaping total employed</t>
  </si>
  <si>
    <t xml:space="preserve">P208</t>
  </si>
  <si>
    <t xml:space="preserve">AUTO_EMPLOYMENT</t>
  </si>
  <si>
    <t xml:space="preserve">AL / Auto &amp; Repair total employed</t>
  </si>
  <si>
    <t xml:space="preserve">P209</t>
  </si>
  <si>
    <t xml:space="preserve">OTHER_EMPLOYMENT</t>
  </si>
  <si>
    <t xml:space="preserve">AL / Other Services total employed</t>
  </si>
  <si>
    <t xml:space="preserve">P300</t>
  </si>
  <si>
    <t xml:space="preserve">EITC_ELIG_RATE_AMER</t>
  </si>
  <si>
    <t xml:space="preserve">AL / American eligibility rate</t>
  </si>
  <si>
    <t xml:space="preserve">IRS SOI claim rate</t>
  </si>
  <si>
    <t xml:space="preserve">P301</t>
  </si>
  <si>
    <t xml:space="preserve">EITC_ELIG_RATE_AUTH</t>
  </si>
  <si>
    <t xml:space="preserve">AL / Authorized eligibility rate</t>
  </si>
  <si>
    <t xml:space="preserve">P302</t>
  </si>
  <si>
    <t xml:space="preserve">EITC_ELIG_RATE_UNAUTH</t>
  </si>
  <si>
    <t xml:space="preserve">AL / Unauthorized official eligibility</t>
  </si>
  <si>
    <t xml:space="preserve">IRS rules</t>
  </si>
  <si>
    <t xml:space="preserve">P303</t>
  </si>
  <si>
    <t xml:space="preserve">EITC_AVG_AMER</t>
  </si>
  <si>
    <t xml:space="preserve">AL / American avg claim</t>
  </si>
  <si>
    <t xml:space="preserve">IRS avg adj.</t>
  </si>
  <si>
    <t xml:space="preserve">P304</t>
  </si>
  <si>
    <t xml:space="preserve">EITC_AVG_AUTH</t>
  </si>
  <si>
    <t xml:space="preserve">AL / Authorized avg claim</t>
  </si>
  <si>
    <t xml:space="preserve">MPI patterns</t>
  </si>
  <si>
    <t xml:space="preserve">P305</t>
  </si>
  <si>
    <t xml:space="preserve">EITC_AVG_UNAUTH</t>
  </si>
  <si>
    <t xml:space="preserve">AL / Unauthorized base</t>
  </si>
  <si>
    <t xml:space="preserve">TIGTA/CIS est.</t>
  </si>
  <si>
    <t xml:space="preserve">P306</t>
  </si>
  <si>
    <t xml:space="preserve">FRAUD_ADJ_UNAUTH</t>
  </si>
  <si>
    <t xml:space="preserve">AL / Unauthorized fraud multiplier</t>
  </si>
  <si>
    <t xml:space="preserve">TIGTA audits</t>
  </si>
  <si>
    <t xml:space="preserve">P307</t>
  </si>
  <si>
    <t xml:space="preserve">ACTC_ELIG_RATE_AMER</t>
  </si>
  <si>
    <t xml:space="preserve">AL / American families rate</t>
  </si>
  <si>
    <t xml:space="preserve">IRS SOI CTC</t>
  </si>
  <si>
    <t xml:space="preserve">P308</t>
  </si>
  <si>
    <t xml:space="preserve">ACTC_ELIG_RATE_AUTH</t>
  </si>
  <si>
    <t xml:space="preserve">AL / Authorized families rate</t>
  </si>
  <si>
    <t xml:space="preserve">P309</t>
  </si>
  <si>
    <t xml:space="preserve">ACTC_ELIG_RATE_UNAUTH</t>
  </si>
  <si>
    <t xml:space="preserve">AL / Unauthorized partial</t>
  </si>
  <si>
    <t xml:space="preserve">KFF/CBO est.</t>
  </si>
  <si>
    <t xml:space="preserve">P310</t>
  </si>
  <si>
    <t xml:space="preserve">ACTC_AVG_AMER</t>
  </si>
  <si>
    <t xml:space="preserve">IRS max adj.</t>
  </si>
  <si>
    <t xml:space="preserve">P311</t>
  </si>
  <si>
    <t xml:space="preserve">ACTC_AVG_AUTH</t>
  </si>
  <si>
    <t xml:space="preserve">P312</t>
  </si>
  <si>
    <t xml:space="preserve">ACTC_AVG_UNAUTH</t>
  </si>
  <si>
    <t xml:space="preserve">AL / Unauthorized limited</t>
  </si>
  <si>
    <t xml:space="preserve">TIGTA improper</t>
  </si>
  <si>
    <t xml:space="preserve">P313</t>
  </si>
  <si>
    <t xml:space="preserve">AOTC_ELIG_RATE_AMER</t>
  </si>
  <si>
    <t xml:space="preserve">AL / American students rate</t>
  </si>
  <si>
    <t xml:space="preserve">IRS SOI claims</t>
  </si>
  <si>
    <t xml:space="preserve">P314</t>
  </si>
  <si>
    <t xml:space="preserve">AOTC_ELIG_RATE_AUTH</t>
  </si>
  <si>
    <t xml:space="preserve">AL / Authorized students rate</t>
  </si>
  <si>
    <t xml:space="preserve">P315</t>
  </si>
  <si>
    <t xml:space="preserve">AOTC_ELIG_RATE_UNAUTH</t>
  </si>
  <si>
    <t xml:space="preserve">GAO improper</t>
  </si>
  <si>
    <t xml:space="preserve">P316</t>
  </si>
  <si>
    <t xml:space="preserve">AOTC_AVG_AMER</t>
  </si>
  <si>
    <t xml:space="preserve">IRS avg</t>
  </si>
  <si>
    <t xml:space="preserve">P317</t>
  </si>
  <si>
    <t xml:space="preserve">AOTC_AVG_AUTH</t>
  </si>
  <si>
    <t xml:space="preserve">P318</t>
  </si>
  <si>
    <t xml:space="preserve">AOTC_AVG_UNAUTH</t>
  </si>
  <si>
    <t xml:space="preserve">AL / Unauthorized portion</t>
  </si>
  <si>
    <t xml:space="preserve">TIGTA est.</t>
  </si>
  <si>
    <t xml:space="preserve">P999</t>
  </si>
  <si>
    <t xml:space="preserve">UPDATE_DATE</t>
  </si>
  <si>
    <t xml:space="preserve">AL / Last refinement date</t>
  </si>
  <si>
    <t xml:space="preserve">LSD – Arkansas Labor Statistic Logic</t>
  </si>
  <si>
    <t xml:space="preserve">Arkansas-Specific Labor Statistics Calculation Rules</t>
  </si>
  <si>
    <t xml:space="preserve">T_i = VLOOKUP(i, PARAMETERS!INDUSTRY_EMPLOYMENT_AR, 3, FALSE)</t>
  </si>
  <si>
    <t xml:space="preserve">Sum should = 1,392,900 (nonfarm total from BLS CES Dec 2025)</t>
  </si>
  <si>
    <t xml:space="preserve">Total × authorized share (~56k total employed)</t>
  </si>
  <si>
    <t xml:space="preserve">Total × unauthorized share (~50k employed)</t>
  </si>
  <si>
    <t xml:space="preserve">Uses per-industry and per-group parameters adjusted from national BLS data scaled to Arkansas overall rate</t>
  </si>
  <si>
    <t xml:space="preserve">Under_g,i = VLOOKUP("U6_BASE_AR", PARAMETERS!OTHER.ADJUSTMENTS, 3, FALSE) × VLOOKUP("UNDEREMP_RATIO_"&amp;i, PARAMETERS!OTHER.ADJUSTMENTS, 3, FALSE) × VLOOKUP("UNDEREMP_RATIO"&amp;g, PARAMETERS!OTHER.ADJUSTMENTS, 3, FALSE) × VLOOKUP("UNDEREMP_RATIO_"&amp;subrole, PARAMETERS!OTHER.ADJUSTMENTS, 3, FALSE)</t>
  </si>
  <si>
    <t xml:space="preserve">BLS OEWS 2025 proj. with group adjustments (MPI/CPS wage gaps scaled to AR)</t>
  </si>
  <si>
    <t xml:space="preserve">IRS avg claims ~$3,188 with children (2024 adj. to 2025); fraud adj. 0 for eligible groups, 0.1-0.5 for unauthorized via SSN misuse</t>
  </si>
  <si>
    <t xml:space="preserve">AR / American share of employed</t>
  </si>
  <si>
    <t xml:space="preserve">AR / Authorized share (~56k)</t>
  </si>
  <si>
    <t xml:space="preserve">AR / Unauthorized share (~50k)</t>
  </si>
  <si>
    <t xml:space="preserve">U6_BASE_AR</t>
  </si>
  <si>
    <t xml:space="preserve">AR / U-6 base rate</t>
  </si>
  <si>
    <t xml:space="preserve">BLS Q3 2025 avg. ~7.9%</t>
  </si>
  <si>
    <t xml:space="preserve">BLS_OVERALL_UNEMP_AR</t>
  </si>
  <si>
    <t xml:space="preserve">AR / U-3 rate</t>
  </si>
  <si>
    <t xml:space="preserve">BLS Dec 2025 ~4.2%</t>
  </si>
  <si>
    <t xml:space="preserve">AR / Authorized relative to American</t>
  </si>
  <si>
    <t xml:space="preserve">AR / Unauthorized relative to American</t>
  </si>
  <si>
    <t xml:space="preserve">AR / Agriculture relative to overall</t>
  </si>
  <si>
    <t xml:space="preserve">AR / Construction relative to overall</t>
  </si>
  <si>
    <t xml:space="preserve">AR / Hospitality relative to overall</t>
  </si>
  <si>
    <t xml:space="preserve">AR / Cleaning relative to overall</t>
  </si>
  <si>
    <t xml:space="preserve">AR / Manufacturing relative to overall</t>
  </si>
  <si>
    <t xml:space="preserve">AR / Trans/Ware relative to overall</t>
  </si>
  <si>
    <t xml:space="preserve">AR / Retail relative to overall</t>
  </si>
  <si>
    <t xml:space="preserve">AR / Landscaping relative to overall</t>
  </si>
  <si>
    <t xml:space="preserve">AR / Auto &amp; Repair relative to overall</t>
  </si>
  <si>
    <t xml:space="preserve">AR / Other Services relative to overall</t>
  </si>
  <si>
    <t xml:space="preserve">AR / American / Agriculture</t>
  </si>
  <si>
    <t xml:space="preserve">AR / Authorized / Agriculture</t>
  </si>
  <si>
    <t xml:space="preserve">AR / Unauthorized / Agriculture</t>
  </si>
  <si>
    <t xml:space="preserve">AR / American / Construction</t>
  </si>
  <si>
    <t xml:space="preserve">AR / Authorized / Construction</t>
  </si>
  <si>
    <t xml:space="preserve">AR / Unauthorized / Construction</t>
  </si>
  <si>
    <t xml:space="preserve">AR / American / Hospitality</t>
  </si>
  <si>
    <t xml:space="preserve">AR / Authorized / Hospitality</t>
  </si>
  <si>
    <t xml:space="preserve">AR / Unauthorized / Hospitality</t>
  </si>
  <si>
    <t xml:space="preserve">AR / American / Cleaning &amp; Maintenance</t>
  </si>
  <si>
    <t xml:space="preserve">AR / Authorized / Cleaning &amp; Maintenance</t>
  </si>
  <si>
    <t xml:space="preserve">AR / Unauthorized / Cleaning &amp; Maintenance</t>
  </si>
  <si>
    <t xml:space="preserve">AR / American / Manufacturing</t>
  </si>
  <si>
    <t xml:space="preserve">AR / Authorized / Manufacturing</t>
  </si>
  <si>
    <t xml:space="preserve">AR / Unauthorized / Manufacturing</t>
  </si>
  <si>
    <t xml:space="preserve">AR / American / Transportation &amp; Warehousing</t>
  </si>
  <si>
    <t xml:space="preserve">AR / Authorized / Transportation &amp; Warehousing</t>
  </si>
  <si>
    <t xml:space="preserve">AR / Unauthorized / Transportation &amp; Warehousing</t>
  </si>
  <si>
    <t xml:space="preserve">AR / American / Retail Trade</t>
  </si>
  <si>
    <t xml:space="preserve">AR / Authorized / Retail Trade</t>
  </si>
  <si>
    <t xml:space="preserve">AR / Unauthorized / Retail Trade</t>
  </si>
  <si>
    <t xml:space="preserve">AR / American / Landscaping / Groundskeeping</t>
  </si>
  <si>
    <t xml:space="preserve">AR / Authorized / Landscaping / Groundskeeping</t>
  </si>
  <si>
    <t xml:space="preserve">AR / Unauthorized / Landscaping / Groundskeeping</t>
  </si>
  <si>
    <t xml:space="preserve">AR / American / Automotive &amp; Repair</t>
  </si>
  <si>
    <t xml:space="preserve">AR / Authorized / Automotive &amp; Repair</t>
  </si>
  <si>
    <t xml:space="preserve">AR / Unauthorized / Automotive &amp; Repair</t>
  </si>
  <si>
    <t xml:space="preserve">AR / American / Other Services</t>
  </si>
  <si>
    <t xml:space="preserve">AR / Authorized / Other Services</t>
  </si>
  <si>
    <t xml:space="preserve">AR / Unauthorized / Other Services</t>
  </si>
  <si>
    <t xml:space="preserve">AR / Worker roles baseline</t>
  </si>
  <si>
    <t xml:space="preserve">AR / Ag support lower</t>
  </si>
  <si>
    <t xml:space="preserve">AR / Constr support discount</t>
  </si>
  <si>
    <t xml:space="preserve">AR / Hosp support lower</t>
  </si>
  <si>
    <t xml:space="preserve">AR / Clean support lowest</t>
  </si>
  <si>
    <t xml:space="preserve">AR / Mfg support closer</t>
  </si>
  <si>
    <t xml:space="preserve">AR / Trans support moderate</t>
  </si>
  <si>
    <t xml:space="preserve">AR / Retail support lower</t>
  </si>
  <si>
    <t xml:space="preserve">AR / Land support discount</t>
  </si>
  <si>
    <t xml:space="preserve">AR / Auto support discount</t>
  </si>
  <si>
    <t xml:space="preserve">AR / Other support avg</t>
  </si>
  <si>
    <t xml:space="preserve">AR / Skilled lower underemp</t>
  </si>
  <si>
    <t xml:space="preserve">AR / Unskilled higher underemp</t>
  </si>
  <si>
    <t xml:space="preserve">AR / Agriculture mean</t>
  </si>
  <si>
    <t xml:space="preserve">BLS OEWS proxy (adjusted lower than AL)</t>
  </si>
  <si>
    <t xml:space="preserve">AR / Construction mean</t>
  </si>
  <si>
    <t xml:space="preserve">AR / Hospitality mean</t>
  </si>
  <si>
    <t xml:space="preserve">AR / Cleaning mean</t>
  </si>
  <si>
    <t xml:space="preserve">AR / Manufacturing mean</t>
  </si>
  <si>
    <t xml:space="preserve">BLS OEWS AR avg.</t>
  </si>
  <si>
    <t xml:space="preserve">AR / Trans/Ware mean</t>
  </si>
  <si>
    <t xml:space="preserve">AR / Retail mean</t>
  </si>
  <si>
    <t xml:space="preserve">AR / Landscaping mean</t>
  </si>
  <si>
    <t xml:space="preserve">AR / Auto &amp; Repair mean</t>
  </si>
  <si>
    <t xml:space="preserve">AR / Other Services mean</t>
  </si>
  <si>
    <t xml:space="preserve">WAGE_RATIO_AUTH_AR</t>
  </si>
  <si>
    <t xml:space="preserve">AR / Authorized narrower gap</t>
  </si>
  <si>
    <t xml:space="preserve">WAGE_RATIO_UNAUTH_AR</t>
  </si>
  <si>
    <t xml:space="preserve">AR / Unauthorized ag/constr gap</t>
  </si>
  <si>
    <t xml:space="preserve">UNDERREPORT_UNAUTH_AR</t>
  </si>
  <si>
    <t xml:space="preserve">AR / Unauthorized underreport</t>
  </si>
  <si>
    <t xml:space="preserve">UNDERREPORT_AUTH_AR</t>
  </si>
  <si>
    <t xml:space="preserve">AR / Authorized minimal</t>
  </si>
  <si>
    <t xml:space="preserve">UNAUTH_INCOME_OVERRIDE_AR</t>
  </si>
  <si>
    <t xml:space="preserve">AR / Unauthorized total income</t>
  </si>
  <si>
    <t xml:space="preserve">MPI-derived (adjusted)</t>
  </si>
  <si>
    <t xml:space="preserve">AUTH_INCOME_OVERRIDE_AR</t>
  </si>
  <si>
    <t xml:space="preserve">AR / Authorized total income</t>
  </si>
  <si>
    <t xml:space="preserve">AR / Unauthorized ag ratio</t>
  </si>
  <si>
    <t xml:space="preserve">AR / Unauthorized constr ratio</t>
  </si>
  <si>
    <t xml:space="preserve">AR / Unauthorized hosp ratio</t>
  </si>
  <si>
    <t xml:space="preserve">AR / Unauthorized clean ratio</t>
  </si>
  <si>
    <t xml:space="preserve">AR / Unauthorized mfg ratio</t>
  </si>
  <si>
    <t xml:space="preserve">AR / Unauthorized trans ratio</t>
  </si>
  <si>
    <t xml:space="preserve">AR / Unauthorized retail ratio</t>
  </si>
  <si>
    <t xml:space="preserve">AR / Unauthorized land ratio</t>
  </si>
  <si>
    <t xml:space="preserve">AR / Unauthorized auto ratio</t>
  </si>
  <si>
    <t xml:space="preserve">AR / Unauthorized other ratio</t>
  </si>
  <si>
    <t xml:space="preserve">AR / American overall LFPR</t>
  </si>
  <si>
    <t xml:space="preserve">AR / Authorized overall LFPR</t>
  </si>
  <si>
    <t xml:space="preserve">AR / Unauthorized overall LFPR</t>
  </si>
  <si>
    <t xml:space="preserve">AR / Ag multiplier</t>
  </si>
  <si>
    <t xml:space="preserve">AR / Constr multiplier</t>
  </si>
  <si>
    <t xml:space="preserve">AR / Hosp multiplier</t>
  </si>
  <si>
    <t xml:space="preserve">AR / Mfg multiplier</t>
  </si>
  <si>
    <t xml:space="preserve">AR / Trans multiplier</t>
  </si>
  <si>
    <t xml:space="preserve">AR / Retail multiplier</t>
  </si>
  <si>
    <t xml:space="preserve">AR / Land multiplier</t>
  </si>
  <si>
    <t xml:space="preserve">AR / Auto multiplier</t>
  </si>
  <si>
    <t xml:space="preserve">AR / Other multiplier</t>
  </si>
  <si>
    <t xml:space="preserve">AR / Clean multiplier</t>
  </si>
  <si>
    <t xml:space="preserve">AR / Worker roles multiplier</t>
  </si>
  <si>
    <t xml:space="preserve">AR / Support roles multiplier</t>
  </si>
  <si>
    <t xml:space="preserve">AR / Agriculture total employed</t>
  </si>
  <si>
    <t xml:space="preserve">AR / Construction total employed</t>
  </si>
  <si>
    <t xml:space="preserve">AR / Hospitality total employed</t>
  </si>
  <si>
    <t xml:space="preserve">AR / Cleaning &amp; Maintenance total employed</t>
  </si>
  <si>
    <t xml:space="preserve">AR / Manufacturing total employed</t>
  </si>
  <si>
    <t xml:space="preserve">AR / Trans &amp; Ware total employed</t>
  </si>
  <si>
    <t xml:space="preserve">AR / Retail Trade total employed</t>
  </si>
  <si>
    <t xml:space="preserve">AR / Landscaping total employed</t>
  </si>
  <si>
    <t xml:space="preserve">AR / Auto &amp; Repair total employed</t>
  </si>
  <si>
    <t xml:space="preserve">AR / Other Services total employed</t>
  </si>
  <si>
    <t xml:space="preserve">AR / American eligibility rate</t>
  </si>
  <si>
    <t xml:space="preserve">AR / Authorized eligibility rate</t>
  </si>
  <si>
    <t xml:space="preserve">AR / Unauthorized official eligibility</t>
  </si>
  <si>
    <t xml:space="preserve">AR / American avg claim</t>
  </si>
  <si>
    <t xml:space="preserve">AR / Authorized avg claim</t>
  </si>
  <si>
    <t xml:space="preserve">AR / Unauthorized base</t>
  </si>
  <si>
    <t xml:space="preserve">AR / Unauthorized fraud multiplier</t>
  </si>
  <si>
    <t xml:space="preserve">AR / American families rate</t>
  </si>
  <si>
    <t xml:space="preserve">AR / Authorized families rate</t>
  </si>
  <si>
    <t xml:space="preserve">AR / Unauthorized partial</t>
  </si>
  <si>
    <t xml:space="preserve">AR / Unauthorized limited</t>
  </si>
  <si>
    <t xml:space="preserve">AR / American students rate</t>
  </si>
  <si>
    <t xml:space="preserve">AR / Authorized students rate</t>
  </si>
  <si>
    <t xml:space="preserve">AR / Unauthorized limited,GAO improper</t>
  </si>
  <si>
    <t xml:space="preserve">AR / Unauthorized portion</t>
  </si>
  <si>
    <t xml:space="preserve">AR / Last refinement 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</si>
</sst>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_);&quot;($&quot;#,##0.00\)"/>
    <numFmt numFmtId="166" formatCode="\$#,##0_);[RED]&quot;($&quot;#,##0\)"/>
    <numFmt numFmtId="167" formatCode="yyyy\-mm\-dd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00"/>
        <bgColor rgb="FF333333"/>
      </patternFill>
    </fill>
    <fill>
      <patternFill patternType="solid">
        <fgColor rgb="FFFFCC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1" applyFont="true" applyBorder="true" applyAlignment="true" applyProtection="false">
      <alignment horizontal="right" vertical="bottom" textRotation="0" wrapText="true" indent="0" shrinkToFit="false"/>
    </xf>
    <xf numFmtId="164" fontId="0" fillId="3" borderId="2" applyFont="true" applyBorder="true" applyAlignment="true" applyProtection="false">
      <alignment horizontal="right" vertical="bottom" textRotation="0" wrapText="true" indent="0" shrinkToFit="false"/>
    </xf>
    <xf numFmtId="164" fontId="0" fillId="3" borderId="3" applyFont="true" applyBorder="true" applyAlignment="true" applyProtection="false">
      <alignment horizontal="right" vertical="bottom" textRotation="0" wrapText="true" indent="0" shrinkToFit="false"/>
    </xf>
    <xf numFmtId="164" fontId="0" fillId="3" borderId="4" applyFont="true" applyBorder="true" applyAlignment="true" applyProtection="false">
      <alignment horizontal="right" vertical="bottom" textRotation="0" wrapText="true" indent="0" shrinkToFit="false"/>
    </xf>
    <xf numFmtId="164" fontId="0" fillId="3" borderId="5" applyFont="true" applyBorder="true" applyAlignment="true" applyProtection="false">
      <alignment horizontal="right" vertical="bottom" textRotation="0" wrapText="true" indent="0" shrinkToFit="false"/>
    </xf>
    <xf numFmtId="164" fontId="0" fillId="3" borderId="6" applyFont="true" applyBorder="true" applyAlignment="true" applyProtection="false">
      <alignment horizontal="right" vertical="bottom" textRotation="0" wrapText="true" indent="0" shrinkToFit="false"/>
    </xf>
    <xf numFmtId="164" fontId="0" fillId="3" borderId="7" applyFont="true" applyBorder="true" applyAlignment="true" applyProtection="false">
      <alignment horizontal="right" vertical="bottom" textRotation="0" wrapText="true" indent="0" shrinkToFit="false"/>
    </xf>
    <xf numFmtId="164" fontId="0" fillId="3" borderId="8" applyFont="true" applyBorder="tru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5" fontId="0" fillId="0" borderId="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2" xfId="3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ls.gov/cps/definitions.htm?utm_source=chatgpt.com" TargetMode="External"/><Relationship Id="rId2" Type="http://schemas.openxmlformats.org/officeDocument/2006/relationships/hyperlink" Target="https://www.bls.gov/cps/definitions.htm?utm_source=chatgpt.com" TargetMode="External"/><Relationship Id="rId3" Type="http://schemas.openxmlformats.org/officeDocument/2006/relationships/hyperlink" Target="https://www.bls.gov/cps/definitions.htm?utm_source=chatgpt.com" TargetMode="External"/><Relationship Id="rId4" Type="http://schemas.openxmlformats.org/officeDocument/2006/relationships/hyperlink" Target="https://www.bls.gov/cps/definitions.htm?utm_source=chatgpt.com" TargetMode="External"/><Relationship Id="rId5" Type="http://schemas.openxmlformats.org/officeDocument/2006/relationships/hyperlink" Target="https://www.bls.gov/cps/definitions.htm?utm_source=chatgpt.com" TargetMode="External"/><Relationship Id="rId6" Type="http://schemas.openxmlformats.org/officeDocument/2006/relationships/hyperlink" Target="https://www.bls.gov/cps/definitions.htm?utm_source=chatgp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32.3"/>
    <col collapsed="false" customWidth="true" hidden="false" outlineLevel="0" max="3" min="3" style="1" width="34.59"/>
    <col collapsed="false" customWidth="true" hidden="false" outlineLevel="0" max="4" min="4" style="1" width="32.27"/>
    <col collapsed="false" customWidth="true" hidden="false" outlineLevel="0" max="5" min="5" style="1" width="20.76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2" t="s">
        <v>3</v>
      </c>
      <c r="B3" s="2" t="s">
        <v>4</v>
      </c>
      <c r="C3" s="2" t="s">
        <v>5</v>
      </c>
      <c r="D3" s="2" t="s">
        <v>6</v>
      </c>
    </row>
    <row r="4" s="1" customFormat="true" ht="12.8" hidden="false" customHeight="false" outlineLevel="0" collapsed="false">
      <c r="A4" s="3" t="n">
        <v>0</v>
      </c>
      <c r="B4" s="3" t="s">
        <v>7</v>
      </c>
      <c r="C4" s="3" t="str">
        <f aca="false">'LSD.AL'!B1</f>
        <v>LSD – Alabama Labor Statistic Logic</v>
      </c>
      <c r="D4" s="4" t="s">
        <v>8</v>
      </c>
    </row>
    <row r="5" customFormat="false" ht="12.8" hidden="false" customHeight="false" outlineLevel="0" collapsed="false">
      <c r="A5" s="3" t="n">
        <v>0</v>
      </c>
      <c r="B5" s="3" t="s">
        <v>9</v>
      </c>
      <c r="C5" s="3" t="str">
        <f aca="false">'LSD.AL'!B2</f>
        <v>Formulae</v>
      </c>
      <c r="D5" s="4" t="s">
        <v>10</v>
      </c>
    </row>
    <row r="7" customFormat="false" ht="12.8" hidden="false" customHeight="false" outlineLevel="0" collapsed="false">
      <c r="A7" s="2" t="s">
        <v>11</v>
      </c>
      <c r="B7" s="2" t="s">
        <v>12</v>
      </c>
    </row>
    <row r="8" customFormat="false" ht="12.8" hidden="false" customHeight="false" outlineLevel="0" collapsed="false">
      <c r="A8" s="2" t="s">
        <v>13</v>
      </c>
      <c r="B8" s="5" t="s">
        <v>14</v>
      </c>
      <c r="C8" s="2" t="s">
        <v>15</v>
      </c>
      <c r="D8" s="2" t="s">
        <v>16</v>
      </c>
      <c r="E8" s="0" t="s">
        <v>17</v>
      </c>
    </row>
    <row r="9" customFormat="false" ht="12.8" hidden="false" customHeight="false" outlineLevel="0" collapsed="false">
      <c r="A9" s="1" t="n">
        <v>0</v>
      </c>
      <c r="B9" s="6" t="s">
        <v>18</v>
      </c>
      <c r="C9" s="1" t="s">
        <v>19</v>
      </c>
      <c r="D9" s="1" t="s">
        <v>20</v>
      </c>
      <c r="E9" s="0" t="s">
        <v>21</v>
      </c>
    </row>
    <row r="10" customFormat="false" ht="12.8" hidden="false" customHeight="false" outlineLevel="0" collapsed="false">
      <c r="A10" s="1" t="n">
        <v>1</v>
      </c>
      <c r="B10" s="6" t="s">
        <v>22</v>
      </c>
      <c r="C10" s="1" t="s">
        <v>19</v>
      </c>
      <c r="D10" s="1" t="s">
        <v>23</v>
      </c>
      <c r="E10" s="0" t="s">
        <v>21</v>
      </c>
    </row>
  </sheetData>
  <hyperlinks>
    <hyperlink ref="D4" location="LSD!AL" display="LSD.AL"/>
    <hyperlink ref="D5" location="LSD!AR" display="LSD.A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C10 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9.2"/>
  </cols>
  <sheetData>
    <row r="1" customFormat="false" ht="12.8" hidden="false" customHeight="false" outlineLevel="0" collapsed="false">
      <c r="A1" s="1" t="s">
        <v>24</v>
      </c>
    </row>
    <row r="2" customFormat="false" ht="12.8" hidden="false" customHeight="false" outlineLevel="0" collapsed="false">
      <c r="A2" s="7" t="s">
        <v>25</v>
      </c>
      <c r="B2" s="7" t="s">
        <v>26</v>
      </c>
      <c r="C2" s="7" t="s">
        <v>27</v>
      </c>
    </row>
    <row r="3" customFormat="false" ht="12.8" hidden="false" customHeight="false" outlineLevel="0" collapsed="false">
      <c r="A3" s="8" t="s">
        <v>28</v>
      </c>
      <c r="B3" s="6" t="s">
        <v>29</v>
      </c>
      <c r="C3" s="9" t="s">
        <v>30</v>
      </c>
    </row>
    <row r="4" customFormat="false" ht="12.8" hidden="false" customHeight="false" outlineLevel="0" collapsed="false">
      <c r="A4" s="8" t="s">
        <v>31</v>
      </c>
      <c r="B4" s="6" t="s">
        <v>32</v>
      </c>
      <c r="C4" s="9" t="s">
        <v>33</v>
      </c>
    </row>
    <row r="5" customFormat="false" ht="12.8" hidden="false" customHeight="false" outlineLevel="0" collapsed="false">
      <c r="A5" s="8" t="s">
        <v>34</v>
      </c>
      <c r="B5" s="8" t="s">
        <v>35</v>
      </c>
      <c r="C5" s="10" t="s">
        <v>36</v>
      </c>
    </row>
    <row r="6" customFormat="false" ht="12.8" hidden="false" customHeight="false" outlineLevel="0" collapsed="false">
      <c r="A6" s="8" t="s">
        <v>37</v>
      </c>
      <c r="B6" s="6" t="s">
        <v>38</v>
      </c>
      <c r="C6" s="9" t="s">
        <v>39</v>
      </c>
    </row>
    <row r="7" customFormat="false" ht="12.8" hidden="false" customHeight="false" outlineLevel="0" collapsed="false">
      <c r="A7" s="8" t="s">
        <v>40</v>
      </c>
      <c r="B7" s="6" t="s">
        <v>41</v>
      </c>
      <c r="C7" s="9" t="s">
        <v>42</v>
      </c>
    </row>
    <row r="8" customFormat="false" ht="12.8" hidden="false" customHeight="false" outlineLevel="0" collapsed="false">
      <c r="A8" s="8" t="s">
        <v>43</v>
      </c>
      <c r="B8" s="8" t="s">
        <v>44</v>
      </c>
      <c r="C8" s="9" t="s">
        <v>45</v>
      </c>
    </row>
  </sheetData>
  <hyperlinks>
    <hyperlink ref="C3" r:id="rId1" display="Persons unemployed 15 weeks or longer, as a percentage of the civilian labor force. (Bureau of Labor Statistics)"/>
    <hyperlink ref="C4" r:id="rId2" display="Persons who lost jobs or completed temporary jobs, as a percentage of the civilian labor force. (Bureau of Labor Statistics)"/>
    <hyperlink ref="C5" r:id="rId3" display="Total unemployed persons (actively looking and available for work), as a percentage of the civilian labor force. This is the standard headline rate reported in monthly jobs reports. (Bureau of Labor Statistics)"/>
    <hyperlink ref="C6" r:id="rId4" display="U-3 plus discouraged workers (people not in the labor force who want a job but have stopped looking for job-market reasons), expressed as a percentage of the civilian labor force plus discouraged workers. (Bureau of Labor Statistics)"/>
    <hyperlink ref="C7" r:id="rId5" display="U-4 plus all marginally attached workers (including discouraged workers and others who want a job and have looked in the past 12 months but not in the last 4 weeks), expressed as a percentage of the civilian labor force plus all marginally attached workers. (Bureau of Labor Statistics)"/>
    <hyperlink ref="C8" r:id="rId6" display="U-5 plus persons employed part-time for economic reasons (involuntary part-time workers who want full-time work), expressed as a percentage of the civilian labor force plus all marginally attached workers. This is the broadest measure of labor underutilization reported. (Bureau of Labor Statistics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10 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84"/>
    <col collapsed="false" customWidth="true" hidden="false" outlineLevel="0" max="2" min="2" style="1" width="36.9"/>
  </cols>
  <sheetData>
    <row r="1" customFormat="false" ht="12.8" hidden="false" customHeight="false" outlineLevel="0" collapsed="false">
      <c r="A1" s="2" t="s">
        <v>1</v>
      </c>
      <c r="B1" s="2" t="s">
        <v>46</v>
      </c>
    </row>
    <row r="2" customFormat="false" ht="12.8" hidden="false" customHeight="false" outlineLevel="0" collapsed="false">
      <c r="A2" s="2" t="s">
        <v>47</v>
      </c>
      <c r="B2" s="8" t="s">
        <v>48</v>
      </c>
    </row>
    <row r="3" customFormat="false" ht="12.8" hidden="false" customHeight="false" outlineLevel="0" collapsed="false">
      <c r="A3" s="1" t="s">
        <v>49</v>
      </c>
      <c r="C3" s="1"/>
      <c r="D3" s="1"/>
      <c r="E3" s="1"/>
    </row>
    <row r="4" customFormat="false" ht="12.8" hidden="false" customHeight="false" outlineLevel="0" collapsed="false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customFormat="false" ht="12.8" hidden="false" customHeight="false" outlineLevel="0" collapsed="false">
      <c r="A5" s="1" t="n">
        <v>1</v>
      </c>
      <c r="B5" s="1" t="s">
        <v>55</v>
      </c>
      <c r="C5" s="1" t="s">
        <v>56</v>
      </c>
      <c r="D5" s="1" t="s">
        <v>57</v>
      </c>
      <c r="E5" s="1" t="s">
        <v>58</v>
      </c>
    </row>
    <row r="6" customFormat="false" ht="12.8" hidden="false" customHeight="false" outlineLevel="0" collapsed="false">
      <c r="A6" s="1" t="n">
        <v>2</v>
      </c>
      <c r="B6" s="1" t="s">
        <v>59</v>
      </c>
      <c r="C6" s="1" t="s">
        <v>60</v>
      </c>
      <c r="D6" s="1" t="s">
        <v>61</v>
      </c>
    </row>
    <row r="7" customFormat="false" ht="12.8" hidden="false" customHeight="false" outlineLevel="0" collapsed="false">
      <c r="A7" s="1" t="n">
        <v>2.1</v>
      </c>
      <c r="B7" s="1" t="s">
        <v>62</v>
      </c>
      <c r="C7" s="1" t="s">
        <v>63</v>
      </c>
      <c r="D7" s="1" t="s">
        <v>64</v>
      </c>
    </row>
    <row r="8" customFormat="false" ht="12.8" hidden="false" customHeight="false" outlineLevel="0" collapsed="false">
      <c r="A8" s="1" t="n">
        <v>2.2</v>
      </c>
      <c r="B8" s="1" t="s">
        <v>65</v>
      </c>
      <c r="C8" s="1" t="s">
        <v>66</v>
      </c>
      <c r="D8" s="1" t="s">
        <v>67</v>
      </c>
    </row>
    <row r="9" customFormat="false" ht="12.8" hidden="false" customHeight="false" outlineLevel="0" collapsed="false">
      <c r="A9" s="1" t="n">
        <v>4</v>
      </c>
      <c r="B9" s="1" t="s">
        <v>68</v>
      </c>
      <c r="C9" s="1" t="s">
        <v>69</v>
      </c>
      <c r="D9" s="1" t="s">
        <v>70</v>
      </c>
      <c r="E9" s="1" t="s">
        <v>71</v>
      </c>
    </row>
    <row r="10" customFormat="false" ht="12.8" hidden="false" customHeight="false" outlineLevel="0" collapsed="false">
      <c r="A10" s="1" t="n">
        <v>4.1</v>
      </c>
      <c r="B10" s="1" t="s">
        <v>72</v>
      </c>
      <c r="C10" s="1" t="s">
        <v>73</v>
      </c>
      <c r="D10" s="1" t="s">
        <v>74</v>
      </c>
      <c r="E10" s="1" t="s">
        <v>75</v>
      </c>
    </row>
    <row r="11" customFormat="false" ht="12.8" hidden="false" customHeight="false" outlineLevel="0" collapsed="false">
      <c r="A11" s="1" t="n">
        <v>5</v>
      </c>
      <c r="B11" s="1" t="s">
        <v>76</v>
      </c>
      <c r="C11" s="1" t="s">
        <v>77</v>
      </c>
      <c r="D11" s="1" t="s">
        <v>78</v>
      </c>
      <c r="E11" s="1" t="s">
        <v>79</v>
      </c>
    </row>
    <row r="12" customFormat="false" ht="12.8" hidden="false" customHeight="false" outlineLevel="0" collapsed="false">
      <c r="A12" s="1" t="n">
        <v>5.1</v>
      </c>
      <c r="B12" s="1" t="s">
        <v>80</v>
      </c>
      <c r="C12" s="1" t="s">
        <v>81</v>
      </c>
      <c r="D12" s="1" t="s">
        <v>82</v>
      </c>
      <c r="E12" s="1" t="s">
        <v>83</v>
      </c>
    </row>
    <row r="13" customFormat="false" ht="12.8" hidden="false" customHeight="false" outlineLevel="0" collapsed="false">
      <c r="A13" s="1" t="n">
        <v>6</v>
      </c>
      <c r="B13" s="1" t="s">
        <v>84</v>
      </c>
      <c r="C13" s="1" t="s">
        <v>85</v>
      </c>
      <c r="D13" s="1" t="s">
        <v>86</v>
      </c>
      <c r="E13" s="1" t="s">
        <v>87</v>
      </c>
    </row>
    <row r="14" customFormat="false" ht="12.8" hidden="false" customHeight="false" outlineLevel="0" collapsed="false">
      <c r="A14" s="1" t="n">
        <v>6.1</v>
      </c>
      <c r="B14" s="1" t="s">
        <v>88</v>
      </c>
      <c r="C14" s="1" t="s">
        <v>89</v>
      </c>
      <c r="D14" s="1" t="s">
        <v>90</v>
      </c>
      <c r="E14" s="1" t="s">
        <v>91</v>
      </c>
    </row>
    <row r="15" customFormat="false" ht="12.8" hidden="false" customHeight="false" outlineLevel="0" collapsed="false">
      <c r="A15" s="1" t="n">
        <v>7</v>
      </c>
      <c r="B15" s="1" t="s">
        <v>92</v>
      </c>
      <c r="C15" s="1" t="s">
        <v>93</v>
      </c>
      <c r="D15" s="1" t="s">
        <v>94</v>
      </c>
      <c r="E15" s="1" t="s">
        <v>95</v>
      </c>
    </row>
    <row r="16" customFormat="false" ht="12.8" hidden="false" customHeight="false" outlineLevel="0" collapsed="false">
      <c r="A16" s="1" t="n">
        <v>7.1</v>
      </c>
      <c r="B16" s="1" t="s">
        <v>96</v>
      </c>
      <c r="C16" s="1" t="s">
        <v>97</v>
      </c>
      <c r="D16" s="1" t="s">
        <v>98</v>
      </c>
      <c r="E16" s="1" t="s">
        <v>99</v>
      </c>
    </row>
    <row r="17" customFormat="false" ht="12.8" hidden="false" customHeight="false" outlineLevel="0" collapsed="false">
      <c r="A17" s="1" t="n">
        <v>8</v>
      </c>
      <c r="B17" s="1" t="s">
        <v>100</v>
      </c>
      <c r="C17" s="1" t="s">
        <v>101</v>
      </c>
      <c r="D17" s="1" t="s">
        <v>102</v>
      </c>
      <c r="E17" s="1" t="s">
        <v>103</v>
      </c>
    </row>
    <row r="18" customFormat="false" ht="12.8" hidden="false" customHeight="false" outlineLevel="0" collapsed="false">
      <c r="A18" s="1" t="n">
        <v>8.1</v>
      </c>
      <c r="B18" s="1" t="s">
        <v>104</v>
      </c>
      <c r="C18" s="1" t="s">
        <v>105</v>
      </c>
      <c r="D18" s="1" t="s">
        <v>106</v>
      </c>
      <c r="E18" s="1"/>
    </row>
    <row r="19" customFormat="false" ht="12.8" hidden="false" customHeight="false" outlineLevel="0" collapsed="false">
      <c r="A19" s="2" t="n">
        <v>9</v>
      </c>
      <c r="B19" s="8" t="s">
        <v>107</v>
      </c>
      <c r="C19" s="1" t="s">
        <v>108</v>
      </c>
      <c r="D19" s="1" t="s">
        <v>109</v>
      </c>
      <c r="E19" s="1" t="s">
        <v>110</v>
      </c>
    </row>
    <row r="20" customFormat="false" ht="12.8" hidden="false" customHeight="false" outlineLevel="0" collapsed="false">
      <c r="A20" s="1" t="n">
        <v>9.1</v>
      </c>
      <c r="B20" s="1" t="s">
        <v>111</v>
      </c>
      <c r="C20" s="1" t="s">
        <v>112</v>
      </c>
      <c r="D20" s="1" t="s">
        <v>113</v>
      </c>
      <c r="E20" s="1" t="s">
        <v>114</v>
      </c>
    </row>
    <row r="21" customFormat="false" ht="12.8" hidden="false" customHeight="false" outlineLevel="0" collapsed="false">
      <c r="A21" s="1" t="n">
        <v>10</v>
      </c>
      <c r="B21" s="1" t="s">
        <v>115</v>
      </c>
      <c r="C21" s="1" t="s">
        <v>116</v>
      </c>
      <c r="D21" s="1" t="s">
        <v>117</v>
      </c>
      <c r="E21" s="1" t="s">
        <v>118</v>
      </c>
    </row>
    <row r="22" customFormat="false" ht="12.8" hidden="false" customHeight="false" outlineLevel="0" collapsed="false">
      <c r="A22" s="1" t="n">
        <v>10.1</v>
      </c>
      <c r="B22" s="1" t="s">
        <v>119</v>
      </c>
      <c r="C22" s="1" t="s">
        <v>120</v>
      </c>
      <c r="D22" s="1" t="s">
        <v>121</v>
      </c>
      <c r="E22" s="1" t="s">
        <v>122</v>
      </c>
    </row>
    <row r="23" customFormat="false" ht="12.8" hidden="false" customHeight="false" outlineLevel="0" collapsed="false">
      <c r="A23" s="1" t="n">
        <v>13</v>
      </c>
      <c r="B23" s="1" t="s">
        <v>123</v>
      </c>
      <c r="C23" s="1" t="s">
        <v>124</v>
      </c>
      <c r="D23" s="1" t="s">
        <v>125</v>
      </c>
      <c r="E23" s="1" t="s">
        <v>126</v>
      </c>
    </row>
    <row r="24" customFormat="false" ht="12.8" hidden="false" customHeight="false" outlineLevel="0" collapsed="false">
      <c r="A24" s="1" t="n">
        <v>13.1</v>
      </c>
      <c r="B24" s="1" t="s">
        <v>127</v>
      </c>
      <c r="C24" s="1" t="s">
        <v>128</v>
      </c>
      <c r="D24" s="1" t="s">
        <v>129</v>
      </c>
      <c r="E24" s="1" t="s">
        <v>130</v>
      </c>
    </row>
    <row r="25" customFormat="false" ht="12.8" hidden="false" customHeight="false" outlineLevel="0" collapsed="false">
      <c r="A25" s="1" t="n">
        <v>14</v>
      </c>
      <c r="B25" s="1" t="s">
        <v>131</v>
      </c>
      <c r="C25" s="1" t="s">
        <v>132</v>
      </c>
      <c r="D25" s="1" t="s">
        <v>133</v>
      </c>
      <c r="E25" s="1" t="s">
        <v>134</v>
      </c>
    </row>
    <row r="26" customFormat="false" ht="12.8" hidden="false" customHeight="false" outlineLevel="0" collapsed="false">
      <c r="A26" s="1" t="n">
        <v>14.1</v>
      </c>
      <c r="B26" s="1" t="s">
        <v>135</v>
      </c>
      <c r="C26" s="1" t="s">
        <v>136</v>
      </c>
      <c r="D26" s="1" t="s">
        <v>137</v>
      </c>
      <c r="E26" s="1"/>
    </row>
    <row r="27" customFormat="false" ht="12.8" hidden="false" customHeight="false" outlineLevel="0" collapsed="false">
      <c r="A27" s="1" t="n">
        <v>15</v>
      </c>
      <c r="B27" s="1" t="s">
        <v>138</v>
      </c>
      <c r="C27" s="1" t="s">
        <v>139</v>
      </c>
      <c r="D27" s="1" t="s">
        <v>140</v>
      </c>
      <c r="E27" s="1" t="s">
        <v>141</v>
      </c>
    </row>
    <row r="28" customFormat="false" ht="12.8" hidden="false" customHeight="false" outlineLevel="0" collapsed="false">
      <c r="A28" s="1" t="n">
        <v>15.1</v>
      </c>
      <c r="B28" s="1" t="s">
        <v>142</v>
      </c>
      <c r="C28" s="1" t="s">
        <v>143</v>
      </c>
      <c r="D28" s="1" t="s">
        <v>137</v>
      </c>
      <c r="E28" s="1"/>
    </row>
    <row r="29" customFormat="false" ht="12.8" hidden="false" customHeight="false" outlineLevel="0" collapsed="false">
      <c r="A29" s="1" t="s">
        <v>144</v>
      </c>
      <c r="C29" s="1"/>
      <c r="D29" s="1"/>
      <c r="E29" s="1"/>
    </row>
    <row r="30" customFormat="false" ht="12.8" hidden="false" customHeight="false" outlineLevel="0" collapsed="false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149</v>
      </c>
    </row>
    <row r="31" customFormat="false" ht="12.8" hidden="false" customHeight="false" outlineLevel="0" collapsed="false">
      <c r="A31" s="1" t="s">
        <v>150</v>
      </c>
      <c r="B31" s="1" t="s">
        <v>151</v>
      </c>
      <c r="C31" s="1" t="n">
        <v>0.953</v>
      </c>
      <c r="D31" s="1" t="s">
        <v>152</v>
      </c>
      <c r="E31" s="1" t="s">
        <v>153</v>
      </c>
    </row>
    <row r="32" customFormat="false" ht="12.8" hidden="false" customHeight="false" outlineLevel="0" collapsed="false">
      <c r="A32" s="1" t="s">
        <v>154</v>
      </c>
      <c r="B32" s="1" t="s">
        <v>155</v>
      </c>
      <c r="C32" s="1" t="n">
        <v>0.033</v>
      </c>
      <c r="D32" s="1" t="s">
        <v>156</v>
      </c>
      <c r="E32" s="1" t="s">
        <v>157</v>
      </c>
    </row>
    <row r="33" customFormat="false" ht="12.8" hidden="false" customHeight="false" outlineLevel="0" collapsed="false">
      <c r="A33" s="1" t="s">
        <v>158</v>
      </c>
      <c r="B33" s="1" t="s">
        <v>159</v>
      </c>
      <c r="C33" s="1" t="n">
        <v>0.021</v>
      </c>
      <c r="D33" s="1" t="s">
        <v>160</v>
      </c>
      <c r="E33" s="1" t="s">
        <v>161</v>
      </c>
    </row>
    <row r="34" customFormat="false" ht="12.8" hidden="false" customHeight="false" outlineLevel="0" collapsed="false">
      <c r="A34" s="1" t="s">
        <v>162</v>
      </c>
      <c r="B34" s="1" t="s">
        <v>163</v>
      </c>
      <c r="C34" s="1" t="n">
        <v>0.054</v>
      </c>
      <c r="D34" s="1" t="s">
        <v>164</v>
      </c>
      <c r="E34" s="1" t="s">
        <v>165</v>
      </c>
    </row>
    <row r="35" customFormat="false" ht="12.8" hidden="false" customHeight="false" outlineLevel="0" collapsed="false">
      <c r="A35" s="1" t="s">
        <v>166</v>
      </c>
      <c r="B35" s="1" t="s">
        <v>167</v>
      </c>
      <c r="C35" s="1" t="n">
        <v>0.027</v>
      </c>
      <c r="D35" s="1" t="s">
        <v>168</v>
      </c>
      <c r="E35" s="1" t="s">
        <v>169</v>
      </c>
    </row>
    <row r="36" customFormat="false" ht="12.8" hidden="false" customHeight="false" outlineLevel="0" collapsed="false">
      <c r="A36" s="1" t="s">
        <v>170</v>
      </c>
      <c r="B36" s="1" t="s">
        <v>171</v>
      </c>
      <c r="C36" s="1" t="n">
        <v>1.2</v>
      </c>
      <c r="D36" s="1" t="s">
        <v>172</v>
      </c>
      <c r="E36" s="1" t="s">
        <v>173</v>
      </c>
    </row>
    <row r="37" customFormat="false" ht="12.8" hidden="false" customHeight="false" outlineLevel="0" collapsed="false">
      <c r="A37" s="1" t="s">
        <v>174</v>
      </c>
      <c r="B37" s="1" t="s">
        <v>175</v>
      </c>
      <c r="C37" s="1" t="n">
        <v>1.5</v>
      </c>
      <c r="D37" s="1" t="s">
        <v>176</v>
      </c>
      <c r="E37" s="1" t="s">
        <v>177</v>
      </c>
    </row>
    <row r="38" customFormat="false" ht="12.8" hidden="false" customHeight="false" outlineLevel="0" collapsed="false">
      <c r="A38" s="1" t="s">
        <v>178</v>
      </c>
      <c r="B38" s="1" t="s">
        <v>179</v>
      </c>
      <c r="C38" s="1" t="n">
        <v>1.3</v>
      </c>
      <c r="D38" s="1" t="s">
        <v>180</v>
      </c>
      <c r="E38" s="1" t="s">
        <v>181</v>
      </c>
    </row>
    <row r="39" customFormat="false" ht="12.8" hidden="false" customHeight="false" outlineLevel="0" collapsed="false">
      <c r="A39" s="1" t="s">
        <v>182</v>
      </c>
      <c r="B39" s="1" t="s">
        <v>183</v>
      </c>
      <c r="C39" s="1" t="n">
        <v>1.1</v>
      </c>
      <c r="D39" s="1" t="s">
        <v>184</v>
      </c>
      <c r="E39" s="1" t="s">
        <v>185</v>
      </c>
    </row>
    <row r="40" customFormat="false" ht="12.8" hidden="false" customHeight="false" outlineLevel="0" collapsed="false">
      <c r="A40" s="1" t="s">
        <v>186</v>
      </c>
      <c r="B40" s="1" t="s">
        <v>187</v>
      </c>
      <c r="C40" s="1" t="n">
        <v>1.4</v>
      </c>
      <c r="D40" s="1" t="s">
        <v>188</v>
      </c>
      <c r="E40" s="1" t="s">
        <v>189</v>
      </c>
    </row>
    <row r="41" customFormat="false" ht="12.8" hidden="false" customHeight="false" outlineLevel="0" collapsed="false">
      <c r="A41" s="1" t="s">
        <v>190</v>
      </c>
      <c r="B41" s="1" t="s">
        <v>191</v>
      </c>
      <c r="C41" s="1" t="n">
        <v>1.45</v>
      </c>
      <c r="D41" s="1" t="s">
        <v>192</v>
      </c>
      <c r="E41" s="1" t="s">
        <v>193</v>
      </c>
    </row>
    <row r="42" customFormat="false" ht="12.8" hidden="false" customHeight="false" outlineLevel="0" collapsed="false">
      <c r="A42" s="1" t="s">
        <v>194</v>
      </c>
      <c r="B42" s="1" t="s">
        <v>195</v>
      </c>
      <c r="C42" s="1" t="n">
        <v>0.8</v>
      </c>
      <c r="D42" s="1" t="s">
        <v>196</v>
      </c>
      <c r="E42" s="1" t="s">
        <v>197</v>
      </c>
    </row>
    <row r="43" customFormat="false" ht="12.8" hidden="false" customHeight="false" outlineLevel="0" collapsed="false">
      <c r="A43" s="1" t="s">
        <v>198</v>
      </c>
      <c r="B43" s="1" t="s">
        <v>199</v>
      </c>
      <c r="C43" s="1" t="n">
        <v>0.9</v>
      </c>
      <c r="D43" s="1" t="s">
        <v>200</v>
      </c>
      <c r="E43" s="1" t="s">
        <v>201</v>
      </c>
    </row>
    <row r="44" customFormat="false" ht="12.8" hidden="false" customHeight="false" outlineLevel="0" collapsed="false">
      <c r="A44" s="1" t="s">
        <v>202</v>
      </c>
      <c r="B44" s="1" t="s">
        <v>203</v>
      </c>
      <c r="C44" s="1" t="n">
        <v>1.05</v>
      </c>
      <c r="D44" s="1" t="s">
        <v>204</v>
      </c>
      <c r="E44" s="1" t="s">
        <v>205</v>
      </c>
    </row>
    <row r="45" customFormat="false" ht="12.8" hidden="false" customHeight="false" outlineLevel="0" collapsed="false">
      <c r="A45" s="1" t="s">
        <v>206</v>
      </c>
      <c r="B45" s="1" t="s">
        <v>207</v>
      </c>
      <c r="C45" s="1" t="n">
        <v>1.35</v>
      </c>
      <c r="D45" s="1" t="s">
        <v>208</v>
      </c>
      <c r="E45" s="1" t="s">
        <v>209</v>
      </c>
    </row>
    <row r="46" customFormat="false" ht="12.8" hidden="false" customHeight="false" outlineLevel="0" collapsed="false">
      <c r="A46" s="1" t="s">
        <v>210</v>
      </c>
      <c r="B46" s="1" t="s">
        <v>211</v>
      </c>
      <c r="C46" s="1" t="n">
        <v>0.95</v>
      </c>
      <c r="D46" s="1" t="s">
        <v>212</v>
      </c>
      <c r="E46" s="1" t="s">
        <v>213</v>
      </c>
    </row>
    <row r="47" customFormat="false" ht="12.8" hidden="false" customHeight="false" outlineLevel="0" collapsed="false">
      <c r="A47" s="1" t="s">
        <v>214</v>
      </c>
      <c r="B47" s="1" t="s">
        <v>215</v>
      </c>
      <c r="C47" s="1" t="n">
        <v>1</v>
      </c>
      <c r="D47" s="1" t="s">
        <v>216</v>
      </c>
      <c r="E47" s="1" t="s">
        <v>217</v>
      </c>
    </row>
    <row r="48" customFormat="false" ht="12.8" hidden="false" customHeight="false" outlineLevel="0" collapsed="false">
      <c r="A48" s="1" t="s">
        <v>218</v>
      </c>
      <c r="B48" s="1" t="s">
        <v>219</v>
      </c>
      <c r="C48" s="1" t="n">
        <v>0.0351</v>
      </c>
      <c r="D48" s="1" t="s">
        <v>220</v>
      </c>
      <c r="E48" s="1" t="s">
        <v>221</v>
      </c>
    </row>
    <row r="49" customFormat="false" ht="12.8" hidden="false" customHeight="false" outlineLevel="0" collapsed="false">
      <c r="A49" s="1" t="s">
        <v>222</v>
      </c>
      <c r="B49" s="1" t="s">
        <v>223</v>
      </c>
      <c r="C49" s="1" t="n">
        <v>0.0421</v>
      </c>
      <c r="D49" s="1" t="s">
        <v>224</v>
      </c>
      <c r="E49" s="1" t="s">
        <v>225</v>
      </c>
    </row>
    <row r="50" customFormat="false" ht="12.8" hidden="false" customHeight="false" outlineLevel="0" collapsed="false">
      <c r="A50" s="1" t="s">
        <v>226</v>
      </c>
      <c r="B50" s="1" t="s">
        <v>227</v>
      </c>
      <c r="C50" s="1" t="n">
        <v>0.0527</v>
      </c>
      <c r="D50" s="1" t="s">
        <v>228</v>
      </c>
      <c r="E50" s="1" t="s">
        <v>229</v>
      </c>
    </row>
    <row r="51" customFormat="false" ht="12.8" hidden="false" customHeight="false" outlineLevel="0" collapsed="false">
      <c r="A51" s="1" t="s">
        <v>230</v>
      </c>
      <c r="B51" s="1" t="s">
        <v>231</v>
      </c>
      <c r="C51" s="1" t="n">
        <v>0.0297</v>
      </c>
      <c r="D51" s="1" t="s">
        <v>232</v>
      </c>
      <c r="E51" s="1" t="s">
        <v>233</v>
      </c>
      <c r="F51" s="1"/>
    </row>
    <row r="52" customFormat="false" ht="12.8" hidden="false" customHeight="false" outlineLevel="0" collapsed="false">
      <c r="A52" s="1" t="s">
        <v>234</v>
      </c>
      <c r="B52" s="1" t="s">
        <v>235</v>
      </c>
      <c r="C52" s="1" t="n">
        <v>0.0356</v>
      </c>
      <c r="D52" s="1" t="s">
        <v>236</v>
      </c>
      <c r="E52" s="1" t="s">
        <v>237</v>
      </c>
      <c r="F52" s="1"/>
    </row>
    <row r="53" customFormat="false" ht="12.8" hidden="false" customHeight="false" outlineLevel="0" collapsed="false">
      <c r="A53" s="1" t="s">
        <v>238</v>
      </c>
      <c r="B53" s="1" t="s">
        <v>239</v>
      </c>
      <c r="C53" s="1" t="n">
        <v>0.0446</v>
      </c>
      <c r="D53" s="1" t="s">
        <v>240</v>
      </c>
      <c r="E53" s="1" t="s">
        <v>241</v>
      </c>
      <c r="F53" s="1"/>
    </row>
    <row r="54" customFormat="false" ht="12.8" hidden="false" customHeight="false" outlineLevel="0" collapsed="false">
      <c r="A54" s="1" t="s">
        <v>242</v>
      </c>
      <c r="B54" s="1" t="s">
        <v>243</v>
      </c>
      <c r="C54" s="1" t="n">
        <v>0.0378</v>
      </c>
      <c r="D54" s="1" t="s">
        <v>244</v>
      </c>
      <c r="E54" s="1" t="s">
        <v>245</v>
      </c>
    </row>
    <row r="55" customFormat="false" ht="12.8" hidden="false" customHeight="false" outlineLevel="0" collapsed="false">
      <c r="A55" s="1" t="s">
        <v>246</v>
      </c>
      <c r="B55" s="1" t="s">
        <v>247</v>
      </c>
      <c r="C55" s="1" t="n">
        <v>0.0454</v>
      </c>
      <c r="D55" s="1" t="s">
        <v>248</v>
      </c>
      <c r="E55" s="1" t="s">
        <v>237</v>
      </c>
    </row>
    <row r="56" customFormat="false" ht="12.8" hidden="false" customHeight="false" outlineLevel="0" collapsed="false">
      <c r="A56" s="1" t="s">
        <v>249</v>
      </c>
      <c r="B56" s="1" t="s">
        <v>250</v>
      </c>
      <c r="C56" s="1" t="n">
        <v>0.0567</v>
      </c>
      <c r="D56" s="1" t="s">
        <v>251</v>
      </c>
      <c r="E56" s="1" t="s">
        <v>241</v>
      </c>
    </row>
    <row r="57" customFormat="false" ht="12.8" hidden="false" customHeight="false" outlineLevel="0" collapsed="false">
      <c r="A57" s="1" t="s">
        <v>252</v>
      </c>
      <c r="B57" s="1" t="s">
        <v>253</v>
      </c>
      <c r="C57" s="1" t="n">
        <v>0.0392</v>
      </c>
      <c r="D57" s="1" t="s">
        <v>254</v>
      </c>
      <c r="E57" s="1" t="s">
        <v>255</v>
      </c>
    </row>
    <row r="58" customFormat="false" ht="12.8" hidden="false" customHeight="false" outlineLevel="0" collapsed="false">
      <c r="A58" s="1" t="s">
        <v>256</v>
      </c>
      <c r="B58" s="1" t="s">
        <v>257</v>
      </c>
      <c r="C58" s="1" t="n">
        <v>0.047</v>
      </c>
      <c r="D58" s="1" t="s">
        <v>258</v>
      </c>
      <c r="E58" s="1" t="s">
        <v>237</v>
      </c>
    </row>
    <row r="59" customFormat="false" ht="12.8" hidden="false" customHeight="false" outlineLevel="0" collapsed="false">
      <c r="A59" s="1" t="s">
        <v>259</v>
      </c>
      <c r="B59" s="1" t="s">
        <v>260</v>
      </c>
      <c r="C59" s="1" t="n">
        <v>0.0588</v>
      </c>
      <c r="D59" s="1" t="s">
        <v>261</v>
      </c>
      <c r="E59" s="1" t="s">
        <v>241</v>
      </c>
    </row>
    <row r="60" customFormat="false" ht="12.8" hidden="false" customHeight="false" outlineLevel="0" collapsed="false">
      <c r="A60" s="1" t="s">
        <v>262</v>
      </c>
      <c r="B60" s="1" t="s">
        <v>263</v>
      </c>
      <c r="C60" s="1" t="n">
        <v>0.0216</v>
      </c>
      <c r="D60" s="1" t="s">
        <v>264</v>
      </c>
      <c r="E60" s="1" t="s">
        <v>265</v>
      </c>
    </row>
    <row r="61" customFormat="false" ht="12.8" hidden="false" customHeight="false" outlineLevel="0" collapsed="false">
      <c r="A61" s="1" t="s">
        <v>266</v>
      </c>
      <c r="B61" s="1" t="s">
        <v>267</v>
      </c>
      <c r="C61" s="1" t="n">
        <v>0.0259</v>
      </c>
      <c r="D61" s="1" t="s">
        <v>268</v>
      </c>
      <c r="E61" s="1" t="s">
        <v>237</v>
      </c>
    </row>
    <row r="62" customFormat="false" ht="12.8" hidden="false" customHeight="false" outlineLevel="0" collapsed="false">
      <c r="A62" s="1" t="s">
        <v>269</v>
      </c>
      <c r="B62" s="1" t="s">
        <v>270</v>
      </c>
      <c r="C62" s="1" t="n">
        <v>0.0324</v>
      </c>
      <c r="D62" s="1" t="s">
        <v>271</v>
      </c>
      <c r="E62" s="1" t="s">
        <v>241</v>
      </c>
    </row>
    <row r="63" customFormat="false" ht="12.8" hidden="false" customHeight="false" outlineLevel="0" collapsed="false">
      <c r="A63" s="1" t="s">
        <v>272</v>
      </c>
      <c r="B63" s="1" t="s">
        <v>273</v>
      </c>
      <c r="C63" s="1" t="n">
        <v>0.0243</v>
      </c>
      <c r="D63" s="1" t="s">
        <v>274</v>
      </c>
      <c r="E63" s="1" t="s">
        <v>275</v>
      </c>
    </row>
    <row r="64" customFormat="false" ht="12.8" hidden="false" customHeight="false" outlineLevel="0" collapsed="false">
      <c r="A64" s="1" t="s">
        <v>276</v>
      </c>
      <c r="B64" s="1" t="s">
        <v>277</v>
      </c>
      <c r="C64" s="1" t="n">
        <v>0.0292</v>
      </c>
      <c r="D64" s="1" t="s">
        <v>278</v>
      </c>
      <c r="E64" s="1" t="s">
        <v>237</v>
      </c>
    </row>
    <row r="65" customFormat="false" ht="12.8" hidden="false" customHeight="false" outlineLevel="0" collapsed="false">
      <c r="A65" s="1" t="s">
        <v>279</v>
      </c>
      <c r="B65" s="1" t="s">
        <v>280</v>
      </c>
      <c r="C65" s="1" t="n">
        <v>0.0365</v>
      </c>
      <c r="D65" s="1" t="s">
        <v>281</v>
      </c>
      <c r="E65" s="1" t="s">
        <v>241</v>
      </c>
    </row>
    <row r="66" customFormat="false" ht="12.8" hidden="false" customHeight="false" outlineLevel="0" collapsed="false">
      <c r="A66" s="1" t="s">
        <v>282</v>
      </c>
      <c r="B66" s="1" t="s">
        <v>283</v>
      </c>
      <c r="C66" s="1" t="n">
        <v>0.0284</v>
      </c>
      <c r="D66" s="1" t="s">
        <v>284</v>
      </c>
      <c r="E66" s="1" t="s">
        <v>285</v>
      </c>
    </row>
    <row r="67" customFormat="false" ht="12.8" hidden="false" customHeight="false" outlineLevel="0" collapsed="false">
      <c r="A67" s="1" t="s">
        <v>286</v>
      </c>
      <c r="B67" s="1" t="s">
        <v>287</v>
      </c>
      <c r="C67" s="1" t="n">
        <v>0.034</v>
      </c>
      <c r="D67" s="1" t="s">
        <v>288</v>
      </c>
      <c r="E67" s="1" t="s">
        <v>237</v>
      </c>
    </row>
    <row r="68" customFormat="false" ht="12.8" hidden="false" customHeight="false" outlineLevel="0" collapsed="false">
      <c r="A68" s="1" t="s">
        <v>289</v>
      </c>
      <c r="B68" s="1" t="s">
        <v>290</v>
      </c>
      <c r="C68" s="1" t="n">
        <v>0.0425</v>
      </c>
      <c r="D68" s="1" t="s">
        <v>291</v>
      </c>
      <c r="E68" s="1" t="s">
        <v>241</v>
      </c>
    </row>
    <row r="69" customFormat="false" ht="12.8" hidden="false" customHeight="false" outlineLevel="0" collapsed="false">
      <c r="A69" s="1" t="s">
        <v>292</v>
      </c>
      <c r="B69" s="1" t="s">
        <v>293</v>
      </c>
      <c r="C69" s="1" t="n">
        <v>0.0365</v>
      </c>
      <c r="D69" s="1" t="s">
        <v>294</v>
      </c>
      <c r="E69" s="1" t="s">
        <v>295</v>
      </c>
    </row>
    <row r="70" customFormat="false" ht="12.8" hidden="false" customHeight="false" outlineLevel="0" collapsed="false">
      <c r="A70" s="1" t="s">
        <v>296</v>
      </c>
      <c r="B70" s="1" t="s">
        <v>297</v>
      </c>
      <c r="C70" s="1" t="n">
        <v>0.0438</v>
      </c>
      <c r="D70" s="1" t="s">
        <v>298</v>
      </c>
      <c r="E70" s="1" t="s">
        <v>237</v>
      </c>
    </row>
    <row r="71" customFormat="false" ht="12.8" hidden="false" customHeight="false" outlineLevel="0" collapsed="false">
      <c r="A71" s="1" t="s">
        <v>299</v>
      </c>
      <c r="B71" s="1" t="s">
        <v>300</v>
      </c>
      <c r="C71" s="1" t="n">
        <v>0.0547</v>
      </c>
      <c r="D71" s="1" t="s">
        <v>301</v>
      </c>
      <c r="E71" s="1" t="s">
        <v>241</v>
      </c>
    </row>
    <row r="72" customFormat="false" ht="12.8" hidden="false" customHeight="false" outlineLevel="0" collapsed="false">
      <c r="A72" s="1" t="s">
        <v>302</v>
      </c>
      <c r="B72" s="1" t="s">
        <v>303</v>
      </c>
      <c r="C72" s="1" t="n">
        <v>0.0257</v>
      </c>
      <c r="D72" s="1" t="s">
        <v>304</v>
      </c>
      <c r="E72" s="1" t="s">
        <v>305</v>
      </c>
    </row>
    <row r="73" customFormat="false" ht="12.8" hidden="false" customHeight="false" outlineLevel="0" collapsed="false">
      <c r="A73" s="1" t="s">
        <v>306</v>
      </c>
      <c r="B73" s="1" t="s">
        <v>307</v>
      </c>
      <c r="C73" s="1" t="n">
        <v>0.0308</v>
      </c>
      <c r="D73" s="1" t="s">
        <v>308</v>
      </c>
      <c r="E73" s="1" t="s">
        <v>237</v>
      </c>
    </row>
    <row r="74" customFormat="false" ht="12.8" hidden="false" customHeight="false" outlineLevel="0" collapsed="false">
      <c r="A74" s="1" t="s">
        <v>309</v>
      </c>
      <c r="B74" s="1" t="s">
        <v>310</v>
      </c>
      <c r="C74" s="1" t="n">
        <v>0.0385</v>
      </c>
      <c r="D74" s="1" t="s">
        <v>311</v>
      </c>
      <c r="E74" s="1" t="s">
        <v>241</v>
      </c>
    </row>
    <row r="75" customFormat="false" ht="12.8" hidden="false" customHeight="false" outlineLevel="0" collapsed="false">
      <c r="A75" s="1" t="s">
        <v>312</v>
      </c>
      <c r="B75" s="1" t="s">
        <v>313</v>
      </c>
      <c r="C75" s="1" t="n">
        <v>0.027</v>
      </c>
      <c r="D75" s="1" t="s">
        <v>314</v>
      </c>
      <c r="E75" s="1" t="s">
        <v>315</v>
      </c>
    </row>
    <row r="76" customFormat="false" ht="12.8" hidden="false" customHeight="false" outlineLevel="0" collapsed="false">
      <c r="A76" s="1" t="s">
        <v>316</v>
      </c>
      <c r="B76" s="1" t="s">
        <v>317</v>
      </c>
      <c r="C76" s="1" t="n">
        <v>0.0324</v>
      </c>
      <c r="D76" s="1" t="s">
        <v>318</v>
      </c>
      <c r="E76" s="1" t="s">
        <v>237</v>
      </c>
    </row>
    <row r="77" customFormat="false" ht="12.8" hidden="false" customHeight="false" outlineLevel="0" collapsed="false">
      <c r="A77" s="1" t="s">
        <v>319</v>
      </c>
      <c r="B77" s="1" t="s">
        <v>320</v>
      </c>
      <c r="C77" s="1" t="n">
        <v>0.0405</v>
      </c>
      <c r="D77" s="1" t="s">
        <v>321</v>
      </c>
      <c r="E77" s="1" t="s">
        <v>241</v>
      </c>
    </row>
    <row r="78" customFormat="false" ht="12.8" hidden="false" customHeight="false" outlineLevel="0" collapsed="false">
      <c r="A78" s="1" t="s">
        <v>322</v>
      </c>
      <c r="B78" s="1" t="s">
        <v>323</v>
      </c>
      <c r="C78" s="1" t="n">
        <v>1</v>
      </c>
      <c r="D78" s="1" t="s">
        <v>324</v>
      </c>
      <c r="E78" s="1"/>
    </row>
    <row r="79" customFormat="false" ht="12.8" hidden="false" customHeight="false" outlineLevel="0" collapsed="false">
      <c r="A79" s="1" t="s">
        <v>325</v>
      </c>
      <c r="B79" s="1" t="s">
        <v>326</v>
      </c>
      <c r="C79" s="1" t="n">
        <v>0.85</v>
      </c>
      <c r="D79" s="1" t="s">
        <v>327</v>
      </c>
      <c r="E79" s="1"/>
    </row>
    <row r="80" customFormat="false" ht="12.8" hidden="false" customHeight="false" outlineLevel="0" collapsed="false">
      <c r="A80" s="1" t="s">
        <v>328</v>
      </c>
      <c r="B80" s="1" t="s">
        <v>329</v>
      </c>
      <c r="C80" s="1" t="n">
        <v>0.8</v>
      </c>
      <c r="D80" s="1" t="s">
        <v>330</v>
      </c>
      <c r="E80" s="1"/>
    </row>
    <row r="81" customFormat="false" ht="12.8" hidden="false" customHeight="false" outlineLevel="0" collapsed="false">
      <c r="A81" s="1" t="s">
        <v>331</v>
      </c>
      <c r="B81" s="1" t="s">
        <v>332</v>
      </c>
      <c r="C81" s="1" t="n">
        <v>0.8</v>
      </c>
      <c r="D81" s="1" t="s">
        <v>333</v>
      </c>
      <c r="E81" s="1"/>
    </row>
    <row r="82" customFormat="false" ht="12.8" hidden="false" customHeight="false" outlineLevel="0" collapsed="false">
      <c r="A82" s="1" t="s">
        <v>334</v>
      </c>
      <c r="B82" s="1" t="s">
        <v>335</v>
      </c>
      <c r="C82" s="1" t="n">
        <v>0.78</v>
      </c>
      <c r="D82" s="1" t="s">
        <v>336</v>
      </c>
      <c r="E82" s="1"/>
    </row>
    <row r="83" customFormat="false" ht="12.8" hidden="false" customHeight="false" outlineLevel="0" collapsed="false">
      <c r="A83" s="1" t="s">
        <v>337</v>
      </c>
      <c r="B83" s="1" t="s">
        <v>338</v>
      </c>
      <c r="C83" s="1" t="n">
        <v>0.92</v>
      </c>
      <c r="D83" s="1" t="s">
        <v>339</v>
      </c>
      <c r="E83" s="1"/>
    </row>
    <row r="84" customFormat="false" ht="12.8" hidden="false" customHeight="false" outlineLevel="0" collapsed="false">
      <c r="A84" s="1" t="s">
        <v>340</v>
      </c>
      <c r="B84" s="1" t="s">
        <v>341</v>
      </c>
      <c r="C84" s="1" t="n">
        <v>0.9</v>
      </c>
      <c r="D84" s="1" t="s">
        <v>342</v>
      </c>
      <c r="E84" s="1"/>
    </row>
    <row r="85" customFormat="false" ht="12.8" hidden="false" customHeight="false" outlineLevel="0" collapsed="false">
      <c r="A85" s="1" t="s">
        <v>343</v>
      </c>
      <c r="B85" s="1" t="s">
        <v>344</v>
      </c>
      <c r="C85" s="1" t="n">
        <v>0.85</v>
      </c>
      <c r="D85" s="1" t="s">
        <v>345</v>
      </c>
      <c r="E85" s="1"/>
    </row>
    <row r="86" customFormat="false" ht="12.8" hidden="false" customHeight="false" outlineLevel="0" collapsed="false">
      <c r="A86" s="1" t="s">
        <v>346</v>
      </c>
      <c r="B86" s="1" t="s">
        <v>347</v>
      </c>
      <c r="C86" s="1" t="n">
        <v>0.8</v>
      </c>
      <c r="D86" s="1" t="s">
        <v>348</v>
      </c>
      <c r="E86" s="1"/>
    </row>
    <row r="87" customFormat="false" ht="12.8" hidden="false" customHeight="false" outlineLevel="0" collapsed="false">
      <c r="A87" s="1" t="s">
        <v>349</v>
      </c>
      <c r="B87" s="1" t="s">
        <v>350</v>
      </c>
      <c r="C87" s="1" t="n">
        <v>0.88</v>
      </c>
      <c r="D87" s="1" t="s">
        <v>351</v>
      </c>
      <c r="E87" s="1"/>
    </row>
    <row r="88" customFormat="false" ht="12.8" hidden="false" customHeight="false" outlineLevel="0" collapsed="false">
      <c r="A88" s="1" t="s">
        <v>352</v>
      </c>
      <c r="B88" s="1" t="s">
        <v>353</v>
      </c>
      <c r="C88" s="1" t="n">
        <v>0.86</v>
      </c>
      <c r="D88" s="1" t="s">
        <v>354</v>
      </c>
      <c r="E88" s="1"/>
    </row>
    <row r="89" customFormat="false" ht="12.8" hidden="false" customHeight="false" outlineLevel="0" collapsed="false">
      <c r="A89" s="1" t="s">
        <v>355</v>
      </c>
      <c r="B89" s="1" t="s">
        <v>356</v>
      </c>
      <c r="C89" s="1" t="n">
        <v>0.9</v>
      </c>
      <c r="D89" s="1" t="s">
        <v>357</v>
      </c>
      <c r="E89" s="1"/>
    </row>
    <row r="90" customFormat="false" ht="12.8" hidden="false" customHeight="false" outlineLevel="0" collapsed="false">
      <c r="A90" s="1" t="s">
        <v>358</v>
      </c>
      <c r="B90" s="1" t="s">
        <v>359</v>
      </c>
      <c r="C90" s="1" t="n">
        <v>1.25</v>
      </c>
      <c r="D90" s="1" t="s">
        <v>360</v>
      </c>
      <c r="E90" s="1"/>
    </row>
    <row r="91" customFormat="false" ht="12.8" hidden="false" customHeight="false" outlineLevel="0" collapsed="false">
      <c r="A91" s="1" t="s">
        <v>361</v>
      </c>
      <c r="B91" s="1" t="s">
        <v>362</v>
      </c>
      <c r="C91" s="1" t="n">
        <v>20</v>
      </c>
      <c r="D91" s="1" t="s">
        <v>363</v>
      </c>
      <c r="E91" s="1" t="s">
        <v>364</v>
      </c>
    </row>
    <row r="92" customFormat="false" ht="12.8" hidden="false" customHeight="false" outlineLevel="0" collapsed="false">
      <c r="A92" s="1" t="s">
        <v>365</v>
      </c>
      <c r="B92" s="1" t="s">
        <v>366</v>
      </c>
      <c r="C92" s="1" t="n">
        <v>26</v>
      </c>
      <c r="D92" s="1" t="s">
        <v>367</v>
      </c>
      <c r="E92" s="1" t="s">
        <v>368</v>
      </c>
    </row>
    <row r="93" customFormat="false" ht="12.8" hidden="false" customHeight="false" outlineLevel="0" collapsed="false">
      <c r="A93" s="1" t="s">
        <v>369</v>
      </c>
      <c r="B93" s="1" t="s">
        <v>370</v>
      </c>
      <c r="C93" s="1" t="n">
        <v>15</v>
      </c>
      <c r="D93" s="1" t="s">
        <v>371</v>
      </c>
      <c r="E93" s="1" t="s">
        <v>364</v>
      </c>
    </row>
    <row r="94" customFormat="false" ht="12.8" hidden="false" customHeight="false" outlineLevel="0" collapsed="false">
      <c r="A94" s="1" t="s">
        <v>372</v>
      </c>
      <c r="B94" s="1" t="s">
        <v>373</v>
      </c>
      <c r="C94" s="1" t="n">
        <v>14</v>
      </c>
      <c r="D94" s="1" t="s">
        <v>374</v>
      </c>
      <c r="E94" s="1" t="s">
        <v>364</v>
      </c>
    </row>
    <row r="95" customFormat="false" ht="12.8" hidden="false" customHeight="false" outlineLevel="0" collapsed="false">
      <c r="A95" s="1" t="s">
        <v>375</v>
      </c>
      <c r="B95" s="1" t="s">
        <v>376</v>
      </c>
      <c r="C95" s="1" t="n">
        <v>23</v>
      </c>
      <c r="D95" s="1" t="s">
        <v>377</v>
      </c>
      <c r="E95" s="1" t="s">
        <v>378</v>
      </c>
    </row>
    <row r="96" customFormat="false" ht="12.8" hidden="false" customHeight="false" outlineLevel="0" collapsed="false">
      <c r="A96" s="1" t="s">
        <v>379</v>
      </c>
      <c r="B96" s="1" t="s">
        <v>380</v>
      </c>
      <c r="C96" s="1" t="n">
        <v>24</v>
      </c>
      <c r="D96" s="1" t="s">
        <v>381</v>
      </c>
      <c r="E96" s="1" t="s">
        <v>364</v>
      </c>
    </row>
    <row r="97" customFormat="false" ht="12.8" hidden="false" customHeight="false" outlineLevel="0" collapsed="false">
      <c r="A97" s="1" t="s">
        <v>382</v>
      </c>
      <c r="B97" s="1" t="s">
        <v>383</v>
      </c>
      <c r="C97" s="1" t="n">
        <v>17</v>
      </c>
      <c r="D97" s="1" t="s">
        <v>384</v>
      </c>
      <c r="E97" s="1" t="s">
        <v>364</v>
      </c>
    </row>
    <row r="98" customFormat="false" ht="12.8" hidden="false" customHeight="false" outlineLevel="0" collapsed="false">
      <c r="A98" s="1" t="s">
        <v>385</v>
      </c>
      <c r="B98" s="1" t="s">
        <v>386</v>
      </c>
      <c r="C98" s="1" t="n">
        <v>18</v>
      </c>
      <c r="D98" s="1" t="s">
        <v>387</v>
      </c>
      <c r="E98" s="1" t="s">
        <v>364</v>
      </c>
    </row>
    <row r="99" customFormat="false" ht="12.8" hidden="false" customHeight="false" outlineLevel="0" collapsed="false">
      <c r="A99" s="1" t="s">
        <v>388</v>
      </c>
      <c r="B99" s="1" t="s">
        <v>389</v>
      </c>
      <c r="C99" s="1" t="n">
        <v>25</v>
      </c>
      <c r="D99" s="1" t="s">
        <v>390</v>
      </c>
      <c r="E99" s="1" t="s">
        <v>368</v>
      </c>
    </row>
    <row r="100" customFormat="false" ht="12.8" hidden="false" customHeight="false" outlineLevel="0" collapsed="false">
      <c r="A100" s="1" t="s">
        <v>391</v>
      </c>
      <c r="B100" s="1" t="s">
        <v>392</v>
      </c>
      <c r="C100" s="1" t="n">
        <v>14</v>
      </c>
      <c r="D100" s="1" t="s">
        <v>393</v>
      </c>
      <c r="E100" s="1" t="s">
        <v>364</v>
      </c>
    </row>
    <row r="101" customFormat="false" ht="12.8" hidden="false" customHeight="false" outlineLevel="0" collapsed="false">
      <c r="A101" s="1" t="s">
        <v>394</v>
      </c>
      <c r="B101" s="1" t="s">
        <v>395</v>
      </c>
      <c r="C101" s="1" t="n">
        <v>0.96</v>
      </c>
      <c r="D101" s="1" t="s">
        <v>396</v>
      </c>
      <c r="E101" s="1" t="s">
        <v>397</v>
      </c>
    </row>
    <row r="102" customFormat="false" ht="12.8" hidden="false" customHeight="false" outlineLevel="0" collapsed="false">
      <c r="A102" s="1" t="s">
        <v>398</v>
      </c>
      <c r="B102" s="1" t="s">
        <v>399</v>
      </c>
      <c r="C102" s="1" t="n">
        <v>0.88</v>
      </c>
      <c r="D102" s="1" t="s">
        <v>400</v>
      </c>
      <c r="E102" s="1" t="s">
        <v>401</v>
      </c>
    </row>
    <row r="103" customFormat="false" ht="12.8" hidden="false" customHeight="false" outlineLevel="0" collapsed="false">
      <c r="A103" s="1" t="s">
        <v>402</v>
      </c>
      <c r="B103" s="1" t="s">
        <v>403</v>
      </c>
      <c r="C103" s="1" t="n">
        <v>0.93</v>
      </c>
      <c r="D103" s="1" t="s">
        <v>404</v>
      </c>
      <c r="E103" s="1" t="s">
        <v>405</v>
      </c>
    </row>
    <row r="104" customFormat="false" ht="12.8" hidden="false" customHeight="false" outlineLevel="0" collapsed="false">
      <c r="A104" s="1" t="s">
        <v>406</v>
      </c>
      <c r="B104" s="1" t="s">
        <v>407</v>
      </c>
      <c r="C104" s="1" t="n">
        <v>0.98</v>
      </c>
      <c r="D104" s="1" t="s">
        <v>408</v>
      </c>
      <c r="E104" s="1" t="s">
        <v>405</v>
      </c>
    </row>
    <row r="105" customFormat="false" ht="12.8" hidden="false" customHeight="false" outlineLevel="0" collapsed="false">
      <c r="A105" s="1" t="s">
        <v>409</v>
      </c>
      <c r="B105" s="1" t="s">
        <v>410</v>
      </c>
      <c r="C105" s="1" t="n">
        <v>2090000000</v>
      </c>
      <c r="D105" s="1" t="s">
        <v>411</v>
      </c>
      <c r="E105" s="1" t="s">
        <v>412</v>
      </c>
    </row>
    <row r="106" customFormat="false" ht="12.8" hidden="false" customHeight="false" outlineLevel="0" collapsed="false">
      <c r="A106" s="1" t="s">
        <v>413</v>
      </c>
      <c r="B106" s="1" t="s">
        <v>414</v>
      </c>
      <c r="C106" s="1" t="n">
        <v>3240000000</v>
      </c>
      <c r="D106" s="1" t="s">
        <v>415</v>
      </c>
      <c r="E106" s="1" t="s">
        <v>416</v>
      </c>
    </row>
    <row r="107" customFormat="false" ht="12.8" hidden="false" customHeight="false" outlineLevel="0" collapsed="false">
      <c r="A107" s="1" t="s">
        <v>417</v>
      </c>
      <c r="B107" s="1" t="s">
        <v>418</v>
      </c>
      <c r="C107" s="1" t="n">
        <v>0.85</v>
      </c>
      <c r="D107" s="1" t="s">
        <v>419</v>
      </c>
      <c r="E107" s="1" t="s">
        <v>420</v>
      </c>
    </row>
    <row r="108" customFormat="false" ht="12.8" hidden="false" customHeight="false" outlineLevel="0" collapsed="false">
      <c r="A108" s="1" t="s">
        <v>421</v>
      </c>
      <c r="B108" s="1" t="s">
        <v>422</v>
      </c>
      <c r="C108" s="1" t="n">
        <v>0.87</v>
      </c>
      <c r="D108" s="1" t="s">
        <v>423</v>
      </c>
      <c r="E108" s="1" t="s">
        <v>420</v>
      </c>
    </row>
    <row r="109" customFormat="false" ht="12.8" hidden="false" customHeight="false" outlineLevel="0" collapsed="false">
      <c r="A109" s="1" t="s">
        <v>424</v>
      </c>
      <c r="B109" s="1" t="s">
        <v>425</v>
      </c>
      <c r="C109" s="1" t="n">
        <v>0.9</v>
      </c>
      <c r="D109" s="1" t="s">
        <v>426</v>
      </c>
      <c r="E109" s="1" t="s">
        <v>427</v>
      </c>
    </row>
    <row r="110" customFormat="false" ht="12.8" hidden="false" customHeight="false" outlineLevel="0" collapsed="false">
      <c r="A110" s="1" t="s">
        <v>428</v>
      </c>
      <c r="B110" s="1" t="s">
        <v>429</v>
      </c>
      <c r="C110" s="1" t="n">
        <v>0.88</v>
      </c>
      <c r="D110" s="1" t="s">
        <v>430</v>
      </c>
      <c r="E110" s="1" t="s">
        <v>431</v>
      </c>
    </row>
    <row r="111" customFormat="false" ht="12.8" hidden="false" customHeight="false" outlineLevel="0" collapsed="false">
      <c r="A111" s="1" t="s">
        <v>432</v>
      </c>
      <c r="B111" s="1" t="s">
        <v>433</v>
      </c>
      <c r="C111" s="1" t="n">
        <v>0.92</v>
      </c>
      <c r="D111" s="1" t="s">
        <v>434</v>
      </c>
      <c r="E111" s="1" t="s">
        <v>435</v>
      </c>
    </row>
    <row r="112" customFormat="false" ht="12.8" hidden="false" customHeight="false" outlineLevel="0" collapsed="false">
      <c r="A112" s="1" t="s">
        <v>436</v>
      </c>
      <c r="B112" s="1" t="s">
        <v>437</v>
      </c>
      <c r="C112" s="1" t="n">
        <v>0.93</v>
      </c>
      <c r="D112" s="1" t="s">
        <v>438</v>
      </c>
      <c r="E112" s="1" t="s">
        <v>439</v>
      </c>
    </row>
    <row r="113" customFormat="false" ht="12.8" hidden="false" customHeight="false" outlineLevel="0" collapsed="false">
      <c r="A113" s="1" t="s">
        <v>440</v>
      </c>
      <c r="B113" s="1" t="s">
        <v>441</v>
      </c>
      <c r="C113" s="1" t="n">
        <v>0.94</v>
      </c>
      <c r="D113" s="1" t="s">
        <v>442</v>
      </c>
      <c r="E113" s="1" t="s">
        <v>443</v>
      </c>
    </row>
    <row r="114" customFormat="false" ht="12.8" hidden="false" customHeight="false" outlineLevel="0" collapsed="false">
      <c r="A114" s="1" t="s">
        <v>444</v>
      </c>
      <c r="B114" s="1" t="s">
        <v>445</v>
      </c>
      <c r="C114" s="1" t="n">
        <v>0.88</v>
      </c>
      <c r="D114" s="1" t="s">
        <v>446</v>
      </c>
      <c r="E114" s="1" t="s">
        <v>447</v>
      </c>
    </row>
    <row r="115" customFormat="false" ht="12.8" hidden="false" customHeight="false" outlineLevel="0" collapsed="false">
      <c r="A115" s="1" t="s">
        <v>448</v>
      </c>
      <c r="B115" s="1" t="s">
        <v>449</v>
      </c>
      <c r="C115" s="1" t="n">
        <v>0.93</v>
      </c>
      <c r="D115" s="1" t="s">
        <v>450</v>
      </c>
      <c r="E115" s="1" t="s">
        <v>451</v>
      </c>
    </row>
    <row r="116" customFormat="false" ht="12.8" hidden="false" customHeight="false" outlineLevel="0" collapsed="false">
      <c r="A116" s="1" t="s">
        <v>452</v>
      </c>
      <c r="B116" s="1" t="s">
        <v>453</v>
      </c>
      <c r="C116" s="1" t="n">
        <v>0.91</v>
      </c>
      <c r="D116" s="1" t="s">
        <v>454</v>
      </c>
      <c r="E116" s="1" t="s">
        <v>455</v>
      </c>
    </row>
    <row r="117" customFormat="false" ht="12.8" hidden="false" customHeight="false" outlineLevel="0" collapsed="false">
      <c r="A117" s="1" t="s">
        <v>456</v>
      </c>
      <c r="B117" s="1" t="s">
        <v>457</v>
      </c>
      <c r="C117" s="1" t="n">
        <v>0.578</v>
      </c>
      <c r="D117" s="1" t="s">
        <v>458</v>
      </c>
      <c r="E117" s="1" t="s">
        <v>459</v>
      </c>
    </row>
    <row r="118" customFormat="false" ht="12.8" hidden="false" customHeight="false" outlineLevel="0" collapsed="false">
      <c r="A118" s="1" t="s">
        <v>460</v>
      </c>
      <c r="B118" s="1" t="s">
        <v>461</v>
      </c>
      <c r="C118" s="1" t="n">
        <v>0.65</v>
      </c>
      <c r="D118" s="1" t="s">
        <v>462</v>
      </c>
      <c r="E118" s="1" t="s">
        <v>463</v>
      </c>
    </row>
    <row r="119" customFormat="false" ht="12.8" hidden="false" customHeight="false" outlineLevel="0" collapsed="false">
      <c r="A119" s="1" t="s">
        <v>464</v>
      </c>
      <c r="B119" s="1" t="s">
        <v>465</v>
      </c>
      <c r="C119" s="1" t="n">
        <v>0.72</v>
      </c>
      <c r="D119" s="1" t="s">
        <v>466</v>
      </c>
      <c r="E119" s="1" t="s">
        <v>467</v>
      </c>
    </row>
    <row r="120" customFormat="false" ht="12.8" hidden="false" customHeight="false" outlineLevel="0" collapsed="false">
      <c r="A120" s="1" t="s">
        <v>468</v>
      </c>
      <c r="B120" s="1" t="s">
        <v>469</v>
      </c>
      <c r="C120" s="1" t="n">
        <v>1.05</v>
      </c>
      <c r="D120" s="1" t="s">
        <v>470</v>
      </c>
      <c r="E120" s="1" t="s">
        <v>471</v>
      </c>
    </row>
    <row r="121" customFormat="false" ht="12.8" hidden="false" customHeight="false" outlineLevel="0" collapsed="false">
      <c r="A121" s="1" t="s">
        <v>472</v>
      </c>
      <c r="B121" s="1" t="s">
        <v>473</v>
      </c>
      <c r="C121" s="1" t="n">
        <v>1.03</v>
      </c>
      <c r="D121" s="1" t="s">
        <v>474</v>
      </c>
      <c r="E121" s="1" t="s">
        <v>475</v>
      </c>
    </row>
    <row r="122" customFormat="false" ht="12.8" hidden="false" customHeight="false" outlineLevel="0" collapsed="false">
      <c r="A122" s="1" t="s">
        <v>476</v>
      </c>
      <c r="B122" s="1" t="s">
        <v>477</v>
      </c>
      <c r="C122" s="1" t="n">
        <v>0.98</v>
      </c>
      <c r="D122" s="1" t="s">
        <v>478</v>
      </c>
      <c r="E122" s="1" t="s">
        <v>479</v>
      </c>
    </row>
    <row r="123" customFormat="false" ht="12.8" hidden="false" customHeight="false" outlineLevel="0" collapsed="false">
      <c r="A123" s="1" t="s">
        <v>480</v>
      </c>
      <c r="B123" s="1" t="s">
        <v>481</v>
      </c>
      <c r="C123" s="1" t="n">
        <v>1.02</v>
      </c>
      <c r="D123" s="1" t="s">
        <v>482</v>
      </c>
      <c r="E123" s="1" t="s">
        <v>483</v>
      </c>
    </row>
    <row r="124" customFormat="false" ht="12.8" hidden="false" customHeight="false" outlineLevel="0" collapsed="false">
      <c r="A124" s="1" t="s">
        <v>484</v>
      </c>
      <c r="B124" s="1" t="s">
        <v>485</v>
      </c>
      <c r="C124" s="1" t="n">
        <v>1.04</v>
      </c>
      <c r="D124" s="1" t="s">
        <v>486</v>
      </c>
      <c r="E124" s="1" t="s">
        <v>487</v>
      </c>
    </row>
    <row r="125" customFormat="false" ht="12.8" hidden="false" customHeight="false" outlineLevel="0" collapsed="false">
      <c r="A125" s="1" t="s">
        <v>488</v>
      </c>
      <c r="B125" s="1" t="s">
        <v>489</v>
      </c>
      <c r="C125" s="1" t="n">
        <v>0.96</v>
      </c>
      <c r="D125" s="1" t="s">
        <v>490</v>
      </c>
      <c r="E125" s="1" t="s">
        <v>491</v>
      </c>
    </row>
    <row r="126" customFormat="false" ht="12.8" hidden="false" customHeight="false" outlineLevel="0" collapsed="false">
      <c r="A126" s="1" t="s">
        <v>492</v>
      </c>
      <c r="B126" s="1" t="s">
        <v>493</v>
      </c>
      <c r="C126" s="1" t="n">
        <v>1.1</v>
      </c>
      <c r="D126" s="1" t="s">
        <v>494</v>
      </c>
      <c r="E126" s="1" t="s">
        <v>495</v>
      </c>
    </row>
    <row r="127" customFormat="false" ht="12.8" hidden="false" customHeight="false" outlineLevel="0" collapsed="false">
      <c r="A127" s="1" t="s">
        <v>496</v>
      </c>
      <c r="B127" s="1" t="s">
        <v>497</v>
      </c>
      <c r="C127" s="1" t="n">
        <v>1.01</v>
      </c>
      <c r="D127" s="1" t="s">
        <v>498</v>
      </c>
      <c r="E127" s="1" t="s">
        <v>499</v>
      </c>
    </row>
    <row r="128" customFormat="false" ht="12.8" hidden="false" customHeight="false" outlineLevel="0" collapsed="false">
      <c r="A128" s="1" t="s">
        <v>500</v>
      </c>
      <c r="B128" s="1" t="s">
        <v>501</v>
      </c>
      <c r="C128" s="1" t="n">
        <v>0.98</v>
      </c>
      <c r="D128" s="1" t="s">
        <v>502</v>
      </c>
      <c r="E128" s="1" t="s">
        <v>503</v>
      </c>
    </row>
    <row r="129" customFormat="false" ht="12.8" hidden="false" customHeight="false" outlineLevel="0" collapsed="false">
      <c r="A129" s="1" t="s">
        <v>504</v>
      </c>
      <c r="B129" s="1" t="s">
        <v>505</v>
      </c>
      <c r="C129" s="1" t="n">
        <v>1.05</v>
      </c>
      <c r="D129" s="1" t="s">
        <v>506</v>
      </c>
      <c r="E129" s="1" t="s">
        <v>507</v>
      </c>
    </row>
    <row r="130" customFormat="false" ht="12.8" hidden="false" customHeight="false" outlineLevel="0" collapsed="false">
      <c r="A130" s="1" t="s">
        <v>508</v>
      </c>
      <c r="B130" s="1" t="s">
        <v>469</v>
      </c>
      <c r="C130" s="1" t="n">
        <v>1.08</v>
      </c>
      <c r="D130" s="1" t="s">
        <v>470</v>
      </c>
      <c r="E130" s="1" t="s">
        <v>509</v>
      </c>
    </row>
    <row r="131" customFormat="false" ht="12.8" hidden="false" customHeight="false" outlineLevel="0" collapsed="false">
      <c r="A131" s="1" t="s">
        <v>510</v>
      </c>
      <c r="B131" s="1" t="s">
        <v>473</v>
      </c>
      <c r="C131" s="1" t="n">
        <v>1.06</v>
      </c>
      <c r="D131" s="1" t="s">
        <v>474</v>
      </c>
      <c r="E131" s="1" t="s">
        <v>511</v>
      </c>
    </row>
    <row r="132" customFormat="false" ht="12.8" hidden="false" customHeight="false" outlineLevel="0" collapsed="false">
      <c r="A132" s="1" t="s">
        <v>512</v>
      </c>
      <c r="B132" s="1" t="s">
        <v>477</v>
      </c>
      <c r="C132" s="1" t="n">
        <v>0.95</v>
      </c>
      <c r="D132" s="1" t="s">
        <v>478</v>
      </c>
      <c r="E132" s="1" t="s">
        <v>513</v>
      </c>
    </row>
    <row r="133" customFormat="false" ht="12.8" hidden="false" customHeight="false" outlineLevel="0" collapsed="false">
      <c r="A133" s="1" t="s">
        <v>514</v>
      </c>
      <c r="B133" s="1" t="s">
        <v>515</v>
      </c>
      <c r="C133" s="1" t="n">
        <v>1.05</v>
      </c>
      <c r="D133" s="1" t="s">
        <v>516</v>
      </c>
      <c r="E133" s="1" t="s">
        <v>517</v>
      </c>
    </row>
    <row r="134" customFormat="false" ht="12.8" hidden="false" customHeight="false" outlineLevel="0" collapsed="false">
      <c r="A134" s="1" t="s">
        <v>518</v>
      </c>
      <c r="B134" s="1" t="s">
        <v>519</v>
      </c>
      <c r="C134" s="1" t="n">
        <v>0.95</v>
      </c>
      <c r="D134" s="1" t="s">
        <v>520</v>
      </c>
      <c r="E134" s="1" t="s">
        <v>521</v>
      </c>
    </row>
    <row r="135" customFormat="false" ht="12.8" hidden="false" customHeight="false" outlineLevel="0" collapsed="false">
      <c r="A135" s="1" t="s">
        <v>522</v>
      </c>
      <c r="B135" s="1" t="s">
        <v>523</v>
      </c>
      <c r="C135" s="1" t="n">
        <v>15000</v>
      </c>
      <c r="D135" s="1" t="s">
        <v>524</v>
      </c>
      <c r="E135" s="1" t="s">
        <v>525</v>
      </c>
    </row>
    <row r="136" customFormat="false" ht="12.8" hidden="false" customHeight="false" outlineLevel="0" collapsed="false">
      <c r="A136" s="1" t="s">
        <v>526</v>
      </c>
      <c r="B136" s="1" t="s">
        <v>527</v>
      </c>
      <c r="C136" s="1" t="n">
        <v>112100</v>
      </c>
      <c r="D136" s="1" t="s">
        <v>528</v>
      </c>
      <c r="E136" s="1" t="s">
        <v>529</v>
      </c>
    </row>
    <row r="137" customFormat="false" ht="12.8" hidden="false" customHeight="false" outlineLevel="0" collapsed="false">
      <c r="A137" s="1" t="s">
        <v>530</v>
      </c>
      <c r="B137" s="1" t="s">
        <v>531</v>
      </c>
      <c r="C137" s="1" t="n">
        <v>217300</v>
      </c>
      <c r="D137" s="1" t="s">
        <v>532</v>
      </c>
      <c r="E137" s="1" t="s">
        <v>533</v>
      </c>
    </row>
    <row r="138" customFormat="false" ht="12.8" hidden="false" customHeight="false" outlineLevel="0" collapsed="false">
      <c r="A138" s="1" t="s">
        <v>534</v>
      </c>
      <c r="B138" s="1" t="s">
        <v>535</v>
      </c>
      <c r="C138" s="1" t="n">
        <v>45000</v>
      </c>
      <c r="D138" s="1" t="s">
        <v>536</v>
      </c>
      <c r="E138" s="1" t="s">
        <v>537</v>
      </c>
    </row>
    <row r="139" customFormat="false" ht="12.8" hidden="false" customHeight="false" outlineLevel="0" collapsed="false">
      <c r="A139" s="1" t="s">
        <v>538</v>
      </c>
      <c r="B139" s="1" t="s">
        <v>539</v>
      </c>
      <c r="C139" s="1" t="n">
        <v>287100</v>
      </c>
      <c r="D139" s="1" t="s">
        <v>540</v>
      </c>
      <c r="E139" s="1" t="s">
        <v>529</v>
      </c>
    </row>
    <row r="140" customFormat="false" ht="12.8" hidden="false" customHeight="false" outlineLevel="0" collapsed="false">
      <c r="A140" s="1" t="s">
        <v>541</v>
      </c>
      <c r="B140" s="1" t="s">
        <v>542</v>
      </c>
      <c r="C140" s="1" t="n">
        <v>75000</v>
      </c>
      <c r="D140" s="1" t="s">
        <v>543</v>
      </c>
      <c r="E140" s="1" t="s">
        <v>544</v>
      </c>
    </row>
    <row r="141" customFormat="false" ht="12.8" hidden="false" customHeight="false" outlineLevel="0" collapsed="false">
      <c r="A141" s="1" t="s">
        <v>545</v>
      </c>
      <c r="B141" s="1" t="s">
        <v>546</v>
      </c>
      <c r="C141" s="1" t="n">
        <v>200000</v>
      </c>
      <c r="D141" s="1" t="s">
        <v>547</v>
      </c>
      <c r="E141" s="1" t="s">
        <v>548</v>
      </c>
    </row>
    <row r="142" customFormat="false" ht="12.8" hidden="false" customHeight="false" outlineLevel="0" collapsed="false">
      <c r="A142" s="1" t="s">
        <v>549</v>
      </c>
      <c r="B142" s="1" t="s">
        <v>550</v>
      </c>
      <c r="C142" s="1" t="n">
        <v>23000</v>
      </c>
      <c r="D142" s="1" t="s">
        <v>551</v>
      </c>
      <c r="E142" s="1" t="s">
        <v>537</v>
      </c>
    </row>
    <row r="143" customFormat="false" ht="12.8" hidden="false" customHeight="false" outlineLevel="0" collapsed="false">
      <c r="A143" s="1" t="s">
        <v>552</v>
      </c>
      <c r="B143" s="1" t="s">
        <v>553</v>
      </c>
      <c r="C143" s="1" t="n">
        <v>15000</v>
      </c>
      <c r="D143" s="1" t="s">
        <v>554</v>
      </c>
      <c r="E143" s="1" t="s">
        <v>537</v>
      </c>
    </row>
    <row r="144" customFormat="false" ht="12.8" hidden="false" customHeight="false" outlineLevel="0" collapsed="false">
      <c r="A144" s="1" t="s">
        <v>555</v>
      </c>
      <c r="B144" s="1" t="s">
        <v>556</v>
      </c>
      <c r="C144" s="1" t="n">
        <v>98600</v>
      </c>
      <c r="D144" s="1" t="s">
        <v>557</v>
      </c>
      <c r="E144" s="1" t="s">
        <v>529</v>
      </c>
    </row>
    <row r="145" customFormat="false" ht="12.8" hidden="false" customHeight="false" outlineLevel="0" collapsed="false">
      <c r="A145" s="1" t="s">
        <v>558</v>
      </c>
      <c r="B145" s="1" t="s">
        <v>559</v>
      </c>
      <c r="C145" s="1" t="n">
        <v>0.25</v>
      </c>
      <c r="D145" s="1" t="s">
        <v>560</v>
      </c>
      <c r="E145" s="1" t="s">
        <v>561</v>
      </c>
    </row>
    <row r="146" customFormat="false" ht="12.8" hidden="false" customHeight="false" outlineLevel="0" collapsed="false">
      <c r="A146" s="1" t="s">
        <v>562</v>
      </c>
      <c r="B146" s="1" t="s">
        <v>563</v>
      </c>
      <c r="C146" s="1" t="n">
        <v>0.2</v>
      </c>
      <c r="D146" s="1" t="s">
        <v>564</v>
      </c>
      <c r="E146" s="1" t="s">
        <v>416</v>
      </c>
    </row>
    <row r="147" customFormat="false" ht="12.8" hidden="false" customHeight="false" outlineLevel="0" collapsed="false">
      <c r="A147" s="1" t="s">
        <v>565</v>
      </c>
      <c r="B147" s="1" t="s">
        <v>566</v>
      </c>
      <c r="C147" s="1" t="n">
        <v>0</v>
      </c>
      <c r="D147" s="1" t="s">
        <v>567</v>
      </c>
      <c r="E147" s="1" t="s">
        <v>568</v>
      </c>
    </row>
    <row r="148" customFormat="false" ht="12.8" hidden="false" customHeight="false" outlineLevel="0" collapsed="false">
      <c r="A148" s="1" t="s">
        <v>569</v>
      </c>
      <c r="B148" s="1" t="s">
        <v>570</v>
      </c>
      <c r="C148" s="1" t="n">
        <v>3000</v>
      </c>
      <c r="D148" s="1" t="s">
        <v>571</v>
      </c>
      <c r="E148" s="1" t="s">
        <v>572</v>
      </c>
    </row>
    <row r="149" customFormat="false" ht="12.8" hidden="false" customHeight="false" outlineLevel="0" collapsed="false">
      <c r="A149" s="1" t="s">
        <v>573</v>
      </c>
      <c r="B149" s="1" t="s">
        <v>574</v>
      </c>
      <c r="C149" s="1" t="n">
        <v>2800</v>
      </c>
      <c r="D149" s="1" t="s">
        <v>575</v>
      </c>
      <c r="E149" s="1" t="s">
        <v>576</v>
      </c>
    </row>
    <row r="150" customFormat="false" ht="12.8" hidden="false" customHeight="false" outlineLevel="0" collapsed="false">
      <c r="A150" s="1" t="s">
        <v>577</v>
      </c>
      <c r="B150" s="1" t="s">
        <v>578</v>
      </c>
      <c r="C150" s="1" t="n">
        <v>0</v>
      </c>
      <c r="D150" s="1" t="s">
        <v>579</v>
      </c>
      <c r="E150" s="1" t="s">
        <v>580</v>
      </c>
    </row>
    <row r="151" customFormat="false" ht="12.8" hidden="false" customHeight="false" outlineLevel="0" collapsed="false">
      <c r="A151" s="1" t="s">
        <v>581</v>
      </c>
      <c r="B151" s="1" t="s">
        <v>582</v>
      </c>
      <c r="C151" s="1" t="n">
        <v>0.2</v>
      </c>
      <c r="D151" s="1" t="s">
        <v>583</v>
      </c>
      <c r="E151" s="1" t="s">
        <v>584</v>
      </c>
    </row>
    <row r="152" customFormat="false" ht="12.8" hidden="false" customHeight="false" outlineLevel="0" collapsed="false">
      <c r="A152" s="1" t="s">
        <v>585</v>
      </c>
      <c r="B152" s="1" t="s">
        <v>586</v>
      </c>
      <c r="C152" s="1" t="n">
        <v>0.4</v>
      </c>
      <c r="D152" s="1" t="s">
        <v>587</v>
      </c>
      <c r="E152" s="1" t="s">
        <v>588</v>
      </c>
    </row>
    <row r="153" customFormat="false" ht="12.8" hidden="false" customHeight="false" outlineLevel="0" collapsed="false">
      <c r="A153" s="1" t="s">
        <v>589</v>
      </c>
      <c r="B153" s="1" t="s">
        <v>590</v>
      </c>
      <c r="C153" s="1" t="n">
        <v>0.35</v>
      </c>
      <c r="D153" s="1" t="s">
        <v>591</v>
      </c>
      <c r="E153" s="1"/>
    </row>
    <row r="154" customFormat="false" ht="12.8" hidden="false" customHeight="false" outlineLevel="0" collapsed="false">
      <c r="A154" s="1" t="s">
        <v>592</v>
      </c>
      <c r="B154" s="1" t="s">
        <v>593</v>
      </c>
      <c r="C154" s="1" t="n">
        <v>0.1</v>
      </c>
      <c r="D154" s="1" t="s">
        <v>594</v>
      </c>
      <c r="E154" s="1" t="s">
        <v>595</v>
      </c>
    </row>
    <row r="155" customFormat="false" ht="12.8" hidden="false" customHeight="false" outlineLevel="0" collapsed="false">
      <c r="A155" s="1" t="s">
        <v>596</v>
      </c>
      <c r="B155" s="1" t="s">
        <v>597</v>
      </c>
      <c r="C155" s="1" t="n">
        <v>1400</v>
      </c>
      <c r="D155" s="1" t="s">
        <v>571</v>
      </c>
      <c r="E155" s="1" t="s">
        <v>598</v>
      </c>
    </row>
    <row r="156" customFormat="false" ht="12.8" hidden="false" customHeight="false" outlineLevel="0" collapsed="false">
      <c r="A156" s="1" t="s">
        <v>599</v>
      </c>
      <c r="B156" s="1" t="s">
        <v>600</v>
      </c>
      <c r="C156" s="1" t="n">
        <v>1300</v>
      </c>
      <c r="D156" s="1" t="s">
        <v>575</v>
      </c>
      <c r="E156" s="1"/>
    </row>
    <row r="157" customFormat="false" ht="12.8" hidden="false" customHeight="false" outlineLevel="0" collapsed="false">
      <c r="A157" s="1" t="s">
        <v>601</v>
      </c>
      <c r="B157" s="1" t="s">
        <v>602</v>
      </c>
      <c r="C157" s="1" t="n">
        <v>800</v>
      </c>
      <c r="D157" s="1" t="s">
        <v>603</v>
      </c>
      <c r="E157" s="1" t="s">
        <v>604</v>
      </c>
    </row>
    <row r="158" customFormat="false" ht="12.8" hidden="false" customHeight="false" outlineLevel="0" collapsed="false">
      <c r="A158" s="1" t="s">
        <v>605</v>
      </c>
      <c r="B158" s="1" t="s">
        <v>606</v>
      </c>
      <c r="C158" s="1" t="n">
        <v>0.15</v>
      </c>
      <c r="D158" s="1" t="s">
        <v>607</v>
      </c>
      <c r="E158" s="1" t="s">
        <v>608</v>
      </c>
    </row>
    <row r="159" customFormat="false" ht="12.8" hidden="false" customHeight="false" outlineLevel="0" collapsed="false">
      <c r="A159" s="1" t="s">
        <v>609</v>
      </c>
      <c r="B159" s="1" t="s">
        <v>610</v>
      </c>
      <c r="C159" s="1" t="n">
        <v>0.12</v>
      </c>
      <c r="D159" s="1" t="s">
        <v>611</v>
      </c>
    </row>
    <row r="160" customFormat="false" ht="12.8" hidden="false" customHeight="false" outlineLevel="0" collapsed="false">
      <c r="A160" s="1" t="s">
        <v>612</v>
      </c>
      <c r="B160" s="1" t="s">
        <v>613</v>
      </c>
      <c r="C160" s="1" t="n">
        <v>0.05</v>
      </c>
      <c r="D160" s="1" t="s">
        <v>603</v>
      </c>
      <c r="E160" s="1" t="s">
        <v>614</v>
      </c>
    </row>
    <row r="161" customFormat="false" ht="12.8" hidden="false" customHeight="false" outlineLevel="0" collapsed="false">
      <c r="A161" s="1" t="s">
        <v>615</v>
      </c>
      <c r="B161" s="1" t="s">
        <v>616</v>
      </c>
      <c r="C161" s="1" t="n">
        <v>1500</v>
      </c>
      <c r="D161" s="1" t="s">
        <v>571</v>
      </c>
      <c r="E161" s="1" t="s">
        <v>617</v>
      </c>
    </row>
    <row r="162" customFormat="false" ht="12.8" hidden="false" customHeight="false" outlineLevel="0" collapsed="false">
      <c r="A162" s="1" t="s">
        <v>618</v>
      </c>
      <c r="B162" s="1" t="s">
        <v>619</v>
      </c>
      <c r="C162" s="1" t="n">
        <v>1400</v>
      </c>
      <c r="D162" s="1" t="s">
        <v>575</v>
      </c>
    </row>
    <row r="163" customFormat="false" ht="12.8" hidden="false" customHeight="false" outlineLevel="0" collapsed="false">
      <c r="A163" s="1" t="s">
        <v>620</v>
      </c>
      <c r="B163" s="1" t="s">
        <v>621</v>
      </c>
      <c r="C163" s="1" t="n">
        <v>1000</v>
      </c>
      <c r="D163" s="1" t="s">
        <v>622</v>
      </c>
      <c r="E163" s="1" t="s">
        <v>623</v>
      </c>
    </row>
    <row r="164" customFormat="false" ht="12.8" hidden="false" customHeight="false" outlineLevel="0" collapsed="false">
      <c r="A164" s="1" t="s">
        <v>624</v>
      </c>
      <c r="B164" s="1" t="s">
        <v>625</v>
      </c>
      <c r="C164" s="11" t="n">
        <v>46053</v>
      </c>
      <c r="D164" s="1" t="s">
        <v>626</v>
      </c>
      <c r="E164" s="1" t="s">
        <v>529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9" activeCellId="1" sqref="C10 B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84"/>
    <col collapsed="false" customWidth="true" hidden="false" outlineLevel="0" max="2" min="2" style="1" width="36.9"/>
  </cols>
  <sheetData>
    <row r="1" customFormat="false" ht="12.8" hidden="false" customHeight="false" outlineLevel="0" collapsed="false">
      <c r="A1" s="1" t="s">
        <v>1</v>
      </c>
      <c r="B1" s="1" t="s">
        <v>627</v>
      </c>
    </row>
    <row r="2" customFormat="false" ht="12.8" hidden="false" customHeight="false" outlineLevel="0" collapsed="false">
      <c r="A2" s="1" t="s">
        <v>47</v>
      </c>
      <c r="B2" s="1" t="s">
        <v>48</v>
      </c>
    </row>
    <row r="3" customFormat="false" ht="12.8" hidden="false" customHeight="false" outlineLevel="0" collapsed="false">
      <c r="A3" s="1" t="s">
        <v>628</v>
      </c>
      <c r="C3" s="1"/>
      <c r="D3" s="1"/>
      <c r="E3" s="1"/>
    </row>
    <row r="4" customFormat="false" ht="12.8" hidden="false" customHeight="false" outlineLevel="0" collapsed="false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</row>
    <row r="5" customFormat="false" ht="12.8" hidden="false" customHeight="false" outlineLevel="0" collapsed="false">
      <c r="A5" s="1" t="n">
        <v>1</v>
      </c>
      <c r="B5" s="1" t="s">
        <v>55</v>
      </c>
      <c r="C5" s="1" t="s">
        <v>629</v>
      </c>
      <c r="D5" s="1" t="s">
        <v>57</v>
      </c>
      <c r="E5" s="1" t="s">
        <v>630</v>
      </c>
    </row>
    <row r="6" customFormat="false" ht="12.8" hidden="false" customHeight="false" outlineLevel="0" collapsed="false">
      <c r="A6" s="1" t="n">
        <v>2</v>
      </c>
      <c r="B6" s="1" t="s">
        <v>59</v>
      </c>
      <c r="C6" s="1" t="s">
        <v>60</v>
      </c>
      <c r="D6" s="1" t="s">
        <v>61</v>
      </c>
      <c r="E6" s="1"/>
    </row>
    <row r="7" customFormat="false" ht="12.8" hidden="false" customHeight="false" outlineLevel="0" collapsed="false">
      <c r="A7" s="1" t="n">
        <v>2.1</v>
      </c>
      <c r="B7" s="1" t="s">
        <v>62</v>
      </c>
      <c r="C7" s="1" t="s">
        <v>63</v>
      </c>
      <c r="D7" s="1" t="s">
        <v>631</v>
      </c>
      <c r="E7" s="1"/>
    </row>
    <row r="8" customFormat="false" ht="12.8" hidden="false" customHeight="false" outlineLevel="0" collapsed="false">
      <c r="A8" s="1" t="n">
        <v>2.2</v>
      </c>
      <c r="B8" s="1" t="s">
        <v>65</v>
      </c>
      <c r="C8" s="1" t="s">
        <v>66</v>
      </c>
      <c r="D8" s="1" t="s">
        <v>632</v>
      </c>
    </row>
    <row r="9" customFormat="false" ht="12.8" hidden="false" customHeight="false" outlineLevel="0" collapsed="false">
      <c r="A9" s="1" t="n">
        <v>4</v>
      </c>
      <c r="B9" s="1" t="s">
        <v>68</v>
      </c>
      <c r="C9" s="1" t="s">
        <v>69</v>
      </c>
      <c r="D9" s="1" t="s">
        <v>70</v>
      </c>
      <c r="E9" s="1" t="s">
        <v>633</v>
      </c>
    </row>
    <row r="10" customFormat="false" ht="12.8" hidden="false" customHeight="false" outlineLevel="0" collapsed="false">
      <c r="A10" s="1" t="n">
        <v>4.1</v>
      </c>
      <c r="B10" s="1" t="s">
        <v>72</v>
      </c>
      <c r="C10" s="1" t="s">
        <v>73</v>
      </c>
      <c r="D10" s="1" t="s">
        <v>74</v>
      </c>
      <c r="E10" s="1" t="s">
        <v>75</v>
      </c>
    </row>
    <row r="11" customFormat="false" ht="12.8" hidden="false" customHeight="false" outlineLevel="0" collapsed="false">
      <c r="A11" s="1" t="n">
        <v>5</v>
      </c>
      <c r="B11" s="1" t="s">
        <v>76</v>
      </c>
      <c r="C11" s="1" t="s">
        <v>634</v>
      </c>
      <c r="D11" s="1" t="s">
        <v>78</v>
      </c>
      <c r="E11" s="1" t="s">
        <v>79</v>
      </c>
    </row>
    <row r="12" customFormat="false" ht="12.8" hidden="false" customHeight="false" outlineLevel="0" collapsed="false">
      <c r="A12" s="1" t="n">
        <v>5.1</v>
      </c>
      <c r="B12" s="1" t="s">
        <v>80</v>
      </c>
      <c r="C12" s="1" t="s">
        <v>81</v>
      </c>
      <c r="D12" s="1" t="s">
        <v>82</v>
      </c>
      <c r="E12" s="1" t="s">
        <v>83</v>
      </c>
    </row>
    <row r="13" customFormat="false" ht="12.8" hidden="false" customHeight="false" outlineLevel="0" collapsed="false">
      <c r="A13" s="1" t="n">
        <v>6</v>
      </c>
      <c r="B13" s="1" t="s">
        <v>84</v>
      </c>
      <c r="C13" s="1" t="s">
        <v>85</v>
      </c>
      <c r="D13" s="1" t="s">
        <v>86</v>
      </c>
      <c r="E13" s="1" t="s">
        <v>635</v>
      </c>
    </row>
    <row r="14" customFormat="false" ht="12.8" hidden="false" customHeight="false" outlineLevel="0" collapsed="false">
      <c r="A14" s="1" t="n">
        <v>6.1</v>
      </c>
      <c r="B14" s="1" t="s">
        <v>88</v>
      </c>
      <c r="C14" s="1" t="s">
        <v>89</v>
      </c>
      <c r="D14" s="1" t="s">
        <v>90</v>
      </c>
      <c r="E14" s="1" t="s">
        <v>91</v>
      </c>
    </row>
    <row r="15" customFormat="false" ht="12.8" hidden="false" customHeight="false" outlineLevel="0" collapsed="false">
      <c r="A15" s="1" t="n">
        <v>7</v>
      </c>
      <c r="B15" s="1" t="s">
        <v>92</v>
      </c>
      <c r="C15" s="1" t="s">
        <v>93</v>
      </c>
      <c r="D15" s="1" t="s">
        <v>94</v>
      </c>
      <c r="E15" s="1" t="s">
        <v>95</v>
      </c>
    </row>
    <row r="16" customFormat="false" ht="12.8" hidden="false" customHeight="false" outlineLevel="0" collapsed="false">
      <c r="A16" s="1" t="n">
        <v>7.1</v>
      </c>
      <c r="B16" s="1" t="s">
        <v>96</v>
      </c>
      <c r="C16" s="1" t="s">
        <v>97</v>
      </c>
      <c r="D16" s="1" t="s">
        <v>98</v>
      </c>
      <c r="E16" s="1" t="s">
        <v>99</v>
      </c>
    </row>
    <row r="17" customFormat="false" ht="12.8" hidden="false" customHeight="false" outlineLevel="0" collapsed="false">
      <c r="A17" s="1" t="n">
        <v>8</v>
      </c>
      <c r="B17" s="1" t="s">
        <v>100</v>
      </c>
      <c r="C17" s="1" t="s">
        <v>101</v>
      </c>
      <c r="D17" s="1" t="s">
        <v>102</v>
      </c>
      <c r="E17" s="1" t="s">
        <v>103</v>
      </c>
    </row>
    <row r="18" customFormat="false" ht="12.8" hidden="false" customHeight="false" outlineLevel="0" collapsed="false">
      <c r="A18" s="1" t="n">
        <v>8.1</v>
      </c>
      <c r="B18" s="1" t="s">
        <v>104</v>
      </c>
      <c r="C18" s="1" t="s">
        <v>105</v>
      </c>
      <c r="D18" s="1" t="s">
        <v>106</v>
      </c>
      <c r="E18" s="1"/>
    </row>
    <row r="19" customFormat="false" ht="12.8" hidden="false" customHeight="false" outlineLevel="0" collapsed="false">
      <c r="A19" s="1" t="n">
        <v>9</v>
      </c>
      <c r="B19" s="1" t="s">
        <v>107</v>
      </c>
      <c r="C19" s="1" t="s">
        <v>108</v>
      </c>
      <c r="D19" s="1" t="s">
        <v>109</v>
      </c>
      <c r="E19" s="1" t="s">
        <v>110</v>
      </c>
    </row>
    <row r="20" customFormat="false" ht="12.8" hidden="false" customHeight="false" outlineLevel="0" collapsed="false">
      <c r="A20" s="1" t="n">
        <v>9.1</v>
      </c>
      <c r="B20" s="1" t="s">
        <v>111</v>
      </c>
      <c r="C20" s="1" t="s">
        <v>112</v>
      </c>
      <c r="D20" s="1" t="s">
        <v>113</v>
      </c>
      <c r="E20" s="1" t="s">
        <v>114</v>
      </c>
    </row>
    <row r="21" customFormat="false" ht="12.8" hidden="false" customHeight="false" outlineLevel="0" collapsed="false">
      <c r="A21" s="1" t="n">
        <v>10</v>
      </c>
      <c r="B21" s="1" t="s">
        <v>115</v>
      </c>
      <c r="C21" s="1" t="s">
        <v>116</v>
      </c>
      <c r="D21" s="1" t="s">
        <v>117</v>
      </c>
      <c r="E21" s="1" t="s">
        <v>118</v>
      </c>
    </row>
    <row r="22" customFormat="false" ht="12.8" hidden="false" customHeight="false" outlineLevel="0" collapsed="false">
      <c r="A22" s="1" t="n">
        <v>10.1</v>
      </c>
      <c r="B22" s="1" t="s">
        <v>119</v>
      </c>
      <c r="C22" s="1" t="s">
        <v>120</v>
      </c>
      <c r="D22" s="1" t="s">
        <v>121</v>
      </c>
      <c r="E22" s="1" t="s">
        <v>122</v>
      </c>
    </row>
    <row r="23" customFormat="false" ht="12.8" hidden="false" customHeight="false" outlineLevel="0" collapsed="false">
      <c r="A23" s="1" t="n">
        <v>13</v>
      </c>
      <c r="B23" s="1" t="s">
        <v>123</v>
      </c>
      <c r="C23" s="1" t="s">
        <v>124</v>
      </c>
      <c r="D23" s="1" t="s">
        <v>125</v>
      </c>
      <c r="E23" s="1" t="s">
        <v>636</v>
      </c>
    </row>
    <row r="24" customFormat="false" ht="12.8" hidden="false" customHeight="false" outlineLevel="0" collapsed="false">
      <c r="A24" s="1" t="n">
        <v>13.1</v>
      </c>
      <c r="B24" s="1" t="s">
        <v>127</v>
      </c>
      <c r="C24" s="1" t="s">
        <v>128</v>
      </c>
      <c r="D24" s="1" t="s">
        <v>129</v>
      </c>
      <c r="E24" s="1" t="s">
        <v>130</v>
      </c>
    </row>
    <row r="25" customFormat="false" ht="12.8" hidden="false" customHeight="false" outlineLevel="0" collapsed="false">
      <c r="A25" s="1" t="n">
        <v>14</v>
      </c>
      <c r="B25" s="1" t="s">
        <v>131</v>
      </c>
      <c r="C25" s="1" t="s">
        <v>132</v>
      </c>
      <c r="D25" s="1" t="s">
        <v>133</v>
      </c>
      <c r="E25" s="1" t="s">
        <v>134</v>
      </c>
    </row>
    <row r="26" customFormat="false" ht="12.8" hidden="false" customHeight="false" outlineLevel="0" collapsed="false">
      <c r="A26" s="1" t="n">
        <v>14.1</v>
      </c>
      <c r="B26" s="1" t="s">
        <v>135</v>
      </c>
      <c r="C26" s="1" t="s">
        <v>136</v>
      </c>
      <c r="D26" s="1" t="s">
        <v>137</v>
      </c>
      <c r="E26" s="1"/>
    </row>
    <row r="27" customFormat="false" ht="12.8" hidden="false" customHeight="false" outlineLevel="0" collapsed="false">
      <c r="A27" s="1" t="n">
        <v>15</v>
      </c>
      <c r="B27" s="1" t="s">
        <v>138</v>
      </c>
      <c r="C27" s="1" t="s">
        <v>139</v>
      </c>
      <c r="D27" s="1" t="s">
        <v>140</v>
      </c>
      <c r="E27" s="1" t="s">
        <v>141</v>
      </c>
    </row>
    <row r="28" customFormat="false" ht="12.8" hidden="false" customHeight="false" outlineLevel="0" collapsed="false">
      <c r="A28" s="1" t="n">
        <v>15.1</v>
      </c>
      <c r="B28" s="1" t="s">
        <v>142</v>
      </c>
      <c r="C28" s="1" t="s">
        <v>143</v>
      </c>
      <c r="D28" s="1" t="s">
        <v>137</v>
      </c>
      <c r="E28" s="1"/>
    </row>
    <row r="29" customFormat="false" ht="12.8" hidden="false" customHeight="false" outlineLevel="0" collapsed="false">
      <c r="A29" s="1" t="s">
        <v>144</v>
      </c>
      <c r="C29" s="1"/>
      <c r="D29" s="1"/>
      <c r="E29" s="1"/>
    </row>
    <row r="30" customFormat="false" ht="12.8" hidden="false" customHeight="false" outlineLevel="0" collapsed="false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149</v>
      </c>
    </row>
    <row r="31" customFormat="false" ht="12.8" hidden="false" customHeight="false" outlineLevel="0" collapsed="false">
      <c r="A31" s="1" t="s">
        <v>150</v>
      </c>
      <c r="B31" s="1" t="s">
        <v>151</v>
      </c>
      <c r="C31" s="1" t="n">
        <v>0.924</v>
      </c>
      <c r="D31" s="1" t="s">
        <v>637</v>
      </c>
      <c r="E31" s="1" t="s">
        <v>153</v>
      </c>
    </row>
    <row r="32" customFormat="false" ht="12.8" hidden="false" customHeight="false" outlineLevel="0" collapsed="false">
      <c r="A32" s="1" t="s">
        <v>154</v>
      </c>
      <c r="B32" s="1" t="s">
        <v>155</v>
      </c>
      <c r="C32" s="1" t="n">
        <v>0.04</v>
      </c>
      <c r="D32" s="1" t="s">
        <v>638</v>
      </c>
      <c r="E32" s="1" t="s">
        <v>157</v>
      </c>
    </row>
    <row r="33" customFormat="false" ht="12.8" hidden="false" customHeight="false" outlineLevel="0" collapsed="false">
      <c r="A33" s="1" t="s">
        <v>158</v>
      </c>
      <c r="B33" s="1" t="s">
        <v>159</v>
      </c>
      <c r="C33" s="1" t="n">
        <v>0.036</v>
      </c>
      <c r="D33" s="1" t="s">
        <v>639</v>
      </c>
      <c r="E33" s="1" t="s">
        <v>161</v>
      </c>
    </row>
    <row r="34" customFormat="false" ht="12.8" hidden="false" customHeight="false" outlineLevel="0" collapsed="false">
      <c r="A34" s="1" t="s">
        <v>162</v>
      </c>
      <c r="B34" s="1" t="s">
        <v>640</v>
      </c>
      <c r="C34" s="1" t="n">
        <v>0.079</v>
      </c>
      <c r="D34" s="1" t="s">
        <v>641</v>
      </c>
      <c r="E34" s="1" t="s">
        <v>642</v>
      </c>
    </row>
    <row r="35" customFormat="false" ht="12.8" hidden="false" customHeight="false" outlineLevel="0" collapsed="false">
      <c r="A35" s="1" t="s">
        <v>166</v>
      </c>
      <c r="B35" s="1" t="s">
        <v>643</v>
      </c>
      <c r="C35" s="1" t="n">
        <v>0.042</v>
      </c>
      <c r="D35" s="1" t="s">
        <v>644</v>
      </c>
      <c r="E35" s="1" t="s">
        <v>645</v>
      </c>
    </row>
    <row r="36" customFormat="false" ht="12.8" hidden="false" customHeight="false" outlineLevel="0" collapsed="false">
      <c r="A36" s="1" t="s">
        <v>170</v>
      </c>
      <c r="B36" s="1" t="s">
        <v>171</v>
      </c>
      <c r="C36" s="1" t="n">
        <v>1.2</v>
      </c>
      <c r="D36" s="1" t="s">
        <v>646</v>
      </c>
      <c r="E36" s="1" t="s">
        <v>173</v>
      </c>
    </row>
    <row r="37" customFormat="false" ht="12.8" hidden="false" customHeight="false" outlineLevel="0" collapsed="false">
      <c r="A37" s="1" t="s">
        <v>174</v>
      </c>
      <c r="B37" s="1" t="s">
        <v>175</v>
      </c>
      <c r="C37" s="1" t="n">
        <v>1.5</v>
      </c>
      <c r="D37" s="1" t="s">
        <v>647</v>
      </c>
      <c r="E37" s="1" t="s">
        <v>177</v>
      </c>
    </row>
    <row r="38" customFormat="false" ht="12.8" hidden="false" customHeight="false" outlineLevel="0" collapsed="false">
      <c r="A38" s="1" t="s">
        <v>178</v>
      </c>
      <c r="B38" s="1" t="s">
        <v>179</v>
      </c>
      <c r="C38" s="1" t="n">
        <v>1.3</v>
      </c>
      <c r="D38" s="1" t="s">
        <v>648</v>
      </c>
      <c r="E38" s="1" t="s">
        <v>181</v>
      </c>
    </row>
    <row r="39" customFormat="false" ht="12.8" hidden="false" customHeight="false" outlineLevel="0" collapsed="false">
      <c r="A39" s="1" t="s">
        <v>182</v>
      </c>
      <c r="B39" s="1" t="s">
        <v>183</v>
      </c>
      <c r="C39" s="1" t="n">
        <v>1.1</v>
      </c>
      <c r="D39" s="1" t="s">
        <v>649</v>
      </c>
      <c r="E39" s="1" t="s">
        <v>185</v>
      </c>
    </row>
    <row r="40" customFormat="false" ht="12.8" hidden="false" customHeight="false" outlineLevel="0" collapsed="false">
      <c r="A40" s="1" t="s">
        <v>186</v>
      </c>
      <c r="B40" s="1" t="s">
        <v>187</v>
      </c>
      <c r="C40" s="1" t="n">
        <v>1.4</v>
      </c>
      <c r="D40" s="1" t="s">
        <v>650</v>
      </c>
      <c r="E40" s="1" t="s">
        <v>189</v>
      </c>
    </row>
    <row r="41" customFormat="false" ht="12.8" hidden="false" customHeight="false" outlineLevel="0" collapsed="false">
      <c r="A41" s="1" t="s">
        <v>190</v>
      </c>
      <c r="B41" s="1" t="s">
        <v>191</v>
      </c>
      <c r="C41" s="1" t="n">
        <v>1.45</v>
      </c>
      <c r="D41" s="1" t="s">
        <v>651</v>
      </c>
      <c r="E41" s="1" t="s">
        <v>193</v>
      </c>
    </row>
    <row r="42" customFormat="false" ht="12.8" hidden="false" customHeight="false" outlineLevel="0" collapsed="false">
      <c r="A42" s="1" t="s">
        <v>194</v>
      </c>
      <c r="B42" s="1" t="s">
        <v>195</v>
      </c>
      <c r="C42" s="1" t="n">
        <v>0.8</v>
      </c>
      <c r="D42" s="1" t="s">
        <v>652</v>
      </c>
      <c r="E42" s="1" t="s">
        <v>197</v>
      </c>
    </row>
    <row r="43" customFormat="false" ht="12.8" hidden="false" customHeight="false" outlineLevel="0" collapsed="false">
      <c r="A43" s="1" t="s">
        <v>198</v>
      </c>
      <c r="B43" s="1" t="s">
        <v>199</v>
      </c>
      <c r="C43" s="1" t="n">
        <v>0.9</v>
      </c>
      <c r="D43" s="1" t="s">
        <v>653</v>
      </c>
      <c r="E43" s="1" t="s">
        <v>201</v>
      </c>
    </row>
    <row r="44" customFormat="false" ht="12.8" hidden="false" customHeight="false" outlineLevel="0" collapsed="false">
      <c r="A44" s="1" t="s">
        <v>202</v>
      </c>
      <c r="B44" s="1" t="s">
        <v>203</v>
      </c>
      <c r="C44" s="1" t="n">
        <v>1.05</v>
      </c>
      <c r="D44" s="1" t="s">
        <v>654</v>
      </c>
      <c r="E44" s="1" t="s">
        <v>205</v>
      </c>
    </row>
    <row r="45" customFormat="false" ht="12.8" hidden="false" customHeight="false" outlineLevel="0" collapsed="false">
      <c r="A45" s="1" t="s">
        <v>206</v>
      </c>
      <c r="B45" s="1" t="s">
        <v>207</v>
      </c>
      <c r="C45" s="1" t="n">
        <v>1.35</v>
      </c>
      <c r="D45" s="1" t="s">
        <v>655</v>
      </c>
      <c r="E45" s="1" t="s">
        <v>209</v>
      </c>
    </row>
    <row r="46" customFormat="false" ht="12.8" hidden="false" customHeight="false" outlineLevel="0" collapsed="false">
      <c r="A46" s="1" t="s">
        <v>210</v>
      </c>
      <c r="B46" s="1" t="s">
        <v>211</v>
      </c>
      <c r="C46" s="1" t="n">
        <v>0.95</v>
      </c>
      <c r="D46" s="1" t="s">
        <v>656</v>
      </c>
      <c r="E46" s="1" t="s">
        <v>213</v>
      </c>
    </row>
    <row r="47" customFormat="false" ht="12.8" hidden="false" customHeight="false" outlineLevel="0" collapsed="false">
      <c r="A47" s="1" t="s">
        <v>214</v>
      </c>
      <c r="B47" s="1" t="s">
        <v>215</v>
      </c>
      <c r="C47" s="1" t="n">
        <v>1</v>
      </c>
      <c r="D47" s="1" t="s">
        <v>657</v>
      </c>
      <c r="E47" s="1" t="s">
        <v>217</v>
      </c>
    </row>
    <row r="48" customFormat="false" ht="12.8" hidden="false" customHeight="false" outlineLevel="0" collapsed="false">
      <c r="A48" s="1" t="s">
        <v>218</v>
      </c>
      <c r="B48" s="1" t="s">
        <v>219</v>
      </c>
      <c r="C48" s="1" t="n">
        <v>0.0546</v>
      </c>
      <c r="D48" s="1" t="s">
        <v>658</v>
      </c>
      <c r="E48" s="1" t="s">
        <v>221</v>
      </c>
    </row>
    <row r="49" customFormat="false" ht="12.8" hidden="false" customHeight="false" outlineLevel="0" collapsed="false">
      <c r="A49" s="1" t="s">
        <v>222</v>
      </c>
      <c r="B49" s="1" t="s">
        <v>223</v>
      </c>
      <c r="C49" s="1" t="n">
        <v>0.0655</v>
      </c>
      <c r="D49" s="1" t="s">
        <v>659</v>
      </c>
      <c r="E49" s="1" t="s">
        <v>225</v>
      </c>
    </row>
    <row r="50" customFormat="false" ht="12.8" hidden="false" customHeight="false" outlineLevel="0" collapsed="false">
      <c r="A50" s="1" t="s">
        <v>226</v>
      </c>
      <c r="B50" s="1" t="s">
        <v>227</v>
      </c>
      <c r="C50" s="1" t="n">
        <v>0.0819</v>
      </c>
      <c r="D50" s="1" t="s">
        <v>660</v>
      </c>
      <c r="E50" s="1" t="s">
        <v>229</v>
      </c>
    </row>
    <row r="51" customFormat="false" ht="12.8" hidden="false" customHeight="false" outlineLevel="0" collapsed="false">
      <c r="A51" s="1" t="s">
        <v>230</v>
      </c>
      <c r="B51" s="1" t="s">
        <v>231</v>
      </c>
      <c r="C51" s="1" t="n">
        <v>0.0462</v>
      </c>
      <c r="D51" s="1" t="s">
        <v>661</v>
      </c>
      <c r="E51" s="1" t="s">
        <v>233</v>
      </c>
    </row>
    <row r="52" customFormat="false" ht="12.8" hidden="false" customHeight="false" outlineLevel="0" collapsed="false">
      <c r="A52" s="1" t="s">
        <v>234</v>
      </c>
      <c r="B52" s="1" t="s">
        <v>235</v>
      </c>
      <c r="C52" s="1" t="n">
        <v>0.0554</v>
      </c>
      <c r="D52" s="1" t="s">
        <v>662</v>
      </c>
      <c r="E52" s="1" t="s">
        <v>237</v>
      </c>
    </row>
    <row r="53" customFormat="false" ht="12.8" hidden="false" customHeight="false" outlineLevel="0" collapsed="false">
      <c r="A53" s="1" t="s">
        <v>238</v>
      </c>
      <c r="B53" s="1" t="s">
        <v>239</v>
      </c>
      <c r="C53" s="1" t="n">
        <v>0.0693</v>
      </c>
      <c r="D53" s="1" t="s">
        <v>663</v>
      </c>
      <c r="E53" s="1" t="s">
        <v>241</v>
      </c>
    </row>
    <row r="54" customFormat="false" ht="12.8" hidden="false" customHeight="false" outlineLevel="0" collapsed="false">
      <c r="A54" s="1" t="s">
        <v>242</v>
      </c>
      <c r="B54" s="1" t="s">
        <v>243</v>
      </c>
      <c r="C54" s="1" t="n">
        <v>0.0588</v>
      </c>
      <c r="D54" s="1" t="s">
        <v>664</v>
      </c>
      <c r="E54" s="1" t="s">
        <v>245</v>
      </c>
    </row>
    <row r="55" customFormat="false" ht="12.8" hidden="false" customHeight="false" outlineLevel="0" collapsed="false">
      <c r="A55" s="1" t="s">
        <v>246</v>
      </c>
      <c r="B55" s="1" t="s">
        <v>247</v>
      </c>
      <c r="C55" s="1" t="n">
        <v>0.0706</v>
      </c>
      <c r="D55" s="1" t="s">
        <v>665</v>
      </c>
      <c r="E55" s="1" t="s">
        <v>237</v>
      </c>
    </row>
    <row r="56" customFormat="false" ht="12.8" hidden="false" customHeight="false" outlineLevel="0" collapsed="false">
      <c r="A56" s="1" t="s">
        <v>249</v>
      </c>
      <c r="B56" s="1" t="s">
        <v>250</v>
      </c>
      <c r="C56" s="1" t="n">
        <v>0.0882</v>
      </c>
      <c r="D56" s="1" t="s">
        <v>666</v>
      </c>
      <c r="E56" s="1" t="s">
        <v>241</v>
      </c>
    </row>
    <row r="57" customFormat="false" ht="12.8" hidden="false" customHeight="false" outlineLevel="0" collapsed="false">
      <c r="A57" s="1" t="s">
        <v>252</v>
      </c>
      <c r="B57" s="1" t="s">
        <v>253</v>
      </c>
      <c r="C57" s="1" t="n">
        <v>0.0609</v>
      </c>
      <c r="D57" s="1" t="s">
        <v>667</v>
      </c>
      <c r="E57" s="1" t="s">
        <v>255</v>
      </c>
    </row>
    <row r="58" customFormat="false" ht="12.8" hidden="false" customHeight="false" outlineLevel="0" collapsed="false">
      <c r="A58" s="1" t="s">
        <v>256</v>
      </c>
      <c r="B58" s="1" t="s">
        <v>257</v>
      </c>
      <c r="C58" s="1" t="n">
        <v>0.0731</v>
      </c>
      <c r="D58" s="1" t="s">
        <v>668</v>
      </c>
      <c r="E58" s="1" t="s">
        <v>237</v>
      </c>
    </row>
    <row r="59" customFormat="false" ht="12.8" hidden="false" customHeight="false" outlineLevel="0" collapsed="false">
      <c r="A59" s="1" t="s">
        <v>259</v>
      </c>
      <c r="B59" s="1" t="s">
        <v>260</v>
      </c>
      <c r="C59" s="1" t="n">
        <v>0.0914</v>
      </c>
      <c r="D59" s="1" t="s">
        <v>669</v>
      </c>
      <c r="E59" s="1" t="s">
        <v>241</v>
      </c>
    </row>
    <row r="60" customFormat="false" ht="12.8" hidden="false" customHeight="false" outlineLevel="0" collapsed="false">
      <c r="A60" s="1" t="s">
        <v>262</v>
      </c>
      <c r="B60" s="1" t="s">
        <v>263</v>
      </c>
      <c r="C60" s="1" t="n">
        <v>0.0336</v>
      </c>
      <c r="D60" s="1" t="s">
        <v>670</v>
      </c>
      <c r="E60" s="1" t="s">
        <v>265</v>
      </c>
    </row>
    <row r="61" customFormat="false" ht="12.8" hidden="false" customHeight="false" outlineLevel="0" collapsed="false">
      <c r="A61" s="1" t="s">
        <v>266</v>
      </c>
      <c r="B61" s="1" t="s">
        <v>267</v>
      </c>
      <c r="C61" s="1" t="n">
        <v>0.0403</v>
      </c>
      <c r="D61" s="1" t="s">
        <v>671</v>
      </c>
      <c r="E61" s="1" t="s">
        <v>237</v>
      </c>
    </row>
    <row r="62" customFormat="false" ht="12.8" hidden="false" customHeight="false" outlineLevel="0" collapsed="false">
      <c r="A62" s="1" t="s">
        <v>269</v>
      </c>
      <c r="B62" s="1" t="s">
        <v>270</v>
      </c>
      <c r="C62" s="1" t="n">
        <v>0.0504</v>
      </c>
      <c r="D62" s="1" t="s">
        <v>672</v>
      </c>
      <c r="E62" s="1" t="s">
        <v>241</v>
      </c>
    </row>
    <row r="63" customFormat="false" ht="12.8" hidden="false" customHeight="false" outlineLevel="0" collapsed="false">
      <c r="A63" s="1" t="s">
        <v>272</v>
      </c>
      <c r="B63" s="1" t="s">
        <v>273</v>
      </c>
      <c r="C63" s="1" t="n">
        <v>0.0378</v>
      </c>
      <c r="D63" s="1" t="s">
        <v>673</v>
      </c>
      <c r="E63" s="1" t="s">
        <v>275</v>
      </c>
    </row>
    <row r="64" customFormat="false" ht="12.8" hidden="false" customHeight="false" outlineLevel="0" collapsed="false">
      <c r="A64" s="1" t="s">
        <v>276</v>
      </c>
      <c r="B64" s="1" t="s">
        <v>277</v>
      </c>
      <c r="C64" s="1" t="n">
        <v>0.0454</v>
      </c>
      <c r="D64" s="1" t="s">
        <v>674</v>
      </c>
      <c r="E64" s="1" t="s">
        <v>237</v>
      </c>
    </row>
    <row r="65" customFormat="false" ht="12.8" hidden="false" customHeight="false" outlineLevel="0" collapsed="false">
      <c r="A65" s="1" t="s">
        <v>279</v>
      </c>
      <c r="B65" s="1" t="s">
        <v>280</v>
      </c>
      <c r="C65" s="1" t="n">
        <v>0.0567</v>
      </c>
      <c r="D65" s="1" t="s">
        <v>675</v>
      </c>
      <c r="E65" s="1" t="s">
        <v>241</v>
      </c>
    </row>
    <row r="66" customFormat="false" ht="12.8" hidden="false" customHeight="false" outlineLevel="0" collapsed="false">
      <c r="A66" s="1" t="s">
        <v>282</v>
      </c>
      <c r="B66" s="1" t="s">
        <v>283</v>
      </c>
      <c r="C66" s="1" t="n">
        <v>0.0441</v>
      </c>
      <c r="D66" s="1" t="s">
        <v>676</v>
      </c>
      <c r="E66" s="1" t="s">
        <v>285</v>
      </c>
    </row>
    <row r="67" customFormat="false" ht="12.8" hidden="false" customHeight="false" outlineLevel="0" collapsed="false">
      <c r="A67" s="1" t="s">
        <v>286</v>
      </c>
      <c r="B67" s="1" t="s">
        <v>287</v>
      </c>
      <c r="C67" s="1" t="n">
        <v>0.0529</v>
      </c>
      <c r="D67" s="1" t="s">
        <v>677</v>
      </c>
      <c r="E67" s="1" t="s">
        <v>237</v>
      </c>
    </row>
    <row r="68" customFormat="false" ht="12.8" hidden="false" customHeight="false" outlineLevel="0" collapsed="false">
      <c r="A68" s="1" t="s">
        <v>289</v>
      </c>
      <c r="B68" s="1" t="s">
        <v>290</v>
      </c>
      <c r="C68" s="1" t="n">
        <v>0.0662</v>
      </c>
      <c r="D68" s="1" t="s">
        <v>678</v>
      </c>
      <c r="E68" s="1" t="s">
        <v>241</v>
      </c>
    </row>
    <row r="69" customFormat="false" ht="12.8" hidden="false" customHeight="false" outlineLevel="0" collapsed="false">
      <c r="A69" s="1" t="s">
        <v>292</v>
      </c>
      <c r="B69" s="1" t="s">
        <v>293</v>
      </c>
      <c r="C69" s="1" t="n">
        <v>0.0567</v>
      </c>
      <c r="D69" s="1" t="s">
        <v>679</v>
      </c>
      <c r="E69" s="1" t="s">
        <v>295</v>
      </c>
    </row>
    <row r="70" customFormat="false" ht="12.8" hidden="false" customHeight="false" outlineLevel="0" collapsed="false">
      <c r="A70" s="1" t="s">
        <v>296</v>
      </c>
      <c r="B70" s="1" t="s">
        <v>297</v>
      </c>
      <c r="C70" s="1" t="n">
        <v>0.068</v>
      </c>
      <c r="D70" s="1" t="s">
        <v>680</v>
      </c>
      <c r="E70" s="1" t="s">
        <v>237</v>
      </c>
    </row>
    <row r="71" customFormat="false" ht="12.8" hidden="false" customHeight="false" outlineLevel="0" collapsed="false">
      <c r="A71" s="1" t="s">
        <v>299</v>
      </c>
      <c r="B71" s="1" t="s">
        <v>300</v>
      </c>
      <c r="C71" s="1" t="n">
        <v>0.0851</v>
      </c>
      <c r="D71" s="1" t="s">
        <v>681</v>
      </c>
      <c r="E71" s="1" t="s">
        <v>241</v>
      </c>
    </row>
    <row r="72" customFormat="false" ht="12.8" hidden="false" customHeight="false" outlineLevel="0" collapsed="false">
      <c r="A72" s="1" t="s">
        <v>302</v>
      </c>
      <c r="B72" s="1" t="s">
        <v>303</v>
      </c>
      <c r="C72" s="1" t="n">
        <v>0.0399</v>
      </c>
      <c r="D72" s="1" t="s">
        <v>682</v>
      </c>
      <c r="E72" s="1" t="s">
        <v>305</v>
      </c>
    </row>
    <row r="73" customFormat="false" ht="12.8" hidden="false" customHeight="false" outlineLevel="0" collapsed="false">
      <c r="A73" s="1" t="s">
        <v>306</v>
      </c>
      <c r="B73" s="1" t="s">
        <v>307</v>
      </c>
      <c r="C73" s="1" t="n">
        <v>0.0479</v>
      </c>
      <c r="D73" s="1" t="s">
        <v>683</v>
      </c>
      <c r="E73" s="1" t="s">
        <v>237</v>
      </c>
    </row>
    <row r="74" customFormat="false" ht="12.8" hidden="false" customHeight="false" outlineLevel="0" collapsed="false">
      <c r="A74" s="1" t="s">
        <v>309</v>
      </c>
      <c r="B74" s="1" t="s">
        <v>310</v>
      </c>
      <c r="C74" s="1" t="n">
        <v>0.0599</v>
      </c>
      <c r="D74" s="1" t="s">
        <v>684</v>
      </c>
      <c r="E74" s="1" t="s">
        <v>241</v>
      </c>
    </row>
    <row r="75" customFormat="false" ht="12.8" hidden="false" customHeight="false" outlineLevel="0" collapsed="false">
      <c r="A75" s="1" t="s">
        <v>312</v>
      </c>
      <c r="B75" s="1" t="s">
        <v>313</v>
      </c>
      <c r="C75" s="1" t="n">
        <v>0.042</v>
      </c>
      <c r="D75" s="1" t="s">
        <v>685</v>
      </c>
      <c r="E75" s="1" t="s">
        <v>315</v>
      </c>
    </row>
    <row r="76" customFormat="false" ht="12.8" hidden="false" customHeight="false" outlineLevel="0" collapsed="false">
      <c r="A76" s="1" t="s">
        <v>316</v>
      </c>
      <c r="B76" s="1" t="s">
        <v>317</v>
      </c>
      <c r="C76" s="1" t="n">
        <v>0.0504</v>
      </c>
      <c r="D76" s="1" t="s">
        <v>686</v>
      </c>
      <c r="E76" s="1" t="s">
        <v>237</v>
      </c>
    </row>
    <row r="77" customFormat="false" ht="12.8" hidden="false" customHeight="false" outlineLevel="0" collapsed="false">
      <c r="A77" s="1" t="s">
        <v>319</v>
      </c>
      <c r="B77" s="1" t="s">
        <v>320</v>
      </c>
      <c r="C77" s="1" t="n">
        <v>0.063</v>
      </c>
      <c r="D77" s="1" t="s">
        <v>687</v>
      </c>
      <c r="E77" s="1" t="s">
        <v>241</v>
      </c>
    </row>
    <row r="78" customFormat="false" ht="12.8" hidden="false" customHeight="false" outlineLevel="0" collapsed="false">
      <c r="A78" s="1" t="s">
        <v>322</v>
      </c>
      <c r="B78" s="1" t="s">
        <v>323</v>
      </c>
      <c r="C78" s="1" t="n">
        <v>1</v>
      </c>
      <c r="D78" s="1" t="s">
        <v>688</v>
      </c>
      <c r="E78" s="1"/>
    </row>
    <row r="79" customFormat="false" ht="12.8" hidden="false" customHeight="false" outlineLevel="0" collapsed="false">
      <c r="A79" s="1" t="s">
        <v>325</v>
      </c>
      <c r="B79" s="1" t="s">
        <v>326</v>
      </c>
      <c r="C79" s="1" t="n">
        <v>0.85</v>
      </c>
      <c r="D79" s="1" t="s">
        <v>689</v>
      </c>
      <c r="E79" s="1"/>
    </row>
    <row r="80" customFormat="false" ht="12.8" hidden="false" customHeight="false" outlineLevel="0" collapsed="false">
      <c r="A80" s="1" t="s">
        <v>328</v>
      </c>
      <c r="B80" s="1" t="s">
        <v>329</v>
      </c>
      <c r="C80" s="1" t="n">
        <v>0.8</v>
      </c>
      <c r="D80" s="1" t="s">
        <v>690</v>
      </c>
      <c r="E80" s="1"/>
    </row>
    <row r="81" customFormat="false" ht="12.8" hidden="false" customHeight="false" outlineLevel="0" collapsed="false">
      <c r="A81" s="1" t="s">
        <v>331</v>
      </c>
      <c r="B81" s="1" t="s">
        <v>332</v>
      </c>
      <c r="C81" s="1" t="n">
        <v>0.8</v>
      </c>
      <c r="D81" s="1" t="s">
        <v>691</v>
      </c>
      <c r="E81" s="1"/>
    </row>
    <row r="82" customFormat="false" ht="12.8" hidden="false" customHeight="false" outlineLevel="0" collapsed="false">
      <c r="A82" s="1" t="s">
        <v>334</v>
      </c>
      <c r="B82" s="1" t="s">
        <v>335</v>
      </c>
      <c r="C82" s="1" t="n">
        <v>0.78</v>
      </c>
      <c r="D82" s="1" t="s">
        <v>692</v>
      </c>
      <c r="E82" s="1"/>
    </row>
    <row r="83" customFormat="false" ht="12.8" hidden="false" customHeight="false" outlineLevel="0" collapsed="false">
      <c r="A83" s="1" t="s">
        <v>337</v>
      </c>
      <c r="B83" s="1" t="s">
        <v>338</v>
      </c>
      <c r="C83" s="1" t="n">
        <v>0.92</v>
      </c>
      <c r="D83" s="1" t="s">
        <v>693</v>
      </c>
      <c r="E83" s="1"/>
    </row>
    <row r="84" customFormat="false" ht="12.8" hidden="false" customHeight="false" outlineLevel="0" collapsed="false">
      <c r="A84" s="1" t="s">
        <v>340</v>
      </c>
      <c r="B84" s="1" t="s">
        <v>341</v>
      </c>
      <c r="C84" s="1" t="n">
        <v>0.9</v>
      </c>
      <c r="D84" s="1" t="s">
        <v>694</v>
      </c>
      <c r="E84" s="1"/>
    </row>
    <row r="85" customFormat="false" ht="12.8" hidden="false" customHeight="false" outlineLevel="0" collapsed="false">
      <c r="A85" s="1" t="s">
        <v>343</v>
      </c>
      <c r="B85" s="1" t="s">
        <v>344</v>
      </c>
      <c r="C85" s="1" t="n">
        <v>0.85</v>
      </c>
      <c r="D85" s="1" t="s">
        <v>695</v>
      </c>
      <c r="E85" s="1"/>
    </row>
    <row r="86" customFormat="false" ht="12.8" hidden="false" customHeight="false" outlineLevel="0" collapsed="false">
      <c r="A86" s="1" t="s">
        <v>346</v>
      </c>
      <c r="B86" s="1" t="s">
        <v>347</v>
      </c>
      <c r="C86" s="1" t="n">
        <v>0.8</v>
      </c>
      <c r="D86" s="1" t="s">
        <v>696</v>
      </c>
      <c r="E86" s="1"/>
    </row>
    <row r="87" customFormat="false" ht="12.8" hidden="false" customHeight="false" outlineLevel="0" collapsed="false">
      <c r="A87" s="1" t="s">
        <v>349</v>
      </c>
      <c r="B87" s="1" t="s">
        <v>350</v>
      </c>
      <c r="C87" s="1" t="n">
        <v>0.88</v>
      </c>
      <c r="D87" s="1" t="s">
        <v>697</v>
      </c>
      <c r="E87" s="1"/>
    </row>
    <row r="88" customFormat="false" ht="12.8" hidden="false" customHeight="false" outlineLevel="0" collapsed="false">
      <c r="A88" s="1" t="s">
        <v>352</v>
      </c>
      <c r="B88" s="1" t="s">
        <v>353</v>
      </c>
      <c r="C88" s="1" t="n">
        <v>0.86</v>
      </c>
      <c r="D88" s="1" t="s">
        <v>698</v>
      </c>
      <c r="E88" s="1"/>
    </row>
    <row r="89" customFormat="false" ht="12.8" hidden="false" customHeight="false" outlineLevel="0" collapsed="false">
      <c r="A89" s="1" t="s">
        <v>355</v>
      </c>
      <c r="B89" s="1" t="s">
        <v>356</v>
      </c>
      <c r="C89" s="1" t="n">
        <v>0.9</v>
      </c>
      <c r="D89" s="1" t="s">
        <v>699</v>
      </c>
      <c r="E89" s="1"/>
    </row>
    <row r="90" customFormat="false" ht="12.8" hidden="false" customHeight="false" outlineLevel="0" collapsed="false">
      <c r="A90" s="1" t="s">
        <v>358</v>
      </c>
      <c r="B90" s="1" t="s">
        <v>359</v>
      </c>
      <c r="C90" s="1" t="n">
        <v>1.25</v>
      </c>
      <c r="D90" s="1" t="s">
        <v>700</v>
      </c>
    </row>
    <row r="91" customFormat="false" ht="12.8" hidden="false" customHeight="false" outlineLevel="0" collapsed="false">
      <c r="A91" s="1" t="s">
        <v>361</v>
      </c>
      <c r="B91" s="1" t="s">
        <v>362</v>
      </c>
      <c r="C91" s="1" t="n">
        <v>19</v>
      </c>
      <c r="D91" s="1" t="s">
        <v>701</v>
      </c>
      <c r="E91" s="1" t="s">
        <v>702</v>
      </c>
    </row>
    <row r="92" customFormat="false" ht="12.8" hidden="false" customHeight="false" outlineLevel="0" collapsed="false">
      <c r="A92" s="1" t="s">
        <v>365</v>
      </c>
      <c r="B92" s="1" t="s">
        <v>366</v>
      </c>
      <c r="C92" s="1" t="n">
        <v>24</v>
      </c>
      <c r="D92" s="1" t="s">
        <v>703</v>
      </c>
      <c r="E92" s="1" t="s">
        <v>368</v>
      </c>
    </row>
    <row r="93" customFormat="false" ht="12.8" hidden="false" customHeight="false" outlineLevel="0" collapsed="false">
      <c r="A93" s="1" t="s">
        <v>369</v>
      </c>
      <c r="B93" s="1" t="s">
        <v>370</v>
      </c>
      <c r="C93" s="1" t="n">
        <v>14</v>
      </c>
      <c r="D93" s="1" t="s">
        <v>704</v>
      </c>
      <c r="E93" s="1" t="s">
        <v>364</v>
      </c>
    </row>
    <row r="94" customFormat="false" ht="12.8" hidden="false" customHeight="false" outlineLevel="0" collapsed="false">
      <c r="A94" s="1" t="s">
        <v>372</v>
      </c>
      <c r="B94" s="1" t="s">
        <v>373</v>
      </c>
      <c r="C94" s="1" t="n">
        <v>13</v>
      </c>
      <c r="D94" s="1" t="s">
        <v>705</v>
      </c>
      <c r="E94" s="1" t="s">
        <v>364</v>
      </c>
    </row>
    <row r="95" customFormat="false" ht="12.8" hidden="false" customHeight="false" outlineLevel="0" collapsed="false">
      <c r="A95" s="1" t="s">
        <v>375</v>
      </c>
      <c r="B95" s="1" t="s">
        <v>376</v>
      </c>
      <c r="C95" s="1" t="n">
        <v>21</v>
      </c>
      <c r="D95" s="1" t="s">
        <v>706</v>
      </c>
      <c r="E95" s="1" t="s">
        <v>707</v>
      </c>
    </row>
    <row r="96" customFormat="false" ht="12.8" hidden="false" customHeight="false" outlineLevel="0" collapsed="false">
      <c r="A96" s="1" t="s">
        <v>379</v>
      </c>
      <c r="B96" s="1" t="s">
        <v>380</v>
      </c>
      <c r="C96" s="1" t="n">
        <v>22</v>
      </c>
      <c r="D96" s="1" t="s">
        <v>708</v>
      </c>
      <c r="E96" s="1" t="s">
        <v>364</v>
      </c>
    </row>
    <row r="97" customFormat="false" ht="12.8" hidden="false" customHeight="false" outlineLevel="0" collapsed="false">
      <c r="A97" s="1" t="s">
        <v>382</v>
      </c>
      <c r="B97" s="1" t="s">
        <v>383</v>
      </c>
      <c r="C97" s="1" t="n">
        <v>16</v>
      </c>
      <c r="D97" s="1" t="s">
        <v>709</v>
      </c>
      <c r="E97" s="1" t="s">
        <v>364</v>
      </c>
    </row>
    <row r="98" customFormat="false" ht="12.8" hidden="false" customHeight="false" outlineLevel="0" collapsed="false">
      <c r="A98" s="1" t="s">
        <v>385</v>
      </c>
      <c r="B98" s="1" t="s">
        <v>386</v>
      </c>
      <c r="C98" s="1" t="n">
        <v>17</v>
      </c>
      <c r="D98" s="1" t="s">
        <v>710</v>
      </c>
      <c r="E98" s="1" t="s">
        <v>364</v>
      </c>
    </row>
    <row r="99" customFormat="false" ht="12.8" hidden="false" customHeight="false" outlineLevel="0" collapsed="false">
      <c r="A99" s="1" t="s">
        <v>388</v>
      </c>
      <c r="B99" s="1" t="s">
        <v>389</v>
      </c>
      <c r="C99" s="1" t="n">
        <v>23</v>
      </c>
      <c r="D99" s="1" t="s">
        <v>711</v>
      </c>
      <c r="E99" s="1" t="s">
        <v>368</v>
      </c>
    </row>
    <row r="100" customFormat="false" ht="12.8" hidden="false" customHeight="false" outlineLevel="0" collapsed="false">
      <c r="A100" s="1" t="s">
        <v>391</v>
      </c>
      <c r="B100" s="1" t="s">
        <v>392</v>
      </c>
      <c r="C100" s="1" t="n">
        <v>13</v>
      </c>
      <c r="D100" s="1" t="s">
        <v>712</v>
      </c>
      <c r="E100" s="1" t="s">
        <v>364</v>
      </c>
    </row>
    <row r="101" customFormat="false" ht="12.8" hidden="false" customHeight="false" outlineLevel="0" collapsed="false">
      <c r="A101" s="1" t="s">
        <v>394</v>
      </c>
      <c r="B101" s="1" t="s">
        <v>713</v>
      </c>
      <c r="C101" s="1" t="n">
        <v>0.96</v>
      </c>
      <c r="D101" s="1" t="s">
        <v>714</v>
      </c>
      <c r="E101" s="1" t="s">
        <v>397</v>
      </c>
    </row>
    <row r="102" customFormat="false" ht="12.8" hidden="false" customHeight="false" outlineLevel="0" collapsed="false">
      <c r="A102" s="1" t="s">
        <v>398</v>
      </c>
      <c r="B102" s="1" t="s">
        <v>715</v>
      </c>
      <c r="C102" s="1" t="n">
        <v>0.88</v>
      </c>
      <c r="D102" s="1" t="s">
        <v>716</v>
      </c>
      <c r="E102" s="1" t="s">
        <v>401</v>
      </c>
    </row>
    <row r="103" customFormat="false" ht="12.8" hidden="false" customHeight="false" outlineLevel="0" collapsed="false">
      <c r="A103" s="1" t="s">
        <v>402</v>
      </c>
      <c r="B103" s="1" t="s">
        <v>717</v>
      </c>
      <c r="C103" s="1" t="n">
        <v>0.93</v>
      </c>
      <c r="D103" s="1" t="s">
        <v>718</v>
      </c>
      <c r="E103" s="1" t="s">
        <v>405</v>
      </c>
    </row>
    <row r="104" customFormat="false" ht="12.8" hidden="false" customHeight="false" outlineLevel="0" collapsed="false">
      <c r="A104" s="1" t="s">
        <v>406</v>
      </c>
      <c r="B104" s="1" t="s">
        <v>719</v>
      </c>
      <c r="C104" s="1" t="n">
        <v>0.98</v>
      </c>
      <c r="D104" s="1" t="s">
        <v>720</v>
      </c>
      <c r="E104" s="1" t="s">
        <v>405</v>
      </c>
    </row>
    <row r="105" customFormat="false" ht="12.8" hidden="false" customHeight="false" outlineLevel="0" collapsed="false">
      <c r="A105" s="1" t="s">
        <v>409</v>
      </c>
      <c r="B105" s="1" t="s">
        <v>721</v>
      </c>
      <c r="C105" s="1" t="n">
        <v>1900000000</v>
      </c>
      <c r="D105" s="1" t="s">
        <v>722</v>
      </c>
      <c r="E105" s="1" t="s">
        <v>723</v>
      </c>
    </row>
    <row r="106" customFormat="false" ht="12.8" hidden="false" customHeight="false" outlineLevel="0" collapsed="false">
      <c r="A106" s="1" t="s">
        <v>413</v>
      </c>
      <c r="B106" s="1" t="s">
        <v>724</v>
      </c>
      <c r="C106" s="1" t="n">
        <v>2500000000</v>
      </c>
      <c r="D106" s="1" t="s">
        <v>725</v>
      </c>
      <c r="E106" s="1" t="s">
        <v>416</v>
      </c>
    </row>
    <row r="107" customFormat="false" ht="12.8" hidden="false" customHeight="false" outlineLevel="0" collapsed="false">
      <c r="A107" s="1" t="s">
        <v>417</v>
      </c>
      <c r="B107" s="1" t="s">
        <v>418</v>
      </c>
      <c r="C107" s="1" t="n">
        <v>0.85</v>
      </c>
      <c r="D107" s="1" t="s">
        <v>726</v>
      </c>
      <c r="E107" s="1" t="s">
        <v>420</v>
      </c>
    </row>
    <row r="108" customFormat="false" ht="12.8" hidden="false" customHeight="false" outlineLevel="0" collapsed="false">
      <c r="A108" s="1" t="s">
        <v>421</v>
      </c>
      <c r="B108" s="1" t="s">
        <v>422</v>
      </c>
      <c r="C108" s="1" t="n">
        <v>0.87</v>
      </c>
      <c r="D108" s="1" t="s">
        <v>727</v>
      </c>
      <c r="E108" s="1" t="s">
        <v>420</v>
      </c>
    </row>
    <row r="109" customFormat="false" ht="12.8" hidden="false" customHeight="false" outlineLevel="0" collapsed="false">
      <c r="A109" s="1" t="s">
        <v>424</v>
      </c>
      <c r="B109" s="1" t="s">
        <v>425</v>
      </c>
      <c r="C109" s="1" t="n">
        <v>0.9</v>
      </c>
      <c r="D109" s="1" t="s">
        <v>728</v>
      </c>
      <c r="E109" s="1" t="s">
        <v>427</v>
      </c>
    </row>
    <row r="110" customFormat="false" ht="12.8" hidden="false" customHeight="false" outlineLevel="0" collapsed="false">
      <c r="A110" s="1" t="s">
        <v>428</v>
      </c>
      <c r="B110" s="1" t="s">
        <v>429</v>
      </c>
      <c r="C110" s="1" t="n">
        <v>0.88</v>
      </c>
      <c r="D110" s="1" t="s">
        <v>729</v>
      </c>
      <c r="E110" s="1" t="s">
        <v>431</v>
      </c>
    </row>
    <row r="111" customFormat="false" ht="12.8" hidden="false" customHeight="false" outlineLevel="0" collapsed="false">
      <c r="A111" s="1" t="s">
        <v>432</v>
      </c>
      <c r="B111" s="1" t="s">
        <v>433</v>
      </c>
      <c r="C111" s="1" t="n">
        <v>0.92</v>
      </c>
      <c r="D111" s="1" t="s">
        <v>730</v>
      </c>
      <c r="E111" s="1" t="s">
        <v>435</v>
      </c>
    </row>
    <row r="112" customFormat="false" ht="12.8" hidden="false" customHeight="false" outlineLevel="0" collapsed="false">
      <c r="A112" s="1" t="s">
        <v>436</v>
      </c>
      <c r="B112" s="1" t="s">
        <v>437</v>
      </c>
      <c r="C112" s="1" t="n">
        <v>0.93</v>
      </c>
      <c r="D112" s="1" t="s">
        <v>731</v>
      </c>
      <c r="E112" s="1" t="s">
        <v>439</v>
      </c>
    </row>
    <row r="113" customFormat="false" ht="12.8" hidden="false" customHeight="false" outlineLevel="0" collapsed="false">
      <c r="A113" s="1" t="s">
        <v>440</v>
      </c>
      <c r="B113" s="1" t="s">
        <v>441</v>
      </c>
      <c r="C113" s="1" t="n">
        <v>0.94</v>
      </c>
      <c r="D113" s="1" t="s">
        <v>732</v>
      </c>
      <c r="E113" s="1" t="s">
        <v>443</v>
      </c>
    </row>
    <row r="114" customFormat="false" ht="12.8" hidden="false" customHeight="false" outlineLevel="0" collapsed="false">
      <c r="A114" s="1" t="s">
        <v>444</v>
      </c>
      <c r="B114" s="1" t="s">
        <v>445</v>
      </c>
      <c r="C114" s="1" t="n">
        <v>0.88</v>
      </c>
      <c r="D114" s="1" t="s">
        <v>733</v>
      </c>
      <c r="E114" s="1" t="s">
        <v>447</v>
      </c>
    </row>
    <row r="115" customFormat="false" ht="12.8" hidden="false" customHeight="false" outlineLevel="0" collapsed="false">
      <c r="A115" s="1" t="s">
        <v>448</v>
      </c>
      <c r="B115" s="1" t="s">
        <v>449</v>
      </c>
      <c r="C115" s="1" t="n">
        <v>0.93</v>
      </c>
      <c r="D115" s="1" t="s">
        <v>734</v>
      </c>
      <c r="E115" s="1" t="s">
        <v>451</v>
      </c>
    </row>
    <row r="116" customFormat="false" ht="12.8" hidden="false" customHeight="false" outlineLevel="0" collapsed="false">
      <c r="A116" s="1" t="s">
        <v>452</v>
      </c>
      <c r="B116" s="1" t="s">
        <v>453</v>
      </c>
      <c r="C116" s="1" t="n">
        <v>0.91</v>
      </c>
      <c r="D116" s="1" t="s">
        <v>735</v>
      </c>
      <c r="E116" s="1" t="s">
        <v>455</v>
      </c>
    </row>
    <row r="117" customFormat="false" ht="12.8" hidden="false" customHeight="false" outlineLevel="0" collapsed="false">
      <c r="A117" s="1" t="s">
        <v>456</v>
      </c>
      <c r="B117" s="1" t="s">
        <v>457</v>
      </c>
      <c r="C117" s="1" t="n">
        <v>0.577</v>
      </c>
      <c r="D117" s="1" t="s">
        <v>736</v>
      </c>
      <c r="E117" s="1" t="s">
        <v>459</v>
      </c>
    </row>
    <row r="118" customFormat="false" ht="12.8" hidden="false" customHeight="false" outlineLevel="0" collapsed="false">
      <c r="A118" s="1" t="s">
        <v>460</v>
      </c>
      <c r="B118" s="1" t="s">
        <v>461</v>
      </c>
      <c r="C118" s="1" t="n">
        <v>0.65</v>
      </c>
      <c r="D118" s="1" t="s">
        <v>737</v>
      </c>
      <c r="E118" s="1" t="s">
        <v>463</v>
      </c>
    </row>
    <row r="119" customFormat="false" ht="12.8" hidden="false" customHeight="false" outlineLevel="0" collapsed="false">
      <c r="A119" s="1" t="s">
        <v>464</v>
      </c>
      <c r="B119" s="1" t="s">
        <v>465</v>
      </c>
      <c r="C119" s="1" t="n">
        <v>0.72</v>
      </c>
      <c r="D119" s="1" t="s">
        <v>738</v>
      </c>
      <c r="E119" s="1" t="s">
        <v>467</v>
      </c>
    </row>
    <row r="120" customFormat="false" ht="12.8" hidden="false" customHeight="false" outlineLevel="0" collapsed="false">
      <c r="A120" s="1" t="s">
        <v>468</v>
      </c>
      <c r="B120" s="1" t="s">
        <v>469</v>
      </c>
      <c r="C120" s="1" t="n">
        <v>1.05</v>
      </c>
      <c r="D120" s="1" t="s">
        <v>739</v>
      </c>
      <c r="E120" s="1" t="s">
        <v>471</v>
      </c>
    </row>
    <row r="121" customFormat="false" ht="12.8" hidden="false" customHeight="false" outlineLevel="0" collapsed="false">
      <c r="A121" s="1" t="s">
        <v>472</v>
      </c>
      <c r="B121" s="1" t="s">
        <v>473</v>
      </c>
      <c r="C121" s="1" t="n">
        <v>1.03</v>
      </c>
      <c r="D121" s="1" t="s">
        <v>740</v>
      </c>
      <c r="E121" s="1" t="s">
        <v>475</v>
      </c>
    </row>
    <row r="122" customFormat="false" ht="12.8" hidden="false" customHeight="false" outlineLevel="0" collapsed="false">
      <c r="A122" s="1" t="s">
        <v>476</v>
      </c>
      <c r="B122" s="1" t="s">
        <v>477</v>
      </c>
      <c r="C122" s="1" t="n">
        <v>0.98</v>
      </c>
      <c r="D122" s="1" t="s">
        <v>741</v>
      </c>
      <c r="E122" s="1" t="s">
        <v>479</v>
      </c>
    </row>
    <row r="123" customFormat="false" ht="12.8" hidden="false" customHeight="false" outlineLevel="0" collapsed="false">
      <c r="A123" s="1" t="s">
        <v>480</v>
      </c>
      <c r="B123" s="1" t="s">
        <v>481</v>
      </c>
      <c r="C123" s="1" t="n">
        <v>1.02</v>
      </c>
      <c r="D123" s="1" t="s">
        <v>742</v>
      </c>
      <c r="E123" s="1" t="s">
        <v>483</v>
      </c>
    </row>
    <row r="124" customFormat="false" ht="12.8" hidden="false" customHeight="false" outlineLevel="0" collapsed="false">
      <c r="A124" s="1" t="s">
        <v>484</v>
      </c>
      <c r="B124" s="1" t="s">
        <v>485</v>
      </c>
      <c r="C124" s="1" t="n">
        <v>1.04</v>
      </c>
      <c r="D124" s="1" t="s">
        <v>743</v>
      </c>
      <c r="E124" s="1" t="s">
        <v>487</v>
      </c>
    </row>
    <row r="125" customFormat="false" ht="12.8" hidden="false" customHeight="false" outlineLevel="0" collapsed="false">
      <c r="A125" s="1" t="s">
        <v>488</v>
      </c>
      <c r="B125" s="1" t="s">
        <v>489</v>
      </c>
      <c r="C125" s="1" t="n">
        <v>0.96</v>
      </c>
      <c r="D125" s="1" t="s">
        <v>744</v>
      </c>
      <c r="E125" s="1" t="s">
        <v>491</v>
      </c>
    </row>
    <row r="126" customFormat="false" ht="12.8" hidden="false" customHeight="false" outlineLevel="0" collapsed="false">
      <c r="A126" s="1" t="s">
        <v>492</v>
      </c>
      <c r="B126" s="1" t="s">
        <v>493</v>
      </c>
      <c r="C126" s="1" t="n">
        <v>1.1</v>
      </c>
      <c r="D126" s="1" t="s">
        <v>745</v>
      </c>
      <c r="E126" s="1" t="s">
        <v>495</v>
      </c>
    </row>
    <row r="127" customFormat="false" ht="12.8" hidden="false" customHeight="false" outlineLevel="0" collapsed="false">
      <c r="A127" s="1" t="s">
        <v>496</v>
      </c>
      <c r="B127" s="1" t="s">
        <v>497</v>
      </c>
      <c r="C127" s="1" t="n">
        <v>1.01</v>
      </c>
      <c r="D127" s="1" t="s">
        <v>746</v>
      </c>
      <c r="E127" s="1" t="s">
        <v>499</v>
      </c>
    </row>
    <row r="128" customFormat="false" ht="12.8" hidden="false" customHeight="false" outlineLevel="0" collapsed="false">
      <c r="A128" s="1" t="s">
        <v>500</v>
      </c>
      <c r="B128" s="1" t="s">
        <v>501</v>
      </c>
      <c r="C128" s="1" t="n">
        <v>0.98</v>
      </c>
      <c r="D128" s="1" t="s">
        <v>747</v>
      </c>
      <c r="E128" s="1" t="s">
        <v>503</v>
      </c>
    </row>
    <row r="129" customFormat="false" ht="12.8" hidden="false" customHeight="false" outlineLevel="0" collapsed="false">
      <c r="A129" s="1" t="s">
        <v>504</v>
      </c>
      <c r="B129" s="1" t="s">
        <v>505</v>
      </c>
      <c r="C129" s="1" t="n">
        <v>1.05</v>
      </c>
      <c r="D129" s="1" t="s">
        <v>748</v>
      </c>
      <c r="E129" s="1" t="s">
        <v>507</v>
      </c>
    </row>
    <row r="130" customFormat="false" ht="12.8" hidden="false" customHeight="false" outlineLevel="0" collapsed="false">
      <c r="A130" s="1" t="s">
        <v>508</v>
      </c>
      <c r="B130" s="1" t="s">
        <v>469</v>
      </c>
      <c r="C130" s="1" t="n">
        <v>1.08</v>
      </c>
      <c r="D130" s="1" t="s">
        <v>739</v>
      </c>
      <c r="E130" s="1" t="s">
        <v>509</v>
      </c>
    </row>
    <row r="131" customFormat="false" ht="12.8" hidden="false" customHeight="false" outlineLevel="0" collapsed="false">
      <c r="A131" s="1" t="s">
        <v>510</v>
      </c>
      <c r="B131" s="1" t="s">
        <v>473</v>
      </c>
      <c r="C131" s="1" t="n">
        <v>1.06</v>
      </c>
      <c r="D131" s="1" t="s">
        <v>740</v>
      </c>
      <c r="E131" s="1" t="s">
        <v>511</v>
      </c>
    </row>
    <row r="132" customFormat="false" ht="12.8" hidden="false" customHeight="false" outlineLevel="0" collapsed="false">
      <c r="A132" s="1" t="s">
        <v>512</v>
      </c>
      <c r="B132" s="1" t="s">
        <v>477</v>
      </c>
      <c r="C132" s="1" t="n">
        <v>0.95</v>
      </c>
      <c r="D132" s="1" t="s">
        <v>741</v>
      </c>
      <c r="E132" s="1" t="s">
        <v>513</v>
      </c>
    </row>
    <row r="133" customFormat="false" ht="12.8" hidden="false" customHeight="false" outlineLevel="0" collapsed="false">
      <c r="A133" s="1" t="s">
        <v>514</v>
      </c>
      <c r="B133" s="1" t="s">
        <v>515</v>
      </c>
      <c r="C133" s="1" t="n">
        <v>1.05</v>
      </c>
      <c r="D133" s="1" t="s">
        <v>749</v>
      </c>
      <c r="E133" s="1" t="s">
        <v>517</v>
      </c>
    </row>
    <row r="134" customFormat="false" ht="12.8" hidden="false" customHeight="false" outlineLevel="0" collapsed="false">
      <c r="A134" s="1" t="s">
        <v>518</v>
      </c>
      <c r="B134" s="1" t="s">
        <v>519</v>
      </c>
      <c r="C134" s="1" t="n">
        <v>0.95</v>
      </c>
      <c r="D134" s="1" t="s">
        <v>750</v>
      </c>
      <c r="E134" s="1" t="s">
        <v>521</v>
      </c>
    </row>
    <row r="135" customFormat="false" ht="12.8" hidden="false" customHeight="false" outlineLevel="0" collapsed="false">
      <c r="A135" s="1" t="s">
        <v>522</v>
      </c>
      <c r="B135" s="1" t="s">
        <v>523</v>
      </c>
      <c r="C135" s="1" t="n">
        <v>10000</v>
      </c>
      <c r="D135" s="1" t="s">
        <v>751</v>
      </c>
      <c r="E135" s="1" t="s">
        <v>525</v>
      </c>
    </row>
    <row r="136" customFormat="false" ht="12.8" hidden="false" customHeight="false" outlineLevel="0" collapsed="false">
      <c r="A136" s="1" t="s">
        <v>526</v>
      </c>
      <c r="B136" s="1" t="s">
        <v>527</v>
      </c>
      <c r="C136" s="1" t="n">
        <v>65000</v>
      </c>
      <c r="D136" s="1" t="s">
        <v>752</v>
      </c>
      <c r="E136" s="1" t="s">
        <v>529</v>
      </c>
    </row>
    <row r="137" customFormat="false" ht="12.8" hidden="false" customHeight="false" outlineLevel="0" collapsed="false">
      <c r="A137" s="1" t="s">
        <v>530</v>
      </c>
      <c r="B137" s="1" t="s">
        <v>531</v>
      </c>
      <c r="C137" s="1" t="n">
        <v>137000</v>
      </c>
      <c r="D137" s="1" t="s">
        <v>753</v>
      </c>
      <c r="E137" s="1" t="s">
        <v>533</v>
      </c>
    </row>
    <row r="138" customFormat="false" ht="12.8" hidden="false" customHeight="false" outlineLevel="0" collapsed="false">
      <c r="A138" s="1" t="s">
        <v>534</v>
      </c>
      <c r="B138" s="1" t="s">
        <v>535</v>
      </c>
      <c r="C138" s="1" t="n">
        <v>28000</v>
      </c>
      <c r="D138" s="1" t="s">
        <v>754</v>
      </c>
      <c r="E138" s="1" t="s">
        <v>537</v>
      </c>
    </row>
    <row r="139" customFormat="false" ht="12.8" hidden="false" customHeight="false" outlineLevel="0" collapsed="false">
      <c r="A139" s="1" t="s">
        <v>538</v>
      </c>
      <c r="B139" s="1" t="s">
        <v>539</v>
      </c>
      <c r="C139" s="1" t="n">
        <v>165000</v>
      </c>
      <c r="D139" s="1" t="s">
        <v>755</v>
      </c>
      <c r="E139" s="1" t="s">
        <v>529</v>
      </c>
    </row>
    <row r="140" customFormat="false" ht="12.8" hidden="false" customHeight="false" outlineLevel="0" collapsed="false">
      <c r="A140" s="1" t="s">
        <v>541</v>
      </c>
      <c r="B140" s="1" t="s">
        <v>542</v>
      </c>
      <c r="C140" s="1" t="n">
        <v>50000</v>
      </c>
      <c r="D140" s="1" t="s">
        <v>756</v>
      </c>
      <c r="E140" s="1" t="s">
        <v>544</v>
      </c>
    </row>
    <row r="141" customFormat="false" ht="12.8" hidden="false" customHeight="false" outlineLevel="0" collapsed="false">
      <c r="A141" s="1" t="s">
        <v>545</v>
      </c>
      <c r="B141" s="1" t="s">
        <v>546</v>
      </c>
      <c r="C141" s="1" t="n">
        <v>140000</v>
      </c>
      <c r="D141" s="1" t="s">
        <v>757</v>
      </c>
      <c r="E141" s="1" t="s">
        <v>548</v>
      </c>
    </row>
    <row r="142" customFormat="false" ht="12.8" hidden="false" customHeight="false" outlineLevel="0" collapsed="false">
      <c r="A142" s="1" t="s">
        <v>549</v>
      </c>
      <c r="B142" s="1" t="s">
        <v>550</v>
      </c>
      <c r="C142" s="1" t="n">
        <v>15000</v>
      </c>
      <c r="D142" s="1" t="s">
        <v>758</v>
      </c>
      <c r="E142" s="1" t="s">
        <v>537</v>
      </c>
    </row>
    <row r="143" customFormat="false" ht="12.8" hidden="false" customHeight="false" outlineLevel="0" collapsed="false">
      <c r="A143" s="1" t="s">
        <v>552</v>
      </c>
      <c r="B143" s="1" t="s">
        <v>553</v>
      </c>
      <c r="C143" s="1" t="n">
        <v>10000</v>
      </c>
      <c r="D143" s="1" t="s">
        <v>759</v>
      </c>
      <c r="E143" s="1" t="s">
        <v>537</v>
      </c>
    </row>
    <row r="144" customFormat="false" ht="12.8" hidden="false" customHeight="false" outlineLevel="0" collapsed="false">
      <c r="A144" s="1" t="s">
        <v>555</v>
      </c>
      <c r="B144" s="1" t="s">
        <v>556</v>
      </c>
      <c r="C144" s="1" t="n">
        <v>65000</v>
      </c>
      <c r="D144" s="1" t="s">
        <v>760</v>
      </c>
      <c r="E144" s="1" t="s">
        <v>529</v>
      </c>
    </row>
    <row r="145" customFormat="false" ht="12.8" hidden="false" customHeight="false" outlineLevel="0" collapsed="false">
      <c r="A145" s="1" t="s">
        <v>558</v>
      </c>
      <c r="B145" s="1" t="s">
        <v>559</v>
      </c>
      <c r="C145" s="1" t="n">
        <v>0.25</v>
      </c>
      <c r="D145" s="1" t="s">
        <v>761</v>
      </c>
      <c r="E145" s="1" t="s">
        <v>561</v>
      </c>
    </row>
    <row r="146" customFormat="false" ht="12.8" hidden="false" customHeight="false" outlineLevel="0" collapsed="false">
      <c r="A146" s="1" t="s">
        <v>562</v>
      </c>
      <c r="B146" s="1" t="s">
        <v>563</v>
      </c>
      <c r="C146" s="1" t="n">
        <v>0.2</v>
      </c>
      <c r="D146" s="1" t="s">
        <v>762</v>
      </c>
      <c r="E146" s="1" t="s">
        <v>416</v>
      </c>
    </row>
    <row r="147" customFormat="false" ht="12.8" hidden="false" customHeight="false" outlineLevel="0" collapsed="false">
      <c r="A147" s="1" t="s">
        <v>565</v>
      </c>
      <c r="B147" s="1" t="s">
        <v>566</v>
      </c>
      <c r="C147" s="1" t="n">
        <v>0</v>
      </c>
      <c r="D147" s="1" t="s">
        <v>763</v>
      </c>
      <c r="E147" s="1" t="s">
        <v>568</v>
      </c>
    </row>
    <row r="148" customFormat="false" ht="12.8" hidden="false" customHeight="false" outlineLevel="0" collapsed="false">
      <c r="A148" s="1" t="s">
        <v>569</v>
      </c>
      <c r="B148" s="1" t="s">
        <v>570</v>
      </c>
      <c r="C148" s="1" t="n">
        <v>3188</v>
      </c>
      <c r="D148" s="1" t="s">
        <v>764</v>
      </c>
      <c r="E148" s="1" t="s">
        <v>572</v>
      </c>
    </row>
    <row r="149" customFormat="false" ht="12.8" hidden="false" customHeight="false" outlineLevel="0" collapsed="false">
      <c r="A149" s="1" t="s">
        <v>573</v>
      </c>
      <c r="B149" s="1" t="s">
        <v>574</v>
      </c>
      <c r="C149" s="1" t="n">
        <v>3000</v>
      </c>
      <c r="D149" s="1" t="s">
        <v>765</v>
      </c>
      <c r="E149" s="1" t="s">
        <v>576</v>
      </c>
    </row>
    <row r="150" customFormat="false" ht="12.8" hidden="false" customHeight="false" outlineLevel="0" collapsed="false">
      <c r="A150" s="1" t="s">
        <v>577</v>
      </c>
      <c r="B150" s="1" t="s">
        <v>578</v>
      </c>
      <c r="C150" s="1" t="n">
        <v>0</v>
      </c>
      <c r="D150" s="1" t="s">
        <v>766</v>
      </c>
      <c r="E150" s="1" t="s">
        <v>580</v>
      </c>
    </row>
    <row r="151" customFormat="false" ht="12.8" hidden="false" customHeight="false" outlineLevel="0" collapsed="false">
      <c r="A151" s="1" t="s">
        <v>581</v>
      </c>
      <c r="B151" s="1" t="s">
        <v>582</v>
      </c>
      <c r="C151" s="1" t="n">
        <v>0.2</v>
      </c>
      <c r="D151" s="1" t="s">
        <v>767</v>
      </c>
      <c r="E151" s="1" t="s">
        <v>584</v>
      </c>
    </row>
    <row r="152" customFormat="false" ht="12.8" hidden="false" customHeight="false" outlineLevel="0" collapsed="false">
      <c r="A152" s="1" t="s">
        <v>585</v>
      </c>
      <c r="B152" s="1" t="s">
        <v>586</v>
      </c>
      <c r="C152" s="1" t="n">
        <v>0.4</v>
      </c>
      <c r="D152" s="1" t="s">
        <v>768</v>
      </c>
      <c r="E152" s="1" t="s">
        <v>588</v>
      </c>
    </row>
    <row r="153" customFormat="false" ht="12.8" hidden="false" customHeight="false" outlineLevel="0" collapsed="false">
      <c r="A153" s="1" t="s">
        <v>589</v>
      </c>
      <c r="B153" s="1" t="s">
        <v>590</v>
      </c>
      <c r="C153" s="1" t="n">
        <v>0.35</v>
      </c>
      <c r="D153" s="1" t="s">
        <v>769</v>
      </c>
      <c r="E153" s="1"/>
    </row>
    <row r="154" customFormat="false" ht="12.8" hidden="false" customHeight="false" outlineLevel="0" collapsed="false">
      <c r="A154" s="1" t="s">
        <v>592</v>
      </c>
      <c r="B154" s="1" t="s">
        <v>593</v>
      </c>
      <c r="C154" s="1" t="n">
        <v>0.1</v>
      </c>
      <c r="D154" s="1" t="s">
        <v>770</v>
      </c>
      <c r="E154" s="1" t="s">
        <v>595</v>
      </c>
    </row>
    <row r="155" customFormat="false" ht="12.8" hidden="false" customHeight="false" outlineLevel="0" collapsed="false">
      <c r="A155" s="1" t="s">
        <v>596</v>
      </c>
      <c r="B155" s="1" t="s">
        <v>597</v>
      </c>
      <c r="C155" s="1" t="n">
        <v>1400</v>
      </c>
      <c r="D155" s="1" t="s">
        <v>764</v>
      </c>
      <c r="E155" s="1" t="s">
        <v>598</v>
      </c>
    </row>
    <row r="156" customFormat="false" ht="12.8" hidden="false" customHeight="false" outlineLevel="0" collapsed="false">
      <c r="A156" s="1" t="s">
        <v>599</v>
      </c>
      <c r="B156" s="1" t="s">
        <v>600</v>
      </c>
      <c r="C156" s="1" t="n">
        <v>1300</v>
      </c>
      <c r="D156" s="1" t="s">
        <v>765</v>
      </c>
      <c r="E156" s="1"/>
    </row>
    <row r="157" customFormat="false" ht="12.8" hidden="false" customHeight="false" outlineLevel="0" collapsed="false">
      <c r="A157" s="1" t="s">
        <v>601</v>
      </c>
      <c r="B157" s="1" t="s">
        <v>602</v>
      </c>
      <c r="C157" s="1" t="n">
        <v>800</v>
      </c>
      <c r="D157" s="1" t="s">
        <v>771</v>
      </c>
      <c r="E157" s="1" t="s">
        <v>604</v>
      </c>
    </row>
    <row r="158" customFormat="false" ht="12.8" hidden="false" customHeight="false" outlineLevel="0" collapsed="false">
      <c r="A158" s="1" t="s">
        <v>605</v>
      </c>
      <c r="B158" s="1" t="s">
        <v>606</v>
      </c>
      <c r="C158" s="1" t="n">
        <v>0.15</v>
      </c>
      <c r="D158" s="1" t="s">
        <v>772</v>
      </c>
      <c r="E158" s="1" t="s">
        <v>608</v>
      </c>
    </row>
    <row r="159" customFormat="false" ht="12.8" hidden="false" customHeight="false" outlineLevel="0" collapsed="false">
      <c r="A159" s="1" t="s">
        <v>609</v>
      </c>
      <c r="B159" s="1" t="s">
        <v>610</v>
      </c>
      <c r="C159" s="1" t="n">
        <v>0.12</v>
      </c>
      <c r="D159" s="1" t="s">
        <v>773</v>
      </c>
      <c r="E159" s="1"/>
    </row>
    <row r="160" customFormat="false" ht="12.8" hidden="false" customHeight="false" outlineLevel="0" collapsed="false">
      <c r="A160" s="1" t="s">
        <v>612</v>
      </c>
      <c r="B160" s="1" t="s">
        <v>613</v>
      </c>
      <c r="C160" s="1" t="n">
        <v>0.05</v>
      </c>
      <c r="D160" s="1" t="s">
        <v>774</v>
      </c>
      <c r="E160" s="1"/>
    </row>
    <row r="161" customFormat="false" ht="12.8" hidden="false" customHeight="false" outlineLevel="0" collapsed="false">
      <c r="A161" s="1" t="s">
        <v>615</v>
      </c>
      <c r="B161" s="1" t="s">
        <v>616</v>
      </c>
      <c r="C161" s="1" t="n">
        <v>1500</v>
      </c>
      <c r="D161" s="1" t="s">
        <v>764</v>
      </c>
      <c r="E161" s="1" t="s">
        <v>617</v>
      </c>
    </row>
    <row r="162" customFormat="false" ht="12.8" hidden="false" customHeight="false" outlineLevel="0" collapsed="false">
      <c r="A162" s="1" t="s">
        <v>618</v>
      </c>
      <c r="B162" s="1" t="s">
        <v>619</v>
      </c>
      <c r="C162" s="1" t="n">
        <v>1400</v>
      </c>
      <c r="D162" s="1" t="s">
        <v>765</v>
      </c>
      <c r="E162" s="1"/>
    </row>
    <row r="163" customFormat="false" ht="12.8" hidden="false" customHeight="false" outlineLevel="0" collapsed="false">
      <c r="A163" s="1" t="s">
        <v>620</v>
      </c>
      <c r="B163" s="1" t="s">
        <v>621</v>
      </c>
      <c r="C163" s="1" t="n">
        <v>1000</v>
      </c>
      <c r="D163" s="1" t="s">
        <v>775</v>
      </c>
      <c r="E163" s="1" t="s">
        <v>623</v>
      </c>
    </row>
    <row r="164" customFormat="false" ht="12.8" hidden="false" customHeight="false" outlineLevel="0" collapsed="false">
      <c r="A164" s="1" t="s">
        <v>624</v>
      </c>
      <c r="B164" s="1" t="s">
        <v>625</v>
      </c>
      <c r="C164" s="1" t="n">
        <v>46053</v>
      </c>
      <c r="D164" s="1" t="s">
        <v>776</v>
      </c>
      <c r="E164" s="1" t="s">
        <v>529</v>
      </c>
    </row>
    <row r="165" customFormat="false" ht="12.8" hidden="false" customHeight="false" outlineLevel="0" collapsed="false">
      <c r="C165" s="1"/>
      <c r="D165" s="1"/>
      <c r="E165" s="1"/>
    </row>
    <row r="166" customFormat="false" ht="12.8" hidden="false" customHeight="false" outlineLevel="0" collapsed="false">
      <c r="C166" s="1"/>
      <c r="D166" s="1"/>
      <c r="E16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2793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2025-12-27T14:55:03Z</dcterms:created>
  <dc:creator/>
  <dc:description/>
  <dc:language>en-US</dc:language>
  <cp:lastModifiedBy/>
  <dcterms:modified xsi:type="dcterms:W3CDTF">2026-02-01T15:06:31Z</dcterms:modified>
  <cp:revision>338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