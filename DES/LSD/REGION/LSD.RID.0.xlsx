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9.xml" ContentType="application/vnd.openxmlformats-officedocument.drawingml.chart+xml"/>
  <Override PartName="/xl/charts/chart12.xml" ContentType="application/vnd.openxmlformats-officedocument.drawingml.chart+xml"/>
  <Override PartName="/xl/charts/chart7.xml" ContentType="application/vnd.openxmlformats-officedocument.drawingml.chart+xml"/>
  <Override PartName="/xl/charts/chart6.xml" ContentType="application/vnd.openxmlformats-officedocument.drawingml.chart+xml"/>
  <Override PartName="/xl/charts/chart10.xml" ContentType="application/vnd.openxmlformats-officedocument.drawingml.chart+xml"/>
  <Override PartName="/xl/charts/chart5.xml" ContentType="application/vnd.openxmlformats-officedocument.drawingml.chart+xml"/>
  <Override PartName="/xl/charts/chart4.xml" ContentType="application/vnd.openxmlformats-officedocument.drawingml.chart+xml"/>
  <Override PartName="/xl/charts/chart3.xml" ContentType="application/vnd.openxmlformats-officedocument.drawingml.chart+xml"/>
  <Override PartName="/xl/charts/chart24.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11.xml" ContentType="application/vnd.openxmlformats-officedocument.drawingml.chart+xml"/>
  <Override PartName="/xl/charts/chart15.xml" ContentType="application/vnd.openxmlformats-officedocument.drawingml.chart+xml"/>
  <Override PartName="/xl/charts/chart18.xml" ContentType="application/vnd.openxmlformats-officedocument.drawingml.chart+xml"/>
  <Override PartName="/xl/charts/chart13.xml" ContentType="application/vnd.openxmlformats-officedocument.drawingml.chart+xml"/>
  <Override PartName="/xl/charts/chart16.xml" ContentType="application/vnd.openxmlformats-officedocument.drawingml.chart+xml"/>
  <Override PartName="/xl/charts/chart21.xml" ContentType="application/vnd.openxmlformats-officedocument.drawingml.chart+xml"/>
  <Override PartName="/xl/charts/chart17.xml" ContentType="application/vnd.openxmlformats-officedocument.drawingml.chart+xml"/>
  <Override PartName="/xl/charts/chart14.xml" ContentType="application/vnd.openxmlformats-officedocument.drawingml.chart+xml"/>
  <Override PartName="/xl/charts/chart1.xml" ContentType="application/vnd.openxmlformats-officedocument.drawingml.chart+xml"/>
  <Override PartName="/xl/charts/chart8.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REGION" sheetId="1" state="visible" r:id="rId3"/>
    <sheet name="AL" sheetId="2" state="visible" r:id="rId4"/>
    <sheet name="AR" sheetId="3" state="visible" r:id="rId5"/>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<sst xmlns="http://schemas.openxmlformats.org/spreadsheetml/2006/main" count="376" uniqueCount="158">
  <si>
    <t xml:space="preserve">Labor Security Division (LSD) – Southeast State Labor Statistics</t>
  </si>
  <si>
    <t xml:space="preserve">TAB</t>
  </si>
  <si>
    <t xml:space="preserve">LSD – State Labor Statistics</t>
  </si>
  <si>
    <t xml:space="preserve">RID</t>
  </si>
  <si>
    <t xml:space="preserve">State</t>
  </si>
  <si>
    <t xml:space="preserve">Name</t>
  </si>
  <si>
    <t xml:space="preserve">AL</t>
  </si>
  <si>
    <t xml:space="preserve">AR</t>
  </si>
  <si>
    <t xml:space="preserve">FL</t>
  </si>
  <si>
    <t xml:space="preserve">GA</t>
  </si>
  <si>
    <t xml:space="preserve">KY</t>
  </si>
  <si>
    <t xml:space="preserve">LA</t>
  </si>
  <si>
    <t xml:space="preserve">MS</t>
  </si>
  <si>
    <t xml:space="preserve">NC</t>
  </si>
  <si>
    <t xml:space="preserve">SC</t>
  </si>
  <si>
    <t xml:space="preserve">TN</t>
  </si>
  <si>
    <t xml:space="preserve">VA</t>
  </si>
  <si>
    <t xml:space="preserve">WV</t>
  </si>
  <si>
    <t xml:space="preserve">GLO</t>
  </si>
  <si>
    <t xml:space="preserve">Glossary</t>
  </si>
  <si>
    <t xml:space="preserve">GID</t>
  </si>
  <si>
    <t xml:space="preserve">Region ID</t>
  </si>
  <si>
    <t xml:space="preserve">SLIID</t>
  </si>
  <si>
    <t xml:space="preserve">State Labor Industry ID</t>
  </si>
  <si>
    <t xml:space="preserve">SLIVID</t>
  </si>
  <si>
    <t xml:space="preserve">State Labor Industry Visualization ID</t>
  </si>
  <si>
    <t xml:space="preserve">INVID</t>
  </si>
  <si>
    <t xml:space="preserve">Invocation ID</t>
  </si>
  <si>
    <t xml:space="preserve">INV</t>
  </si>
  <si>
    <t xml:space="preserve">Invocations</t>
  </si>
  <si>
    <t xml:space="preserve">Script</t>
  </si>
  <si>
    <t xml:space="preserve">References</t>
  </si>
  <si>
    <t xml:space="preserve">Reference Account</t>
  </si>
  <si>
    <t xml:space="preserve">0</t>
  </si>
  <si>
    <t xml:space="preserve">Alabama Labor Statistics Calculations</t>
  </si>
  <si>
    <t xml:space="preserve">This session's purpose is to calculate labor statistics for each state in a region. Each state's labor stastic calculations will be performed independently and using predefined formulae. Output should be in copy-pasteable `TSV` format. `LSD.REFERENCE` spreadsheet details `FORMULAE.REGION` and `FORMULAE.STATE` calculations for regionalized states, as well as other parameterized tabs referenced by formulae. Formulae tabs are pseudocode and require calculations performed as machine instructions. `RID.0` is comprised of individual state tabs with primary tables of performed calculations, then altertables in each state's tab remain references to primary table. 
All table in the spreadsheet should be calculated with latest formulae and parameters from spreadsheet. When requested during this session calculate a specified state's labor statistics. Afterward validate the calculated table against alter public sources.  Prompt me to continue. </t>
  </si>
  <si>
    <t xml:space="preserve"> </t>
  </si>
  <si>
    <t xml:space="preserve">thomas.patrick.welborn@outlook.com</t>
  </si>
  <si>
    <t xml:space="preserve">1</t>
  </si>
  <si>
    <t xml:space="preserve">Arkansas Labor Statistics Calculations</t>
  </si>
  <si>
    <t xml:space="preserve">https://grok.com/share/c2hhcmQtMg_05f8d4b3-2d59-4349-93d9-6c5bafa3bacd</t>
  </si>
  <si>
    <t xml:space="preserve">U.S. Labor Statistics (Alabama)</t>
  </si>
  <si>
    <t xml:space="preserve">Industry</t>
  </si>
  <si>
    <t xml:space="preserve">Role</t>
  </si>
  <si>
    <t xml:space="preserve">Total Population</t>
  </si>
  <si>
    <t xml:space="preserve">Authorized Population</t>
  </si>
  <si>
    <t xml:space="preserve">Unauthorized Population</t>
  </si>
  <si>
    <t xml:space="preserve">American Population</t>
  </si>
  <si>
    <t xml:space="preserve">Employment-to-Population Ratio</t>
  </si>
  <si>
    <t xml:space="preserve">Authorized Immigrant Employment-to-Population Ratio</t>
  </si>
  <si>
    <t xml:space="preserve">Unauthorized Immigrant Employment-to-Population Ratio</t>
  </si>
  <si>
    <t xml:space="preserve">American Employment-to-Population Ratio</t>
  </si>
  <si>
    <t xml:space="preserve">Labor Force Participation Rate (LFPR)</t>
  </si>
  <si>
    <t xml:space="preserve">Authorized Immigrant Labor Force Participation Rate (LFPR)</t>
  </si>
  <si>
    <t xml:space="preserve">Unauthorized Immigrant Labor Force Participation Rate (LFPR)</t>
  </si>
  <si>
    <t xml:space="preserve">American Labor Force Participation Rate (LFPR)</t>
  </si>
  <si>
    <t xml:space="preserve">Unemployment Rate</t>
  </si>
  <si>
    <t xml:space="preserve">Authorized Immigrant Unemployment Rate</t>
  </si>
  <si>
    <t xml:space="preserve">Unauthorized Immigrant Unemployment Rate</t>
  </si>
  <si>
    <t xml:space="preserve">American Unemployment Rate</t>
  </si>
  <si>
    <t xml:space="preserve">Underemployment Rate</t>
  </si>
  <si>
    <t xml:space="preserve">Authorized Immigrant Underemployment Rate</t>
  </si>
  <si>
    <t xml:space="preserve">Unauthorized Immigrant Underemployment Rate</t>
  </si>
  <si>
    <t xml:space="preserve">American Underemployment Rate</t>
  </si>
  <si>
    <t xml:space="preserve">Wage Average ($/hr)</t>
  </si>
  <si>
    <t xml:space="preserve">Wage Min ($/hr)</t>
  </si>
  <si>
    <t xml:space="preserve">Wage Max ($/hr)</t>
  </si>
  <si>
    <t xml:space="preserve">Annual Income ($)</t>
  </si>
  <si>
    <t xml:space="preserve">Annual Income Min ($)</t>
  </si>
  <si>
    <t xml:space="preserve">Annual Income Max ($)</t>
  </si>
  <si>
    <t xml:space="preserve">Authorized Immigrant Wage Average ($/hr)</t>
  </si>
  <si>
    <t xml:space="preserve">Authorized Immigrant Wage Min ($/hr)</t>
  </si>
  <si>
    <t xml:space="preserve">Authorized Immigrant Wage Max ($/hr)</t>
  </si>
  <si>
    <t xml:space="preserve">Authorized Immigrant Annual Income Average ($)</t>
  </si>
  <si>
    <t xml:space="preserve">Authorized Immigrant Annual Income Min ($)</t>
  </si>
  <si>
    <t xml:space="preserve">Authorized Immigrant Annual Income Max ($)</t>
  </si>
  <si>
    <t xml:space="preserve">Unauthorized Immigrant Wage Average ($/hr)</t>
  </si>
  <si>
    <t xml:space="preserve">Unauthorized Immigrant Wage Min ($/hr)</t>
  </si>
  <si>
    <t xml:space="preserve">Unauthorized Immigrant Wage Max ($/hr)</t>
  </si>
  <si>
    <t xml:space="preserve">Unauthorized Immigrant Annual Income Average ($)</t>
  </si>
  <si>
    <t xml:space="preserve">Unauthorized Immigrant Annual Income Min ($)</t>
  </si>
  <si>
    <t xml:space="preserve">Unauthorized Immigrant Annual Income Max ($)</t>
  </si>
  <si>
    <t xml:space="preserve">American Wage Average ($/hr)</t>
  </si>
  <si>
    <t xml:space="preserve">American Wage Min ($/hr)</t>
  </si>
  <si>
    <t xml:space="preserve">American Wage Max ($/hr)</t>
  </si>
  <si>
    <t xml:space="preserve">American Annual Income Average ($)</t>
  </si>
  <si>
    <t xml:space="preserve">American Annual Income Min ($)</t>
  </si>
  <si>
    <t xml:space="preserve">American Annual Income Max ($)</t>
  </si>
  <si>
    <t xml:space="preserve">Federal Personal Income Tax Revenue ($)</t>
  </si>
  <si>
    <t xml:space="preserve">Authorized Immigrant Federal Personal Income Tax Revenue ($)</t>
  </si>
  <si>
    <t xml:space="preserve">Unauthorized Immigrant Federal Personal Income Tax Revenue ($)</t>
  </si>
  <si>
    <t xml:space="preserve">American Federal Personal Income Tax Revenue ($)</t>
  </si>
  <si>
    <t xml:space="preserve">Payroll Tax Revenue ($)</t>
  </si>
  <si>
    <t xml:space="preserve">Authorized Immigrant Payroll Tax Revenue ($)</t>
  </si>
  <si>
    <t xml:space="preserve">Unauthorized Immigrant Payroll Tax Revenue ($)</t>
  </si>
  <si>
    <t xml:space="preserve">American Payroll Tax Revenue ($)</t>
  </si>
  <si>
    <t xml:space="preserve">EITC Credit Refund</t>
  </si>
  <si>
    <t xml:space="preserve">Authorized Immigrant EITC Credit Refund</t>
  </si>
  <si>
    <t xml:space="preserve">Unauthorized Immigrant EITC Credit Refund</t>
  </si>
  <si>
    <t xml:space="preserve">American Effective Tax EITC Credit Refund</t>
  </si>
  <si>
    <t xml:space="preserve">ACTC Credit Refund</t>
  </si>
  <si>
    <t xml:space="preserve">Authorized Immigrant ACTC Credit Refund</t>
  </si>
  <si>
    <t xml:space="preserve">Unauthorized Immigrant ACTC Credit Refund</t>
  </si>
  <si>
    <t xml:space="preserve">American Effective Tax ACTC Credit Refund</t>
  </si>
  <si>
    <t xml:space="preserve">AOTC Credit Refund</t>
  </si>
  <si>
    <t xml:space="preserve">Authorized Immigrant AOTC Credit Refund</t>
  </si>
  <si>
    <t xml:space="preserve">Unauthorized Immigrant AOTC Credit Refund</t>
  </si>
  <si>
    <t xml:space="preserve">American Effective Tax AOTC Credit Refund</t>
  </si>
  <si>
    <t xml:space="preserve">All Industries</t>
  </si>
  <si>
    <t xml:space="preserve">All Roles</t>
  </si>
  <si>
    <t xml:space="preserve">Agriculture</t>
  </si>
  <si>
    <t xml:space="preserve">Worker</t>
  </si>
  <si>
    <t xml:space="preserve">Support</t>
  </si>
  <si>
    <t xml:space="preserve">Construction</t>
  </si>
  <si>
    <t xml:space="preserve">Hospitality</t>
  </si>
  <si>
    <t xml:space="preserve">Cleaning &amp; Maintenance</t>
  </si>
  <si>
    <t xml:space="preserve">Manufacturing</t>
  </si>
  <si>
    <t xml:space="preserve">Transportation &amp; Warehousing</t>
  </si>
  <si>
    <t xml:space="preserve">Retail Trade</t>
  </si>
  <si>
    <t xml:space="preserve">Landscaping / Groundskeeping</t>
  </si>
  <si>
    <t xml:space="preserve">Automotive &amp; Repair</t>
  </si>
  <si>
    <t xml:space="preserve">Other Services</t>
  </si>
  <si>
    <t xml:space="preserve">AL.0</t>
  </si>
  <si>
    <t xml:space="preserve">Authorized, Unauthorized, American Laborer Population By Industrial Labor Role</t>
  </si>
  <si>
    <t xml:space="preserve">Industry: Role</t>
  </si>
  <si>
    <t xml:space="preserve">AL.1</t>
  </si>
  <si>
    <r>
      <rPr>
        <i val="true"/>
        <sz val="10"/>
        <rFont val="Arial"/>
        <family val="2"/>
        <charset val="1"/>
      </rPr>
      <t xml:space="preserve">Authorized, Unauthorized, American Laborer </t>
    </r>
    <r>
      <rPr>
        <b val="true"/>
        <u val="single"/>
        <sz val="10"/>
        <rFont val="Arial"/>
        <family val="2"/>
        <charset val="1"/>
      </rPr>
      <t xml:space="preserve">Employment-to-Population Ratio</t>
    </r>
    <r>
      <rPr>
        <i val="true"/>
        <sz val="10"/>
        <rFont val="Arial"/>
        <family val="2"/>
        <charset val="1"/>
      </rPr>
      <t xml:space="preserve"> By Industrial Labor Role</t>
    </r>
  </si>
  <si>
    <t xml:space="preserve">AL.2</t>
  </si>
  <si>
    <r>
      <rPr>
        <i val="true"/>
        <sz val="10"/>
        <rFont val="Arial"/>
        <family val="2"/>
        <charset val="1"/>
      </rPr>
      <t xml:space="preserve">Authorized, Unauthorized, American Laborer </t>
    </r>
    <r>
      <rPr>
        <b val="true"/>
        <u val="single"/>
        <sz val="10"/>
        <rFont val="Arial"/>
        <family val="2"/>
        <charset val="1"/>
      </rPr>
      <t xml:space="preserve">Labor Force Participation Rate</t>
    </r>
    <r>
      <rPr>
        <i val="true"/>
        <sz val="10"/>
        <rFont val="Arial"/>
        <family val="2"/>
        <charset val="1"/>
      </rPr>
      <t xml:space="preserve"> By Industrial Labor Role</t>
    </r>
  </si>
  <si>
    <t xml:space="preserve">AL.3</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</si>
  <si>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Unemployment Rate </t>
    </r>
    <r>
      <rPr>
        <sz val="10"/>
        <rFont val="Arial"/>
        <family val="2"/>
        <charset val="1"/>
      </rPr>
      <t xml:space="preserve">By </t>
    </r>
    <r>
      <rPr>
        <u val="single"/>
        <sz val="10"/>
        <rFont val="Arial"/>
        <family val="2"/>
        <charset val="1"/>
      </rPr>
      <t xml:space="preserve">Industrial Labor Role</t>
    </r>
  </si>
  <si>
    <t xml:space="preserve">AL.4</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</si>
  <si>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Underemployment Rate </t>
    </r>
    <r>
      <rPr>
        <sz val="10"/>
        <rFont val="Arial"/>
        <family val="2"/>
        <charset val="1"/>
      </rPr>
      <t xml:space="preserve">By </t>
    </r>
    <r>
      <rPr>
        <u val="single"/>
        <sz val="10"/>
        <rFont val="Arial"/>
        <family val="2"/>
        <charset val="1"/>
      </rPr>
      <t xml:space="preserve">Industrial Labor Role</t>
    </r>
  </si>
  <si>
    <t xml:space="preserve">AL.5</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</si>
  <si>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Wage Average </t>
    </r>
    <r>
      <rPr>
        <sz val="10"/>
        <rFont val="Arial"/>
        <family val="2"/>
        <charset val="1"/>
      </rPr>
      <t xml:space="preserve">By </t>
    </r>
    <r>
      <rPr>
        <u val="single"/>
        <sz val="10"/>
        <rFont val="Arial"/>
        <family val="2"/>
        <charset val="1"/>
      </rPr>
      <t xml:space="preserve">Industrial Labor Role</t>
    </r>
  </si>
  <si>
    <t xml:space="preserve">AL.6</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</si>
  <si>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Annual Income Average </t>
    </r>
    <r>
      <rPr>
        <sz val="10"/>
        <rFont val="Arial"/>
        <family val="2"/>
        <charset val="1"/>
      </rPr>
      <t xml:space="preserve">By </t>
    </r>
    <r>
      <rPr>
        <u val="single"/>
        <sz val="10"/>
        <rFont val="Arial"/>
        <family val="2"/>
        <charset val="1"/>
      </rPr>
      <t xml:space="preserve">Industrial Labor Role</t>
    </r>
  </si>
  <si>
    <t xml:space="preserve">AL.7</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</si>
  <si>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Personal Income Tax </t>
    </r>
    <r>
      <rPr>
        <sz val="10"/>
        <rFont val="Arial"/>
        <family val="2"/>
        <charset val="1"/>
      </rPr>
      <t xml:space="preserve">By </t>
    </r>
    <r>
      <rPr>
        <u val="single"/>
        <sz val="10"/>
        <rFont val="Arial"/>
        <family val="2"/>
        <charset val="1"/>
      </rPr>
      <t xml:space="preserve">Industrial Labor Role</t>
    </r>
  </si>
  <si>
    <t xml:space="preserve">AL.8</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</si>
  <si>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Federal Payroll Tax </t>
    </r>
    <r>
      <rPr>
        <sz val="10"/>
        <rFont val="Arial"/>
        <family val="2"/>
        <charset val="1"/>
      </rPr>
      <t xml:space="preserve">By </t>
    </r>
    <r>
      <rPr>
        <u val="single"/>
        <sz val="10"/>
        <rFont val="Arial"/>
        <family val="2"/>
        <charset val="1"/>
      </rPr>
      <t xml:space="preserve">Industrial Labor Role</t>
    </r>
  </si>
  <si>
    <t xml:space="preserve">AL.9</t>
  </si>
  <si>
    <r>
      <rPr>
        <i val="true"/>
        <sz val="10"/>
        <rFont val="Arial"/>
        <family val="2"/>
        <charset val="1"/>
      </rPr>
      <t xml:space="preserve">Authorized</t>
    </r>
    <r>
      <rPr>
        <sz val="10"/>
        <rFont val="Arial"/>
        <family val="2"/>
        <charset val="1"/>
      </rPr>
      <t xml:space="preserve">, </t>
    </r>
    <r>
      <rPr>
        <i val="true"/>
        <sz val="10"/>
        <rFont val="Arial"/>
        <family val="2"/>
        <charset val="1"/>
      </rPr>
      <t xml:space="preserve">Unauthorized</t>
    </r>
    <r>
      <rPr>
        <sz val="10"/>
        <rFont val="Arial"/>
        <family val="2"/>
        <charset val="1"/>
      </rPr>
      <t xml:space="preserve">, </t>
    </r>
    <r>
      <rPr>
        <i val="true"/>
        <sz val="10"/>
        <rFont val="Arial"/>
        <family val="2"/>
        <charset val="1"/>
      </rPr>
      <t xml:space="preserve">American </t>
    </r>
    <r>
      <rPr>
        <sz val="10"/>
        <rFont val="Arial"/>
        <family val="2"/>
        <charset val="1"/>
      </rPr>
      <t xml:space="preserve">Laborer </t>
    </r>
    <r>
      <rPr>
        <b val="true"/>
        <sz val="10"/>
        <rFont val="Arial"/>
        <family val="2"/>
        <charset val="1"/>
      </rPr>
      <t xml:space="preserve">Earned Income Tax Credit </t>
    </r>
    <r>
      <rPr>
        <sz val="10"/>
        <rFont val="Arial"/>
        <family val="2"/>
        <charset val="1"/>
      </rPr>
      <t xml:space="preserve">By </t>
    </r>
    <r>
      <rPr>
        <u val="single"/>
        <sz val="10"/>
        <rFont val="Arial"/>
        <family val="2"/>
        <charset val="1"/>
      </rPr>
      <t xml:space="preserve">Industrial Labor Role</t>
    </r>
  </si>
  <si>
    <t xml:space="preserve">AL.10</t>
  </si>
  <si>
    <t xml:space="preserve">Authorized, Unauthorized, American Laborer Additional Child Tax Credit By Industrial Labor Role</t>
  </si>
  <si>
    <r>
      <rPr>
        <sz val="10"/>
        <rFont val="Arial"/>
        <family val="2"/>
        <charset val="1"/>
      </rPr>
      <t xml:space="preserve">Authorized, Unauthorized, American Laborer </t>
    </r>
    <r>
      <rPr>
        <b val="true"/>
        <sz val="10"/>
        <rFont val="Arial"/>
        <family val="2"/>
        <charset val="1"/>
      </rPr>
      <t xml:space="preserve">American Opportunity Tax Credit</t>
    </r>
    <r>
      <rPr>
        <sz val="10"/>
        <rFont val="Arial"/>
        <family val="2"/>
        <charset val="1"/>
      </rPr>
      <t xml:space="preserve"> By </t>
    </r>
    <r>
      <rPr>
        <i val="true"/>
        <sz val="10"/>
        <rFont val="Arial"/>
        <family val="2"/>
        <charset val="1"/>
      </rPr>
      <t xml:space="preserve">Industrial Labor Role</t>
    </r>
  </si>
  <si>
    <t xml:space="preserve">U.S. Labor Statistics (Arkansas)</t>
  </si>
  <si>
    <t xml:space="preserve">AR.0</t>
  </si>
  <si>
    <t xml:space="preserve">AR.1</t>
  </si>
  <si>
    <t xml:space="preserve">AR.2</t>
  </si>
  <si>
    <t xml:space="preserve">AR.3</t>
  </si>
  <si>
    <t xml:space="preserve">AR.4</t>
  </si>
  <si>
    <t xml:space="preserve">AR.5</t>
  </si>
  <si>
    <t xml:space="preserve">AR.6</t>
  </si>
  <si>
    <t xml:space="preserve">AR.7</t>
  </si>
  <si>
    <t xml:space="preserve">AR.8</t>
  </si>
  <si>
    <t xml:space="preserve">AR.9</t>
  </si>
  <si>
    <t xml:space="preserve">AR.10</t>
  </si>
</sst>
</file>

<file path=xl/styles.xml><?xml version="1.0" encoding="utf-8"?>
<styleSheet xmlns="http://schemas.openxmlformats.org/spreadsheetml/2006/main">
  <numFmts count="10">
    <numFmt numFmtId="164" formatCode="General"/>
    <numFmt numFmtId="165" formatCode="\$#,##0.00_);&quot;($&quot;#,##0.00\)"/>
    <numFmt numFmtId="166" formatCode="\$#,##0_);[RED]&quot;($&quot;#,##0\)"/>
    <numFmt numFmtId="167" formatCode="#,##0"/>
    <numFmt numFmtId="168" formatCode="0.00%"/>
    <numFmt numFmtId="169" formatCode="[$$-409]#,##0;\-[$$-409]#,##0"/>
    <numFmt numFmtId="170" formatCode="[$$-409]#,##0.00;\-[$$-409]#,##0.00"/>
    <numFmt numFmtId="171" formatCode="[$$-409]#,##0.00;[RED]\-[$$-409]#,##0.00"/>
    <numFmt numFmtId="172" formatCode="[$$-409]#,##0;[RED]\-[$$-409]#,##0"/>
    <numFmt numFmtId="173" formatCode="0%"/>
  </numFmts>
  <fonts count="19">
    <font>
      <sz val="10"/>
      <name val="Arial"/>
      <family val="2"/>
      <charset val="1"/>
    </font>
    <font>
      <sz val="10"/>
      <name val="Arial"/>
      <family val="0"/>
    </font>
    <font>
      <sz val="10"/>
      <name val="Arial"/>
      <family val="0"/>
    </font>
    <font>
      <sz val="10"/>
      <name val="Arial"/>
      <family val="0"/>
    </font>
    <font>
      <sz val="10"/>
      <color rgb="FFC0C0C0"/>
      <name val="Arial"/>
      <family val="2"/>
      <charset val="1"/>
    </font>
    <font>
      <b val="true"/>
      <i val="true"/>
      <u val="single"/>
      <sz val="10"/>
      <color rgb="FF000000"/>
      <name val="Arial"/>
      <family val="2"/>
      <charset val="1"/>
    </font>
    <font>
      <b val="true"/>
      <sz val="10"/>
      <name val="arial"/>
      <family val="2"/>
      <charset val="1"/>
    </font>
    <font>
      <b val="true"/>
      <sz val="10"/>
      <name val="Arial"/>
      <family val="2"/>
      <charset val="1"/>
    </font>
    <font>
      <sz val="10"/>
      <color rgb="FF0000FF"/>
      <name val="Arial"/>
      <family val="2"/>
      <charset val="1"/>
    </font>
    <font>
      <sz val="10"/>
      <name val="Times New Roman"/>
      <family val="1"/>
      <charset val="1"/>
    </font>
    <font>
      <i val="true"/>
      <sz val="10"/>
      <name val="Arial"/>
      <family val="2"/>
      <charset val="1"/>
    </font>
    <font>
      <b val="true"/>
      <u val="single"/>
      <sz val="10"/>
      <name val="Arial"/>
      <family val="2"/>
      <charset val="1"/>
    </font>
    <font>
      <u val="single"/>
      <sz val="10"/>
      <name val="Arial"/>
      <family val="2"/>
      <charset val="1"/>
    </font>
    <font>
      <sz val="13"/>
      <color rgb="FF000000"/>
      <name val="Arial"/>
      <family val="2"/>
    </font>
    <font>
      <sz val="11"/>
      <color rgb="FF000000"/>
      <name val="Arial"/>
      <family val="2"/>
    </font>
    <font>
      <sz val="8"/>
      <color rgb="FFFFFFFF"/>
      <name val="Arial"/>
      <family val="2"/>
    </font>
    <font>
      <sz val="8"/>
      <color rgb="FF000000"/>
      <name val="Arial"/>
      <family val="2"/>
    </font>
    <font>
      <sz val="10"/>
      <color rgb="FF000000"/>
      <name val="Arial"/>
      <family val="2"/>
    </font>
    <font>
      <sz val="9"/>
      <color rgb="FF000000"/>
      <name val="Arial"/>
      <family val="2"/>
    </font>
  </fonts>
  <fills count="4">
    <fill>
      <patternFill patternType="none"/>
    </fill>
    <fill>
      <patternFill patternType="gray125"/>
    </fill>
    <fill>
      <patternFill patternType="solid">
        <fgColor rgb="FF333300"/>
        <bgColor rgb="FF333333"/>
      </patternFill>
    </fill>
    <fill>
      <patternFill patternType="solid">
        <fgColor rgb="FFFFCC00"/>
        <bgColor rgb="FFFFD320"/>
      </patternFill>
    </fill>
  </fills>
  <borders count="10">
    <border diagonalUp="false" diagonalDown="false">
      <left/>
      <right/>
      <top/>
      <bottom/>
      <diagonal/>
    </border>
    <border diagonalUp="false" diagonalDown="false">
      <left/>
      <right/>
      <top/>
      <bottom style="hair">
        <color rgb="FF000080"/>
      </bottom>
      <diagonal/>
    </border>
    <border diagonalUp="false" diagonalDown="false">
      <left style="hair">
        <color rgb="FF000080"/>
      </left>
      <right/>
      <top/>
      <bottom style="hair">
        <color rgb="FF000080"/>
      </bottom>
      <diagonal/>
    </border>
    <border diagonalUp="false" diagonalDown="false">
      <left/>
      <right style="hair">
        <color rgb="FF000080"/>
      </right>
      <top/>
      <bottom style="hair">
        <color rgb="FF000080"/>
      </bottom>
      <diagonal/>
    </border>
    <border diagonalUp="false" diagonalDown="false">
      <left style="hair">
        <color rgb="FF000080"/>
      </left>
      <right/>
      <top/>
      <bottom/>
      <diagonal/>
    </border>
    <border diagonalUp="false" diagonalDown="false">
      <left/>
      <right style="hair">
        <color rgb="FF000080"/>
      </right>
      <top/>
      <bottom/>
      <diagonal/>
    </border>
    <border diagonalUp="false" diagonalDown="false">
      <left/>
      <right/>
      <top style="hair">
        <color rgb="FF000080"/>
      </top>
      <bottom/>
      <diagonal/>
    </border>
    <border diagonalUp="false" diagonalDown="false">
      <left style="hair">
        <color rgb="FF000080"/>
      </left>
      <right/>
      <top style="hair">
        <color rgb="FF000080"/>
      </top>
      <bottom/>
      <diagonal/>
    </border>
    <border diagonalUp="false" diagonalDown="false">
      <left/>
      <right style="hair">
        <color rgb="FF000080"/>
      </right>
      <top style="hair">
        <color rgb="FF000080"/>
      </top>
      <bottom/>
      <diagonal/>
    </border>
    <border diagonalUp="false" diagonalDown="false">
      <left style="hair"/>
      <right style="hair"/>
      <top style="hair"/>
      <bottom style="hair"/>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0" fillId="3" borderId="0" applyFont="true" applyBorder="false" applyAlignment="true" applyProtection="false">
      <alignment horizontal="right" vertical="bottom" textRotation="0" wrapText="true" indent="0" shrinkToFit="false"/>
    </xf>
    <xf numFmtId="164" fontId="0" fillId="3" borderId="1" applyFont="true" applyBorder="true" applyAlignment="true" applyProtection="false">
      <alignment horizontal="right" vertical="bottom" textRotation="0" wrapText="true" indent="0" shrinkToFit="false"/>
    </xf>
    <xf numFmtId="164" fontId="0" fillId="3" borderId="2" applyFont="true" applyBorder="true" applyAlignment="true" applyProtection="false">
      <alignment horizontal="right" vertical="bottom" textRotation="0" wrapText="true" indent="0" shrinkToFit="false"/>
    </xf>
    <xf numFmtId="164" fontId="0" fillId="3" borderId="3" applyFont="true" applyBorder="true" applyAlignment="true" applyProtection="false">
      <alignment horizontal="right" vertical="bottom" textRotation="0" wrapText="true" indent="0" shrinkToFit="false"/>
    </xf>
    <xf numFmtId="164" fontId="0" fillId="3" borderId="4" applyFont="true" applyBorder="true" applyAlignment="true" applyProtection="false">
      <alignment horizontal="right" vertical="bottom" textRotation="0" wrapText="true" indent="0" shrinkToFit="false"/>
    </xf>
    <xf numFmtId="164" fontId="0" fillId="3" borderId="5" applyFont="true" applyBorder="true" applyAlignment="true" applyProtection="false">
      <alignment horizontal="right" vertical="bottom" textRotation="0" wrapText="true" indent="0" shrinkToFit="false"/>
    </xf>
    <xf numFmtId="164" fontId="0" fillId="3" borderId="6" applyFont="true" applyBorder="true" applyAlignment="true" applyProtection="false">
      <alignment horizontal="right" vertical="bottom" textRotation="0" wrapText="true" indent="0" shrinkToFit="false"/>
    </xf>
    <xf numFmtId="164" fontId="0" fillId="3" borderId="7" applyFont="true" applyBorder="true" applyAlignment="true" applyProtection="false">
      <alignment horizontal="right" vertical="bottom" textRotation="0" wrapText="true" indent="0" shrinkToFit="false"/>
    </xf>
    <xf numFmtId="164" fontId="0" fillId="3" borderId="8" applyFont="true" applyBorder="true" applyAlignment="true" applyProtection="false">
      <alignment horizontal="right" vertical="bottom" textRotation="0" wrapText="true" indent="0" shrinkToFit="false"/>
    </xf>
    <xf numFmtId="164" fontId="0" fillId="3" borderId="0" applyFont="true" applyBorder="false" applyAlignment="true" applyProtection="false">
      <alignment horizontal="right" vertical="bottom" textRotation="0" wrapText="true" indent="0" shrinkToFit="false"/>
    </xf>
    <xf numFmtId="165" fontId="0" fillId="0" borderId="9" applyFont="true" applyBorder="true" applyAlignment="true" applyProtection="true">
      <alignment horizontal="general" vertical="bottom" textRotation="0" wrapText="false" indent="0" shrinkToFit="false"/>
      <protection locked="false" hidden="false"/>
    </xf>
    <xf numFmtId="166" fontId="5" fillId="0" borderId="0" applyFont="true" applyBorder="false" applyAlignment="true" applyProtection="false">
      <alignment horizontal="general" vertical="bottom" textRotation="0" wrapText="false" indent="0" shrinkToFit="false"/>
    </xf>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center"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8" fontId="9"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center" vertical="bottom" textRotation="0" wrapText="true" indent="0" shrinkToFit="false"/>
      <protection locked="true" hidden="false"/>
    </xf>
    <xf numFmtId="169" fontId="0" fillId="0" borderId="0" xfId="0" applyFont="true" applyBorder="false" applyAlignment="true" applyProtection="true">
      <alignment horizontal="center" vertical="bottom" textRotation="0" wrapText="true" indent="0" shrinkToFit="false"/>
      <protection locked="true" hidden="false"/>
    </xf>
    <xf numFmtId="170" fontId="0" fillId="0" borderId="0" xfId="0" applyFont="true" applyBorder="false" applyAlignment="true" applyProtection="true">
      <alignment horizontal="center"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true" applyBorder="false" applyAlignment="true" applyProtection="true">
      <alignment horizontal="general" vertical="bottom" textRotation="0" wrapText="true" indent="0" shrinkToFit="false"/>
      <protection locked="true" hidden="false"/>
    </xf>
    <xf numFmtId="169" fontId="0" fillId="0" borderId="0" xfId="0" applyFont="true" applyBorder="false" applyAlignment="true" applyProtection="true">
      <alignment horizontal="general" vertical="bottom" textRotation="0" wrapText="true" indent="0" shrinkToFit="false"/>
      <protection locked="true" hidden="false"/>
    </xf>
    <xf numFmtId="170" fontId="0" fillId="0" borderId="0" xfId="0" applyFont="true" applyBorder="false" applyAlignment="true" applyProtection="true">
      <alignment horizontal="general" vertical="bottom" textRotation="0" wrapText="tru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center" vertical="bottom" textRotation="0" wrapText="true" indent="0" shrinkToFit="false"/>
      <protection locked="true" hidden="false"/>
    </xf>
    <xf numFmtId="167" fontId="7"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8" fontId="7" fillId="0" borderId="0" xfId="0" applyFont="true" applyBorder="false" applyAlignment="true" applyProtection="true">
      <alignment horizontal="center" vertical="bottom" textRotation="0" wrapText="true" indent="0" shrinkToFit="false"/>
      <protection locked="true" hidden="false"/>
    </xf>
    <xf numFmtId="171" fontId="7" fillId="0" borderId="0" xfId="0" applyFont="true" applyBorder="false" applyAlignment="true" applyProtection="true">
      <alignment horizontal="general" vertical="bottom" textRotation="0" wrapText="true" indent="0" shrinkToFit="false"/>
      <protection locked="true" hidden="false"/>
    </xf>
    <xf numFmtId="170" fontId="7" fillId="0" borderId="0" xfId="0" applyFont="true" applyBorder="false" applyAlignment="true" applyProtection="true">
      <alignment horizontal="general" vertical="bottom" textRotation="0" wrapText="true" indent="0" shrinkToFit="false"/>
      <protection locked="true" hidden="false"/>
    </xf>
    <xf numFmtId="172" fontId="7" fillId="0" borderId="0" xfId="0" applyFont="true" applyBorder="false" applyAlignment="true" applyProtection="true">
      <alignment horizontal="center" vertical="bottom" textRotation="0" wrapText="true" indent="0" shrinkToFit="false"/>
      <protection locked="true" hidden="false"/>
    </xf>
    <xf numFmtId="169" fontId="7" fillId="0" borderId="0" xfId="0" applyFont="true" applyBorder="false" applyAlignment="true" applyProtection="true">
      <alignment horizontal="center" vertical="bottom" textRotation="0" wrapText="tru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Background" xfId="20"/>
    <cellStyle name="Card" xfId="21"/>
    <cellStyle name="Card B" xfId="22"/>
    <cellStyle name="Card BL" xfId="23"/>
    <cellStyle name="Card BR" xfId="24"/>
    <cellStyle name="Card L" xfId="25"/>
    <cellStyle name="Card R" xfId="26"/>
    <cellStyle name="Card T" xfId="27"/>
    <cellStyle name="Card TL" xfId="28"/>
    <cellStyle name="Card TR" xfId="29"/>
    <cellStyle name="Column Header" xfId="30"/>
    <cellStyle name="Input" xfId="31"/>
    <cellStyle name="Result2" xfId="32"/>
  </cellStyles>
  <colors>
    <indexedColors>
      <rgbColor rgb="FF000000"/>
      <rgbColor rgb="FFFFFFFF"/>
      <rgbColor rgb="FFFF0000"/>
      <rgbColor rgb="FF00FF00"/>
      <rgbColor rgb="FF0000FF"/>
      <rgbColor rgb="FFFFD32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BF0041"/>
      <rgbColor rgb="FF800000"/>
      <rgbColor rgb="FF008080"/>
      <rgbColor rgb="FF0000FF"/>
      <rgbColor rgb="FF00CCFF"/>
      <rgbColor rgb="FFCCFFFF"/>
      <rgbColor rgb="FFCCFFCC"/>
      <rgbColor rgb="FFFFFF99"/>
      <rgbColor rgb="FFB3B3B3"/>
      <rgbColor rgb="FFFF99CC"/>
      <rgbColor rgb="FFCC99FF"/>
      <rgbColor rgb="FFFFCC99"/>
      <rgbColor rgb="FF3366FF"/>
      <rgbColor rgb="FF33CCCC"/>
      <rgbColor rgb="FF99CC00"/>
      <rgbColor rgb="FFFFCC00"/>
      <rgbColor rgb="FFFF9900"/>
      <rgbColor rgb="FFFF420E"/>
      <rgbColor rgb="FF666699"/>
      <rgbColor rgb="FF999999"/>
      <rgbColor rgb="FF004586"/>
      <rgbColor rgb="FF579D1C"/>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 Force Participation Rate by Industrial Labor Role</a:t>
            </a:r>
          </a:p>
        </c:rich>
      </c:tx>
      <c:layout>
        <c:manualLayout>
          <c:xMode val="edge"/>
          <c:yMode val="edge"/>
          <c:x val="0.171556625306055"/>
          <c:y val="0.0243412351205616"/>
        </c:manualLayout>
      </c:layout>
      <c:overlay val="0"/>
      <c:spPr>
        <a:noFill/>
        <a:ln w="0">
          <a:noFill/>
        </a:ln>
      </c:spPr>
    </c:title>
    <c:autoTitleDeleted val="0"/>
    <c:plotArea>
      <c:barChart>
        <c:barDir val="bar"/>
        <c:grouping val="clustered"/>
        <c:varyColors val="0"/>
        <c:ser>
          <c:idx val="0"/>
          <c:order val="0"/>
          <c:tx>
            <c:strRef>
              <c:f>AL!$C$260</c:f>
              <c:strCache>
                <c:ptCount val="1"/>
                <c:pt idx="0">
                  <c:v>Labor Force Participation Rate (LFPR)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AL!$C$262:$C$281</c:f>
              <c:numCache>
                <c:formatCode>0.00%</c:formatCode>
                <c:ptCount val="20"/>
                <c:pt idx="0">
                  <c:v>0.62</c:v>
                </c:pt>
                <c:pt idx="1">
                  <c:v>0.589</c:v>
                </c:pt>
                <c:pt idx="2">
                  <c:v>0.61</c:v>
                </c:pt>
                <c:pt idx="3">
                  <c:v>0.579</c:v>
                </c:pt>
                <c:pt idx="4">
                  <c:v>0.58</c:v>
                </c:pt>
                <c:pt idx="5">
                  <c:v>0.551</c:v>
                </c:pt>
                <c:pt idx="6">
                  <c:v>0.595</c:v>
                </c:pt>
                <c:pt idx="7">
                  <c:v>0.565</c:v>
                </c:pt>
                <c:pt idx="8">
                  <c:v>0.605</c:v>
                </c:pt>
                <c:pt idx="9">
                  <c:v>0.575</c:v>
                </c:pt>
                <c:pt idx="10">
                  <c:v>0.6</c:v>
                </c:pt>
                <c:pt idx="11">
                  <c:v>0.57</c:v>
                </c:pt>
                <c:pt idx="12">
                  <c:v>0.585</c:v>
                </c:pt>
                <c:pt idx="13">
                  <c:v>0.556</c:v>
                </c:pt>
                <c:pt idx="14">
                  <c:v>0.63</c:v>
                </c:pt>
                <c:pt idx="15">
                  <c:v>0.599</c:v>
                </c:pt>
                <c:pt idx="16">
                  <c:v>0.6</c:v>
                </c:pt>
                <c:pt idx="17">
                  <c:v>0.57</c:v>
                </c:pt>
                <c:pt idx="18">
                  <c:v>0.595</c:v>
                </c:pt>
                <c:pt idx="19">
                  <c:v>0.565</c:v>
                </c:pt>
              </c:numCache>
            </c:numRef>
          </c:val>
        </c:ser>
        <c:ser>
          <c:idx val="1"/>
          <c:order val="1"/>
          <c:tx>
            <c:strRef>
              <c:f>AL!$D$260</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AL!$D$262:$D$281</c:f>
              <c:numCache>
                <c:formatCode>0.00%</c:formatCode>
                <c:ptCount val="20"/>
                <c:pt idx="0">
                  <c:v>0.68</c:v>
                </c:pt>
                <c:pt idx="1">
                  <c:v>0.646</c:v>
                </c:pt>
                <c:pt idx="2">
                  <c:v>0.67</c:v>
                </c:pt>
                <c:pt idx="3">
                  <c:v>0.637</c:v>
                </c:pt>
                <c:pt idx="4">
                  <c:v>0.64</c:v>
                </c:pt>
                <c:pt idx="5">
                  <c:v>0.608</c:v>
                </c:pt>
                <c:pt idx="6">
                  <c:v>0.655</c:v>
                </c:pt>
                <c:pt idx="7">
                  <c:v>0.622</c:v>
                </c:pt>
                <c:pt idx="8">
                  <c:v>0.665</c:v>
                </c:pt>
                <c:pt idx="9">
                  <c:v>0.632</c:v>
                </c:pt>
                <c:pt idx="10">
                  <c:v>0.66</c:v>
                </c:pt>
                <c:pt idx="11">
                  <c:v>0.627</c:v>
                </c:pt>
                <c:pt idx="12">
                  <c:v>0.645</c:v>
                </c:pt>
                <c:pt idx="13">
                  <c:v>0.613</c:v>
                </c:pt>
                <c:pt idx="14">
                  <c:v>0.69</c:v>
                </c:pt>
                <c:pt idx="15">
                  <c:v>0.656</c:v>
                </c:pt>
                <c:pt idx="16">
                  <c:v>0.66</c:v>
                </c:pt>
                <c:pt idx="17">
                  <c:v>0.627</c:v>
                </c:pt>
                <c:pt idx="18">
                  <c:v>0.655</c:v>
                </c:pt>
                <c:pt idx="19">
                  <c:v>0.622</c:v>
                </c:pt>
              </c:numCache>
            </c:numRef>
          </c:val>
        </c:ser>
        <c:ser>
          <c:idx val="2"/>
          <c:order val="2"/>
          <c:tx>
            <c:strRef>
              <c:f>AL!$E$260</c:f>
              <c:strCache>
                <c:ptCount val="1"/>
                <c:pt idx="0">
                  <c:v>Unauthorized Immigrant Labor Force Participation Rate (LFPR)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AL!$E$262:$E$281</c:f>
              <c:numCache>
                <c:formatCode>0.00%</c:formatCode>
                <c:ptCount val="20"/>
                <c:pt idx="0">
                  <c:v>0.78</c:v>
                </c:pt>
                <c:pt idx="1">
                  <c:v>0.741</c:v>
                </c:pt>
                <c:pt idx="2">
                  <c:v>0.76</c:v>
                </c:pt>
                <c:pt idx="3">
                  <c:v>0.722</c:v>
                </c:pt>
                <c:pt idx="4">
                  <c:v>0.71</c:v>
                </c:pt>
                <c:pt idx="5">
                  <c:v>0.674</c:v>
                </c:pt>
                <c:pt idx="6">
                  <c:v>0.74</c:v>
                </c:pt>
                <c:pt idx="7">
                  <c:v>0.703</c:v>
                </c:pt>
                <c:pt idx="8">
                  <c:v>0.74</c:v>
                </c:pt>
                <c:pt idx="9">
                  <c:v>0.703</c:v>
                </c:pt>
                <c:pt idx="10">
                  <c:v>0.75</c:v>
                </c:pt>
                <c:pt idx="11">
                  <c:v>0.712</c:v>
                </c:pt>
                <c:pt idx="12">
                  <c:v>0.72</c:v>
                </c:pt>
                <c:pt idx="13">
                  <c:v>0.684</c:v>
                </c:pt>
                <c:pt idx="14">
                  <c:v>0.79</c:v>
                </c:pt>
                <c:pt idx="15">
                  <c:v>0.751</c:v>
                </c:pt>
                <c:pt idx="16">
                  <c:v>0.74</c:v>
                </c:pt>
                <c:pt idx="17">
                  <c:v>0.703</c:v>
                </c:pt>
                <c:pt idx="18">
                  <c:v>0.73</c:v>
                </c:pt>
                <c:pt idx="19">
                  <c:v>0.694</c:v>
                </c:pt>
              </c:numCache>
            </c:numRef>
          </c:val>
        </c:ser>
        <c:ser>
          <c:idx val="3"/>
          <c:order val="3"/>
          <c:tx>
            <c:strRef>
              <c:f>AL!$F$260</c:f>
              <c:strCache>
                <c:ptCount val="1"/>
                <c:pt idx="0">
                  <c:v>American Labor Force Participation Rate (LFPR)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AL!$F$262:$F$281</c:f>
              <c:numCache>
                <c:formatCode>0.00%</c:formatCode>
                <c:ptCount val="20"/>
                <c:pt idx="0">
                  <c:v>0.6</c:v>
                </c:pt>
                <c:pt idx="1">
                  <c:v>0.57</c:v>
                </c:pt>
                <c:pt idx="2">
                  <c:v>0.59</c:v>
                </c:pt>
                <c:pt idx="3">
                  <c:v>0.56</c:v>
                </c:pt>
                <c:pt idx="4">
                  <c:v>0.57</c:v>
                </c:pt>
                <c:pt idx="5">
                  <c:v>0.542</c:v>
                </c:pt>
                <c:pt idx="6">
                  <c:v>0.58</c:v>
                </c:pt>
                <c:pt idx="7">
                  <c:v>0.551</c:v>
                </c:pt>
                <c:pt idx="8">
                  <c:v>0.59</c:v>
                </c:pt>
                <c:pt idx="9">
                  <c:v>0.56</c:v>
                </c:pt>
                <c:pt idx="10">
                  <c:v>0.58</c:v>
                </c:pt>
                <c:pt idx="11">
                  <c:v>0.55</c:v>
                </c:pt>
                <c:pt idx="12">
                  <c:v>0.57</c:v>
                </c:pt>
                <c:pt idx="13">
                  <c:v>0.542</c:v>
                </c:pt>
                <c:pt idx="14">
                  <c:v>0.61</c:v>
                </c:pt>
                <c:pt idx="15">
                  <c:v>0.58</c:v>
                </c:pt>
                <c:pt idx="16">
                  <c:v>0.58</c:v>
                </c:pt>
                <c:pt idx="17">
                  <c:v>0.55</c:v>
                </c:pt>
                <c:pt idx="18">
                  <c:v>0.58</c:v>
                </c:pt>
                <c:pt idx="19">
                  <c:v>0.551</c:v>
                </c:pt>
              </c:numCache>
            </c:numRef>
          </c:val>
        </c:ser>
        <c:gapWidth val="100"/>
        <c:overlap val="0"/>
        <c:axId val="6800802"/>
        <c:axId val="90890054"/>
      </c:barChart>
      <c:catAx>
        <c:axId val="6800802"/>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0890054"/>
        <c:crosses val="autoZero"/>
        <c:auto val="1"/>
        <c:lblAlgn val="ctr"/>
        <c:lblOffset val="100"/>
        <c:noMultiLvlLbl val="0"/>
      </c:catAx>
      <c:valAx>
        <c:axId val="90890054"/>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Labor Force Participation Rate</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6800802"/>
        <c:crossesAt val="0"/>
        <c:crossBetween val="midCat"/>
        <c:majorUnit val="0.05"/>
      </c:valAx>
      <c:spPr>
        <a:noFill/>
        <a:ln w="0">
          <a:solidFill>
            <a:srgbClr val="b3b3b3"/>
          </a:solidFill>
        </a:ln>
      </c:spPr>
    </c:plotArea>
    <c:legend>
      <c:legendPos val="r"/>
      <c:layout>
        <c:manualLayout>
          <c:xMode val="edge"/>
          <c:yMode val="edge"/>
          <c:x val="0.811109730334286"/>
          <c:y val="0.473411286222674"/>
          <c:w val="0.180191375667951"/>
          <c:h val="0.108947635993899"/>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Unemployment Rate By Industrial Labor Role</a:t>
            </a:r>
          </a:p>
        </c:rich>
      </c:tx>
      <c:layout>
        <c:manualLayout>
          <c:xMode val="edge"/>
          <c:yMode val="edge"/>
          <c:x val="0.160393409968046"/>
          <c:y val="0.0197375114457218"/>
        </c:manualLayout>
      </c:layout>
      <c:overlay val="0"/>
      <c:spPr>
        <a:noFill/>
        <a:ln w="0">
          <a:noFill/>
        </a:ln>
      </c:spPr>
    </c:title>
    <c:autoTitleDeleted val="0"/>
    <c:plotArea>
      <c:barChart>
        <c:barDir val="bar"/>
        <c:grouping val="clustered"/>
        <c:varyColors val="0"/>
        <c:ser>
          <c:idx val="0"/>
          <c:order val="0"/>
          <c:tx>
            <c:strRef>
              <c:f>AL!$C$377</c:f>
              <c:strCache>
                <c:ptCount val="1"/>
                <c:pt idx="0">
                  <c:v>Unemployment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AL!$C$379:$C$398</c:f>
              <c:numCache>
                <c:formatCode>0.00%</c:formatCode>
                <c:ptCount val="20"/>
                <c:pt idx="0">
                  <c:v>0.048</c:v>
                </c:pt>
                <c:pt idx="1">
                  <c:v>0.048</c:v>
                </c:pt>
                <c:pt idx="2">
                  <c:v>0.033</c:v>
                </c:pt>
                <c:pt idx="3">
                  <c:v>0.033</c:v>
                </c:pt>
                <c:pt idx="4">
                  <c:v>0.04</c:v>
                </c:pt>
                <c:pt idx="5">
                  <c:v>0.04</c:v>
                </c:pt>
                <c:pt idx="6">
                  <c:v>0.043</c:v>
                </c:pt>
                <c:pt idx="7">
                  <c:v>0.043</c:v>
                </c:pt>
                <c:pt idx="8">
                  <c:v>0.02</c:v>
                </c:pt>
                <c:pt idx="9">
                  <c:v>0.02</c:v>
                </c:pt>
                <c:pt idx="10">
                  <c:v>0.024</c:v>
                </c:pt>
                <c:pt idx="11">
                  <c:v>0.024</c:v>
                </c:pt>
                <c:pt idx="12">
                  <c:v>0.032</c:v>
                </c:pt>
                <c:pt idx="13">
                  <c:v>0.032</c:v>
                </c:pt>
                <c:pt idx="14">
                  <c:v>0.033</c:v>
                </c:pt>
                <c:pt idx="15">
                  <c:v>0.033</c:v>
                </c:pt>
                <c:pt idx="16">
                  <c:v>0.024</c:v>
                </c:pt>
                <c:pt idx="17">
                  <c:v>0.024</c:v>
                </c:pt>
                <c:pt idx="18">
                  <c:v>0.024</c:v>
                </c:pt>
                <c:pt idx="19">
                  <c:v>0.024</c:v>
                </c:pt>
              </c:numCache>
            </c:numRef>
          </c:val>
        </c:ser>
        <c:ser>
          <c:idx val="1"/>
          <c:order val="1"/>
          <c:tx>
            <c:strRef>
              <c:f>AL!$D$377</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AL!$D$379:$D$398</c:f>
              <c:numCache>
                <c:formatCode>0.00%</c:formatCode>
                <c:ptCount val="20"/>
                <c:pt idx="0">
                  <c:v>0.07</c:v>
                </c:pt>
                <c:pt idx="1">
                  <c:v>0.07</c:v>
                </c:pt>
                <c:pt idx="2">
                  <c:v>0.06</c:v>
                </c:pt>
                <c:pt idx="3">
                  <c:v>0.06</c:v>
                </c:pt>
                <c:pt idx="4">
                  <c:v>0.07</c:v>
                </c:pt>
                <c:pt idx="5">
                  <c:v>0.07</c:v>
                </c:pt>
                <c:pt idx="6">
                  <c:v>0.08</c:v>
                </c:pt>
                <c:pt idx="7">
                  <c:v>0.08</c:v>
                </c:pt>
                <c:pt idx="8">
                  <c:v>0.04</c:v>
                </c:pt>
                <c:pt idx="9">
                  <c:v>0.04</c:v>
                </c:pt>
                <c:pt idx="10">
                  <c:v>0.05</c:v>
                </c:pt>
                <c:pt idx="11">
                  <c:v>0.05</c:v>
                </c:pt>
                <c:pt idx="12">
                  <c:v>0.06</c:v>
                </c:pt>
                <c:pt idx="13">
                  <c:v>0.06</c:v>
                </c:pt>
                <c:pt idx="14">
                  <c:v>0.06</c:v>
                </c:pt>
                <c:pt idx="15">
                  <c:v>0.06</c:v>
                </c:pt>
                <c:pt idx="16">
                  <c:v>0.05</c:v>
                </c:pt>
                <c:pt idx="17">
                  <c:v>0.05</c:v>
                </c:pt>
                <c:pt idx="18">
                  <c:v>0.05</c:v>
                </c:pt>
                <c:pt idx="19">
                  <c:v>0.05</c:v>
                </c:pt>
              </c:numCache>
            </c:numRef>
          </c:val>
        </c:ser>
        <c:ser>
          <c:idx val="2"/>
          <c:order val="2"/>
          <c:tx>
            <c:strRef>
              <c:f>AL!$E$377</c:f>
              <c:strCache>
                <c:ptCount val="1"/>
                <c:pt idx="0">
                  <c:v>Unauthorized Immigrant Unemployment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AL!$E$379:$E$398</c:f>
              <c:numCache>
                <c:formatCode>0.00%</c:formatCode>
                <c:ptCount val="20"/>
                <c:pt idx="0">
                  <c:v>0.11</c:v>
                </c:pt>
                <c:pt idx="1">
                  <c:v>0.11</c:v>
                </c:pt>
                <c:pt idx="2">
                  <c:v>0.1</c:v>
                </c:pt>
                <c:pt idx="3">
                  <c:v>0.1</c:v>
                </c:pt>
                <c:pt idx="4">
                  <c:v>0.12</c:v>
                </c:pt>
                <c:pt idx="5">
                  <c:v>0.12</c:v>
                </c:pt>
                <c:pt idx="6">
                  <c:v>0.13</c:v>
                </c:pt>
                <c:pt idx="7">
                  <c:v>0.13</c:v>
                </c:pt>
                <c:pt idx="8">
                  <c:v>0.07</c:v>
                </c:pt>
                <c:pt idx="9">
                  <c:v>0.07</c:v>
                </c:pt>
                <c:pt idx="10">
                  <c:v>0.08</c:v>
                </c:pt>
                <c:pt idx="11">
                  <c:v>0.08</c:v>
                </c:pt>
                <c:pt idx="12">
                  <c:v>0.1</c:v>
                </c:pt>
                <c:pt idx="13">
                  <c:v>0.1</c:v>
                </c:pt>
                <c:pt idx="14">
                  <c:v>0.1</c:v>
                </c:pt>
                <c:pt idx="15">
                  <c:v>0.1</c:v>
                </c:pt>
                <c:pt idx="16">
                  <c:v>0.08</c:v>
                </c:pt>
                <c:pt idx="17">
                  <c:v>0.08</c:v>
                </c:pt>
                <c:pt idx="18">
                  <c:v>0.08</c:v>
                </c:pt>
                <c:pt idx="19">
                  <c:v>0.08</c:v>
                </c:pt>
              </c:numCache>
            </c:numRef>
          </c:val>
        </c:ser>
        <c:ser>
          <c:idx val="3"/>
          <c:order val="3"/>
          <c:tx>
            <c:strRef>
              <c:f>AL!$F$377</c:f>
              <c:strCache>
                <c:ptCount val="1"/>
                <c:pt idx="0">
                  <c:v>American Unemployment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AL!$F$379:$F$398</c:f>
              <c:numCache>
                <c:formatCode>0.00%</c:formatCode>
                <c:ptCount val="20"/>
                <c:pt idx="0">
                  <c:v>0.045</c:v>
                </c:pt>
                <c:pt idx="1">
                  <c:v>0.045</c:v>
                </c:pt>
                <c:pt idx="2">
                  <c:v>0.03</c:v>
                </c:pt>
                <c:pt idx="3">
                  <c:v>0.03</c:v>
                </c:pt>
                <c:pt idx="4">
                  <c:v>0.037</c:v>
                </c:pt>
                <c:pt idx="5">
                  <c:v>0.037</c:v>
                </c:pt>
                <c:pt idx="6">
                  <c:v>0.04</c:v>
                </c:pt>
                <c:pt idx="7">
                  <c:v>0.04</c:v>
                </c:pt>
                <c:pt idx="8">
                  <c:v>0.018</c:v>
                </c:pt>
                <c:pt idx="9">
                  <c:v>0.018</c:v>
                </c:pt>
                <c:pt idx="10">
                  <c:v>0.022</c:v>
                </c:pt>
                <c:pt idx="11">
                  <c:v>0.022</c:v>
                </c:pt>
                <c:pt idx="12">
                  <c:v>0.03</c:v>
                </c:pt>
                <c:pt idx="13">
                  <c:v>0.03</c:v>
                </c:pt>
                <c:pt idx="14">
                  <c:v>0.03</c:v>
                </c:pt>
                <c:pt idx="15">
                  <c:v>0.03</c:v>
                </c:pt>
                <c:pt idx="16">
                  <c:v>0.022</c:v>
                </c:pt>
                <c:pt idx="17">
                  <c:v>0.022</c:v>
                </c:pt>
                <c:pt idx="18">
                  <c:v>0.022</c:v>
                </c:pt>
                <c:pt idx="19">
                  <c:v>0.022</c:v>
                </c:pt>
              </c:numCache>
            </c:numRef>
          </c:val>
        </c:ser>
        <c:gapWidth val="100"/>
        <c:overlap val="0"/>
        <c:axId val="91220274"/>
        <c:axId val="4914541"/>
      </c:barChart>
      <c:catAx>
        <c:axId val="91220274"/>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914541"/>
        <c:crosses val="autoZero"/>
        <c:auto val="1"/>
        <c:lblAlgn val="ctr"/>
        <c:lblOffset val="100"/>
        <c:noMultiLvlLbl val="0"/>
      </c:catAx>
      <c:valAx>
        <c:axId val="4914541"/>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916960617504"/>
              <c:y val="0.971385695391189"/>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1220274"/>
        <c:crossesAt val="0"/>
        <c:crossBetween val="midCat"/>
        <c:majorUnit val="0.01"/>
      </c:valAx>
      <c:spPr>
        <a:noFill/>
        <a:ln w="0">
          <a:solidFill>
            <a:srgbClr val="b3b3b3"/>
          </a:solidFill>
        </a:ln>
      </c:spPr>
    </c:plotArea>
    <c:legend>
      <c:legendPos val="r"/>
      <c:layout>
        <c:manualLayout>
          <c:xMode val="edge"/>
          <c:yMode val="edge"/>
          <c:x val="0.794747524957541"/>
          <c:y val="0.468352821555669"/>
          <c:w val="0.196553581044696"/>
          <c:h val="0.11802236908998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Underemployment Rate By Industrial Labor Role</a:t>
            </a:r>
          </a:p>
        </c:rich>
      </c:tx>
      <c:layout>
        <c:manualLayout>
          <c:xMode val="edge"/>
          <c:yMode val="edge"/>
          <c:x val="0.160393409968046"/>
          <c:y val="0.0198392511954421"/>
        </c:manualLayout>
      </c:layout>
      <c:overlay val="0"/>
      <c:spPr>
        <a:noFill/>
        <a:ln w="0">
          <a:noFill/>
        </a:ln>
      </c:spPr>
    </c:title>
    <c:autoTitleDeleted val="0"/>
    <c:plotArea>
      <c:barChart>
        <c:barDir val="bar"/>
        <c:grouping val="clustered"/>
        <c:varyColors val="0"/>
        <c:ser>
          <c:idx val="0"/>
          <c:order val="0"/>
          <c:tx>
            <c:strRef>
              <c:f>AL!$C$495</c:f>
              <c:strCache>
                <c:ptCount val="1"/>
                <c:pt idx="0">
                  <c:v>Underemployment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AL!$C$497:$C$516</c:f>
              <c:numCache>
                <c:formatCode>0.00%</c:formatCode>
                <c:ptCount val="20"/>
                <c:pt idx="0">
                  <c:v>0.095</c:v>
                </c:pt>
                <c:pt idx="1">
                  <c:v>0.095</c:v>
                </c:pt>
                <c:pt idx="2">
                  <c:v>0.07</c:v>
                </c:pt>
                <c:pt idx="3">
                  <c:v>0.07</c:v>
                </c:pt>
                <c:pt idx="4">
                  <c:v>0.085</c:v>
                </c:pt>
                <c:pt idx="5">
                  <c:v>0.085</c:v>
                </c:pt>
                <c:pt idx="6">
                  <c:v>0.09</c:v>
                </c:pt>
                <c:pt idx="7">
                  <c:v>0.09</c:v>
                </c:pt>
                <c:pt idx="8">
                  <c:v>0.045</c:v>
                </c:pt>
                <c:pt idx="9">
                  <c:v>0.045</c:v>
                </c:pt>
                <c:pt idx="10">
                  <c:v>0.05</c:v>
                </c:pt>
                <c:pt idx="11">
                  <c:v>0.05</c:v>
                </c:pt>
                <c:pt idx="12">
                  <c:v>0.07</c:v>
                </c:pt>
                <c:pt idx="13">
                  <c:v>0.07</c:v>
                </c:pt>
                <c:pt idx="14">
                  <c:v>0.07</c:v>
                </c:pt>
                <c:pt idx="15">
                  <c:v>0.07</c:v>
                </c:pt>
                <c:pt idx="16">
                  <c:v>0.05</c:v>
                </c:pt>
                <c:pt idx="17">
                  <c:v>0.05</c:v>
                </c:pt>
                <c:pt idx="18">
                  <c:v>0.05</c:v>
                </c:pt>
                <c:pt idx="19">
                  <c:v>0.05</c:v>
                </c:pt>
              </c:numCache>
            </c:numRef>
          </c:val>
        </c:ser>
        <c:ser>
          <c:idx val="1"/>
          <c:order val="1"/>
          <c:tx>
            <c:strRef>
              <c:f>AL!$D$495</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AL!$D$497:$D$516</c:f>
              <c:numCache>
                <c:formatCode>0.00%</c:formatCode>
                <c:ptCount val="20"/>
                <c:pt idx="0">
                  <c:v>0.11</c:v>
                </c:pt>
                <c:pt idx="1">
                  <c:v>0.11</c:v>
                </c:pt>
                <c:pt idx="2">
                  <c:v>0.08</c:v>
                </c:pt>
                <c:pt idx="3">
                  <c:v>0.08</c:v>
                </c:pt>
                <c:pt idx="4">
                  <c:v>0.1</c:v>
                </c:pt>
                <c:pt idx="5">
                  <c:v>0.1</c:v>
                </c:pt>
                <c:pt idx="6">
                  <c:v>0.105</c:v>
                </c:pt>
                <c:pt idx="7">
                  <c:v>0.105</c:v>
                </c:pt>
                <c:pt idx="8">
                  <c:v>0.052</c:v>
                </c:pt>
                <c:pt idx="9">
                  <c:v>0.052</c:v>
                </c:pt>
                <c:pt idx="10">
                  <c:v>0.058</c:v>
                </c:pt>
                <c:pt idx="11">
                  <c:v>0.058</c:v>
                </c:pt>
                <c:pt idx="12">
                  <c:v>0.08</c:v>
                </c:pt>
                <c:pt idx="13">
                  <c:v>0.08</c:v>
                </c:pt>
                <c:pt idx="14">
                  <c:v>0.08</c:v>
                </c:pt>
                <c:pt idx="15">
                  <c:v>0.08</c:v>
                </c:pt>
                <c:pt idx="16">
                  <c:v>0.058</c:v>
                </c:pt>
                <c:pt idx="17">
                  <c:v>0.058</c:v>
                </c:pt>
                <c:pt idx="18">
                  <c:v>0.058</c:v>
                </c:pt>
                <c:pt idx="19">
                  <c:v>0.058</c:v>
                </c:pt>
              </c:numCache>
            </c:numRef>
          </c:val>
        </c:ser>
        <c:ser>
          <c:idx val="2"/>
          <c:order val="2"/>
          <c:tx>
            <c:strRef>
              <c:f>AL!$E$495</c:f>
              <c:strCache>
                <c:ptCount val="1"/>
                <c:pt idx="0">
                  <c:v>Unauthorized Immigrant Underemployment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AL!$E$497:$E$516</c:f>
              <c:numCache>
                <c:formatCode>0.00%</c:formatCode>
                <c:ptCount val="20"/>
                <c:pt idx="0">
                  <c:v>0.17</c:v>
                </c:pt>
                <c:pt idx="1">
                  <c:v>0.17</c:v>
                </c:pt>
                <c:pt idx="2">
                  <c:v>0.14</c:v>
                </c:pt>
                <c:pt idx="3">
                  <c:v>0.14</c:v>
                </c:pt>
                <c:pt idx="4">
                  <c:v>0.18</c:v>
                </c:pt>
                <c:pt idx="5">
                  <c:v>0.18</c:v>
                </c:pt>
                <c:pt idx="6">
                  <c:v>0.19</c:v>
                </c:pt>
                <c:pt idx="7">
                  <c:v>0.19</c:v>
                </c:pt>
                <c:pt idx="8">
                  <c:v>0.094</c:v>
                </c:pt>
                <c:pt idx="9">
                  <c:v>0.094</c:v>
                </c:pt>
                <c:pt idx="10">
                  <c:v>0.105</c:v>
                </c:pt>
                <c:pt idx="11">
                  <c:v>0.105</c:v>
                </c:pt>
                <c:pt idx="12">
                  <c:v>0.14</c:v>
                </c:pt>
                <c:pt idx="13">
                  <c:v>0.14</c:v>
                </c:pt>
                <c:pt idx="14">
                  <c:v>0.14</c:v>
                </c:pt>
                <c:pt idx="15">
                  <c:v>0.14</c:v>
                </c:pt>
                <c:pt idx="16">
                  <c:v>0.105</c:v>
                </c:pt>
                <c:pt idx="17">
                  <c:v>0.105</c:v>
                </c:pt>
                <c:pt idx="18">
                  <c:v>0.105</c:v>
                </c:pt>
                <c:pt idx="19">
                  <c:v>0.105</c:v>
                </c:pt>
              </c:numCache>
            </c:numRef>
          </c:val>
        </c:ser>
        <c:ser>
          <c:idx val="3"/>
          <c:order val="3"/>
          <c:tx>
            <c:strRef>
              <c:f>AL!$F$495</c:f>
              <c:strCache>
                <c:ptCount val="1"/>
                <c:pt idx="0">
                  <c:v>American Underemployment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AL!$F$497:$F$516</c:f>
              <c:numCache>
                <c:formatCode>0.00%</c:formatCode>
                <c:ptCount val="20"/>
                <c:pt idx="0">
                  <c:v>0.086</c:v>
                </c:pt>
                <c:pt idx="1">
                  <c:v>0.086</c:v>
                </c:pt>
                <c:pt idx="2">
                  <c:v>0.064</c:v>
                </c:pt>
                <c:pt idx="3">
                  <c:v>0.064</c:v>
                </c:pt>
                <c:pt idx="4">
                  <c:v>0.077</c:v>
                </c:pt>
                <c:pt idx="5">
                  <c:v>0.077</c:v>
                </c:pt>
                <c:pt idx="6">
                  <c:v>0.081</c:v>
                </c:pt>
                <c:pt idx="7">
                  <c:v>0.081</c:v>
                </c:pt>
                <c:pt idx="8">
                  <c:v>0.041</c:v>
                </c:pt>
                <c:pt idx="9">
                  <c:v>0.041</c:v>
                </c:pt>
                <c:pt idx="10">
                  <c:v>0.045</c:v>
                </c:pt>
                <c:pt idx="11">
                  <c:v>0.045</c:v>
                </c:pt>
                <c:pt idx="12">
                  <c:v>0.064</c:v>
                </c:pt>
                <c:pt idx="13">
                  <c:v>0.064</c:v>
                </c:pt>
                <c:pt idx="14">
                  <c:v>0.064</c:v>
                </c:pt>
                <c:pt idx="15">
                  <c:v>0.064</c:v>
                </c:pt>
                <c:pt idx="16">
                  <c:v>0.045</c:v>
                </c:pt>
                <c:pt idx="17">
                  <c:v>0.045</c:v>
                </c:pt>
                <c:pt idx="18">
                  <c:v>0.045</c:v>
                </c:pt>
                <c:pt idx="19">
                  <c:v>0.045</c:v>
                </c:pt>
              </c:numCache>
            </c:numRef>
          </c:val>
        </c:ser>
        <c:gapWidth val="100"/>
        <c:overlap val="0"/>
        <c:axId val="90457198"/>
        <c:axId val="90646081"/>
      </c:barChart>
      <c:catAx>
        <c:axId val="90457198"/>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0646081"/>
        <c:crosses val="autoZero"/>
        <c:auto val="1"/>
        <c:lblAlgn val="ctr"/>
        <c:lblOffset val="100"/>
        <c:noMultiLvlLbl val="0"/>
      </c:catAx>
      <c:valAx>
        <c:axId val="90646081"/>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22334730464373"/>
              <c:y val="0.97400549394648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90457198"/>
        <c:crossesAt val="0"/>
        <c:crossBetween val="midCat"/>
        <c:majorUnit val="0.01"/>
      </c:valAx>
      <c:spPr>
        <a:noFill/>
        <a:ln w="0">
          <a:solidFill>
            <a:srgbClr val="b3b3b3"/>
          </a:solidFill>
        </a:ln>
      </c:spPr>
    </c:plotArea>
    <c:legend>
      <c:legendPos val="r"/>
      <c:layout>
        <c:manualLayout>
          <c:xMode val="edge"/>
          <c:yMode val="edge"/>
          <c:x val="0.794714605252258"/>
          <c:y val="0.468340916601002"/>
          <c:w val="0.196553581044696"/>
          <c:h val="0.11802236908998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Wage Average By Industrial Labor Role</a:t>
            </a:r>
          </a:p>
        </c:rich>
      </c:tx>
      <c:layout>
        <c:manualLayout>
          <c:xMode val="edge"/>
          <c:yMode val="edge"/>
          <c:x val="0.160393409968046"/>
          <c:y val="0.0198392511954421"/>
        </c:manualLayout>
      </c:layout>
      <c:overlay val="0"/>
      <c:spPr>
        <a:noFill/>
        <a:ln w="0">
          <a:noFill/>
        </a:ln>
      </c:spPr>
    </c:title>
    <c:autoTitleDeleted val="0"/>
    <c:plotArea>
      <c:barChart>
        <c:barDir val="bar"/>
        <c:grouping val="clustered"/>
        <c:varyColors val="0"/>
        <c:ser>
          <c:idx val="0"/>
          <c:order val="0"/>
          <c:tx>
            <c:strRef>
              <c:f>AL!$C$614</c:f>
              <c:strCache>
                <c:ptCount val="1"/>
                <c:pt idx="0">
                  <c:v>Wage Average ($/hr)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AL!$C$616:$C$635</c:f>
              <c:numCache>
                <c:formatCode>[$$-409]#,##0.00;[RED]\-[$$-409]#,##0.00</c:formatCode>
                <c:ptCount val="20"/>
                <c:pt idx="0">
                  <c:v>18</c:v>
                </c:pt>
                <c:pt idx="1">
                  <c:v>15.3</c:v>
                </c:pt>
                <c:pt idx="2">
                  <c:v>28</c:v>
                </c:pt>
                <c:pt idx="3">
                  <c:v>23</c:v>
                </c:pt>
                <c:pt idx="4">
                  <c:v>16.5</c:v>
                </c:pt>
                <c:pt idx="5">
                  <c:v>13.2</c:v>
                </c:pt>
                <c:pt idx="6">
                  <c:v>14.5</c:v>
                </c:pt>
                <c:pt idx="7">
                  <c:v>11.3</c:v>
                </c:pt>
                <c:pt idx="8">
                  <c:v>26.5</c:v>
                </c:pt>
                <c:pt idx="9">
                  <c:v>24.4</c:v>
                </c:pt>
                <c:pt idx="10">
                  <c:v>25</c:v>
                </c:pt>
                <c:pt idx="11">
                  <c:v>22.5</c:v>
                </c:pt>
                <c:pt idx="12">
                  <c:v>18.5</c:v>
                </c:pt>
                <c:pt idx="13">
                  <c:v>15.7</c:v>
                </c:pt>
                <c:pt idx="14">
                  <c:v>18</c:v>
                </c:pt>
                <c:pt idx="15">
                  <c:v>14.4</c:v>
                </c:pt>
                <c:pt idx="16">
                  <c:v>24</c:v>
                </c:pt>
                <c:pt idx="17">
                  <c:v>21.1</c:v>
                </c:pt>
                <c:pt idx="18">
                  <c:v>20</c:v>
                </c:pt>
                <c:pt idx="19">
                  <c:v>17.2</c:v>
                </c:pt>
              </c:numCache>
            </c:numRef>
          </c:val>
        </c:ser>
        <c:ser>
          <c:idx val="1"/>
          <c:order val="1"/>
          <c:tx>
            <c:strRef>
              <c:f>AL!$D$614</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AL!$D$616:$D$635</c:f>
              <c:numCache>
                <c:formatCode>[$$-409]#,##0.00;[RED]\-[$$-409]#,##0.00</c:formatCode>
                <c:ptCount val="20"/>
                <c:pt idx="0">
                  <c:v>17.4</c:v>
                </c:pt>
                <c:pt idx="1">
                  <c:v>14.8</c:v>
                </c:pt>
                <c:pt idx="2">
                  <c:v>27.1</c:v>
                </c:pt>
                <c:pt idx="3">
                  <c:v>22.3</c:v>
                </c:pt>
                <c:pt idx="4">
                  <c:v>16</c:v>
                </c:pt>
                <c:pt idx="5">
                  <c:v>12.8</c:v>
                </c:pt>
                <c:pt idx="6">
                  <c:v>14</c:v>
                </c:pt>
                <c:pt idx="7">
                  <c:v>10.9</c:v>
                </c:pt>
                <c:pt idx="8">
                  <c:v>25.7</c:v>
                </c:pt>
                <c:pt idx="9">
                  <c:v>23.7</c:v>
                </c:pt>
                <c:pt idx="10">
                  <c:v>24.2</c:v>
                </c:pt>
                <c:pt idx="11">
                  <c:v>21.8</c:v>
                </c:pt>
                <c:pt idx="12">
                  <c:v>17.9</c:v>
                </c:pt>
                <c:pt idx="13">
                  <c:v>15.2</c:v>
                </c:pt>
                <c:pt idx="14">
                  <c:v>17.4</c:v>
                </c:pt>
                <c:pt idx="15">
                  <c:v>13.9</c:v>
                </c:pt>
                <c:pt idx="16">
                  <c:v>23.3</c:v>
                </c:pt>
                <c:pt idx="17">
                  <c:v>20.5</c:v>
                </c:pt>
                <c:pt idx="18">
                  <c:v>19.4</c:v>
                </c:pt>
                <c:pt idx="19">
                  <c:v>16.7</c:v>
                </c:pt>
              </c:numCache>
            </c:numRef>
          </c:val>
        </c:ser>
        <c:ser>
          <c:idx val="2"/>
          <c:order val="2"/>
          <c:tx>
            <c:strRef>
              <c:f>AL!$E$614</c:f>
              <c:strCache>
                <c:ptCount val="1"/>
                <c:pt idx="0">
                  <c:v>Unauthorized Immigrant Wage Average ($/hr)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AL!$E$616:$E$635</c:f>
              <c:numCache>
                <c:formatCode>[$$-409]#,##0.00;[RED]\-[$$-409]#,##0.00</c:formatCode>
                <c:ptCount val="20"/>
                <c:pt idx="0">
                  <c:v>15.3</c:v>
                </c:pt>
                <c:pt idx="1">
                  <c:v>13</c:v>
                </c:pt>
                <c:pt idx="2">
                  <c:v>24</c:v>
                </c:pt>
                <c:pt idx="3">
                  <c:v>19.7</c:v>
                </c:pt>
                <c:pt idx="4">
                  <c:v>14</c:v>
                </c:pt>
                <c:pt idx="5">
                  <c:v>11.2</c:v>
                </c:pt>
                <c:pt idx="6">
                  <c:v>12.3</c:v>
                </c:pt>
                <c:pt idx="7">
                  <c:v>9.6</c:v>
                </c:pt>
                <c:pt idx="8">
                  <c:v>23</c:v>
                </c:pt>
                <c:pt idx="9">
                  <c:v>21.2</c:v>
                </c:pt>
                <c:pt idx="10">
                  <c:v>21.7</c:v>
                </c:pt>
                <c:pt idx="11">
                  <c:v>19.5</c:v>
                </c:pt>
                <c:pt idx="12">
                  <c:v>16</c:v>
                </c:pt>
                <c:pt idx="13">
                  <c:v>13.6</c:v>
                </c:pt>
                <c:pt idx="14">
                  <c:v>15.3</c:v>
                </c:pt>
                <c:pt idx="15">
                  <c:v>12.2</c:v>
                </c:pt>
                <c:pt idx="16">
                  <c:v>20.8</c:v>
                </c:pt>
                <c:pt idx="17">
                  <c:v>18.3</c:v>
                </c:pt>
                <c:pt idx="18">
                  <c:v>17.4</c:v>
                </c:pt>
                <c:pt idx="19">
                  <c:v>14.9</c:v>
                </c:pt>
              </c:numCache>
            </c:numRef>
          </c:val>
        </c:ser>
        <c:ser>
          <c:idx val="3"/>
          <c:order val="3"/>
          <c:tx>
            <c:strRef>
              <c:f>AL!$F$614</c:f>
              <c:strCache>
                <c:ptCount val="1"/>
                <c:pt idx="0">
                  <c:v>American Wage Average ($/hr)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AL!$F$616:$F$635</c:f>
              <c:numCache>
                <c:formatCode>[$$-409]#,##0.00;[RED]\-[$$-409]#,##0.00</c:formatCode>
                <c:ptCount val="20"/>
                <c:pt idx="0">
                  <c:v>18.3</c:v>
                </c:pt>
                <c:pt idx="1">
                  <c:v>15.6</c:v>
                </c:pt>
                <c:pt idx="2">
                  <c:v>28.4</c:v>
                </c:pt>
                <c:pt idx="3">
                  <c:v>23.3</c:v>
                </c:pt>
                <c:pt idx="4">
                  <c:v>16.8</c:v>
                </c:pt>
                <c:pt idx="5">
                  <c:v>13.4</c:v>
                </c:pt>
                <c:pt idx="6">
                  <c:v>14.7</c:v>
                </c:pt>
                <c:pt idx="7">
                  <c:v>11.5</c:v>
                </c:pt>
                <c:pt idx="8">
                  <c:v>26.9</c:v>
                </c:pt>
                <c:pt idx="9">
                  <c:v>24.8</c:v>
                </c:pt>
                <c:pt idx="10">
                  <c:v>25.4</c:v>
                </c:pt>
                <c:pt idx="11">
                  <c:v>22.8</c:v>
                </c:pt>
                <c:pt idx="12">
                  <c:v>18.8</c:v>
                </c:pt>
                <c:pt idx="13">
                  <c:v>16</c:v>
                </c:pt>
                <c:pt idx="14">
                  <c:v>18.3</c:v>
                </c:pt>
                <c:pt idx="15">
                  <c:v>14.6</c:v>
                </c:pt>
                <c:pt idx="16">
                  <c:v>24.4</c:v>
                </c:pt>
                <c:pt idx="17">
                  <c:v>21.4</c:v>
                </c:pt>
                <c:pt idx="18">
                  <c:v>20.3</c:v>
                </c:pt>
                <c:pt idx="19">
                  <c:v>17.5</c:v>
                </c:pt>
              </c:numCache>
            </c:numRef>
          </c:val>
        </c:ser>
        <c:gapWidth val="100"/>
        <c:overlap val="0"/>
        <c:axId val="47305164"/>
        <c:axId val="66872291"/>
      </c:barChart>
      <c:catAx>
        <c:axId val="47305164"/>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66872291"/>
        <c:crosses val="autoZero"/>
        <c:auto val="1"/>
        <c:lblAlgn val="ctr"/>
        <c:lblOffset val="100"/>
        <c:noMultiLvlLbl val="0"/>
      </c:catAx>
      <c:valAx>
        <c:axId val="66872291"/>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a:t>
                </a:r>
              </a:p>
            </c:rich>
          </c:tx>
          <c:layout>
            <c:manualLayout>
              <c:xMode val="edge"/>
              <c:yMode val="edge"/>
              <c:x val="0.480806739428145"/>
              <c:y val="0.970470037643707"/>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7305164"/>
        <c:crossesAt val="0"/>
        <c:crossBetween val="midCat"/>
        <c:majorUnit val="1"/>
      </c:valAx>
      <c:spPr>
        <a:noFill/>
        <a:ln w="0">
          <a:solidFill>
            <a:srgbClr val="b3b3b3"/>
          </a:solidFill>
        </a:ln>
      </c:spPr>
    </c:plotArea>
    <c:legend>
      <c:legendPos val="r"/>
      <c:layout>
        <c:manualLayout>
          <c:xMode val="edge"/>
          <c:yMode val="edge"/>
          <c:x val="0.794714605252258"/>
          <c:y val="0.468340916601002"/>
          <c:w val="0.196553581044696"/>
          <c:h val="0.11802236908998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Population by Industrial Labor Role</a:t>
            </a:r>
          </a:p>
        </c:rich>
      </c:tx>
      <c:overlay val="0"/>
      <c:spPr>
        <a:noFill/>
        <a:ln w="0">
          <a:noFill/>
        </a:ln>
      </c:spPr>
    </c:title>
    <c:autoTitleDeleted val="0"/>
    <c:plotArea>
      <c:barChart>
        <c:barDir val="bar"/>
        <c:grouping val="clustered"/>
        <c:varyColors val="0"/>
        <c:ser>
          <c:idx val="0"/>
          <c:order val="0"/>
          <c:tx>
            <c:strRef>
              <c:f>AL!$C$26</c:f>
              <c:strCache>
                <c:ptCount val="1"/>
                <c:pt idx="0">
                  <c:v>Total Population</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General"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General"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AL!$C$28:$C$47</c:f>
              <c:numCache>
                <c:formatCode>#,##0</c:formatCode>
                <c:ptCount val="20"/>
                <c:pt idx="0">
                  <c:v>10000</c:v>
                </c:pt>
                <c:pt idx="1">
                  <c:v>5000</c:v>
                </c:pt>
                <c:pt idx="2">
                  <c:v>80000</c:v>
                </c:pt>
                <c:pt idx="3">
                  <c:v>32100</c:v>
                </c:pt>
                <c:pt idx="4">
                  <c:v>140000</c:v>
                </c:pt>
                <c:pt idx="5">
                  <c:v>77300</c:v>
                </c:pt>
                <c:pt idx="6">
                  <c:v>30000</c:v>
                </c:pt>
                <c:pt idx="7">
                  <c:v>15000</c:v>
                </c:pt>
                <c:pt idx="8">
                  <c:v>200000</c:v>
                </c:pt>
                <c:pt idx="9">
                  <c:v>87100</c:v>
                </c:pt>
                <c:pt idx="10">
                  <c:v>180000</c:v>
                </c:pt>
                <c:pt idx="11">
                  <c:v>30000</c:v>
                </c:pt>
                <c:pt idx="12">
                  <c:v>150000</c:v>
                </c:pt>
                <c:pt idx="13">
                  <c:v>75000</c:v>
                </c:pt>
                <c:pt idx="14">
                  <c:v>15000</c:v>
                </c:pt>
                <c:pt idx="15">
                  <c:v>8000</c:v>
                </c:pt>
                <c:pt idx="16">
                  <c:v>10000</c:v>
                </c:pt>
                <c:pt idx="17">
                  <c:v>5000</c:v>
                </c:pt>
                <c:pt idx="18">
                  <c:v>60000</c:v>
                </c:pt>
                <c:pt idx="19">
                  <c:v>38500</c:v>
                </c:pt>
              </c:numCache>
            </c:numRef>
          </c:val>
        </c:ser>
        <c:ser>
          <c:idx val="1"/>
          <c:order val="1"/>
          <c:tx>
            <c:strRef>
              <c:f>AL!$D$26</c:f>
              <c:strCache>
                <c:ptCount val="1"/>
                <c:pt idx="0">
                  <c:v>Authorized Population</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AL!$D$28:$D$47</c:f>
              <c:numCache>
                <c:formatCode>#,##0</c:formatCode>
                <c:ptCount val="20"/>
                <c:pt idx="0">
                  <c:v>330</c:v>
                </c:pt>
                <c:pt idx="1">
                  <c:v>165</c:v>
                </c:pt>
                <c:pt idx="2">
                  <c:v>2640</c:v>
                </c:pt>
                <c:pt idx="3">
                  <c:v>1060</c:v>
                </c:pt>
                <c:pt idx="4">
                  <c:v>4620</c:v>
                </c:pt>
                <c:pt idx="5">
                  <c:v>2550</c:v>
                </c:pt>
                <c:pt idx="6">
                  <c:v>990</c:v>
                </c:pt>
                <c:pt idx="7">
                  <c:v>495</c:v>
                </c:pt>
                <c:pt idx="8">
                  <c:v>6600</c:v>
                </c:pt>
                <c:pt idx="9">
                  <c:v>2880</c:v>
                </c:pt>
                <c:pt idx="10">
                  <c:v>5940</c:v>
                </c:pt>
                <c:pt idx="11">
                  <c:v>990</c:v>
                </c:pt>
                <c:pt idx="12">
                  <c:v>4950</c:v>
                </c:pt>
                <c:pt idx="13">
                  <c:v>2480</c:v>
                </c:pt>
                <c:pt idx="14">
                  <c:v>495</c:v>
                </c:pt>
                <c:pt idx="15">
                  <c:v>264</c:v>
                </c:pt>
                <c:pt idx="16">
                  <c:v>330</c:v>
                </c:pt>
                <c:pt idx="17">
                  <c:v>165</c:v>
                </c:pt>
                <c:pt idx="18">
                  <c:v>1980</c:v>
                </c:pt>
                <c:pt idx="19">
                  <c:v>1270</c:v>
                </c:pt>
              </c:numCache>
            </c:numRef>
          </c:val>
        </c:ser>
        <c:ser>
          <c:idx val="2"/>
          <c:order val="2"/>
          <c:tx>
            <c:strRef>
              <c:f>AL!$E$26</c:f>
              <c:strCache>
                <c:ptCount val="1"/>
                <c:pt idx="0">
                  <c:v>Unauthorized Population</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AL!$E$28:$E$47</c:f>
              <c:numCache>
                <c:formatCode>#,##0</c:formatCode>
                <c:ptCount val="20"/>
                <c:pt idx="0">
                  <c:v>210</c:v>
                </c:pt>
                <c:pt idx="1">
                  <c:v>105</c:v>
                </c:pt>
                <c:pt idx="2">
                  <c:v>1690</c:v>
                </c:pt>
                <c:pt idx="3">
                  <c:v>680</c:v>
                </c:pt>
                <c:pt idx="4">
                  <c:v>2960</c:v>
                </c:pt>
                <c:pt idx="5">
                  <c:v>1640</c:v>
                </c:pt>
                <c:pt idx="6">
                  <c:v>635</c:v>
                </c:pt>
                <c:pt idx="7">
                  <c:v>318</c:v>
                </c:pt>
                <c:pt idx="8">
                  <c:v>4230</c:v>
                </c:pt>
                <c:pt idx="9">
                  <c:v>1840</c:v>
                </c:pt>
                <c:pt idx="10">
                  <c:v>3810</c:v>
                </c:pt>
                <c:pt idx="11">
                  <c:v>630</c:v>
                </c:pt>
                <c:pt idx="12">
                  <c:v>3170</c:v>
                </c:pt>
                <c:pt idx="13">
                  <c:v>1590</c:v>
                </c:pt>
                <c:pt idx="14">
                  <c:v>318</c:v>
                </c:pt>
                <c:pt idx="15">
                  <c:v>169</c:v>
                </c:pt>
                <c:pt idx="16">
                  <c:v>210</c:v>
                </c:pt>
                <c:pt idx="17">
                  <c:v>105</c:v>
                </c:pt>
                <c:pt idx="18">
                  <c:v>1270</c:v>
                </c:pt>
                <c:pt idx="19">
                  <c:v>815</c:v>
                </c:pt>
              </c:numCache>
            </c:numRef>
          </c:val>
        </c:ser>
        <c:ser>
          <c:idx val="3"/>
          <c:order val="3"/>
          <c:tx>
            <c:strRef>
              <c:f>AL!$F$26</c:f>
              <c:strCache>
                <c:ptCount val="1"/>
                <c:pt idx="0">
                  <c:v>American Population</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AL!$F$28:$F$47</c:f>
              <c:numCache>
                <c:formatCode>#,##0</c:formatCode>
                <c:ptCount val="20"/>
                <c:pt idx="0">
                  <c:v>9460</c:v>
                </c:pt>
                <c:pt idx="1">
                  <c:v>4730</c:v>
                </c:pt>
                <c:pt idx="2">
                  <c:v>75670</c:v>
                </c:pt>
                <c:pt idx="3">
                  <c:v>30360</c:v>
                </c:pt>
                <c:pt idx="4">
                  <c:v>132420</c:v>
                </c:pt>
                <c:pt idx="5">
                  <c:v>73110</c:v>
                </c:pt>
                <c:pt idx="6">
                  <c:v>28375</c:v>
                </c:pt>
                <c:pt idx="7">
                  <c:v>14188</c:v>
                </c:pt>
                <c:pt idx="8">
                  <c:v>189170</c:v>
                </c:pt>
                <c:pt idx="9">
                  <c:v>82380</c:v>
                </c:pt>
                <c:pt idx="10">
                  <c:v>170250</c:v>
                </c:pt>
                <c:pt idx="11">
                  <c:v>28380</c:v>
                </c:pt>
                <c:pt idx="12">
                  <c:v>141880</c:v>
                </c:pt>
                <c:pt idx="13">
                  <c:v>70930</c:v>
                </c:pt>
                <c:pt idx="14">
                  <c:v>14188</c:v>
                </c:pt>
                <c:pt idx="15">
                  <c:v>7567</c:v>
                </c:pt>
                <c:pt idx="16">
                  <c:v>9460</c:v>
                </c:pt>
                <c:pt idx="17">
                  <c:v>4730</c:v>
                </c:pt>
                <c:pt idx="18">
                  <c:v>56750</c:v>
                </c:pt>
                <c:pt idx="19">
                  <c:v>36415</c:v>
                </c:pt>
              </c:numCache>
            </c:numRef>
          </c:val>
        </c:ser>
        <c:gapWidth val="100"/>
        <c:overlap val="0"/>
        <c:axId val="62694918"/>
        <c:axId val="10159811"/>
      </c:barChart>
      <c:catAx>
        <c:axId val="62694918"/>
        <c:scaling>
          <c:orientation val="minMax"/>
        </c:scaling>
        <c:delete val="0"/>
        <c:axPos val="b"/>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10159811"/>
        <c:crosses val="autoZero"/>
        <c:auto val="1"/>
        <c:lblAlgn val="ctr"/>
        <c:lblOffset val="100"/>
        <c:noMultiLvlLbl val="0"/>
      </c:catAx>
      <c:valAx>
        <c:axId val="10159811"/>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Laborer Population</a:t>
                </a:r>
              </a:p>
            </c:rich>
          </c:tx>
          <c:layout>
            <c:manualLayout>
              <c:xMode val="edge"/>
              <c:yMode val="edge"/>
              <c:x val="0.438934307175167"/>
              <c:y val="0.97314070607386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62694918"/>
        <c:crossesAt val="0"/>
        <c:crossBetween val="midCat"/>
        <c:majorUnit val="10000"/>
      </c:valAx>
      <c:spPr>
        <a:noFill/>
        <a:ln w="0">
          <a:solidFill>
            <a:srgbClr val="b3b3b3"/>
          </a:solidFill>
        </a:ln>
      </c:spPr>
    </c:plotArea>
    <c:legend>
      <c:legendPos val="r"/>
      <c:layout>
        <c:manualLayout>
          <c:xMode val="edge"/>
          <c:yMode val="edge"/>
          <c:x val="0.811078427310768"/>
          <c:y val="0.473408582468985"/>
          <c:w val="0.180187272124627"/>
          <c:h val="0.108936062031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Annual Income Average By Industrial Labor Role</a:t>
            </a:r>
          </a:p>
        </c:rich>
      </c:tx>
      <c:layout>
        <c:manualLayout>
          <c:xMode val="edge"/>
          <c:yMode val="edge"/>
          <c:x val="0.161015894094701"/>
          <c:y val="0.0199409909451623"/>
        </c:manualLayout>
      </c:layout>
      <c:overlay val="0"/>
      <c:spPr>
        <a:noFill/>
        <a:ln w="0">
          <a:noFill/>
        </a:ln>
      </c:spPr>
    </c:title>
    <c:autoTitleDeleted val="0"/>
    <c:plotArea>
      <c:layout>
        <c:manualLayout>
          <c:layoutTarget val="inner"/>
          <c:xMode val="edge"/>
          <c:yMode val="edge"/>
          <c:x val="0.315806946922854"/>
          <c:y val="0.087241835385085"/>
          <c:w val="0.453043947379342"/>
          <c:h val="0.835995523451012"/>
        </c:manualLayout>
      </c:layout>
      <c:barChart>
        <c:barDir val="bar"/>
        <c:grouping val="clustered"/>
        <c:varyColors val="0"/>
        <c:ser>
          <c:idx val="0"/>
          <c:order val="0"/>
          <c:tx>
            <c:strRef>
              <c:f>AL!$C$734</c:f>
              <c:strCache>
                <c:ptCount val="1"/>
                <c:pt idx="0">
                  <c:v>Annual Income ($)</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AL!$C$736:$C$755</c:f>
              <c:numCache>
                <c:formatCode>[$$-409]#,##0;[RED]\-[$$-409]#,##0</c:formatCode>
                <c:ptCount val="20"/>
                <c:pt idx="0">
                  <c:v>37440</c:v>
                </c:pt>
                <c:pt idx="1">
                  <c:v>31824</c:v>
                </c:pt>
                <c:pt idx="2">
                  <c:v>58240</c:v>
                </c:pt>
                <c:pt idx="3">
                  <c:v>47840</c:v>
                </c:pt>
                <c:pt idx="4">
                  <c:v>34320</c:v>
                </c:pt>
                <c:pt idx="5">
                  <c:v>27456</c:v>
                </c:pt>
                <c:pt idx="6">
                  <c:v>30160</c:v>
                </c:pt>
                <c:pt idx="7">
                  <c:v>23504</c:v>
                </c:pt>
                <c:pt idx="8">
                  <c:v>55120</c:v>
                </c:pt>
                <c:pt idx="9">
                  <c:v>50752</c:v>
                </c:pt>
                <c:pt idx="10">
                  <c:v>52000</c:v>
                </c:pt>
                <c:pt idx="11">
                  <c:v>46800</c:v>
                </c:pt>
                <c:pt idx="12">
                  <c:v>38480</c:v>
                </c:pt>
                <c:pt idx="13">
                  <c:v>32656</c:v>
                </c:pt>
                <c:pt idx="14">
                  <c:v>37440</c:v>
                </c:pt>
                <c:pt idx="15">
                  <c:v>29952</c:v>
                </c:pt>
                <c:pt idx="16">
                  <c:v>49920</c:v>
                </c:pt>
                <c:pt idx="17">
                  <c:v>43888</c:v>
                </c:pt>
                <c:pt idx="18">
                  <c:v>41600</c:v>
                </c:pt>
                <c:pt idx="19">
                  <c:v>35776</c:v>
                </c:pt>
              </c:numCache>
            </c:numRef>
          </c:val>
        </c:ser>
        <c:ser>
          <c:idx val="1"/>
          <c:order val="1"/>
          <c:tx>
            <c:strRef>
              <c:f>AL!$D$734</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AL!$D$736:$D$755</c:f>
              <c:numCache>
                <c:formatCode>[$$-409]#,##0;[RED]\-[$$-409]#,##0</c:formatCode>
                <c:ptCount val="20"/>
                <c:pt idx="0">
                  <c:v>36192</c:v>
                </c:pt>
                <c:pt idx="1">
                  <c:v>30784</c:v>
                </c:pt>
                <c:pt idx="2">
                  <c:v>56368</c:v>
                </c:pt>
                <c:pt idx="3">
                  <c:v>46384</c:v>
                </c:pt>
                <c:pt idx="4">
                  <c:v>33280</c:v>
                </c:pt>
                <c:pt idx="5">
                  <c:v>26624</c:v>
                </c:pt>
                <c:pt idx="6">
                  <c:v>29120</c:v>
                </c:pt>
                <c:pt idx="7">
                  <c:v>22672</c:v>
                </c:pt>
                <c:pt idx="8">
                  <c:v>53456</c:v>
                </c:pt>
                <c:pt idx="9">
                  <c:v>49296</c:v>
                </c:pt>
                <c:pt idx="10">
                  <c:v>50336</c:v>
                </c:pt>
                <c:pt idx="11">
                  <c:v>45344</c:v>
                </c:pt>
                <c:pt idx="12">
                  <c:v>37232</c:v>
                </c:pt>
                <c:pt idx="13">
                  <c:v>31616</c:v>
                </c:pt>
                <c:pt idx="14">
                  <c:v>36192</c:v>
                </c:pt>
                <c:pt idx="15">
                  <c:v>28912</c:v>
                </c:pt>
                <c:pt idx="16">
                  <c:v>48464</c:v>
                </c:pt>
                <c:pt idx="17">
                  <c:v>42640</c:v>
                </c:pt>
                <c:pt idx="18">
                  <c:v>40352</c:v>
                </c:pt>
                <c:pt idx="19">
                  <c:v>34736</c:v>
                </c:pt>
              </c:numCache>
            </c:numRef>
          </c:val>
        </c:ser>
        <c:ser>
          <c:idx val="2"/>
          <c:order val="2"/>
          <c:tx>
            <c:strRef>
              <c:f>AL!$E$734</c:f>
              <c:strCache>
                <c:ptCount val="1"/>
                <c:pt idx="0">
                  <c:v>Unauthorized Immigrant Annual Income Average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AL!$E$736:$E$755</c:f>
              <c:numCache>
                <c:formatCode>[$$-409]#,##0;[RED]\-[$$-409]#,##0</c:formatCode>
                <c:ptCount val="20"/>
                <c:pt idx="0">
                  <c:v>31824</c:v>
                </c:pt>
                <c:pt idx="1">
                  <c:v>27040</c:v>
                </c:pt>
                <c:pt idx="2">
                  <c:v>49920</c:v>
                </c:pt>
                <c:pt idx="3">
                  <c:v>40976</c:v>
                </c:pt>
                <c:pt idx="4">
                  <c:v>29120</c:v>
                </c:pt>
                <c:pt idx="5">
                  <c:v>23304</c:v>
                </c:pt>
                <c:pt idx="6">
                  <c:v>25584</c:v>
                </c:pt>
                <c:pt idx="7">
                  <c:v>19968</c:v>
                </c:pt>
                <c:pt idx="8">
                  <c:v>47840</c:v>
                </c:pt>
                <c:pt idx="9">
                  <c:v>44100</c:v>
                </c:pt>
                <c:pt idx="10">
                  <c:v>45136</c:v>
                </c:pt>
                <c:pt idx="11">
                  <c:v>40560</c:v>
                </c:pt>
                <c:pt idx="12">
                  <c:v>33280</c:v>
                </c:pt>
                <c:pt idx="13">
                  <c:v>28288</c:v>
                </c:pt>
                <c:pt idx="14">
                  <c:v>31824</c:v>
                </c:pt>
                <c:pt idx="15">
                  <c:v>25376</c:v>
                </c:pt>
                <c:pt idx="16">
                  <c:v>43264</c:v>
                </c:pt>
                <c:pt idx="17">
                  <c:v>38064</c:v>
                </c:pt>
                <c:pt idx="18">
                  <c:v>36192</c:v>
                </c:pt>
                <c:pt idx="19">
                  <c:v>30992</c:v>
                </c:pt>
              </c:numCache>
            </c:numRef>
          </c:val>
        </c:ser>
        <c:ser>
          <c:idx val="3"/>
          <c:order val="3"/>
          <c:tx>
            <c:strRef>
              <c:f>AL!$F$734</c:f>
              <c:strCache>
                <c:ptCount val="1"/>
                <c:pt idx="0">
                  <c:v>American Annual Income Average ($)</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AL!$F$736:$F$755</c:f>
              <c:numCache>
                <c:formatCode>[$$-409]#,##0;[RED]\-[$$-409]#,##0</c:formatCode>
                <c:ptCount val="20"/>
                <c:pt idx="0">
                  <c:v>38064</c:v>
                </c:pt>
                <c:pt idx="1">
                  <c:v>32448</c:v>
                </c:pt>
                <c:pt idx="2">
                  <c:v>59152</c:v>
                </c:pt>
                <c:pt idx="3">
                  <c:v>48464</c:v>
                </c:pt>
                <c:pt idx="4">
                  <c:v>34944</c:v>
                </c:pt>
                <c:pt idx="5">
                  <c:v>27872</c:v>
                </c:pt>
                <c:pt idx="6">
                  <c:v>30576</c:v>
                </c:pt>
                <c:pt idx="7">
                  <c:v>23920</c:v>
                </c:pt>
                <c:pt idx="8">
                  <c:v>55952</c:v>
                </c:pt>
                <c:pt idx="9">
                  <c:v>51584</c:v>
                </c:pt>
                <c:pt idx="10">
                  <c:v>52832</c:v>
                </c:pt>
                <c:pt idx="11">
                  <c:v>47424</c:v>
                </c:pt>
                <c:pt idx="12">
                  <c:v>39104</c:v>
                </c:pt>
                <c:pt idx="13">
                  <c:v>33280</c:v>
                </c:pt>
                <c:pt idx="14">
                  <c:v>38064</c:v>
                </c:pt>
                <c:pt idx="15">
                  <c:v>30368</c:v>
                </c:pt>
                <c:pt idx="16">
                  <c:v>50752</c:v>
                </c:pt>
                <c:pt idx="17">
                  <c:v>44512</c:v>
                </c:pt>
                <c:pt idx="18">
                  <c:v>42224</c:v>
                </c:pt>
                <c:pt idx="19">
                  <c:v>36400</c:v>
                </c:pt>
              </c:numCache>
            </c:numRef>
          </c:val>
        </c:ser>
        <c:gapWidth val="100"/>
        <c:overlap val="0"/>
        <c:axId val="63786578"/>
        <c:axId val="38193036"/>
      </c:barChart>
      <c:catAx>
        <c:axId val="63786578"/>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8193036"/>
        <c:crosses val="autoZero"/>
        <c:auto val="1"/>
        <c:lblAlgn val="ctr"/>
        <c:lblOffset val="100"/>
        <c:noMultiLvlLbl val="0"/>
      </c:catAx>
      <c:valAx>
        <c:axId val="38193036"/>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a:t>
                </a:r>
              </a:p>
            </c:rich>
          </c:tx>
          <c:layout>
            <c:manualLayout>
              <c:xMode val="edge"/>
              <c:yMode val="edge"/>
              <c:x val="0.455118894468191"/>
              <c:y val="0.96154237460575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63786578"/>
        <c:crossesAt val="0"/>
        <c:crossBetween val="midCat"/>
        <c:majorUnit val="5000"/>
      </c:valAx>
      <c:spPr>
        <a:noFill/>
        <a:ln w="0">
          <a:solidFill>
            <a:srgbClr val="b3b3b3"/>
          </a:solidFill>
        </a:ln>
      </c:spPr>
    </c:plotArea>
    <c:legend>
      <c:legendPos val="r"/>
      <c:layout>
        <c:manualLayout>
          <c:xMode val="edge"/>
          <c:yMode val="edge"/>
          <c:x val="0.811061818483353"/>
          <c:y val="0.46832964629898"/>
          <c:w val="0.178538850650966"/>
          <c:h val="0.11801352794588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Annual Income Average By Industrial Labor Role</a:t>
            </a:r>
          </a:p>
        </c:rich>
      </c:tx>
      <c:layout>
        <c:manualLayout>
          <c:xMode val="edge"/>
          <c:yMode val="edge"/>
          <c:x val="0.161223388803586"/>
          <c:y val="0.0199409909451623"/>
        </c:manualLayout>
      </c:layout>
      <c:overlay val="0"/>
      <c:spPr>
        <a:noFill/>
        <a:ln w="0">
          <a:noFill/>
        </a:ln>
      </c:spPr>
    </c:title>
    <c:autoTitleDeleted val="0"/>
    <c:plotArea>
      <c:barChart>
        <c:barDir val="bar"/>
        <c:grouping val="clustered"/>
        <c:varyColors val="0"/>
        <c:ser>
          <c:idx val="0"/>
          <c:order val="0"/>
          <c:tx>
            <c:strRef>
              <c:f>AL!$C$855</c:f>
              <c:strCache>
                <c:ptCount val="1"/>
                <c:pt idx="0">
                  <c:v>Federal Personal Income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AL!$C$857:$C$876</c:f>
              <c:numCache>
                <c:formatCode>[$$-409]#,##0;\-[$$-409]#,##0</c:formatCode>
                <c:ptCount val="20"/>
                <c:pt idx="0">
                  <c:v>1200000</c:v>
                </c:pt>
                <c:pt idx="1">
                  <c:v>600000</c:v>
                </c:pt>
                <c:pt idx="2">
                  <c:v>15000000</c:v>
                </c:pt>
                <c:pt idx="3">
                  <c:v>6000000</c:v>
                </c:pt>
                <c:pt idx="4">
                  <c:v>18000000</c:v>
                </c:pt>
                <c:pt idx="5">
                  <c:v>9000000</c:v>
                </c:pt>
                <c:pt idx="6">
                  <c:v>3500000</c:v>
                </c:pt>
                <c:pt idx="7">
                  <c:v>1700000</c:v>
                </c:pt>
                <c:pt idx="8">
                  <c:v>45000000</c:v>
                </c:pt>
                <c:pt idx="9">
                  <c:v>19000000</c:v>
                </c:pt>
                <c:pt idx="10">
                  <c:v>38000000</c:v>
                </c:pt>
                <c:pt idx="11">
                  <c:v>15000000</c:v>
                </c:pt>
                <c:pt idx="12">
                  <c:v>25000000</c:v>
                </c:pt>
                <c:pt idx="13">
                  <c:v>12000000</c:v>
                </c:pt>
                <c:pt idx="14">
                  <c:v>2500000</c:v>
                </c:pt>
                <c:pt idx="15">
                  <c:v>1300000</c:v>
                </c:pt>
                <c:pt idx="16">
                  <c:v>2000000</c:v>
                </c:pt>
                <c:pt idx="17">
                  <c:v>1000000</c:v>
                </c:pt>
                <c:pt idx="18">
                  <c:v>10000000</c:v>
                </c:pt>
                <c:pt idx="19">
                  <c:v>6000000</c:v>
                </c:pt>
              </c:numCache>
            </c:numRef>
          </c:val>
        </c:ser>
        <c:ser>
          <c:idx val="1"/>
          <c:order val="1"/>
          <c:tx>
            <c:strRef>
              <c:f>AL!$D$855</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AL!$D$857:$D$876</c:f>
              <c:numCache>
                <c:formatCode>[$$-409]#,##0;\-[$$-409]#,##0</c:formatCode>
                <c:ptCount val="20"/>
                <c:pt idx="0">
                  <c:v>40000</c:v>
                </c:pt>
                <c:pt idx="1">
                  <c:v>20000</c:v>
                </c:pt>
                <c:pt idx="2">
                  <c:v>500000</c:v>
                </c:pt>
                <c:pt idx="3">
                  <c:v>200000</c:v>
                </c:pt>
                <c:pt idx="4">
                  <c:v>600000</c:v>
                </c:pt>
                <c:pt idx="5">
                  <c:v>300000</c:v>
                </c:pt>
                <c:pt idx="6">
                  <c:v>120000</c:v>
                </c:pt>
                <c:pt idx="7">
                  <c:v>60000</c:v>
                </c:pt>
                <c:pt idx="8">
                  <c:v>1500000</c:v>
                </c:pt>
                <c:pt idx="9">
                  <c:v>650000</c:v>
                </c:pt>
                <c:pt idx="10">
                  <c:v>1300000</c:v>
                </c:pt>
                <c:pt idx="11">
                  <c:v>500000</c:v>
                </c:pt>
                <c:pt idx="12">
                  <c:v>850000</c:v>
                </c:pt>
                <c:pt idx="13">
                  <c:v>400000</c:v>
                </c:pt>
                <c:pt idx="14">
                  <c:v>85000</c:v>
                </c:pt>
                <c:pt idx="15">
                  <c:v>45000</c:v>
                </c:pt>
                <c:pt idx="16">
                  <c:v>70000</c:v>
                </c:pt>
                <c:pt idx="17">
                  <c:v>35000</c:v>
                </c:pt>
                <c:pt idx="18">
                  <c:v>350000</c:v>
                </c:pt>
                <c:pt idx="19">
                  <c:v>210000</c:v>
                </c:pt>
              </c:numCache>
            </c:numRef>
          </c:val>
        </c:ser>
        <c:ser>
          <c:idx val="2"/>
          <c:order val="2"/>
          <c:tx>
            <c:strRef>
              <c:f>AL!$E$855</c:f>
              <c:strCache>
                <c:ptCount val="1"/>
                <c:pt idx="0">
                  <c:v>Unauthorized Immigrant Federal Personal Income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AL!$E$857:$E$876</c:f>
              <c:numCache>
                <c:formatCode>[$$-409]#,##0;\-[$$-409]#,##0</c:formatCode>
                <c:ptCount val="20"/>
                <c:pt idx="0">
                  <c:v>120000</c:v>
                </c:pt>
                <c:pt idx="1">
                  <c:v>60000</c:v>
                </c:pt>
                <c:pt idx="2">
                  <c:v>1500000</c:v>
                </c:pt>
                <c:pt idx="3">
                  <c:v>600000</c:v>
                </c:pt>
                <c:pt idx="4">
                  <c:v>1800000</c:v>
                </c:pt>
                <c:pt idx="5">
                  <c:v>900000</c:v>
                </c:pt>
                <c:pt idx="6">
                  <c:v>350000</c:v>
                </c:pt>
                <c:pt idx="7">
                  <c:v>170000</c:v>
                </c:pt>
                <c:pt idx="8">
                  <c:v>4500000</c:v>
                </c:pt>
                <c:pt idx="9">
                  <c:v>1900000</c:v>
                </c:pt>
                <c:pt idx="10">
                  <c:v>3800000</c:v>
                </c:pt>
                <c:pt idx="11">
                  <c:v>1500000</c:v>
                </c:pt>
                <c:pt idx="12">
                  <c:v>2500000</c:v>
                </c:pt>
                <c:pt idx="13">
                  <c:v>1200000</c:v>
                </c:pt>
                <c:pt idx="14">
                  <c:v>250000</c:v>
                </c:pt>
                <c:pt idx="15">
                  <c:v>130000</c:v>
                </c:pt>
                <c:pt idx="16">
                  <c:v>200000</c:v>
                </c:pt>
                <c:pt idx="17">
                  <c:v>100000</c:v>
                </c:pt>
                <c:pt idx="18">
                  <c:v>1000000</c:v>
                </c:pt>
                <c:pt idx="19">
                  <c:v>600000</c:v>
                </c:pt>
              </c:numCache>
            </c:numRef>
          </c:val>
        </c:ser>
        <c:ser>
          <c:idx val="3"/>
          <c:order val="3"/>
          <c:tx>
            <c:strRef>
              <c:f>AL!$F$855</c:f>
              <c:strCache>
                <c:ptCount val="1"/>
                <c:pt idx="0">
                  <c:v>American Federal Personal Income Tax Revenue ($)</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AL!$F$857:$F$876</c:f>
              <c:numCache>
                <c:formatCode>[$$-409]#,##0;\-[$$-409]#,##0</c:formatCode>
                <c:ptCount val="20"/>
                <c:pt idx="0">
                  <c:v>1040000</c:v>
                </c:pt>
                <c:pt idx="1">
                  <c:v>520000</c:v>
                </c:pt>
                <c:pt idx="2">
                  <c:v>13000000</c:v>
                </c:pt>
                <c:pt idx="3">
                  <c:v>5200000</c:v>
                </c:pt>
                <c:pt idx="4">
                  <c:v>15600000</c:v>
                </c:pt>
                <c:pt idx="5">
                  <c:v>7800000</c:v>
                </c:pt>
                <c:pt idx="6">
                  <c:v>3030000</c:v>
                </c:pt>
                <c:pt idx="7">
                  <c:v>1470000</c:v>
                </c:pt>
                <c:pt idx="8">
                  <c:v>39000000</c:v>
                </c:pt>
                <c:pt idx="9">
                  <c:v>16400000</c:v>
                </c:pt>
                <c:pt idx="10">
                  <c:v>32900000</c:v>
                </c:pt>
                <c:pt idx="11">
                  <c:v>13000000</c:v>
                </c:pt>
                <c:pt idx="12">
                  <c:v>21650000</c:v>
                </c:pt>
                <c:pt idx="13">
                  <c:v>10400000</c:v>
                </c:pt>
                <c:pt idx="14">
                  <c:v>2165000</c:v>
                </c:pt>
                <c:pt idx="15">
                  <c:v>1125000</c:v>
                </c:pt>
                <c:pt idx="16">
                  <c:v>1730000</c:v>
                </c:pt>
                <c:pt idx="17">
                  <c:v>865000</c:v>
                </c:pt>
                <c:pt idx="18">
                  <c:v>8650000</c:v>
                </c:pt>
                <c:pt idx="19">
                  <c:v>5190000</c:v>
                </c:pt>
              </c:numCache>
            </c:numRef>
          </c:val>
        </c:ser>
        <c:gapWidth val="100"/>
        <c:overlap val="0"/>
        <c:axId val="84941972"/>
        <c:axId val="91059328"/>
      </c:barChart>
      <c:catAx>
        <c:axId val="84941972"/>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91059328"/>
        <c:crosses val="autoZero"/>
        <c:auto val="1"/>
        <c:lblAlgn val="ctr"/>
        <c:lblOffset val="100"/>
        <c:noMultiLvlLbl val="0"/>
      </c:catAx>
      <c:valAx>
        <c:axId val="91059328"/>
        <c:scaling>
          <c:orientation val="minMax"/>
          <c:max val="46000000"/>
          <c:min val="0"/>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378345852180769"/>
              <c:y val="0.974310713195646"/>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4941972"/>
        <c:crossesAt val="0"/>
        <c:crossBetween val="midCat"/>
        <c:majorUnit val="1000000"/>
      </c:valAx>
      <c:spPr>
        <a:noFill/>
        <a:ln w="0">
          <a:solidFill>
            <a:srgbClr val="b3b3b3"/>
          </a:solidFill>
        </a:ln>
      </c:spPr>
    </c:plotArea>
    <c:legend>
      <c:legendPos val="r"/>
      <c:layout>
        <c:manualLayout>
          <c:xMode val="edge"/>
          <c:yMode val="edge"/>
          <c:x val="0.811061818483353"/>
          <c:y val="0.46832964629898"/>
          <c:w val="0.178538850650966"/>
          <c:h val="0.11801352794588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Payroll Tax Revenue By Industrial Labor Role</a:t>
            </a:r>
          </a:p>
        </c:rich>
      </c:tx>
      <c:layout>
        <c:manualLayout>
          <c:xMode val="edge"/>
          <c:yMode val="edge"/>
          <c:x val="0.161223388803586"/>
          <c:y val="0.0199409909451623"/>
        </c:manualLayout>
      </c:layout>
      <c:overlay val="0"/>
      <c:spPr>
        <a:noFill/>
        <a:ln w="0">
          <a:noFill/>
        </a:ln>
      </c:spPr>
    </c:title>
    <c:autoTitleDeleted val="0"/>
    <c:plotArea>
      <c:barChart>
        <c:barDir val="bar"/>
        <c:grouping val="clustered"/>
        <c:varyColors val="0"/>
        <c:ser>
          <c:idx val="0"/>
          <c:order val="0"/>
          <c:tx>
            <c:strRef>
              <c:f>AL!$C$973</c:f>
              <c:strCache>
                <c:ptCount val="1"/>
                <c:pt idx="0">
                  <c:v>Payroll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AL!$C$975:$C$994</c:f>
              <c:numCache>
                <c:formatCode>[$$-409]#,##0;\-[$$-409]#,##0</c:formatCode>
                <c:ptCount val="20"/>
                <c:pt idx="0">
                  <c:v>600000</c:v>
                </c:pt>
                <c:pt idx="1">
                  <c:v>300000</c:v>
                </c:pt>
                <c:pt idx="2">
                  <c:v>7500000</c:v>
                </c:pt>
                <c:pt idx="3">
                  <c:v>3000000</c:v>
                </c:pt>
                <c:pt idx="4">
                  <c:v>9000000</c:v>
                </c:pt>
                <c:pt idx="5">
                  <c:v>4500000</c:v>
                </c:pt>
                <c:pt idx="6">
                  <c:v>1800000</c:v>
                </c:pt>
                <c:pt idx="7">
                  <c:v>900000</c:v>
                </c:pt>
                <c:pt idx="8">
                  <c:v>22000000</c:v>
                </c:pt>
                <c:pt idx="9">
                  <c:v>9500000</c:v>
                </c:pt>
                <c:pt idx="10">
                  <c:v>19000000</c:v>
                </c:pt>
                <c:pt idx="11">
                  <c:v>7500000</c:v>
                </c:pt>
                <c:pt idx="12">
                  <c:v>12500000</c:v>
                </c:pt>
                <c:pt idx="13">
                  <c:v>6000000</c:v>
                </c:pt>
                <c:pt idx="14">
                  <c:v>1250000</c:v>
                </c:pt>
                <c:pt idx="15">
                  <c:v>650000</c:v>
                </c:pt>
                <c:pt idx="16">
                  <c:v>1000000</c:v>
                </c:pt>
                <c:pt idx="17">
                  <c:v>500000</c:v>
                </c:pt>
                <c:pt idx="18">
                  <c:v>5000000</c:v>
                </c:pt>
                <c:pt idx="19">
                  <c:v>3000000</c:v>
                </c:pt>
              </c:numCache>
            </c:numRef>
          </c:val>
        </c:ser>
        <c:ser>
          <c:idx val="1"/>
          <c:order val="1"/>
          <c:tx>
            <c:strRef>
              <c:f>AL!$D$973</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AL!$D$975:$D$994</c:f>
              <c:numCache>
                <c:formatCode>[$$-409]#,##0;\-[$$-409]#,##0</c:formatCode>
                <c:ptCount val="20"/>
                <c:pt idx="0">
                  <c:v>20000</c:v>
                </c:pt>
                <c:pt idx="1">
                  <c:v>10000</c:v>
                </c:pt>
                <c:pt idx="2">
                  <c:v>250000</c:v>
                </c:pt>
                <c:pt idx="3">
                  <c:v>100000</c:v>
                </c:pt>
                <c:pt idx="4">
                  <c:v>300000</c:v>
                </c:pt>
                <c:pt idx="5">
                  <c:v>150000</c:v>
                </c:pt>
                <c:pt idx="6">
                  <c:v>60000</c:v>
                </c:pt>
                <c:pt idx="7">
                  <c:v>30000</c:v>
                </c:pt>
                <c:pt idx="8">
                  <c:v>750000</c:v>
                </c:pt>
                <c:pt idx="9">
                  <c:v>325000</c:v>
                </c:pt>
                <c:pt idx="10">
                  <c:v>650000</c:v>
                </c:pt>
                <c:pt idx="11">
                  <c:v>250000</c:v>
                </c:pt>
                <c:pt idx="12">
                  <c:v>425000</c:v>
                </c:pt>
                <c:pt idx="13">
                  <c:v>200000</c:v>
                </c:pt>
                <c:pt idx="14">
                  <c:v>42500</c:v>
                </c:pt>
                <c:pt idx="15">
                  <c:v>22500</c:v>
                </c:pt>
                <c:pt idx="16">
                  <c:v>35000</c:v>
                </c:pt>
                <c:pt idx="17">
                  <c:v>17500</c:v>
                </c:pt>
                <c:pt idx="18">
                  <c:v>175000</c:v>
                </c:pt>
                <c:pt idx="19">
                  <c:v>105000</c:v>
                </c:pt>
              </c:numCache>
            </c:numRef>
          </c:val>
        </c:ser>
        <c:ser>
          <c:idx val="2"/>
          <c:order val="2"/>
          <c:tx>
            <c:strRef>
              <c:f>AL!$E$973</c:f>
              <c:strCache>
                <c:ptCount val="1"/>
                <c:pt idx="0">
                  <c:v>Unauthorized Immigrant Payroll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AL!$E$975:$E$994</c:f>
              <c:numCache>
                <c:formatCode>[$$-409]#,##0;\-[$$-409]#,##0</c:formatCode>
                <c:ptCount val="20"/>
                <c:pt idx="0">
                  <c:v>60000</c:v>
                </c:pt>
                <c:pt idx="1">
                  <c:v>30000</c:v>
                </c:pt>
                <c:pt idx="2">
                  <c:v>750000</c:v>
                </c:pt>
                <c:pt idx="3">
                  <c:v>300000</c:v>
                </c:pt>
                <c:pt idx="4">
                  <c:v>900000</c:v>
                </c:pt>
                <c:pt idx="5">
                  <c:v>450000</c:v>
                </c:pt>
                <c:pt idx="6">
                  <c:v>180000</c:v>
                </c:pt>
                <c:pt idx="7">
                  <c:v>90000</c:v>
                </c:pt>
                <c:pt idx="8">
                  <c:v>2250000</c:v>
                </c:pt>
                <c:pt idx="9">
                  <c:v>950000</c:v>
                </c:pt>
                <c:pt idx="10">
                  <c:v>1900000</c:v>
                </c:pt>
                <c:pt idx="11">
                  <c:v>750000</c:v>
                </c:pt>
                <c:pt idx="12">
                  <c:v>1250000</c:v>
                </c:pt>
                <c:pt idx="13">
                  <c:v>600000</c:v>
                </c:pt>
                <c:pt idx="14">
                  <c:v>125000</c:v>
                </c:pt>
                <c:pt idx="15">
                  <c:v>65000</c:v>
                </c:pt>
                <c:pt idx="16">
                  <c:v>100000</c:v>
                </c:pt>
                <c:pt idx="17">
                  <c:v>50000</c:v>
                </c:pt>
                <c:pt idx="18">
                  <c:v>500000</c:v>
                </c:pt>
                <c:pt idx="19">
                  <c:v>300000</c:v>
                </c:pt>
              </c:numCache>
            </c:numRef>
          </c:val>
        </c:ser>
        <c:ser>
          <c:idx val="3"/>
          <c:order val="3"/>
          <c:tx>
            <c:strRef>
              <c:f>AL!$F$973</c:f>
              <c:strCache>
                <c:ptCount val="1"/>
                <c:pt idx="0">
                  <c:v>American Payroll Tax Revenue ($)</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AL!$F$975:$F$994</c:f>
              <c:numCache>
                <c:formatCode>[$$-409]#,##0;\-[$$-409]#,##0</c:formatCode>
                <c:ptCount val="20"/>
                <c:pt idx="0">
                  <c:v>520000</c:v>
                </c:pt>
                <c:pt idx="1">
                  <c:v>260000</c:v>
                </c:pt>
                <c:pt idx="2">
                  <c:v>6500000</c:v>
                </c:pt>
                <c:pt idx="3">
                  <c:v>2600000</c:v>
                </c:pt>
                <c:pt idx="4">
                  <c:v>7800000</c:v>
                </c:pt>
                <c:pt idx="5">
                  <c:v>3900000</c:v>
                </c:pt>
                <c:pt idx="6">
                  <c:v>1560000</c:v>
                </c:pt>
                <c:pt idx="7">
                  <c:v>780000</c:v>
                </c:pt>
                <c:pt idx="8">
                  <c:v>19000000</c:v>
                </c:pt>
                <c:pt idx="9">
                  <c:v>8225000</c:v>
                </c:pt>
                <c:pt idx="10">
                  <c:v>16350000</c:v>
                </c:pt>
                <c:pt idx="11">
                  <c:v>6500000</c:v>
                </c:pt>
                <c:pt idx="12">
                  <c:v>10825000</c:v>
                </c:pt>
                <c:pt idx="13">
                  <c:v>5200000</c:v>
                </c:pt>
                <c:pt idx="14">
                  <c:v>1082500</c:v>
                </c:pt>
                <c:pt idx="15">
                  <c:v>562500</c:v>
                </c:pt>
                <c:pt idx="16">
                  <c:v>865000</c:v>
                </c:pt>
                <c:pt idx="17">
                  <c:v>432500</c:v>
                </c:pt>
                <c:pt idx="18">
                  <c:v>4325000</c:v>
                </c:pt>
                <c:pt idx="19">
                  <c:v>2595000</c:v>
                </c:pt>
              </c:numCache>
            </c:numRef>
          </c:val>
        </c:ser>
        <c:gapWidth val="100"/>
        <c:overlap val="0"/>
        <c:axId val="31454154"/>
        <c:axId val="2102732"/>
      </c:barChart>
      <c:catAx>
        <c:axId val="31454154"/>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2102732"/>
        <c:crosses val="autoZero"/>
        <c:auto val="1"/>
        <c:lblAlgn val="ctr"/>
        <c:lblOffset val="100"/>
        <c:noMultiLvlLbl val="0"/>
      </c:catAx>
      <c:valAx>
        <c:axId val="2102732"/>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847781881562"/>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1454154"/>
        <c:crossesAt val="0"/>
        <c:crossBetween val="midCat"/>
        <c:majorUnit val="1000000"/>
      </c:valAx>
      <c:spPr>
        <a:noFill/>
        <a:ln w="0">
          <a:solidFill>
            <a:srgbClr val="b3b3b3"/>
          </a:solidFill>
        </a:ln>
      </c:spPr>
    </c:plotArea>
    <c:legend>
      <c:legendPos val="r"/>
      <c:layout>
        <c:manualLayout>
          <c:xMode val="edge"/>
          <c:yMode val="edge"/>
          <c:x val="0.789888432665588"/>
          <c:y val="0.468328035600763"/>
          <c:w val="0.199701381112355"/>
          <c:h val="0.11799109980928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Employment-to-Population Ratio by Industrial Labor Role</a:t>
            </a:r>
          </a:p>
        </c:rich>
      </c:tx>
      <c:layout>
        <c:manualLayout>
          <c:xMode val="edge"/>
          <c:yMode val="edge"/>
          <c:x val="0.171598124247832"/>
          <c:y val="0.0244684098077119"/>
        </c:manualLayout>
      </c:layout>
      <c:overlay val="0"/>
      <c:spPr>
        <a:noFill/>
        <a:ln w="0">
          <a:noFill/>
        </a:ln>
      </c:spPr>
    </c:title>
    <c:autoTitleDeleted val="0"/>
    <c:plotArea>
      <c:barChart>
        <c:barDir val="bar"/>
        <c:grouping val="clustered"/>
        <c:varyColors val="0"/>
        <c:ser>
          <c:idx val="0"/>
          <c:order val="0"/>
          <c:tx>
            <c:strRef>
              <c:f>AL!$C$142</c:f>
              <c:strCache>
                <c:ptCount val="1"/>
                <c:pt idx="0">
                  <c:v>Employment-to-Population Ratio</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AL!$C$144:$C$163</c:f>
              <c:numCache>
                <c:formatCode>0.00%</c:formatCode>
                <c:ptCount val="20"/>
                <c:pt idx="0">
                  <c:v>0.952</c:v>
                </c:pt>
                <c:pt idx="1">
                  <c:v>0.952</c:v>
                </c:pt>
                <c:pt idx="2">
                  <c:v>0.967</c:v>
                </c:pt>
                <c:pt idx="3">
                  <c:v>0.967</c:v>
                </c:pt>
                <c:pt idx="4">
                  <c:v>0.96</c:v>
                </c:pt>
                <c:pt idx="5">
                  <c:v>0.96</c:v>
                </c:pt>
                <c:pt idx="6">
                  <c:v>0.957</c:v>
                </c:pt>
                <c:pt idx="7">
                  <c:v>0.957</c:v>
                </c:pt>
                <c:pt idx="8">
                  <c:v>0.98</c:v>
                </c:pt>
                <c:pt idx="9">
                  <c:v>0.98</c:v>
                </c:pt>
                <c:pt idx="10">
                  <c:v>0.976</c:v>
                </c:pt>
                <c:pt idx="11">
                  <c:v>0.976</c:v>
                </c:pt>
                <c:pt idx="12">
                  <c:v>0.968</c:v>
                </c:pt>
                <c:pt idx="13">
                  <c:v>0.968</c:v>
                </c:pt>
                <c:pt idx="14">
                  <c:v>0.967</c:v>
                </c:pt>
                <c:pt idx="15">
                  <c:v>0.967</c:v>
                </c:pt>
                <c:pt idx="16">
                  <c:v>0.976</c:v>
                </c:pt>
                <c:pt idx="17">
                  <c:v>0.976</c:v>
                </c:pt>
                <c:pt idx="18">
                  <c:v>0.976</c:v>
                </c:pt>
                <c:pt idx="19">
                  <c:v>0.976</c:v>
                </c:pt>
              </c:numCache>
            </c:numRef>
          </c:val>
        </c:ser>
        <c:ser>
          <c:idx val="1"/>
          <c:order val="1"/>
          <c:tx>
            <c:strRef>
              <c:f>AL!$D$142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AL!$D$144:$D$163</c:f>
              <c:numCache>
                <c:formatCode>0.00%</c:formatCode>
                <c:ptCount val="20"/>
                <c:pt idx="0">
                  <c:v>0.93</c:v>
                </c:pt>
                <c:pt idx="1">
                  <c:v>0.93</c:v>
                </c:pt>
                <c:pt idx="2">
                  <c:v>0.94</c:v>
                </c:pt>
                <c:pt idx="3">
                  <c:v>0.94</c:v>
                </c:pt>
                <c:pt idx="4">
                  <c:v>0.93</c:v>
                </c:pt>
                <c:pt idx="5">
                  <c:v>0.93</c:v>
                </c:pt>
                <c:pt idx="6">
                  <c:v>0.92</c:v>
                </c:pt>
                <c:pt idx="7">
                  <c:v>0.92</c:v>
                </c:pt>
                <c:pt idx="8">
                  <c:v>0.96</c:v>
                </c:pt>
                <c:pt idx="9">
                  <c:v>0.96</c:v>
                </c:pt>
                <c:pt idx="10">
                  <c:v>0.95</c:v>
                </c:pt>
                <c:pt idx="11">
                  <c:v>0.95</c:v>
                </c:pt>
                <c:pt idx="12">
                  <c:v>0.94</c:v>
                </c:pt>
                <c:pt idx="13">
                  <c:v>0.94</c:v>
                </c:pt>
                <c:pt idx="14">
                  <c:v>0.94</c:v>
                </c:pt>
                <c:pt idx="15">
                  <c:v>0.94</c:v>
                </c:pt>
                <c:pt idx="16">
                  <c:v>0.95</c:v>
                </c:pt>
                <c:pt idx="17">
                  <c:v>0.95</c:v>
                </c:pt>
                <c:pt idx="18">
                  <c:v>0.95</c:v>
                </c:pt>
                <c:pt idx="19">
                  <c:v>0.95</c:v>
                </c:pt>
              </c:numCache>
            </c:numRef>
          </c:val>
        </c:ser>
        <c:ser>
          <c:idx val="2"/>
          <c:order val="2"/>
          <c:tx>
            <c:strRef>
              <c:f>AL!$E$142</c:f>
              <c:strCache>
                <c:ptCount val="1"/>
                <c:pt idx="0">
                  <c:v>Unauthorized Immigrant Employment-to-Population Ratio</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AL!$E$144:$E$163</c:f>
              <c:numCache>
                <c:formatCode>0.00%</c:formatCode>
                <c:ptCount val="20"/>
                <c:pt idx="0">
                  <c:v>0.89</c:v>
                </c:pt>
                <c:pt idx="1">
                  <c:v>0.89</c:v>
                </c:pt>
                <c:pt idx="2">
                  <c:v>0.9</c:v>
                </c:pt>
                <c:pt idx="3">
                  <c:v>0.9</c:v>
                </c:pt>
                <c:pt idx="4">
                  <c:v>0.88</c:v>
                </c:pt>
                <c:pt idx="5">
                  <c:v>0.88</c:v>
                </c:pt>
                <c:pt idx="6">
                  <c:v>0.87</c:v>
                </c:pt>
                <c:pt idx="7">
                  <c:v>0.87</c:v>
                </c:pt>
                <c:pt idx="8">
                  <c:v>0.93</c:v>
                </c:pt>
                <c:pt idx="9">
                  <c:v>0.93</c:v>
                </c:pt>
                <c:pt idx="10">
                  <c:v>0.92</c:v>
                </c:pt>
                <c:pt idx="11">
                  <c:v>0.92</c:v>
                </c:pt>
                <c:pt idx="12">
                  <c:v>0.9</c:v>
                </c:pt>
                <c:pt idx="13">
                  <c:v>0.9</c:v>
                </c:pt>
                <c:pt idx="14">
                  <c:v>0.9</c:v>
                </c:pt>
                <c:pt idx="15">
                  <c:v>0.9</c:v>
                </c:pt>
                <c:pt idx="16">
                  <c:v>0.92</c:v>
                </c:pt>
                <c:pt idx="17">
                  <c:v>0.92</c:v>
                </c:pt>
                <c:pt idx="18">
                  <c:v>0.92</c:v>
                </c:pt>
                <c:pt idx="19">
                  <c:v>0.92</c:v>
                </c:pt>
              </c:numCache>
            </c:numRef>
          </c:val>
        </c:ser>
        <c:ser>
          <c:idx val="3"/>
          <c:order val="3"/>
          <c:tx>
            <c:strRef>
              <c:f>AL!$F$142</c:f>
              <c:strCache>
                <c:ptCount val="1"/>
                <c:pt idx="0">
                  <c:v>American Employment-to-Population Ratio</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AL!$F$144:$F$163</c:f>
              <c:numCache>
                <c:formatCode>0.00%</c:formatCode>
                <c:ptCount val="20"/>
                <c:pt idx="0">
                  <c:v>0.955</c:v>
                </c:pt>
                <c:pt idx="1">
                  <c:v>0.955</c:v>
                </c:pt>
                <c:pt idx="2">
                  <c:v>0.97</c:v>
                </c:pt>
                <c:pt idx="3">
                  <c:v>0.97</c:v>
                </c:pt>
                <c:pt idx="4">
                  <c:v>0.963</c:v>
                </c:pt>
                <c:pt idx="5">
                  <c:v>0.963</c:v>
                </c:pt>
                <c:pt idx="6">
                  <c:v>0.96</c:v>
                </c:pt>
                <c:pt idx="7">
                  <c:v>0.96</c:v>
                </c:pt>
                <c:pt idx="8">
                  <c:v>0.982</c:v>
                </c:pt>
                <c:pt idx="9">
                  <c:v>0.982</c:v>
                </c:pt>
                <c:pt idx="10">
                  <c:v>0.978</c:v>
                </c:pt>
                <c:pt idx="11">
                  <c:v>0.978</c:v>
                </c:pt>
                <c:pt idx="12">
                  <c:v>0.97</c:v>
                </c:pt>
                <c:pt idx="13">
                  <c:v>0.97</c:v>
                </c:pt>
                <c:pt idx="14">
                  <c:v>0.97</c:v>
                </c:pt>
                <c:pt idx="15">
                  <c:v>0.97</c:v>
                </c:pt>
                <c:pt idx="16">
                  <c:v>0.978</c:v>
                </c:pt>
                <c:pt idx="17">
                  <c:v>0.978</c:v>
                </c:pt>
                <c:pt idx="18">
                  <c:v>0.978</c:v>
                </c:pt>
                <c:pt idx="19">
                  <c:v>0.978</c:v>
                </c:pt>
              </c:numCache>
            </c:numRef>
          </c:val>
        </c:ser>
        <c:gapWidth val="100"/>
        <c:overlap val="0"/>
        <c:axId val="47920468"/>
        <c:axId val="62260857"/>
      </c:barChart>
      <c:catAx>
        <c:axId val="47920468"/>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62260857"/>
        <c:crosses val="autoZero"/>
        <c:auto val="1"/>
        <c:lblAlgn val="ctr"/>
        <c:lblOffset val="100"/>
        <c:noMultiLvlLbl val="0"/>
      </c:catAx>
      <c:valAx>
        <c:axId val="62260857"/>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Employment-to-Population Ratio</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7920468"/>
        <c:crossesAt val="0"/>
        <c:crossBetween val="midCat"/>
        <c:majorUnit val="0.01"/>
      </c:valAx>
      <c:spPr>
        <a:noFill/>
        <a:ln w="0">
          <a:solidFill>
            <a:srgbClr val="b3b3b3"/>
          </a:solidFill>
        </a:ln>
      </c:spPr>
    </c:plotArea>
    <c:legend>
      <c:legendPos val="r"/>
      <c:layout>
        <c:manualLayout>
          <c:xMode val="edge"/>
          <c:yMode val="edge"/>
          <c:x val="0.811070998796631"/>
          <c:y val="0.47339640876952"/>
          <c:w val="0.180180927877832"/>
          <c:h val="0.10893506625632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E.I.T.C. Refund By Industrial Labor Role</a:t>
            </a:r>
          </a:p>
        </c:rich>
      </c:tx>
      <c:layout>
        <c:manualLayout>
          <c:xMode val="edge"/>
          <c:yMode val="edge"/>
          <c:x val="0.239863883470971"/>
          <c:y val="0.023120358123919"/>
        </c:manualLayout>
      </c:layout>
      <c:overlay val="0"/>
      <c:spPr>
        <a:noFill/>
        <a:ln w="0">
          <a:noFill/>
        </a:ln>
      </c:spPr>
    </c:title>
    <c:autoTitleDeleted val="0"/>
    <c:plotArea>
      <c:barChart>
        <c:barDir val="bar"/>
        <c:grouping val="clustered"/>
        <c:varyColors val="0"/>
        <c:ser>
          <c:idx val="0"/>
          <c:order val="0"/>
          <c:tx>
            <c:strRef>
              <c:f>AL!$C$1090</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AL!$C$1092:$C$1111</c:f>
              <c:numCache>
                <c:formatCode>[$$-409]#,##0;\-[$$-409]#,##0</c:formatCode>
                <c:ptCount val="20"/>
                <c:pt idx="0">
                  <c:v>75000</c:v>
                </c:pt>
                <c:pt idx="1">
                  <c:v>37500</c:v>
                </c:pt>
                <c:pt idx="2">
                  <c:v>2000000</c:v>
                </c:pt>
                <c:pt idx="3">
                  <c:v>800000</c:v>
                </c:pt>
                <c:pt idx="4">
                  <c:v>3500000</c:v>
                </c:pt>
                <c:pt idx="5">
                  <c:v>1750000</c:v>
                </c:pt>
                <c:pt idx="6">
                  <c:v>750000</c:v>
                </c:pt>
                <c:pt idx="7">
                  <c:v>375000</c:v>
                </c:pt>
                <c:pt idx="8">
                  <c:v>5000000</c:v>
                </c:pt>
                <c:pt idx="9">
                  <c:v>2100000</c:v>
                </c:pt>
                <c:pt idx="10">
                  <c:v>4500000</c:v>
                </c:pt>
                <c:pt idx="11">
                  <c:v>1750000</c:v>
                </c:pt>
                <c:pt idx="12">
                  <c:v>3750000</c:v>
                </c:pt>
                <c:pt idx="13">
                  <c:v>1800000</c:v>
                </c:pt>
                <c:pt idx="14">
                  <c:v>375000</c:v>
                </c:pt>
                <c:pt idx="15">
                  <c:v>195000</c:v>
                </c:pt>
                <c:pt idx="16">
                  <c:v>250000</c:v>
                </c:pt>
                <c:pt idx="17">
                  <c:v>125000</c:v>
                </c:pt>
                <c:pt idx="18">
                  <c:v>900000</c:v>
                </c:pt>
                <c:pt idx="19">
                  <c:v>540000</c:v>
                </c:pt>
              </c:numCache>
            </c:numRef>
          </c:val>
        </c:ser>
        <c:ser>
          <c:idx val="1"/>
          <c:order val="1"/>
          <c:tx>
            <c:strRef>
              <c:f>AL!$D$1090</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AL!$D$1092:$D$1111</c:f>
              <c:numCache>
                <c:formatCode>[$$-409]#,##0;\-[$$-409]#,##0</c:formatCode>
                <c:ptCount val="20"/>
                <c:pt idx="0">
                  <c:v>15000</c:v>
                </c:pt>
                <c:pt idx="1">
                  <c:v>7500</c:v>
                </c:pt>
                <c:pt idx="2">
                  <c:v>400000</c:v>
                </c:pt>
                <c:pt idx="3">
                  <c:v>160000</c:v>
                </c:pt>
                <c:pt idx="4">
                  <c:v>700000</c:v>
                </c:pt>
                <c:pt idx="5">
                  <c:v>350000</c:v>
                </c:pt>
                <c:pt idx="6">
                  <c:v>150000</c:v>
                </c:pt>
                <c:pt idx="7">
                  <c:v>75000</c:v>
                </c:pt>
                <c:pt idx="8">
                  <c:v>1000000</c:v>
                </c:pt>
                <c:pt idx="9">
                  <c:v>420000</c:v>
                </c:pt>
                <c:pt idx="10">
                  <c:v>900000</c:v>
                </c:pt>
                <c:pt idx="11">
                  <c:v>350000</c:v>
                </c:pt>
                <c:pt idx="12">
                  <c:v>750000</c:v>
                </c:pt>
                <c:pt idx="13">
                  <c:v>360000</c:v>
                </c:pt>
                <c:pt idx="14">
                  <c:v>75000</c:v>
                </c:pt>
                <c:pt idx="15">
                  <c:v>39000</c:v>
                </c:pt>
                <c:pt idx="16">
                  <c:v>50000</c:v>
                </c:pt>
                <c:pt idx="17">
                  <c:v>25000</c:v>
                </c:pt>
                <c:pt idx="18">
                  <c:v>180000</c:v>
                </c:pt>
                <c:pt idx="19">
                  <c:v>108000</c:v>
                </c:pt>
              </c:numCache>
            </c:numRef>
          </c:val>
        </c:ser>
        <c:ser>
          <c:idx val="2"/>
          <c:order val="2"/>
          <c:tx>
            <c:strRef>
              <c:f>AL!$E$1090</c:f>
              <c:strCache>
                <c:ptCount val="1"/>
                <c:pt idx="0">
                  <c:v>Unauthorized Immigrant EITC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AL!$E$1092:$E$1111</c:f>
              <c:numCache>
                <c:formatCode>[$$-409]#,##0;\-[$$-409]#,##0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AL!$F$1090</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AL!$F$1092:$F$1111</c:f>
              <c:numCache>
                <c:formatCode>[$$-409]#,##0;\-[$$-409]#,##0</c:formatCode>
                <c:ptCount val="20"/>
                <c:pt idx="0">
                  <c:v>60000</c:v>
                </c:pt>
                <c:pt idx="1">
                  <c:v>30000</c:v>
                </c:pt>
                <c:pt idx="2">
                  <c:v>1600000</c:v>
                </c:pt>
                <c:pt idx="3">
                  <c:v>640000</c:v>
                </c:pt>
                <c:pt idx="4">
                  <c:v>2800000</c:v>
                </c:pt>
                <c:pt idx="5">
                  <c:v>1400000</c:v>
                </c:pt>
                <c:pt idx="6">
                  <c:v>600000</c:v>
                </c:pt>
                <c:pt idx="7">
                  <c:v>300000</c:v>
                </c:pt>
                <c:pt idx="8">
                  <c:v>4000000</c:v>
                </c:pt>
                <c:pt idx="9">
                  <c:v>1680000</c:v>
                </c:pt>
                <c:pt idx="10">
                  <c:v>3600000</c:v>
                </c:pt>
                <c:pt idx="11">
                  <c:v>1400000</c:v>
                </c:pt>
                <c:pt idx="12">
                  <c:v>3000000</c:v>
                </c:pt>
                <c:pt idx="13">
                  <c:v>1440000</c:v>
                </c:pt>
                <c:pt idx="14">
                  <c:v>300000</c:v>
                </c:pt>
                <c:pt idx="15">
                  <c:v>156000</c:v>
                </c:pt>
                <c:pt idx="16">
                  <c:v>200000</c:v>
                </c:pt>
                <c:pt idx="17">
                  <c:v>100000</c:v>
                </c:pt>
                <c:pt idx="18">
                  <c:v>720000</c:v>
                </c:pt>
                <c:pt idx="19">
                  <c:v>432000</c:v>
                </c:pt>
              </c:numCache>
            </c:numRef>
          </c:val>
        </c:ser>
        <c:gapWidth val="100"/>
        <c:overlap val="0"/>
        <c:axId val="54713254"/>
        <c:axId val="13526361"/>
      </c:barChart>
      <c:catAx>
        <c:axId val="54713254"/>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13526361"/>
        <c:crosses val="autoZero"/>
        <c:auto val="1"/>
        <c:lblAlgn val="ctr"/>
        <c:lblOffset val="100"/>
        <c:noMultiLvlLbl val="0"/>
      </c:catAx>
      <c:valAx>
        <c:axId val="13526361"/>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E.I.T.C. Refund</a:t>
                </a:r>
              </a:p>
            </c:rich>
          </c:tx>
          <c:layout>
            <c:manualLayout>
              <c:xMode val="edge"/>
              <c:yMode val="edge"/>
              <c:x val="0.438560816699174"/>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4713254"/>
        <c:crossesAt val="0"/>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A.C.T.C.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AL!$C$1207</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AL!$C$1209:$C$1228</c:f>
              <c:numCache>
                <c:formatCode>[$$-409]#,##0;\-[$$-409]#,##0</c:formatCode>
                <c:ptCount val="20"/>
                <c:pt idx="0">
                  <c:v>30000</c:v>
                </c:pt>
                <c:pt idx="1">
                  <c:v>15000</c:v>
                </c:pt>
                <c:pt idx="2">
                  <c:v>800000</c:v>
                </c:pt>
                <c:pt idx="3">
                  <c:v>320000</c:v>
                </c:pt>
                <c:pt idx="4">
                  <c:v>1400000</c:v>
                </c:pt>
                <c:pt idx="5">
                  <c:v>700000</c:v>
                </c:pt>
                <c:pt idx="6">
                  <c:v>300000</c:v>
                </c:pt>
                <c:pt idx="7">
                  <c:v>150000</c:v>
                </c:pt>
                <c:pt idx="8">
                  <c:v>2000000</c:v>
                </c:pt>
                <c:pt idx="9">
                  <c:v>840000</c:v>
                </c:pt>
                <c:pt idx="10">
                  <c:v>1800000</c:v>
                </c:pt>
                <c:pt idx="11">
                  <c:v>700000</c:v>
                </c:pt>
                <c:pt idx="12">
                  <c:v>1500000</c:v>
                </c:pt>
                <c:pt idx="13">
                  <c:v>720000</c:v>
                </c:pt>
                <c:pt idx="14">
                  <c:v>150000</c:v>
                </c:pt>
                <c:pt idx="15">
                  <c:v>78000</c:v>
                </c:pt>
                <c:pt idx="16">
                  <c:v>100000</c:v>
                </c:pt>
                <c:pt idx="17">
                  <c:v>50000</c:v>
                </c:pt>
                <c:pt idx="18">
                  <c:v>360000</c:v>
                </c:pt>
                <c:pt idx="19">
                  <c:v>216000</c:v>
                </c:pt>
              </c:numCache>
            </c:numRef>
          </c:val>
        </c:ser>
        <c:ser>
          <c:idx val="1"/>
          <c:order val="1"/>
          <c:tx>
            <c:strRef>
              <c:f>AL!$D$1207</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AL!$D$1209:$D$1228</c:f>
              <c:numCache>
                <c:formatCode>[$$-409]#,##0;\-[$$-409]#,##0</c:formatCode>
                <c:ptCount val="20"/>
                <c:pt idx="0">
                  <c:v>7500</c:v>
                </c:pt>
                <c:pt idx="1">
                  <c:v>3750</c:v>
                </c:pt>
                <c:pt idx="2">
                  <c:v>200000</c:v>
                </c:pt>
                <c:pt idx="3">
                  <c:v>80000</c:v>
                </c:pt>
                <c:pt idx="4">
                  <c:v>350000</c:v>
                </c:pt>
                <c:pt idx="5">
                  <c:v>175000</c:v>
                </c:pt>
                <c:pt idx="6">
                  <c:v>75000</c:v>
                </c:pt>
                <c:pt idx="7">
                  <c:v>37500</c:v>
                </c:pt>
                <c:pt idx="8">
                  <c:v>500000</c:v>
                </c:pt>
                <c:pt idx="9">
                  <c:v>210000</c:v>
                </c:pt>
                <c:pt idx="10">
                  <c:v>450000</c:v>
                </c:pt>
                <c:pt idx="11">
                  <c:v>175000</c:v>
                </c:pt>
                <c:pt idx="12">
                  <c:v>375000</c:v>
                </c:pt>
                <c:pt idx="13">
                  <c:v>180000</c:v>
                </c:pt>
                <c:pt idx="14">
                  <c:v>37500</c:v>
                </c:pt>
                <c:pt idx="15">
                  <c:v>19500</c:v>
                </c:pt>
                <c:pt idx="16">
                  <c:v>25000</c:v>
                </c:pt>
                <c:pt idx="17">
                  <c:v>12500</c:v>
                </c:pt>
                <c:pt idx="18">
                  <c:v>90000</c:v>
                </c:pt>
                <c:pt idx="19">
                  <c:v>54000</c:v>
                </c:pt>
              </c:numCache>
            </c:numRef>
          </c:val>
        </c:ser>
        <c:ser>
          <c:idx val="2"/>
          <c:order val="2"/>
          <c:tx>
            <c:strRef>
              <c:f>AL!$E$1207</c:f>
              <c:strCache>
                <c:ptCount val="1"/>
                <c:pt idx="0">
                  <c:v>Unauthorized Immigrant ACTC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AL!$E$1209:$E$1228</c:f>
              <c:numCache>
                <c:formatCode>[$$-409]#,##0;\-[$$-409]#,##0</c:formatCode>
                <c:ptCount val="20"/>
                <c:pt idx="0">
                  <c:v>3000</c:v>
                </c:pt>
                <c:pt idx="1">
                  <c:v>1500</c:v>
                </c:pt>
                <c:pt idx="2">
                  <c:v>80000</c:v>
                </c:pt>
                <c:pt idx="3">
                  <c:v>32000</c:v>
                </c:pt>
                <c:pt idx="4">
                  <c:v>140000</c:v>
                </c:pt>
                <c:pt idx="5">
                  <c:v>70000</c:v>
                </c:pt>
                <c:pt idx="6">
                  <c:v>30000</c:v>
                </c:pt>
                <c:pt idx="7">
                  <c:v>15000</c:v>
                </c:pt>
                <c:pt idx="8">
                  <c:v>200000</c:v>
                </c:pt>
                <c:pt idx="9">
                  <c:v>84000</c:v>
                </c:pt>
                <c:pt idx="10">
                  <c:v>180000</c:v>
                </c:pt>
                <c:pt idx="11">
                  <c:v>70000</c:v>
                </c:pt>
                <c:pt idx="12">
                  <c:v>150000</c:v>
                </c:pt>
                <c:pt idx="13">
                  <c:v>72000</c:v>
                </c:pt>
                <c:pt idx="14">
                  <c:v>15000</c:v>
                </c:pt>
                <c:pt idx="15">
                  <c:v>7800</c:v>
                </c:pt>
                <c:pt idx="16">
                  <c:v>10000</c:v>
                </c:pt>
                <c:pt idx="17">
                  <c:v>5000</c:v>
                </c:pt>
                <c:pt idx="18">
                  <c:v>36000</c:v>
                </c:pt>
                <c:pt idx="19">
                  <c:v>21600</c:v>
                </c:pt>
              </c:numCache>
            </c:numRef>
          </c:val>
        </c:ser>
        <c:ser>
          <c:idx val="3"/>
          <c:order val="3"/>
          <c:tx>
            <c:strRef>
              <c:f>AL!$F$1207</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AL!$F$1209:$F$1228</c:f>
              <c:numCache>
                <c:formatCode>[$$-409]#,##0;\-[$$-409]#,##0</c:formatCode>
                <c:ptCount val="20"/>
                <c:pt idx="0">
                  <c:v>22500</c:v>
                </c:pt>
                <c:pt idx="1">
                  <c:v>11250</c:v>
                </c:pt>
                <c:pt idx="2">
                  <c:v>600000</c:v>
                </c:pt>
                <c:pt idx="3">
                  <c:v>240000</c:v>
                </c:pt>
                <c:pt idx="4">
                  <c:v>1050000</c:v>
                </c:pt>
                <c:pt idx="5">
                  <c:v>525000</c:v>
                </c:pt>
                <c:pt idx="6">
                  <c:v>225000</c:v>
                </c:pt>
                <c:pt idx="7">
                  <c:v>112500</c:v>
                </c:pt>
                <c:pt idx="8">
                  <c:v>1500000</c:v>
                </c:pt>
                <c:pt idx="9">
                  <c:v>630000</c:v>
                </c:pt>
                <c:pt idx="10">
                  <c:v>1350000</c:v>
                </c:pt>
                <c:pt idx="11">
                  <c:v>525000</c:v>
                </c:pt>
                <c:pt idx="12">
                  <c:v>1125000</c:v>
                </c:pt>
                <c:pt idx="13">
                  <c:v>540000</c:v>
                </c:pt>
                <c:pt idx="14">
                  <c:v>112500</c:v>
                </c:pt>
                <c:pt idx="15">
                  <c:v>58500</c:v>
                </c:pt>
                <c:pt idx="16">
                  <c:v>75000</c:v>
                </c:pt>
                <c:pt idx="17">
                  <c:v>37500</c:v>
                </c:pt>
                <c:pt idx="18">
                  <c:v>270000</c:v>
                </c:pt>
                <c:pt idx="19">
                  <c:v>162000</c:v>
                </c:pt>
              </c:numCache>
            </c:numRef>
          </c:val>
        </c:ser>
        <c:gapWidth val="100"/>
        <c:overlap val="0"/>
        <c:axId val="81121395"/>
        <c:axId val="70838187"/>
      </c:barChart>
      <c:catAx>
        <c:axId val="81121395"/>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70838187"/>
        <c:crosses val="autoZero"/>
        <c:auto val="1"/>
        <c:lblAlgn val="ctr"/>
        <c:lblOffset val="100"/>
        <c:noMultiLvlLbl val="0"/>
      </c:catAx>
      <c:valAx>
        <c:axId val="70838187"/>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A.C.T.C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1121395"/>
        <c:crossesAt val="0"/>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(Alabama)</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A.O.T.C.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AL!$C$1325</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AL!$C$1327:$C$1346</c:f>
              <c:numCache>
                <c:formatCode>[$$-409]#,##0;\-[$$-409]#,##0</c:formatCode>
                <c:ptCount val="20"/>
                <c:pt idx="0">
                  <c:v>15000</c:v>
                </c:pt>
                <c:pt idx="1">
                  <c:v>7500</c:v>
                </c:pt>
                <c:pt idx="2">
                  <c:v>400000</c:v>
                </c:pt>
                <c:pt idx="3">
                  <c:v>160000</c:v>
                </c:pt>
                <c:pt idx="4">
                  <c:v>700000</c:v>
                </c:pt>
                <c:pt idx="5">
                  <c:v>350000</c:v>
                </c:pt>
                <c:pt idx="6">
                  <c:v>150000</c:v>
                </c:pt>
                <c:pt idx="7">
                  <c:v>75000</c:v>
                </c:pt>
                <c:pt idx="8">
                  <c:v>1000000</c:v>
                </c:pt>
                <c:pt idx="9">
                  <c:v>420000</c:v>
                </c:pt>
                <c:pt idx="10">
                  <c:v>900000</c:v>
                </c:pt>
                <c:pt idx="11">
                  <c:v>350000</c:v>
                </c:pt>
                <c:pt idx="12">
                  <c:v>750000</c:v>
                </c:pt>
                <c:pt idx="13">
                  <c:v>360000</c:v>
                </c:pt>
                <c:pt idx="14">
                  <c:v>75000</c:v>
                </c:pt>
                <c:pt idx="15">
                  <c:v>39000</c:v>
                </c:pt>
                <c:pt idx="16">
                  <c:v>50000</c:v>
                </c:pt>
                <c:pt idx="17">
                  <c:v>25000</c:v>
                </c:pt>
                <c:pt idx="18">
                  <c:v>180000</c:v>
                </c:pt>
                <c:pt idx="19">
                  <c:v>108000</c:v>
                </c:pt>
              </c:numCache>
            </c:numRef>
          </c:val>
        </c:ser>
        <c:ser>
          <c:idx val="1"/>
          <c:order val="1"/>
          <c:tx>
            <c:strRef>
              <c:f>AL!$D$1325</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AL!$D$1327:$D$1346</c:f>
              <c:numCache>
                <c:formatCode>[$$-409]#,##0;\-[$$-409]#,##0</c:formatCode>
                <c:ptCount val="20"/>
                <c:pt idx="0">
                  <c:v>3000</c:v>
                </c:pt>
                <c:pt idx="1">
                  <c:v>1500</c:v>
                </c:pt>
                <c:pt idx="2">
                  <c:v>80000</c:v>
                </c:pt>
                <c:pt idx="3">
                  <c:v>32000</c:v>
                </c:pt>
                <c:pt idx="4">
                  <c:v>140000</c:v>
                </c:pt>
                <c:pt idx="5">
                  <c:v>70000</c:v>
                </c:pt>
                <c:pt idx="6">
                  <c:v>30000</c:v>
                </c:pt>
                <c:pt idx="7">
                  <c:v>15000</c:v>
                </c:pt>
                <c:pt idx="8">
                  <c:v>200000</c:v>
                </c:pt>
                <c:pt idx="9">
                  <c:v>84000</c:v>
                </c:pt>
                <c:pt idx="10">
                  <c:v>180000</c:v>
                </c:pt>
                <c:pt idx="11">
                  <c:v>70000</c:v>
                </c:pt>
                <c:pt idx="12">
                  <c:v>150000</c:v>
                </c:pt>
                <c:pt idx="13">
                  <c:v>72000</c:v>
                </c:pt>
                <c:pt idx="14">
                  <c:v>15000</c:v>
                </c:pt>
                <c:pt idx="15">
                  <c:v>7800</c:v>
                </c:pt>
                <c:pt idx="16">
                  <c:v>10000</c:v>
                </c:pt>
                <c:pt idx="17">
                  <c:v>5000</c:v>
                </c:pt>
                <c:pt idx="18">
                  <c:v>36000</c:v>
                </c:pt>
                <c:pt idx="19">
                  <c:v>21600</c:v>
                </c:pt>
              </c:numCache>
            </c:numRef>
          </c:val>
        </c:ser>
        <c:ser>
          <c:idx val="2"/>
          <c:order val="2"/>
          <c:tx>
            <c:strRef>
              <c:f>AL!$E$1325</c:f>
              <c:strCache>
                <c:ptCount val="1"/>
                <c:pt idx="0">
                  <c:v>Unauthorized Immigrant AOTC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AL!$E$1327:$E$1346</c:f>
              <c:numCache>
                <c:formatCode>[$$-409]#,##0;\-[$$-409]#,##0</c:formatCode>
                <c:ptCount val="20"/>
                <c:pt idx="0">
                  <c:v>1500</c:v>
                </c:pt>
                <c:pt idx="1">
                  <c:v>750</c:v>
                </c:pt>
                <c:pt idx="2">
                  <c:v>40000</c:v>
                </c:pt>
                <c:pt idx="3">
                  <c:v>16000</c:v>
                </c:pt>
                <c:pt idx="4">
                  <c:v>70000</c:v>
                </c:pt>
                <c:pt idx="5">
                  <c:v>35000</c:v>
                </c:pt>
                <c:pt idx="6">
                  <c:v>15000</c:v>
                </c:pt>
                <c:pt idx="7">
                  <c:v>7500</c:v>
                </c:pt>
                <c:pt idx="8">
                  <c:v>100000</c:v>
                </c:pt>
                <c:pt idx="9">
                  <c:v>42000</c:v>
                </c:pt>
                <c:pt idx="10">
                  <c:v>90000</c:v>
                </c:pt>
                <c:pt idx="11">
                  <c:v>35000</c:v>
                </c:pt>
                <c:pt idx="12">
                  <c:v>75000</c:v>
                </c:pt>
                <c:pt idx="13">
                  <c:v>36000</c:v>
                </c:pt>
                <c:pt idx="14">
                  <c:v>7500</c:v>
                </c:pt>
                <c:pt idx="15">
                  <c:v>3900</c:v>
                </c:pt>
                <c:pt idx="16">
                  <c:v>5000</c:v>
                </c:pt>
                <c:pt idx="17">
                  <c:v>2500</c:v>
                </c:pt>
                <c:pt idx="18">
                  <c:v>18000</c:v>
                </c:pt>
                <c:pt idx="19">
                  <c:v>10800</c:v>
                </c:pt>
              </c:numCache>
            </c:numRef>
          </c:val>
        </c:ser>
        <c:ser>
          <c:idx val="3"/>
          <c:order val="3"/>
          <c:tx>
            <c:strRef>
              <c:f>AL!$F$1325</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AL!$B$1327:$B$1346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AL!$F$1327:$F$1346</c:f>
              <c:numCache>
                <c:formatCode>[$$-409]#,##0;\-[$$-409]#,##0</c:formatCode>
                <c:ptCount val="20"/>
                <c:pt idx="0">
                  <c:v>10500</c:v>
                </c:pt>
                <c:pt idx="1">
                  <c:v>5250</c:v>
                </c:pt>
                <c:pt idx="2">
                  <c:v>280000</c:v>
                </c:pt>
                <c:pt idx="3">
                  <c:v>112000</c:v>
                </c:pt>
                <c:pt idx="4">
                  <c:v>525000</c:v>
                </c:pt>
                <c:pt idx="5">
                  <c:v>262500</c:v>
                </c:pt>
                <c:pt idx="6">
                  <c:v>112500</c:v>
                </c:pt>
                <c:pt idx="7">
                  <c:v>56250</c:v>
                </c:pt>
                <c:pt idx="8">
                  <c:v>750000</c:v>
                </c:pt>
                <c:pt idx="9">
                  <c:v>315000</c:v>
                </c:pt>
                <c:pt idx="10">
                  <c:v>675000</c:v>
                </c:pt>
                <c:pt idx="11">
                  <c:v>262500</c:v>
                </c:pt>
                <c:pt idx="12">
                  <c:v>562500</c:v>
                </c:pt>
                <c:pt idx="13">
                  <c:v>270000</c:v>
                </c:pt>
                <c:pt idx="14">
                  <c:v>56250</c:v>
                </c:pt>
                <c:pt idx="15">
                  <c:v>29250</c:v>
                </c:pt>
                <c:pt idx="16">
                  <c:v>37500</c:v>
                </c:pt>
                <c:pt idx="17">
                  <c:v>18750</c:v>
                </c:pt>
                <c:pt idx="18">
                  <c:v>135000</c:v>
                </c:pt>
                <c:pt idx="19">
                  <c:v>81000</c:v>
                </c:pt>
              </c:numCache>
            </c:numRef>
          </c:val>
        </c:ser>
        <c:gapWidth val="100"/>
        <c:overlap val="0"/>
        <c:axId val="83564548"/>
        <c:axId val="47915056"/>
      </c:barChart>
      <c:catAx>
        <c:axId val="83564548"/>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47915056"/>
        <c:crosses val="autoZero"/>
        <c:auto val="1"/>
        <c:lblAlgn val="ctr"/>
        <c:lblOffset val="100"/>
        <c:noMultiLvlLbl val="0"/>
      </c:catAx>
      <c:valAx>
        <c:axId val="47915056"/>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A.O.T.C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3564548"/>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 Force Participation Rate by Industrial Labor Role</a:t>
            </a:r>
          </a:p>
        </c:rich>
      </c:tx>
      <c:layout>
        <c:manualLayout>
          <c:xMode val="edge"/>
          <c:yMode val="edge"/>
          <c:x val="0.171598124247832"/>
          <c:y val="0.0243666700579917"/>
        </c:manualLayout>
      </c:layout>
      <c:overlay val="0"/>
      <c:spPr>
        <a:noFill/>
        <a:ln w="0">
          <a:noFill/>
        </a:ln>
      </c:spPr>
    </c:title>
    <c:autoTitleDeleted val="0"/>
    <c:plotArea>
      <c:barChart>
        <c:barDir val="bar"/>
        <c:grouping val="clustered"/>
        <c:varyColors val="0"/>
        <c:ser>
          <c:idx val="0"/>
          <c:order val="0"/>
          <c:tx>
            <c:strRef>
              <c:f>AR!$C$260</c:f>
              <c:strCache>
                <c:ptCount val="1"/>
                <c:pt idx="0">
                  <c:v>Labor Force Participation Rate (LFPR)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AR!$C$262:$C$281</c:f>
              <c:numCache>
                <c:formatCode>0.00%</c:formatCode>
                <c:ptCount val="20"/>
                <c:pt idx="0">
                  <c:v>0.644</c:v>
                </c:pt>
                <c:pt idx="1">
                  <c:v>0.582</c:v>
                </c:pt>
                <c:pt idx="2">
                  <c:v>0.632</c:v>
                </c:pt>
                <c:pt idx="3">
                  <c:v>0.571</c:v>
                </c:pt>
                <c:pt idx="4">
                  <c:v>0.601</c:v>
                </c:pt>
                <c:pt idx="5">
                  <c:v>0.544</c:v>
                </c:pt>
                <c:pt idx="6">
                  <c:v>0.644</c:v>
                </c:pt>
                <c:pt idx="7">
                  <c:v>0.583</c:v>
                </c:pt>
                <c:pt idx="8">
                  <c:v>0.625</c:v>
                </c:pt>
                <c:pt idx="9">
                  <c:v>0.566</c:v>
                </c:pt>
                <c:pt idx="10">
                  <c:v>0.638</c:v>
                </c:pt>
                <c:pt idx="11">
                  <c:v>0.577</c:v>
                </c:pt>
                <c:pt idx="12">
                  <c:v>0.589</c:v>
                </c:pt>
                <c:pt idx="13">
                  <c:v>0.533</c:v>
                </c:pt>
                <c:pt idx="14">
                  <c:v>0.674</c:v>
                </c:pt>
                <c:pt idx="15">
                  <c:v>0.61</c:v>
                </c:pt>
                <c:pt idx="16">
                  <c:v>0.619</c:v>
                </c:pt>
                <c:pt idx="17">
                  <c:v>0.56</c:v>
                </c:pt>
                <c:pt idx="18">
                  <c:v>0.601</c:v>
                </c:pt>
                <c:pt idx="19">
                  <c:v>0.544</c:v>
                </c:pt>
              </c:numCache>
            </c:numRef>
          </c:val>
        </c:ser>
        <c:ser>
          <c:idx val="1"/>
          <c:order val="1"/>
          <c:tx>
            <c:strRef>
              <c:f>AR!$D$260</c:f>
              <c:strCache>
                <c:ptCount val="1"/>
                <c:pt idx="0">
                  <c:v>Authorized Immigrant Labor Force Participation Rate (LFPR)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AR!$D$262:$D$281</c:f>
              <c:numCache>
                <c:formatCode>0.00%</c:formatCode>
                <c:ptCount val="20"/>
                <c:pt idx="0">
                  <c:v>0.717</c:v>
                </c:pt>
                <c:pt idx="1">
                  <c:v>0.648</c:v>
                </c:pt>
                <c:pt idx="2">
                  <c:v>0.703</c:v>
                </c:pt>
                <c:pt idx="3">
                  <c:v>0.636</c:v>
                </c:pt>
                <c:pt idx="4">
                  <c:v>0.669</c:v>
                </c:pt>
                <c:pt idx="5">
                  <c:v>0.605</c:v>
                </c:pt>
                <c:pt idx="6">
                  <c:v>0.717</c:v>
                </c:pt>
                <c:pt idx="7">
                  <c:v>0.648</c:v>
                </c:pt>
                <c:pt idx="8">
                  <c:v>0.696</c:v>
                </c:pt>
                <c:pt idx="9">
                  <c:v>0.63</c:v>
                </c:pt>
                <c:pt idx="10">
                  <c:v>0.71</c:v>
                </c:pt>
                <c:pt idx="11">
                  <c:v>0.642</c:v>
                </c:pt>
                <c:pt idx="12">
                  <c:v>0.655</c:v>
                </c:pt>
                <c:pt idx="13">
                  <c:v>0.593</c:v>
                </c:pt>
                <c:pt idx="14">
                  <c:v>0.751</c:v>
                </c:pt>
                <c:pt idx="15">
                  <c:v>0.679</c:v>
                </c:pt>
                <c:pt idx="16">
                  <c:v>0.689</c:v>
                </c:pt>
                <c:pt idx="17">
                  <c:v>0.624</c:v>
                </c:pt>
                <c:pt idx="18">
                  <c:v>0.669</c:v>
                </c:pt>
                <c:pt idx="19">
                  <c:v>0.605</c:v>
                </c:pt>
              </c:numCache>
            </c:numRef>
          </c:val>
        </c:ser>
        <c:ser>
          <c:idx val="2"/>
          <c:order val="2"/>
          <c:tx>
            <c:strRef>
              <c:f>AR!$E$260</c:f>
              <c:strCache>
                <c:ptCount val="1"/>
                <c:pt idx="0">
                  <c:v>Unauthorized Immigrant Labor Force Participation Rate (LFPR)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AR!$E$262:$E$281</c:f>
              <c:numCache>
                <c:formatCode>0.00%</c:formatCode>
                <c:ptCount val="20"/>
                <c:pt idx="0">
                  <c:v>0.794</c:v>
                </c:pt>
                <c:pt idx="1">
                  <c:v>0.718</c:v>
                </c:pt>
                <c:pt idx="2">
                  <c:v>0.779</c:v>
                </c:pt>
                <c:pt idx="3">
                  <c:v>0.705</c:v>
                </c:pt>
                <c:pt idx="4">
                  <c:v>0.741</c:v>
                </c:pt>
                <c:pt idx="5">
                  <c:v>0.67</c:v>
                </c:pt>
                <c:pt idx="6">
                  <c:v>0.794</c:v>
                </c:pt>
                <c:pt idx="7">
                  <c:v>0.718</c:v>
                </c:pt>
                <c:pt idx="8">
                  <c:v>0.771</c:v>
                </c:pt>
                <c:pt idx="9">
                  <c:v>0.698</c:v>
                </c:pt>
                <c:pt idx="10">
                  <c:v>0.786</c:v>
                </c:pt>
                <c:pt idx="11">
                  <c:v>0.711</c:v>
                </c:pt>
                <c:pt idx="12">
                  <c:v>0.726</c:v>
                </c:pt>
                <c:pt idx="13">
                  <c:v>0.657</c:v>
                </c:pt>
                <c:pt idx="14">
                  <c:v>0.832</c:v>
                </c:pt>
                <c:pt idx="15">
                  <c:v>0.752</c:v>
                </c:pt>
                <c:pt idx="16">
                  <c:v>0.764</c:v>
                </c:pt>
                <c:pt idx="17">
                  <c:v>0.691</c:v>
                </c:pt>
                <c:pt idx="18">
                  <c:v>0.741</c:v>
                </c:pt>
                <c:pt idx="19">
                  <c:v>0.67</c:v>
                </c:pt>
              </c:numCache>
            </c:numRef>
          </c:val>
        </c:ser>
        <c:ser>
          <c:idx val="3"/>
          <c:order val="3"/>
          <c:tx>
            <c:strRef>
              <c:f>AR!$F$260</c:f>
              <c:strCache>
                <c:ptCount val="1"/>
                <c:pt idx="0">
                  <c:v>American Labor Force Participation Rate (LFPR)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AR!$B$262:$B$281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AR!$F$262:$F$281</c:f>
              <c:numCache>
                <c:formatCode>0.00%</c:formatCode>
                <c:ptCount val="20"/>
                <c:pt idx="0">
                  <c:v>0.636</c:v>
                </c:pt>
                <c:pt idx="1">
                  <c:v>0.576</c:v>
                </c:pt>
                <c:pt idx="2">
                  <c:v>0.624</c:v>
                </c:pt>
                <c:pt idx="3">
                  <c:v>0.565</c:v>
                </c:pt>
                <c:pt idx="4">
                  <c:v>0.594</c:v>
                </c:pt>
                <c:pt idx="5">
                  <c:v>0.537</c:v>
                </c:pt>
                <c:pt idx="6">
                  <c:v>0.636</c:v>
                </c:pt>
                <c:pt idx="7">
                  <c:v>0.576</c:v>
                </c:pt>
                <c:pt idx="8">
                  <c:v>0.618</c:v>
                </c:pt>
                <c:pt idx="9">
                  <c:v>0.559</c:v>
                </c:pt>
                <c:pt idx="10">
                  <c:v>0.63</c:v>
                </c:pt>
                <c:pt idx="11">
                  <c:v>0.57</c:v>
                </c:pt>
                <c:pt idx="12">
                  <c:v>0.582</c:v>
                </c:pt>
                <c:pt idx="13">
                  <c:v>0.526</c:v>
                </c:pt>
                <c:pt idx="14">
                  <c:v>0.666</c:v>
                </c:pt>
                <c:pt idx="15">
                  <c:v>0.603</c:v>
                </c:pt>
                <c:pt idx="16">
                  <c:v>0.612</c:v>
                </c:pt>
                <c:pt idx="17">
                  <c:v>0.554</c:v>
                </c:pt>
                <c:pt idx="18">
                  <c:v>0.594</c:v>
                </c:pt>
                <c:pt idx="19">
                  <c:v>0.537</c:v>
                </c:pt>
              </c:numCache>
            </c:numRef>
          </c:val>
        </c:ser>
        <c:gapWidth val="100"/>
        <c:overlap val="0"/>
        <c:axId val="45495935"/>
        <c:axId val="36324020"/>
      </c:barChart>
      <c:catAx>
        <c:axId val="45495935"/>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6324020"/>
        <c:crosses val="autoZero"/>
        <c:auto val="1"/>
        <c:lblAlgn val="ctr"/>
        <c:lblOffset val="100"/>
        <c:noMultiLvlLbl val="0"/>
      </c:catAx>
      <c:valAx>
        <c:axId val="36324020"/>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Labor Force Participation Rate</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45495935"/>
        <c:crosses val="autoZero"/>
        <c:crossBetween val="midCat"/>
        <c:majorUnit val="0.05"/>
      </c:valAx>
      <c:spPr>
        <a:noFill/>
        <a:ln w="0">
          <a:solidFill>
            <a:srgbClr val="b3b3b3"/>
          </a:solidFill>
        </a:ln>
      </c:spPr>
    </c:plotArea>
    <c:legend>
      <c:legendPos val="r"/>
      <c:layout>
        <c:manualLayout>
          <c:xMode val="edge"/>
          <c:yMode val="edge"/>
          <c:x val="0.811096817031166"/>
          <c:y val="0.473395055448164"/>
          <c:w val="0.18019588313413"/>
          <c:h val="0.108940607910467"/>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Unemployment Rate By Industrial Labor Role</a:t>
            </a:r>
          </a:p>
        </c:rich>
      </c:tx>
      <c:layout>
        <c:manualLayout>
          <c:xMode val="edge"/>
          <c:yMode val="edge"/>
          <c:x val="0.160393409968046"/>
          <c:y val="0.0197629463831519"/>
        </c:manualLayout>
      </c:layout>
      <c:overlay val="0"/>
      <c:spPr>
        <a:noFill/>
        <a:ln w="0">
          <a:noFill/>
        </a:ln>
      </c:spPr>
    </c:title>
    <c:autoTitleDeleted val="0"/>
    <c:plotArea>
      <c:barChart>
        <c:barDir val="bar"/>
        <c:grouping val="clustered"/>
        <c:varyColors val="0"/>
        <c:ser>
          <c:idx val="0"/>
          <c:order val="0"/>
          <c:tx>
            <c:strRef>
              <c:f>AR!$C$377</c:f>
              <c:strCache>
                <c:ptCount val="1"/>
                <c:pt idx="0">
                  <c:v>Unemployment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AR!$C$379:$C$398</c:f>
              <c:numCache>
                <c:formatCode>0.00%</c:formatCode>
                <c:ptCount val="20"/>
                <c:pt idx="0">
                  <c:v>0.056</c:v>
                </c:pt>
                <c:pt idx="1">
                  <c:v>0.056</c:v>
                </c:pt>
                <c:pt idx="2">
                  <c:v>0.047</c:v>
                </c:pt>
                <c:pt idx="3">
                  <c:v>0.047</c:v>
                </c:pt>
                <c:pt idx="4">
                  <c:v>0.06</c:v>
                </c:pt>
                <c:pt idx="5">
                  <c:v>0.06</c:v>
                </c:pt>
                <c:pt idx="6">
                  <c:v>0.062</c:v>
                </c:pt>
                <c:pt idx="7">
                  <c:v>0.062</c:v>
                </c:pt>
                <c:pt idx="8">
                  <c:v>0.034</c:v>
                </c:pt>
                <c:pt idx="9">
                  <c:v>0.034</c:v>
                </c:pt>
                <c:pt idx="10">
                  <c:v>0.039</c:v>
                </c:pt>
                <c:pt idx="11">
                  <c:v>0.039</c:v>
                </c:pt>
                <c:pt idx="12">
                  <c:v>0.045</c:v>
                </c:pt>
                <c:pt idx="13">
                  <c:v>0.045</c:v>
                </c:pt>
                <c:pt idx="14">
                  <c:v>0.058</c:v>
                </c:pt>
                <c:pt idx="15">
                  <c:v>0.058</c:v>
                </c:pt>
                <c:pt idx="16">
                  <c:v>0.041</c:v>
                </c:pt>
                <c:pt idx="17">
                  <c:v>0.041</c:v>
                </c:pt>
                <c:pt idx="18">
                  <c:v>0.043</c:v>
                </c:pt>
                <c:pt idx="19">
                  <c:v>0.043</c:v>
                </c:pt>
              </c:numCache>
            </c:numRef>
          </c:val>
        </c:ser>
        <c:ser>
          <c:idx val="1"/>
          <c:order val="1"/>
          <c:tx>
            <c:strRef>
              <c:f>AR!$D$377</c:f>
              <c:strCache>
                <c:ptCount val="1"/>
                <c:pt idx="0">
                  <c:v>Authorized Immigrant Unemployment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AR!$D$379:$D$398</c:f>
              <c:numCache>
                <c:formatCode>0.00%</c:formatCode>
                <c:ptCount val="20"/>
                <c:pt idx="0">
                  <c:v>0.066</c:v>
                </c:pt>
                <c:pt idx="1">
                  <c:v>0.066</c:v>
                </c:pt>
                <c:pt idx="2">
                  <c:v>0.055</c:v>
                </c:pt>
                <c:pt idx="3">
                  <c:v>0.055</c:v>
                </c:pt>
                <c:pt idx="4">
                  <c:v>0.071</c:v>
                </c:pt>
                <c:pt idx="5">
                  <c:v>0.071</c:v>
                </c:pt>
                <c:pt idx="6">
                  <c:v>0.073</c:v>
                </c:pt>
                <c:pt idx="7">
                  <c:v>0.073</c:v>
                </c:pt>
                <c:pt idx="8">
                  <c:v>0.04</c:v>
                </c:pt>
                <c:pt idx="9">
                  <c:v>0.04</c:v>
                </c:pt>
                <c:pt idx="10">
                  <c:v>0.045</c:v>
                </c:pt>
                <c:pt idx="11">
                  <c:v>0.045</c:v>
                </c:pt>
                <c:pt idx="12">
                  <c:v>0.053</c:v>
                </c:pt>
                <c:pt idx="13">
                  <c:v>0.053</c:v>
                </c:pt>
                <c:pt idx="14">
                  <c:v>0.068</c:v>
                </c:pt>
                <c:pt idx="15">
                  <c:v>0.068</c:v>
                </c:pt>
                <c:pt idx="16">
                  <c:v>0.048</c:v>
                </c:pt>
                <c:pt idx="17">
                  <c:v>0.048</c:v>
                </c:pt>
                <c:pt idx="18">
                  <c:v>0.05</c:v>
                </c:pt>
                <c:pt idx="19">
                  <c:v>0.05</c:v>
                </c:pt>
              </c:numCache>
            </c:numRef>
          </c:val>
        </c:ser>
        <c:ser>
          <c:idx val="2"/>
          <c:order val="2"/>
          <c:tx>
            <c:strRef>
              <c:f>AR!$E$377</c:f>
              <c:strCache>
                <c:ptCount val="1"/>
                <c:pt idx="0">
                  <c:v>Unauthorized Immigrant Unemployment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AR!$E$379:$E$398</c:f>
              <c:numCache>
                <c:formatCode>0.00%</c:formatCode>
                <c:ptCount val="20"/>
                <c:pt idx="0">
                  <c:v>0.082</c:v>
                </c:pt>
                <c:pt idx="1">
                  <c:v>0.082</c:v>
                </c:pt>
                <c:pt idx="2">
                  <c:v>0.069</c:v>
                </c:pt>
                <c:pt idx="3">
                  <c:v>0.069</c:v>
                </c:pt>
                <c:pt idx="4">
                  <c:v>0.088</c:v>
                </c:pt>
                <c:pt idx="5">
                  <c:v>0.088</c:v>
                </c:pt>
                <c:pt idx="6">
                  <c:v>0.091</c:v>
                </c:pt>
                <c:pt idx="7">
                  <c:v>0.091</c:v>
                </c:pt>
                <c:pt idx="8">
                  <c:v>0.05</c:v>
                </c:pt>
                <c:pt idx="9">
                  <c:v>0.05</c:v>
                </c:pt>
                <c:pt idx="10">
                  <c:v>0.057</c:v>
                </c:pt>
                <c:pt idx="11">
                  <c:v>0.057</c:v>
                </c:pt>
                <c:pt idx="12">
                  <c:v>0.066</c:v>
                </c:pt>
                <c:pt idx="13">
                  <c:v>0.066</c:v>
                </c:pt>
                <c:pt idx="14">
                  <c:v>0.085</c:v>
                </c:pt>
                <c:pt idx="15">
                  <c:v>0.085</c:v>
                </c:pt>
                <c:pt idx="16">
                  <c:v>0.06</c:v>
                </c:pt>
                <c:pt idx="17">
                  <c:v>0.06</c:v>
                </c:pt>
                <c:pt idx="18">
                  <c:v>0.063</c:v>
                </c:pt>
                <c:pt idx="19">
                  <c:v>0.063</c:v>
                </c:pt>
              </c:numCache>
            </c:numRef>
          </c:val>
        </c:ser>
        <c:ser>
          <c:idx val="3"/>
          <c:order val="3"/>
          <c:tx>
            <c:strRef>
              <c:f>AR!$F$377</c:f>
              <c:strCache>
                <c:ptCount val="1"/>
                <c:pt idx="0">
                  <c:v>American Unemployment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AR!$B$379:$B$398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AR!$F$379:$F$398</c:f>
              <c:numCache>
                <c:formatCode>0.00%</c:formatCode>
                <c:ptCount val="20"/>
                <c:pt idx="0">
                  <c:v>0.055</c:v>
                </c:pt>
                <c:pt idx="1">
                  <c:v>0.055</c:v>
                </c:pt>
                <c:pt idx="2">
                  <c:v>0.046</c:v>
                </c:pt>
                <c:pt idx="3">
                  <c:v>0.046</c:v>
                </c:pt>
                <c:pt idx="4">
                  <c:v>0.059</c:v>
                </c:pt>
                <c:pt idx="5">
                  <c:v>0.059</c:v>
                </c:pt>
                <c:pt idx="6">
                  <c:v>0.061</c:v>
                </c:pt>
                <c:pt idx="7">
                  <c:v>0.061</c:v>
                </c:pt>
                <c:pt idx="8">
                  <c:v>0.034</c:v>
                </c:pt>
                <c:pt idx="9">
                  <c:v>0.034</c:v>
                </c:pt>
                <c:pt idx="10">
                  <c:v>0.038</c:v>
                </c:pt>
                <c:pt idx="11">
                  <c:v>0.038</c:v>
                </c:pt>
                <c:pt idx="12">
                  <c:v>0.044</c:v>
                </c:pt>
                <c:pt idx="13">
                  <c:v>0.044</c:v>
                </c:pt>
                <c:pt idx="14">
                  <c:v>0.057</c:v>
                </c:pt>
                <c:pt idx="15">
                  <c:v>0.057</c:v>
                </c:pt>
                <c:pt idx="16">
                  <c:v>0.04</c:v>
                </c:pt>
                <c:pt idx="17">
                  <c:v>0.04</c:v>
                </c:pt>
                <c:pt idx="18">
                  <c:v>0.042</c:v>
                </c:pt>
                <c:pt idx="19">
                  <c:v>0.042</c:v>
                </c:pt>
              </c:numCache>
            </c:numRef>
          </c:val>
        </c:ser>
        <c:gapWidth val="100"/>
        <c:overlap val="0"/>
        <c:axId val="78485823"/>
        <c:axId val="73803222"/>
      </c:barChart>
      <c:catAx>
        <c:axId val="78485823"/>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3803222"/>
        <c:crosses val="autoZero"/>
        <c:auto val="1"/>
        <c:lblAlgn val="ctr"/>
        <c:lblOffset val="100"/>
        <c:noMultiLvlLbl val="0"/>
      </c:catAx>
      <c:valAx>
        <c:axId val="73803222"/>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Unemployment Rate</a:t>
                </a:r>
              </a:p>
            </c:rich>
          </c:tx>
          <c:layout>
            <c:manualLayout>
              <c:xMode val="edge"/>
              <c:yMode val="edge"/>
              <c:x val="0.432958459559281"/>
              <c:y val="0.971385695391189"/>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8485823"/>
        <c:crosses val="autoZero"/>
        <c:crossBetween val="midCat"/>
        <c:majorUnit val="0.01"/>
      </c:valAx>
      <c:spPr>
        <a:noFill/>
        <a:ln w="0">
          <a:solidFill>
            <a:srgbClr val="b3b3b3"/>
          </a:solidFill>
        </a:ln>
      </c:spPr>
    </c:plotArea>
    <c:legend>
      <c:legendPos val="r"/>
      <c:layout>
        <c:manualLayout>
          <c:xMode val="edge"/>
          <c:yMode val="edge"/>
          <c:x val="0.794746233971034"/>
          <c:y val="0.468333502899583"/>
          <c:w val="0.196547144754316"/>
          <c:h val="0.11802111153503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Underemployment Rate By Industrial Labor Role</a:t>
            </a:r>
          </a:p>
        </c:rich>
      </c:tx>
      <c:layout>
        <c:manualLayout>
          <c:xMode val="edge"/>
          <c:yMode val="edge"/>
          <c:x val="0.160393409968046"/>
          <c:y val="0.0198646861328721"/>
        </c:manualLayout>
      </c:layout>
      <c:overlay val="0"/>
      <c:spPr>
        <a:noFill/>
        <a:ln w="0">
          <a:noFill/>
        </a:ln>
      </c:spPr>
    </c:title>
    <c:autoTitleDeleted val="0"/>
    <c:plotArea>
      <c:barChart>
        <c:barDir val="bar"/>
        <c:grouping val="clustered"/>
        <c:varyColors val="0"/>
        <c:ser>
          <c:idx val="0"/>
          <c:order val="0"/>
          <c:tx>
            <c:strRef>
              <c:f>AR!$C$495</c:f>
              <c:strCache>
                <c:ptCount val="1"/>
                <c:pt idx="0">
                  <c:v>Underemployment Rate</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AR!$C$497:$C$516</c:f>
              <c:numCache>
                <c:formatCode>0.00%</c:formatCode>
                <c:ptCount val="20"/>
                <c:pt idx="0">
                  <c:v>0.105</c:v>
                </c:pt>
                <c:pt idx="1">
                  <c:v>0.105</c:v>
                </c:pt>
                <c:pt idx="2">
                  <c:v>0.089</c:v>
                </c:pt>
                <c:pt idx="3">
                  <c:v>0.089</c:v>
                </c:pt>
                <c:pt idx="4">
                  <c:v>0.113</c:v>
                </c:pt>
                <c:pt idx="5">
                  <c:v>0.113</c:v>
                </c:pt>
                <c:pt idx="6">
                  <c:v>0.118</c:v>
                </c:pt>
                <c:pt idx="7">
                  <c:v>0.118</c:v>
                </c:pt>
                <c:pt idx="8">
                  <c:v>0.065</c:v>
                </c:pt>
                <c:pt idx="9">
                  <c:v>0.065</c:v>
                </c:pt>
                <c:pt idx="10">
                  <c:v>0.073</c:v>
                </c:pt>
                <c:pt idx="11">
                  <c:v>0.073</c:v>
                </c:pt>
                <c:pt idx="12">
                  <c:v>0.085</c:v>
                </c:pt>
                <c:pt idx="13">
                  <c:v>0.085</c:v>
                </c:pt>
                <c:pt idx="14">
                  <c:v>0.109</c:v>
                </c:pt>
                <c:pt idx="15">
                  <c:v>0.109</c:v>
                </c:pt>
                <c:pt idx="16">
                  <c:v>0.077</c:v>
                </c:pt>
                <c:pt idx="17">
                  <c:v>0.077</c:v>
                </c:pt>
                <c:pt idx="18">
                  <c:v>0.081</c:v>
                </c:pt>
                <c:pt idx="19">
                  <c:v>0.081</c:v>
                </c:pt>
              </c:numCache>
            </c:numRef>
          </c:val>
        </c:ser>
        <c:ser>
          <c:idx val="1"/>
          <c:order val="1"/>
          <c:tx>
            <c:strRef>
              <c:f>AR!$D$495</c:f>
              <c:strCache>
                <c:ptCount val="1"/>
                <c:pt idx="0">
                  <c:v>Authorized Immigrant Underemployment Rate</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AR!$D$497:$D$516</c:f>
              <c:numCache>
                <c:formatCode>0.00%</c:formatCode>
                <c:ptCount val="20"/>
                <c:pt idx="0">
                  <c:v>0.123</c:v>
                </c:pt>
                <c:pt idx="1">
                  <c:v>0.123</c:v>
                </c:pt>
                <c:pt idx="2">
                  <c:v>0.104</c:v>
                </c:pt>
                <c:pt idx="3">
                  <c:v>0.104</c:v>
                </c:pt>
                <c:pt idx="4">
                  <c:v>0.133</c:v>
                </c:pt>
                <c:pt idx="5">
                  <c:v>0.133</c:v>
                </c:pt>
                <c:pt idx="6">
                  <c:v>0.137</c:v>
                </c:pt>
                <c:pt idx="7">
                  <c:v>0.137</c:v>
                </c:pt>
                <c:pt idx="8">
                  <c:v>0.076</c:v>
                </c:pt>
                <c:pt idx="9">
                  <c:v>0.076</c:v>
                </c:pt>
                <c:pt idx="10">
                  <c:v>0.085</c:v>
                </c:pt>
                <c:pt idx="11">
                  <c:v>0.085</c:v>
                </c:pt>
                <c:pt idx="12">
                  <c:v>0.1</c:v>
                </c:pt>
                <c:pt idx="13">
                  <c:v>0.1</c:v>
                </c:pt>
                <c:pt idx="14">
                  <c:v>0.128</c:v>
                </c:pt>
                <c:pt idx="15">
                  <c:v>0.128</c:v>
                </c:pt>
                <c:pt idx="16">
                  <c:v>0.09</c:v>
                </c:pt>
                <c:pt idx="17">
                  <c:v>0.09</c:v>
                </c:pt>
                <c:pt idx="18">
                  <c:v>0.095</c:v>
                </c:pt>
                <c:pt idx="19">
                  <c:v>0.095</c:v>
                </c:pt>
              </c:numCache>
            </c:numRef>
          </c:val>
        </c:ser>
        <c:ser>
          <c:idx val="2"/>
          <c:order val="2"/>
          <c:tx>
            <c:strRef>
              <c:f>AR!$E$495</c:f>
              <c:strCache>
                <c:ptCount val="1"/>
                <c:pt idx="0">
                  <c:v>Unauthorized Immigrant Underemployment Rate</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AR!$E$497:$E$516</c:f>
              <c:numCache>
                <c:formatCode>0.00%</c:formatCode>
                <c:ptCount val="20"/>
                <c:pt idx="0">
                  <c:v>0.154</c:v>
                </c:pt>
                <c:pt idx="1">
                  <c:v>0.154</c:v>
                </c:pt>
                <c:pt idx="2">
                  <c:v>0.13</c:v>
                </c:pt>
                <c:pt idx="3">
                  <c:v>0.13</c:v>
                </c:pt>
                <c:pt idx="4">
                  <c:v>0.166</c:v>
                </c:pt>
                <c:pt idx="5">
                  <c:v>0.166</c:v>
                </c:pt>
                <c:pt idx="6">
                  <c:v>0.172</c:v>
                </c:pt>
                <c:pt idx="7">
                  <c:v>0.172</c:v>
                </c:pt>
                <c:pt idx="8">
                  <c:v>0.095</c:v>
                </c:pt>
                <c:pt idx="9">
                  <c:v>0.095</c:v>
                </c:pt>
                <c:pt idx="10">
                  <c:v>0.107</c:v>
                </c:pt>
                <c:pt idx="11">
                  <c:v>0.107</c:v>
                </c:pt>
                <c:pt idx="12">
                  <c:v>0.125</c:v>
                </c:pt>
                <c:pt idx="13">
                  <c:v>0.125</c:v>
                </c:pt>
                <c:pt idx="14">
                  <c:v>0.16</c:v>
                </c:pt>
                <c:pt idx="15">
                  <c:v>0.16</c:v>
                </c:pt>
                <c:pt idx="16">
                  <c:v>0.113</c:v>
                </c:pt>
                <c:pt idx="17">
                  <c:v>0.113</c:v>
                </c:pt>
                <c:pt idx="18">
                  <c:v>0.118</c:v>
                </c:pt>
                <c:pt idx="19">
                  <c:v>0.118</c:v>
                </c:pt>
              </c:numCache>
            </c:numRef>
          </c:val>
        </c:ser>
        <c:ser>
          <c:idx val="3"/>
          <c:order val="3"/>
          <c:tx>
            <c:strRef>
              <c:f>AR!$F$495</c:f>
              <c:strCache>
                <c:ptCount val="1"/>
                <c:pt idx="0">
                  <c:v>American Underemployment Rate</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AR!$B$497:$B$516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AR!$F$497:$F$516</c:f>
              <c:numCache>
                <c:formatCode>0.00%</c:formatCode>
                <c:ptCount val="20"/>
                <c:pt idx="0">
                  <c:v>0.103</c:v>
                </c:pt>
                <c:pt idx="1">
                  <c:v>0.103</c:v>
                </c:pt>
                <c:pt idx="2">
                  <c:v>0.087</c:v>
                </c:pt>
                <c:pt idx="3">
                  <c:v>0.087</c:v>
                </c:pt>
                <c:pt idx="4">
                  <c:v>0.111</c:v>
                </c:pt>
                <c:pt idx="5">
                  <c:v>0.111</c:v>
                </c:pt>
                <c:pt idx="6">
                  <c:v>0.115</c:v>
                </c:pt>
                <c:pt idx="7">
                  <c:v>0.115</c:v>
                </c:pt>
                <c:pt idx="8">
                  <c:v>0.063</c:v>
                </c:pt>
                <c:pt idx="9">
                  <c:v>0.063</c:v>
                </c:pt>
                <c:pt idx="10">
                  <c:v>0.071</c:v>
                </c:pt>
                <c:pt idx="11">
                  <c:v>0.071</c:v>
                </c:pt>
                <c:pt idx="12">
                  <c:v>0.083</c:v>
                </c:pt>
                <c:pt idx="13">
                  <c:v>0.083</c:v>
                </c:pt>
                <c:pt idx="14">
                  <c:v>0.107</c:v>
                </c:pt>
                <c:pt idx="15">
                  <c:v>0.107</c:v>
                </c:pt>
                <c:pt idx="16">
                  <c:v>0.075</c:v>
                </c:pt>
                <c:pt idx="17">
                  <c:v>0.075</c:v>
                </c:pt>
                <c:pt idx="18">
                  <c:v>0.079</c:v>
                </c:pt>
                <c:pt idx="19">
                  <c:v>0.079</c:v>
                </c:pt>
              </c:numCache>
            </c:numRef>
          </c:val>
        </c:ser>
        <c:gapWidth val="100"/>
        <c:overlap val="0"/>
        <c:axId val="55137223"/>
        <c:axId val="39766733"/>
      </c:barChart>
      <c:catAx>
        <c:axId val="55137223"/>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9766733"/>
        <c:crosses val="autoZero"/>
        <c:auto val="1"/>
        <c:lblAlgn val="ctr"/>
        <c:lblOffset val="100"/>
        <c:noMultiLvlLbl val="0"/>
      </c:catAx>
      <c:valAx>
        <c:axId val="39766733"/>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Underemployment Rate</a:t>
                </a:r>
              </a:p>
            </c:rich>
          </c:tx>
          <c:layout>
            <c:manualLayout>
              <c:xMode val="edge"/>
              <c:yMode val="edge"/>
              <c:x val="0.422334730464373"/>
              <c:y val="0.974005493946485"/>
            </c:manualLayout>
          </c:layout>
          <c:overlay val="0"/>
          <c:spPr>
            <a:noFill/>
            <a:ln w="0">
              <a:noFill/>
            </a:ln>
          </c:spPr>
        </c:title>
        <c:numFmt formatCode="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5137223"/>
        <c:crosses val="autoZero"/>
        <c:crossBetween val="midCat"/>
        <c:majorUnit val="0.01"/>
      </c:valAx>
      <c:spPr>
        <a:noFill/>
        <a:ln w="0">
          <a:solidFill>
            <a:srgbClr val="b3b3b3"/>
          </a:solidFill>
        </a:ln>
      </c:spPr>
    </c:plotArea>
    <c:legend>
      <c:legendPos val="r"/>
      <c:layout>
        <c:manualLayout>
          <c:xMode val="edge"/>
          <c:yMode val="edge"/>
          <c:x val="0.794704735029257"/>
          <c:y val="0.468333502899583"/>
          <c:w val="0.196547144754316"/>
          <c:h val="0.11802111153503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Wage Average By Industrial Labor Role</a:t>
            </a:r>
          </a:p>
        </c:rich>
      </c:tx>
      <c:layout>
        <c:manualLayout>
          <c:xMode val="edge"/>
          <c:yMode val="edge"/>
          <c:x val="0.160393409968046"/>
          <c:y val="0.0198646861328721"/>
        </c:manualLayout>
      </c:layout>
      <c:overlay val="0"/>
      <c:spPr>
        <a:noFill/>
        <a:ln w="0">
          <a:noFill/>
        </a:ln>
      </c:spPr>
    </c:title>
    <c:autoTitleDeleted val="0"/>
    <c:plotArea>
      <c:barChart>
        <c:barDir val="bar"/>
        <c:grouping val="clustered"/>
        <c:varyColors val="0"/>
        <c:ser>
          <c:idx val="0"/>
          <c:order val="0"/>
          <c:tx>
            <c:strRef>
              <c:f>AR!$C$614</c:f>
              <c:strCache>
                <c:ptCount val="1"/>
                <c:pt idx="0">
                  <c:v>Wage Average ($/hr)</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AR!$C$616:$C$635</c:f>
              <c:numCache>
                <c:formatCode>[$$-409]#,##0.00;[RED]\-[$$-409]#,##0.00</c:formatCode>
                <c:ptCount val="20"/>
                <c:pt idx="0">
                  <c:v>18.9</c:v>
                </c:pt>
                <c:pt idx="1">
                  <c:v>16</c:v>
                </c:pt>
                <c:pt idx="2">
                  <c:v>23.8</c:v>
                </c:pt>
                <c:pt idx="3">
                  <c:v>19.1</c:v>
                </c:pt>
                <c:pt idx="4">
                  <c:v>13.9</c:v>
                </c:pt>
                <c:pt idx="5">
                  <c:v>11.1</c:v>
                </c:pt>
                <c:pt idx="6">
                  <c:v>12.9</c:v>
                </c:pt>
                <c:pt idx="7">
                  <c:v>10.1</c:v>
                </c:pt>
                <c:pt idx="8">
                  <c:v>20.9</c:v>
                </c:pt>
                <c:pt idx="9">
                  <c:v>19.2</c:v>
                </c:pt>
                <c:pt idx="10">
                  <c:v>21.9</c:v>
                </c:pt>
                <c:pt idx="11">
                  <c:v>19.7</c:v>
                </c:pt>
                <c:pt idx="12">
                  <c:v>15.9</c:v>
                </c:pt>
                <c:pt idx="13">
                  <c:v>13.5</c:v>
                </c:pt>
                <c:pt idx="14">
                  <c:v>16.9</c:v>
                </c:pt>
                <c:pt idx="15">
                  <c:v>13.5</c:v>
                </c:pt>
                <c:pt idx="16">
                  <c:v>22.9</c:v>
                </c:pt>
                <c:pt idx="17">
                  <c:v>20.2</c:v>
                </c:pt>
                <c:pt idx="18">
                  <c:v>12.9</c:v>
                </c:pt>
                <c:pt idx="19">
                  <c:v>11.1</c:v>
                </c:pt>
              </c:numCache>
            </c:numRef>
          </c:val>
        </c:ser>
        <c:ser>
          <c:idx val="1"/>
          <c:order val="1"/>
          <c:tx>
            <c:strRef>
              <c:f>AR!$D$614</c:f>
              <c:strCache>
                <c:ptCount val="1"/>
                <c:pt idx="0">
                  <c:v>Authorized Immigrant Wage Average ($/hr)</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AR!$D$616:$D$635</c:f>
              <c:numCache>
                <c:formatCode>[$$-409]#,##0.00;[RED]\-[$$-409]#,##0.00</c:formatCode>
                <c:ptCount val="20"/>
                <c:pt idx="0">
                  <c:v>18.2</c:v>
                </c:pt>
                <c:pt idx="1">
                  <c:v>15.5</c:v>
                </c:pt>
                <c:pt idx="2">
                  <c:v>23</c:v>
                </c:pt>
                <c:pt idx="3">
                  <c:v>18.4</c:v>
                </c:pt>
                <c:pt idx="4">
                  <c:v>13.4</c:v>
                </c:pt>
                <c:pt idx="5">
                  <c:v>10.8</c:v>
                </c:pt>
                <c:pt idx="6">
                  <c:v>12.5</c:v>
                </c:pt>
                <c:pt idx="7">
                  <c:v>9.7</c:v>
                </c:pt>
                <c:pt idx="8">
                  <c:v>20.2</c:v>
                </c:pt>
                <c:pt idx="9">
                  <c:v>18.5</c:v>
                </c:pt>
                <c:pt idx="10">
                  <c:v>21.1</c:v>
                </c:pt>
                <c:pt idx="11">
                  <c:v>19</c:v>
                </c:pt>
                <c:pt idx="12">
                  <c:v>15.4</c:v>
                </c:pt>
                <c:pt idx="13">
                  <c:v>13.1</c:v>
                </c:pt>
                <c:pt idx="14">
                  <c:v>16.3</c:v>
                </c:pt>
                <c:pt idx="15">
                  <c:v>13.1</c:v>
                </c:pt>
                <c:pt idx="16">
                  <c:v>22.1</c:v>
                </c:pt>
                <c:pt idx="17">
                  <c:v>19.4</c:v>
                </c:pt>
                <c:pt idx="18">
                  <c:v>12.5</c:v>
                </c:pt>
                <c:pt idx="19">
                  <c:v>10.7</c:v>
                </c:pt>
              </c:numCache>
            </c:numRef>
          </c:val>
        </c:ser>
        <c:ser>
          <c:idx val="2"/>
          <c:order val="2"/>
          <c:tx>
            <c:strRef>
              <c:f>AR!$E$614</c:f>
              <c:strCache>
                <c:ptCount val="1"/>
                <c:pt idx="0">
                  <c:v>Unauthorized Immigrant Wage Average ($/hr)</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AR!$E$616:$E$635</c:f>
              <c:numCache>
                <c:formatCode>[$$-409]#,##0.00;[RED]\-[$$-409]#,##0.00</c:formatCode>
                <c:ptCount val="20"/>
                <c:pt idx="0">
                  <c:v>16.1</c:v>
                </c:pt>
                <c:pt idx="1">
                  <c:v>13.7</c:v>
                </c:pt>
                <c:pt idx="2">
                  <c:v>20.9</c:v>
                </c:pt>
                <c:pt idx="3">
                  <c:v>16.7</c:v>
                </c:pt>
                <c:pt idx="4">
                  <c:v>12.6</c:v>
                </c:pt>
                <c:pt idx="5">
                  <c:v>10.1</c:v>
                </c:pt>
                <c:pt idx="6">
                  <c:v>11.4</c:v>
                </c:pt>
                <c:pt idx="7">
                  <c:v>8.9</c:v>
                </c:pt>
                <c:pt idx="8">
                  <c:v>19.3</c:v>
                </c:pt>
                <c:pt idx="9">
                  <c:v>17.8</c:v>
                </c:pt>
                <c:pt idx="10">
                  <c:v>20.5</c:v>
                </c:pt>
                <c:pt idx="11">
                  <c:v>18.4</c:v>
                </c:pt>
                <c:pt idx="12">
                  <c:v>15</c:v>
                </c:pt>
                <c:pt idx="13">
                  <c:v>12.8</c:v>
                </c:pt>
                <c:pt idx="14">
                  <c:v>15</c:v>
                </c:pt>
                <c:pt idx="15">
                  <c:v>12</c:v>
                </c:pt>
                <c:pt idx="16">
                  <c:v>21.4</c:v>
                </c:pt>
                <c:pt idx="17">
                  <c:v>18.8</c:v>
                </c:pt>
                <c:pt idx="18">
                  <c:v>11.8</c:v>
                </c:pt>
                <c:pt idx="19">
                  <c:v>10.2</c:v>
                </c:pt>
              </c:numCache>
            </c:numRef>
          </c:val>
        </c:ser>
        <c:ser>
          <c:idx val="3"/>
          <c:order val="3"/>
          <c:tx>
            <c:strRef>
              <c:f>AR!$F$614</c:f>
              <c:strCache>
                <c:ptCount val="1"/>
                <c:pt idx="0">
                  <c:v>American Wage Average ($/hr)</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AR!$B$616:$B$635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AR!$F$616:$F$635</c:f>
              <c:numCache>
                <c:formatCode>[$$-409]#,##0.00;[RED]\-[$$-409]#,##0.00</c:formatCode>
                <c:ptCount val="20"/>
                <c:pt idx="0">
                  <c:v>19</c:v>
                </c:pt>
                <c:pt idx="1">
                  <c:v>16.1</c:v>
                </c:pt>
                <c:pt idx="2">
                  <c:v>24</c:v>
                </c:pt>
                <c:pt idx="3">
                  <c:v>19.2</c:v>
                </c:pt>
                <c:pt idx="4">
                  <c:v>14</c:v>
                </c:pt>
                <c:pt idx="5">
                  <c:v>11.2</c:v>
                </c:pt>
                <c:pt idx="6">
                  <c:v>13</c:v>
                </c:pt>
                <c:pt idx="7">
                  <c:v>10.1</c:v>
                </c:pt>
                <c:pt idx="8">
                  <c:v>21</c:v>
                </c:pt>
                <c:pt idx="9">
                  <c:v>19.3</c:v>
                </c:pt>
                <c:pt idx="10">
                  <c:v>22</c:v>
                </c:pt>
                <c:pt idx="11">
                  <c:v>19.8</c:v>
                </c:pt>
                <c:pt idx="12">
                  <c:v>16</c:v>
                </c:pt>
                <c:pt idx="13">
                  <c:v>13.6</c:v>
                </c:pt>
                <c:pt idx="14">
                  <c:v>17</c:v>
                </c:pt>
                <c:pt idx="15">
                  <c:v>13.6</c:v>
                </c:pt>
                <c:pt idx="16">
                  <c:v>23</c:v>
                </c:pt>
                <c:pt idx="17">
                  <c:v>20.2</c:v>
                </c:pt>
                <c:pt idx="18">
                  <c:v>13</c:v>
                </c:pt>
                <c:pt idx="19">
                  <c:v>11.2</c:v>
                </c:pt>
              </c:numCache>
            </c:numRef>
          </c:val>
        </c:ser>
        <c:gapWidth val="100"/>
        <c:overlap val="0"/>
        <c:axId val="22989863"/>
        <c:axId val="30977518"/>
      </c:barChart>
      <c:catAx>
        <c:axId val="22989863"/>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0977518"/>
        <c:crosses val="autoZero"/>
        <c:auto val="1"/>
        <c:lblAlgn val="ctr"/>
        <c:lblOffset val="100"/>
        <c:noMultiLvlLbl val="0"/>
      </c:catAx>
      <c:valAx>
        <c:axId val="3097751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Wage</a:t>
                </a:r>
              </a:p>
            </c:rich>
          </c:tx>
          <c:layout>
            <c:manualLayout>
              <c:xMode val="edge"/>
              <c:yMode val="edge"/>
              <c:x val="0.480806739428145"/>
              <c:y val="0.970470037643707"/>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2989863"/>
        <c:crosses val="autoZero"/>
        <c:crossBetween val="midCat"/>
        <c:majorUnit val="1"/>
      </c:valAx>
      <c:spPr>
        <a:noFill/>
        <a:ln w="0">
          <a:solidFill>
            <a:srgbClr val="b3b3b3"/>
          </a:solidFill>
        </a:ln>
      </c:spPr>
    </c:plotArea>
    <c:legend>
      <c:legendPos val="r"/>
      <c:layout>
        <c:manualLayout>
          <c:xMode val="edge"/>
          <c:yMode val="edge"/>
          <c:x val="0.794704735029257"/>
          <c:y val="0.468333502899583"/>
          <c:w val="0.196547144754316"/>
          <c:h val="0.118021111535038"/>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Population by Industrial Labor Role</a:t>
            </a:r>
          </a:p>
        </c:rich>
      </c:tx>
      <c:overlay val="0"/>
      <c:spPr>
        <a:noFill/>
        <a:ln w="0">
          <a:noFill/>
        </a:ln>
      </c:spPr>
    </c:title>
    <c:autoTitleDeleted val="0"/>
    <c:plotArea>
      <c:barChart>
        <c:barDir val="bar"/>
        <c:grouping val="clustered"/>
        <c:varyColors val="0"/>
        <c:ser>
          <c:idx val="0"/>
          <c:order val="0"/>
          <c:tx>
            <c:strRef>
              <c:f>AR!$C$26</c:f>
              <c:strCache>
                <c:ptCount val="1"/>
                <c:pt idx="0">
                  <c:v>Total Population</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General"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General"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AR!$C$28:$C$47</c:f>
              <c:numCache>
                <c:formatCode>#,##0</c:formatCode>
                <c:ptCount val="20"/>
                <c:pt idx="0">
                  <c:v>6670</c:v>
                </c:pt>
                <c:pt idx="1">
                  <c:v>3330</c:v>
                </c:pt>
                <c:pt idx="2">
                  <c:v>46345</c:v>
                </c:pt>
                <c:pt idx="3">
                  <c:v>18655</c:v>
                </c:pt>
                <c:pt idx="4">
                  <c:v>88228</c:v>
                </c:pt>
                <c:pt idx="5">
                  <c:v>48772</c:v>
                </c:pt>
                <c:pt idx="6">
                  <c:v>18676</c:v>
                </c:pt>
                <c:pt idx="7">
                  <c:v>9324</c:v>
                </c:pt>
                <c:pt idx="8">
                  <c:v>115005</c:v>
                </c:pt>
                <c:pt idx="9">
                  <c:v>49995</c:v>
                </c:pt>
                <c:pt idx="10">
                  <c:v>42850</c:v>
                </c:pt>
                <c:pt idx="11">
                  <c:v>7150</c:v>
                </c:pt>
                <c:pt idx="12">
                  <c:v>93380</c:v>
                </c:pt>
                <c:pt idx="13">
                  <c:v>46620</c:v>
                </c:pt>
                <c:pt idx="14">
                  <c:v>9780</c:v>
                </c:pt>
                <c:pt idx="15">
                  <c:v>5220</c:v>
                </c:pt>
                <c:pt idx="16">
                  <c:v>6670</c:v>
                </c:pt>
                <c:pt idx="17">
                  <c:v>3330</c:v>
                </c:pt>
                <c:pt idx="18">
                  <c:v>39585</c:v>
                </c:pt>
                <c:pt idx="19">
                  <c:v>25415</c:v>
                </c:pt>
              </c:numCache>
            </c:numRef>
          </c:val>
        </c:ser>
        <c:ser>
          <c:idx val="1"/>
          <c:order val="1"/>
          <c:tx>
            <c:strRef>
              <c:f>AR!$D$26</c:f>
              <c:strCache>
                <c:ptCount val="1"/>
                <c:pt idx="0">
                  <c:v>Authorized Population</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AR!$D$28:$D$47</c:f>
              <c:numCache>
                <c:formatCode>#,##0</c:formatCode>
                <c:ptCount val="20"/>
                <c:pt idx="0">
                  <c:v>267</c:v>
                </c:pt>
                <c:pt idx="1">
                  <c:v>133</c:v>
                </c:pt>
                <c:pt idx="2">
                  <c:v>1854</c:v>
                </c:pt>
                <c:pt idx="3">
                  <c:v>746</c:v>
                </c:pt>
                <c:pt idx="4">
                  <c:v>3529</c:v>
                </c:pt>
                <c:pt idx="5">
                  <c:v>1951</c:v>
                </c:pt>
                <c:pt idx="6">
                  <c:v>747</c:v>
                </c:pt>
                <c:pt idx="7">
                  <c:v>373</c:v>
                </c:pt>
                <c:pt idx="8">
                  <c:v>4600</c:v>
                </c:pt>
                <c:pt idx="9">
                  <c:v>2000</c:v>
                </c:pt>
                <c:pt idx="10">
                  <c:v>1714</c:v>
                </c:pt>
                <c:pt idx="11">
                  <c:v>286</c:v>
                </c:pt>
                <c:pt idx="12">
                  <c:v>3735</c:v>
                </c:pt>
                <c:pt idx="13">
                  <c:v>1865</c:v>
                </c:pt>
                <c:pt idx="14">
                  <c:v>391</c:v>
                </c:pt>
                <c:pt idx="15">
                  <c:v>209</c:v>
                </c:pt>
                <c:pt idx="16">
                  <c:v>267</c:v>
                </c:pt>
                <c:pt idx="17">
                  <c:v>133</c:v>
                </c:pt>
                <c:pt idx="18">
                  <c:v>1583</c:v>
                </c:pt>
                <c:pt idx="19">
                  <c:v>1017</c:v>
                </c:pt>
              </c:numCache>
            </c:numRef>
          </c:val>
        </c:ser>
        <c:ser>
          <c:idx val="2"/>
          <c:order val="2"/>
          <c:tx>
            <c:strRef>
              <c:f>AR!$E$26</c:f>
              <c:strCache>
                <c:ptCount val="1"/>
                <c:pt idx="0">
                  <c:v>Unauthorized Population</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AR!$E$28:$E$47</c:f>
              <c:numCache>
                <c:formatCode>#,##0</c:formatCode>
                <c:ptCount val="20"/>
                <c:pt idx="0">
                  <c:v>240</c:v>
                </c:pt>
                <c:pt idx="1">
                  <c:v>120</c:v>
                </c:pt>
                <c:pt idx="2">
                  <c:v>1668</c:v>
                </c:pt>
                <c:pt idx="3">
                  <c:v>672</c:v>
                </c:pt>
                <c:pt idx="4">
                  <c:v>3176</c:v>
                </c:pt>
                <c:pt idx="5">
                  <c:v>1756</c:v>
                </c:pt>
                <c:pt idx="6">
                  <c:v>672</c:v>
                </c:pt>
                <c:pt idx="7">
                  <c:v>336</c:v>
                </c:pt>
                <c:pt idx="8">
                  <c:v>4140</c:v>
                </c:pt>
                <c:pt idx="9">
                  <c:v>1800</c:v>
                </c:pt>
                <c:pt idx="10">
                  <c:v>1543</c:v>
                </c:pt>
                <c:pt idx="11">
                  <c:v>257</c:v>
                </c:pt>
                <c:pt idx="12">
                  <c:v>3362</c:v>
                </c:pt>
                <c:pt idx="13">
                  <c:v>1678</c:v>
                </c:pt>
                <c:pt idx="14">
                  <c:v>352</c:v>
                </c:pt>
                <c:pt idx="15">
                  <c:v>188</c:v>
                </c:pt>
                <c:pt idx="16">
                  <c:v>240</c:v>
                </c:pt>
                <c:pt idx="17">
                  <c:v>120</c:v>
                </c:pt>
                <c:pt idx="18">
                  <c:v>1425</c:v>
                </c:pt>
                <c:pt idx="19">
                  <c:v>915</c:v>
                </c:pt>
              </c:numCache>
            </c:numRef>
          </c:val>
        </c:ser>
        <c:ser>
          <c:idx val="3"/>
          <c:order val="3"/>
          <c:tx>
            <c:strRef>
              <c:f>AR!$F$26</c:f>
              <c:strCache>
                <c:ptCount val="1"/>
                <c:pt idx="0">
                  <c:v>American Population</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General"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General"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AR!$B$28:$B$47</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AR!$F$28:$F$47</c:f>
              <c:numCache>
                <c:formatCode>#,##0</c:formatCode>
                <c:ptCount val="20"/>
                <c:pt idx="0">
                  <c:v>6163</c:v>
                </c:pt>
                <c:pt idx="1">
                  <c:v>3077</c:v>
                </c:pt>
                <c:pt idx="2">
                  <c:v>42823</c:v>
                </c:pt>
                <c:pt idx="3">
                  <c:v>17237</c:v>
                </c:pt>
                <c:pt idx="4">
                  <c:v>81523</c:v>
                </c:pt>
                <c:pt idx="5">
                  <c:v>45065</c:v>
                </c:pt>
                <c:pt idx="6">
                  <c:v>17257</c:v>
                </c:pt>
                <c:pt idx="7">
                  <c:v>8615</c:v>
                </c:pt>
                <c:pt idx="8">
                  <c:v>106265</c:v>
                </c:pt>
                <c:pt idx="9">
                  <c:v>46195</c:v>
                </c:pt>
                <c:pt idx="10">
                  <c:v>39593</c:v>
                </c:pt>
                <c:pt idx="11">
                  <c:v>6607</c:v>
                </c:pt>
                <c:pt idx="12">
                  <c:v>86283</c:v>
                </c:pt>
                <c:pt idx="13">
                  <c:v>43077</c:v>
                </c:pt>
                <c:pt idx="14">
                  <c:v>9037</c:v>
                </c:pt>
                <c:pt idx="15">
                  <c:v>4823</c:v>
                </c:pt>
                <c:pt idx="16">
                  <c:v>6163</c:v>
                </c:pt>
                <c:pt idx="17">
                  <c:v>3077</c:v>
                </c:pt>
                <c:pt idx="18">
                  <c:v>36577</c:v>
                </c:pt>
                <c:pt idx="19">
                  <c:v>23483</c:v>
                </c:pt>
              </c:numCache>
            </c:numRef>
          </c:val>
        </c:ser>
        <c:gapWidth val="100"/>
        <c:overlap val="0"/>
        <c:axId val="86826091"/>
        <c:axId val="32758304"/>
      </c:barChart>
      <c:catAx>
        <c:axId val="86826091"/>
        <c:scaling>
          <c:orientation val="minMax"/>
        </c:scaling>
        <c:delete val="0"/>
        <c:axPos val="b"/>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2758304"/>
        <c:crosses val="autoZero"/>
        <c:auto val="1"/>
        <c:lblAlgn val="ctr"/>
        <c:lblOffset val="100"/>
        <c:noMultiLvlLbl val="0"/>
      </c:catAx>
      <c:valAx>
        <c:axId val="32758304"/>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Laborer Population</a:t>
                </a:r>
              </a:p>
            </c:rich>
          </c:tx>
          <c:layout>
            <c:manualLayout>
              <c:xMode val="edge"/>
              <c:yMode val="edge"/>
              <c:x val="0.438934307175167"/>
              <c:y val="0.973140706073863"/>
            </c:manualLayout>
          </c:layout>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6826091"/>
        <c:crosses val="autoZero"/>
        <c:crossBetween val="midCat"/>
        <c:majorUnit val="10000"/>
      </c:valAx>
      <c:spPr>
        <a:noFill/>
        <a:ln w="0">
          <a:solidFill>
            <a:srgbClr val="b3b3b3"/>
          </a:solidFill>
        </a:ln>
      </c:spPr>
    </c:plotArea>
    <c:legend>
      <c:legendPos val="r"/>
      <c:layout>
        <c:manualLayout>
          <c:xMode val="edge"/>
          <c:yMode val="edge"/>
          <c:x val="0.811055318089389"/>
          <c:y val="0.473395055448164"/>
          <c:w val="0.18015438247012"/>
          <c:h val="0.1089151723260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Annual Income Average By Industrial Labor Role</a:t>
            </a:r>
          </a:p>
        </c:rich>
      </c:tx>
      <c:layout>
        <c:manualLayout>
          <c:xMode val="edge"/>
          <c:yMode val="edge"/>
          <c:x val="0.161015894094701"/>
          <c:y val="0.0199664258825923"/>
        </c:manualLayout>
      </c:layout>
      <c:overlay val="0"/>
      <c:spPr>
        <a:noFill/>
        <a:ln w="0">
          <a:noFill/>
        </a:ln>
      </c:spPr>
    </c:title>
    <c:autoTitleDeleted val="0"/>
    <c:plotArea>
      <c:layout>
        <c:manualLayout>
          <c:layoutTarget val="inner"/>
          <c:xMode val="edge"/>
          <c:yMode val="edge"/>
          <c:x val="0.315806946922854"/>
          <c:y val="0.087241835385085"/>
          <c:w val="0.453043947379342"/>
          <c:h val="0.835995523451012"/>
        </c:manualLayout>
      </c:layout>
      <c:barChart>
        <c:barDir val="bar"/>
        <c:grouping val="clustered"/>
        <c:varyColors val="0"/>
        <c:ser>
          <c:idx val="0"/>
          <c:order val="0"/>
          <c:tx>
            <c:strRef>
              <c:f>AR!$C$734</c:f>
              <c:strCache>
                <c:ptCount val="1"/>
                <c:pt idx="0">
                  <c:v>Annual Income ($)</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409]#,##0.00;[RED]\-[$$-409]#,##0.0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AR!$C$736:$C$755</c:f>
              <c:numCache>
                <c:formatCode>[$$-409]#,##0;[RED]\-[$$-409]#,##0</c:formatCode>
                <c:ptCount val="20"/>
                <c:pt idx="0">
                  <c:v>39128</c:v>
                </c:pt>
                <c:pt idx="1">
                  <c:v>33259</c:v>
                </c:pt>
                <c:pt idx="2">
                  <c:v>49459</c:v>
                </c:pt>
                <c:pt idx="3">
                  <c:v>39567</c:v>
                </c:pt>
                <c:pt idx="4">
                  <c:v>28880</c:v>
                </c:pt>
                <c:pt idx="5">
                  <c:v>23104</c:v>
                </c:pt>
                <c:pt idx="6">
                  <c:v>26799</c:v>
                </c:pt>
                <c:pt idx="7">
                  <c:v>20903</c:v>
                </c:pt>
                <c:pt idx="8">
                  <c:v>43350</c:v>
                </c:pt>
                <c:pt idx="9">
                  <c:v>39882</c:v>
                </c:pt>
                <c:pt idx="10">
                  <c:v>45429</c:v>
                </c:pt>
                <c:pt idx="11">
                  <c:v>40886</c:v>
                </c:pt>
                <c:pt idx="12">
                  <c:v>33050</c:v>
                </c:pt>
                <c:pt idx="13">
                  <c:v>28093</c:v>
                </c:pt>
                <c:pt idx="14">
                  <c:v>35045</c:v>
                </c:pt>
                <c:pt idx="15">
                  <c:v>28036</c:v>
                </c:pt>
                <c:pt idx="16">
                  <c:v>47494</c:v>
                </c:pt>
                <c:pt idx="17">
                  <c:v>41795</c:v>
                </c:pt>
                <c:pt idx="18">
                  <c:v>26826</c:v>
                </c:pt>
                <c:pt idx="19">
                  <c:v>23070</c:v>
                </c:pt>
              </c:numCache>
            </c:numRef>
          </c:val>
        </c:ser>
        <c:ser>
          <c:idx val="1"/>
          <c:order val="1"/>
          <c:tx>
            <c:strRef>
              <c:f>AR!$D$734</c:f>
              <c:strCache>
                <c:ptCount val="1"/>
                <c:pt idx="0">
                  <c:v>Authorized Immigrant Annual Income Average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AR!$D$736:$D$755</c:f>
              <c:numCache>
                <c:formatCode>[$$-409]#,##0;[RED]\-[$$-409]#,##0</c:formatCode>
                <c:ptCount val="20"/>
                <c:pt idx="0">
                  <c:v>37180</c:v>
                </c:pt>
                <c:pt idx="1">
                  <c:v>31603</c:v>
                </c:pt>
                <c:pt idx="2">
                  <c:v>46965</c:v>
                </c:pt>
                <c:pt idx="3">
                  <c:v>37572</c:v>
                </c:pt>
                <c:pt idx="4">
                  <c:v>27396</c:v>
                </c:pt>
                <c:pt idx="5">
                  <c:v>21917</c:v>
                </c:pt>
                <c:pt idx="6">
                  <c:v>25439</c:v>
                </c:pt>
                <c:pt idx="7">
                  <c:v>19843</c:v>
                </c:pt>
                <c:pt idx="8">
                  <c:v>41094</c:v>
                </c:pt>
                <c:pt idx="9">
                  <c:v>37807</c:v>
                </c:pt>
                <c:pt idx="10">
                  <c:v>43051</c:v>
                </c:pt>
                <c:pt idx="11">
                  <c:v>38746</c:v>
                </c:pt>
                <c:pt idx="12">
                  <c:v>31310</c:v>
                </c:pt>
                <c:pt idx="13">
                  <c:v>26613</c:v>
                </c:pt>
                <c:pt idx="14">
                  <c:v>33267</c:v>
                </c:pt>
                <c:pt idx="15">
                  <c:v>26613</c:v>
                </c:pt>
                <c:pt idx="16">
                  <c:v>45008</c:v>
                </c:pt>
                <c:pt idx="17">
                  <c:v>39607</c:v>
                </c:pt>
                <c:pt idx="18">
                  <c:v>25439</c:v>
                </c:pt>
                <c:pt idx="19">
                  <c:v>21878</c:v>
                </c:pt>
              </c:numCache>
            </c:numRef>
          </c:val>
        </c:ser>
        <c:ser>
          <c:idx val="2"/>
          <c:order val="2"/>
          <c:tx>
            <c:strRef>
              <c:f>AR!$E$734</c:f>
              <c:strCache>
                <c:ptCount val="1"/>
                <c:pt idx="0">
                  <c:v>Unauthorized Immigrant Annual Income Average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AR!$E$736:$E$755</c:f>
              <c:numCache>
                <c:formatCode>[$$-409]#,##0;[RED]\-[$$-409]#,##0</c:formatCode>
                <c:ptCount val="20"/>
                <c:pt idx="0">
                  <c:v>31241</c:v>
                </c:pt>
                <c:pt idx="1">
                  <c:v>26554</c:v>
                </c:pt>
                <c:pt idx="2">
                  <c:v>40390</c:v>
                </c:pt>
                <c:pt idx="3">
                  <c:v>32312</c:v>
                </c:pt>
                <c:pt idx="4">
                  <c:v>24373</c:v>
                </c:pt>
                <c:pt idx="5">
                  <c:v>19499</c:v>
                </c:pt>
                <c:pt idx="6">
                  <c:v>22130</c:v>
                </c:pt>
                <c:pt idx="7">
                  <c:v>17261</c:v>
                </c:pt>
                <c:pt idx="8">
                  <c:v>37373</c:v>
                </c:pt>
                <c:pt idx="9">
                  <c:v>34383</c:v>
                </c:pt>
                <c:pt idx="10">
                  <c:v>39578</c:v>
                </c:pt>
                <c:pt idx="11">
                  <c:v>35620</c:v>
                </c:pt>
                <c:pt idx="12">
                  <c:v>29093</c:v>
                </c:pt>
                <c:pt idx="13">
                  <c:v>24729</c:v>
                </c:pt>
                <c:pt idx="14">
                  <c:v>28939</c:v>
                </c:pt>
                <c:pt idx="15">
                  <c:v>23151</c:v>
                </c:pt>
                <c:pt idx="16">
                  <c:v>41377</c:v>
                </c:pt>
                <c:pt idx="17">
                  <c:v>36412</c:v>
                </c:pt>
                <c:pt idx="18">
                  <c:v>22884</c:v>
                </c:pt>
                <c:pt idx="19">
                  <c:v>19680</c:v>
                </c:pt>
              </c:numCache>
            </c:numRef>
          </c:val>
        </c:ser>
        <c:ser>
          <c:idx val="3"/>
          <c:order val="3"/>
          <c:tx>
            <c:strRef>
              <c:f>AR!$F$734</c:f>
              <c:strCache>
                <c:ptCount val="1"/>
                <c:pt idx="0">
                  <c:v>American Annual Income Average ($)</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409]#,##0.00;[RED]\-[$$-409]#,##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409]#,##0.00;[RED]\-[$$-409]#,##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AR!$B$736:$B$755</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AR!$F$736:$F$755</c:f>
              <c:numCache>
                <c:formatCode>[$$-409]#,##0;[RED]\-[$$-409]#,##0</c:formatCode>
                <c:ptCount val="20"/>
                <c:pt idx="0">
                  <c:v>39520</c:v>
                </c:pt>
                <c:pt idx="1">
                  <c:v>33592</c:v>
                </c:pt>
                <c:pt idx="2">
                  <c:v>49920</c:v>
                </c:pt>
                <c:pt idx="3">
                  <c:v>39936</c:v>
                </c:pt>
                <c:pt idx="4">
                  <c:v>29120</c:v>
                </c:pt>
                <c:pt idx="5">
                  <c:v>23296</c:v>
                </c:pt>
                <c:pt idx="6">
                  <c:v>27040</c:v>
                </c:pt>
                <c:pt idx="7">
                  <c:v>21091</c:v>
                </c:pt>
                <c:pt idx="8">
                  <c:v>43680</c:v>
                </c:pt>
                <c:pt idx="9">
                  <c:v>40186</c:v>
                </c:pt>
                <c:pt idx="10">
                  <c:v>45760</c:v>
                </c:pt>
                <c:pt idx="11">
                  <c:v>41184</c:v>
                </c:pt>
                <c:pt idx="12">
                  <c:v>33280</c:v>
                </c:pt>
                <c:pt idx="13">
                  <c:v>28288</c:v>
                </c:pt>
                <c:pt idx="14">
                  <c:v>35360</c:v>
                </c:pt>
                <c:pt idx="15">
                  <c:v>28288</c:v>
                </c:pt>
                <c:pt idx="16">
                  <c:v>47840</c:v>
                </c:pt>
                <c:pt idx="17">
                  <c:v>42099</c:v>
                </c:pt>
                <c:pt idx="18">
                  <c:v>27040</c:v>
                </c:pt>
                <c:pt idx="19">
                  <c:v>23254</c:v>
                </c:pt>
              </c:numCache>
            </c:numRef>
          </c:val>
        </c:ser>
        <c:gapWidth val="100"/>
        <c:overlap val="0"/>
        <c:axId val="21668257"/>
        <c:axId val="80509078"/>
      </c:barChart>
      <c:catAx>
        <c:axId val="21668257"/>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0509078"/>
        <c:crosses val="autoZero"/>
        <c:auto val="1"/>
        <c:lblAlgn val="ctr"/>
        <c:lblOffset val="100"/>
        <c:noMultiLvlLbl val="0"/>
      </c:catAx>
      <c:valAx>
        <c:axId val="80509078"/>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Annual Income</a:t>
                </a:r>
              </a:p>
            </c:rich>
          </c:tx>
          <c:layout>
            <c:manualLayout>
              <c:xMode val="edge"/>
              <c:yMode val="edge"/>
              <c:x val="0.455160393409968"/>
              <c:y val="0.961542374605758"/>
            </c:manualLayout>
          </c:layout>
          <c:overlay val="0"/>
          <c:spPr>
            <a:noFill/>
            <a:ln w="0">
              <a:noFill/>
            </a:ln>
          </c:spPr>
        </c:title>
        <c:numFmt formatCode="[$$-409]#,##0;[RED]\-[$$-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1668257"/>
        <c:crosses val="autoZero"/>
        <c:crossBetween val="midCat"/>
        <c:majorUnit val="5000"/>
      </c:valAx>
      <c:spPr>
        <a:noFill/>
        <a:ln w="0">
          <a:solidFill>
            <a:srgbClr val="b3b3b3"/>
          </a:solidFill>
        </a:ln>
      </c:spPr>
    </c:plotArea>
    <c:legend>
      <c:legendPos val="r"/>
      <c:layout>
        <c:manualLayout>
          <c:xMode val="edge"/>
          <c:yMode val="edge"/>
          <c:x val="0.811055318089389"/>
          <c:y val="0.468308067962153"/>
          <c:w val="0.178535856573705"/>
          <c:h val="0.11799567595065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1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Federal Personal Tax Revenue By Industrial Labor Role</a:t>
            </a:r>
          </a:p>
        </c:rich>
      </c:tx>
      <c:layout>
        <c:manualLayout>
          <c:xMode val="edge"/>
          <c:yMode val="edge"/>
          <c:x val="0.161181889861809"/>
          <c:y val="0.0199664258825923"/>
        </c:manualLayout>
      </c:layout>
      <c:overlay val="0"/>
      <c:spPr>
        <a:noFill/>
        <a:ln w="0">
          <a:noFill/>
        </a:ln>
      </c:spPr>
    </c:title>
    <c:autoTitleDeleted val="0"/>
    <c:plotArea>
      <c:barChart>
        <c:barDir val="bar"/>
        <c:grouping val="clustered"/>
        <c:varyColors val="0"/>
        <c:ser>
          <c:idx val="0"/>
          <c:order val="0"/>
          <c:tx>
            <c:strRef>
              <c:f>AR!$C$855</c:f>
              <c:strCache>
                <c:ptCount val="1"/>
                <c:pt idx="0">
                  <c:v>Federal Personal Income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AR!$C$857:$C$876</c:f>
              <c:numCache>
                <c:formatCode>[$$-409]#,##0;\-[$$-409]#,##0</c:formatCode>
                <c:ptCount val="20"/>
                <c:pt idx="0">
                  <c:v>2225262</c:v>
                </c:pt>
                <c:pt idx="1">
                  <c:v>944475</c:v>
                </c:pt>
                <c:pt idx="2">
                  <c:v>19600022</c:v>
                </c:pt>
                <c:pt idx="3">
                  <c:v>6312258</c:v>
                </c:pt>
                <c:pt idx="4">
                  <c:v>21881176</c:v>
                </c:pt>
                <c:pt idx="5">
                  <c:v>9676922</c:v>
                </c:pt>
                <c:pt idx="6">
                  <c:v>4285690</c:v>
                </c:pt>
                <c:pt idx="7">
                  <c:v>1669204</c:v>
                </c:pt>
                <c:pt idx="8">
                  <c:v>42933085</c:v>
                </c:pt>
                <c:pt idx="9">
                  <c:v>17171228</c:v>
                </c:pt>
                <c:pt idx="10">
                  <c:v>16788150</c:v>
                </c:pt>
                <c:pt idx="11">
                  <c:v>2520562</c:v>
                </c:pt>
                <c:pt idx="12">
                  <c:v>26653106</c:v>
                </c:pt>
                <c:pt idx="13">
                  <c:v>11310153</c:v>
                </c:pt>
                <c:pt idx="14">
                  <c:v>2934912</c:v>
                </c:pt>
                <c:pt idx="15">
                  <c:v>1253292</c:v>
                </c:pt>
                <c:pt idx="16">
                  <c:v>2731749</c:v>
                </c:pt>
                <c:pt idx="17">
                  <c:v>1200393</c:v>
                </c:pt>
                <c:pt idx="18">
                  <c:v>9132118</c:v>
                </c:pt>
                <c:pt idx="19">
                  <c:v>5042311</c:v>
                </c:pt>
              </c:numCache>
            </c:numRef>
          </c:val>
        </c:ser>
        <c:ser>
          <c:idx val="1"/>
          <c:order val="1"/>
          <c:tx>
            <c:strRef>
              <c:f>AR!$D$855</c:f>
              <c:strCache>
                <c:ptCount val="1"/>
                <c:pt idx="0">
                  <c:v>Authorized Immigrant Federal Personal Income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AR!$D$857:$D$876</c:f>
              <c:numCache>
                <c:formatCode>[$$-409]#,##0;\-[$$-409]#,##0</c:formatCode>
                <c:ptCount val="20"/>
                <c:pt idx="0">
                  <c:v>84380</c:v>
                </c:pt>
                <c:pt idx="1">
                  <c:v>35727</c:v>
                </c:pt>
                <c:pt idx="2">
                  <c:v>740121</c:v>
                </c:pt>
                <c:pt idx="3">
                  <c:v>238244</c:v>
                </c:pt>
                <c:pt idx="4">
                  <c:v>821784</c:v>
                </c:pt>
                <c:pt idx="5">
                  <c:v>363461</c:v>
                </c:pt>
                <c:pt idx="6">
                  <c:v>161525</c:v>
                </c:pt>
                <c:pt idx="7">
                  <c:v>62912</c:v>
                </c:pt>
                <c:pt idx="8">
                  <c:v>1606775</c:v>
                </c:pt>
                <c:pt idx="9">
                  <c:v>642719</c:v>
                </c:pt>
                <c:pt idx="10">
                  <c:v>627210</c:v>
                </c:pt>
                <c:pt idx="11">
                  <c:v>94192</c:v>
                </c:pt>
                <c:pt idx="12">
                  <c:v>994014</c:v>
                </c:pt>
                <c:pt idx="13">
                  <c:v>421883</c:v>
                </c:pt>
                <c:pt idx="14">
                  <c:v>110563</c:v>
                </c:pt>
                <c:pt idx="15">
                  <c:v>47278</c:v>
                </c:pt>
                <c:pt idx="16">
                  <c:v>102146</c:v>
                </c:pt>
                <c:pt idx="17">
                  <c:v>44776</c:v>
                </c:pt>
                <c:pt idx="18">
                  <c:v>342294</c:v>
                </c:pt>
                <c:pt idx="19">
                  <c:v>189124</c:v>
                </c:pt>
              </c:numCache>
            </c:numRef>
          </c:val>
        </c:ser>
        <c:ser>
          <c:idx val="2"/>
          <c:order val="2"/>
          <c:tx>
            <c:strRef>
              <c:f>AR!$E$855</c:f>
              <c:strCache>
                <c:ptCount val="1"/>
                <c:pt idx="0">
                  <c:v>Unauthorized Immigrant Federal Personal Income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AR!$E$857:$E$876</c:f>
              <c:numCache>
                <c:formatCode>[$$-409]#,##0;\-[$$-409]#,##0</c:formatCode>
                <c:ptCount val="20"/>
                <c:pt idx="0">
                  <c:v>333654</c:v>
                </c:pt>
                <c:pt idx="1">
                  <c:v>141798</c:v>
                </c:pt>
                <c:pt idx="2">
                  <c:v>2997988</c:v>
                </c:pt>
                <c:pt idx="3">
                  <c:v>966258</c:v>
                </c:pt>
                <c:pt idx="4">
                  <c:v>3444685</c:v>
                </c:pt>
                <c:pt idx="5">
                  <c:v>1523691</c:v>
                </c:pt>
                <c:pt idx="6">
                  <c:v>661776</c:v>
                </c:pt>
                <c:pt idx="7">
                  <c:v>258086</c:v>
                </c:pt>
                <c:pt idx="8">
                  <c:v>6885228</c:v>
                </c:pt>
                <c:pt idx="9">
                  <c:v>2754078</c:v>
                </c:pt>
                <c:pt idx="10">
                  <c:v>2717564</c:v>
                </c:pt>
                <c:pt idx="11">
                  <c:v>407368</c:v>
                </c:pt>
                <c:pt idx="12">
                  <c:v>4352575</c:v>
                </c:pt>
                <c:pt idx="13">
                  <c:v>1846539</c:v>
                </c:pt>
                <c:pt idx="14">
                  <c:v>453300</c:v>
                </c:pt>
                <c:pt idx="15">
                  <c:v>193681</c:v>
                </c:pt>
                <c:pt idx="16">
                  <c:v>441906</c:v>
                </c:pt>
                <c:pt idx="17">
                  <c:v>194440</c:v>
                </c:pt>
                <c:pt idx="18">
                  <c:v>1451132</c:v>
                </c:pt>
                <c:pt idx="19">
                  <c:v>801320</c:v>
                </c:pt>
              </c:numCache>
            </c:numRef>
          </c:val>
        </c:ser>
        <c:ser>
          <c:idx val="3"/>
          <c:order val="3"/>
          <c:tx>
            <c:strRef>
              <c:f>AR!$F$855</c:f>
              <c:strCache>
                <c:ptCount val="1"/>
                <c:pt idx="0">
                  <c:v>American Federal Personal Income Tax Revenue ($)</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AR!$B$857:$B$876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AR!$F$857:$F$876</c:f>
              <c:numCache>
                <c:formatCode>[$$-409]#,##0;\-[$$-409]#,##0</c:formatCode>
                <c:ptCount val="20"/>
                <c:pt idx="0">
                  <c:v>1807228</c:v>
                </c:pt>
                <c:pt idx="1">
                  <c:v>766950</c:v>
                </c:pt>
                <c:pt idx="2">
                  <c:v>15861913</c:v>
                </c:pt>
                <c:pt idx="3">
                  <c:v>5107756</c:v>
                </c:pt>
                <c:pt idx="4">
                  <c:v>17614707</c:v>
                </c:pt>
                <c:pt idx="5">
                  <c:v>7789770</c:v>
                </c:pt>
                <c:pt idx="6">
                  <c:v>3462389</c:v>
                </c:pt>
                <c:pt idx="7">
                  <c:v>1348206</c:v>
                </c:pt>
                <c:pt idx="8">
                  <c:v>34441082</c:v>
                </c:pt>
                <c:pt idx="9">
                  <c:v>13774431</c:v>
                </c:pt>
                <c:pt idx="10">
                  <c:v>13443376</c:v>
                </c:pt>
                <c:pt idx="11">
                  <c:v>2019002</c:v>
                </c:pt>
                <c:pt idx="12">
                  <c:v>21306517</c:v>
                </c:pt>
                <c:pt idx="13">
                  <c:v>9041731</c:v>
                </c:pt>
                <c:pt idx="14">
                  <c:v>2371049</c:v>
                </c:pt>
                <c:pt idx="15">
                  <c:v>1012333</c:v>
                </c:pt>
                <c:pt idx="16">
                  <c:v>2187697</c:v>
                </c:pt>
                <c:pt idx="17">
                  <c:v>961177</c:v>
                </c:pt>
                <c:pt idx="18">
                  <c:v>7338692</c:v>
                </c:pt>
                <c:pt idx="19">
                  <c:v>4051867</c:v>
                </c:pt>
              </c:numCache>
            </c:numRef>
          </c:val>
        </c:ser>
        <c:gapWidth val="100"/>
        <c:overlap val="0"/>
        <c:axId val="23226511"/>
        <c:axId val="91131750"/>
      </c:barChart>
      <c:catAx>
        <c:axId val="23226511"/>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91131750"/>
        <c:crosses val="autoZero"/>
        <c:auto val="1"/>
        <c:lblAlgn val="ctr"/>
        <c:lblOffset val="100"/>
        <c:noMultiLvlLbl val="0"/>
      </c:catAx>
      <c:valAx>
        <c:axId val="91131750"/>
        <c:scaling>
          <c:orientation val="minMax"/>
          <c:max val="46000000"/>
          <c:min val="0"/>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Personal Income Tax Revenue</a:t>
                </a:r>
              </a:p>
            </c:rich>
          </c:tx>
          <c:layout>
            <c:manualLayout>
              <c:xMode val="edge"/>
              <c:yMode val="edge"/>
              <c:x val="0.378387351122546"/>
              <c:y val="0.974310713195646"/>
            </c:manualLayout>
          </c:layout>
          <c:overlay val="0"/>
          <c:spPr>
            <a:noFill/>
            <a:ln w="0">
              <a:noFill/>
            </a:ln>
          </c:spPr>
        </c:title>
        <c:numFmt formatCode="[$$-409]#,##0.00;[RED]\-[$$-409]#,##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3226511"/>
        <c:crosses val="autoZero"/>
        <c:crossBetween val="midCat"/>
        <c:majorUnit val="1000000"/>
      </c:valAx>
      <c:spPr>
        <a:noFill/>
        <a:ln w="0">
          <a:solidFill>
            <a:srgbClr val="b3b3b3"/>
          </a:solidFill>
        </a:ln>
      </c:spPr>
    </c:plotArea>
    <c:legend>
      <c:legendPos val="r"/>
      <c:layout>
        <c:manualLayout>
          <c:xMode val="edge"/>
          <c:yMode val="edge"/>
          <c:x val="0.811055318089389"/>
          <c:y val="0.468308067962153"/>
          <c:w val="0.178535856573705"/>
          <c:h val="0.117995675950655"/>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Federal Payroll Tax Revenue By Industrial Labor Role</a:t>
            </a:r>
          </a:p>
        </c:rich>
      </c:tx>
      <c:layout>
        <c:manualLayout>
          <c:xMode val="edge"/>
          <c:yMode val="edge"/>
          <c:x val="0.161223388803586"/>
          <c:y val="0.0199664258825923"/>
        </c:manualLayout>
      </c:layout>
      <c:overlay val="0"/>
      <c:spPr>
        <a:noFill/>
        <a:ln w="0">
          <a:noFill/>
        </a:ln>
      </c:spPr>
    </c:title>
    <c:autoTitleDeleted val="0"/>
    <c:plotArea>
      <c:barChart>
        <c:barDir val="bar"/>
        <c:grouping val="clustered"/>
        <c:varyColors val="0"/>
        <c:ser>
          <c:idx val="0"/>
          <c:order val="0"/>
          <c:tx>
            <c:strRef>
              <c:f>AR!$C$973</c:f>
              <c:strCache>
                <c:ptCount val="1"/>
                <c:pt idx="0">
                  <c:v>Payroll Tax Revenue ($)</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AR!$C$975:$C$994</c:f>
              <c:numCache>
                <c:formatCode>[$$-409]#,##0;\-[$$-409]#,##0</c:formatCode>
                <c:ptCount val="20"/>
                <c:pt idx="0">
                  <c:v>1150840</c:v>
                </c:pt>
                <c:pt idx="1">
                  <c:v>488456</c:v>
                </c:pt>
                <c:pt idx="2">
                  <c:v>10135771</c:v>
                </c:pt>
                <c:pt idx="3">
                  <c:v>3264253</c:v>
                </c:pt>
                <c:pt idx="4">
                  <c:v>11314099</c:v>
                </c:pt>
                <c:pt idx="5">
                  <c:v>5003640</c:v>
                </c:pt>
                <c:pt idx="6">
                  <c:v>2216177</c:v>
                </c:pt>
                <c:pt idx="7">
                  <c:v>863159</c:v>
                </c:pt>
                <c:pt idx="8">
                  <c:v>22197691</c:v>
                </c:pt>
                <c:pt idx="9">
                  <c:v>8878033</c:v>
                </c:pt>
                <c:pt idx="10">
                  <c:v>8679632</c:v>
                </c:pt>
                <c:pt idx="11">
                  <c:v>1303163</c:v>
                </c:pt>
                <c:pt idx="12">
                  <c:v>13779391</c:v>
                </c:pt>
                <c:pt idx="13">
                  <c:v>5847242</c:v>
                </c:pt>
                <c:pt idx="14">
                  <c:v>1517675</c:v>
                </c:pt>
                <c:pt idx="15">
                  <c:v>648088</c:v>
                </c:pt>
                <c:pt idx="16">
                  <c:v>1412342</c:v>
                </c:pt>
                <c:pt idx="17">
                  <c:v>620614</c:v>
                </c:pt>
                <c:pt idx="18">
                  <c:v>4721762</c:v>
                </c:pt>
                <c:pt idx="19">
                  <c:v>2607123</c:v>
                </c:pt>
              </c:numCache>
            </c:numRef>
          </c:val>
        </c:ser>
        <c:ser>
          <c:idx val="1"/>
          <c:order val="1"/>
          <c:tx>
            <c:strRef>
              <c:f>AR!$D$973</c:f>
              <c:strCache>
                <c:ptCount val="1"/>
                <c:pt idx="0">
                  <c:v>Authorized Immigrant Payroll Tax Revenue ($)</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AR!$D$975:$D$994</c:f>
              <c:numCache>
                <c:formatCode>[$$-409]#,##0;\-[$$-409]#,##0</c:formatCode>
                <c:ptCount val="20"/>
                <c:pt idx="0">
                  <c:v>41991</c:v>
                </c:pt>
                <c:pt idx="1">
                  <c:v>17780</c:v>
                </c:pt>
                <c:pt idx="2">
                  <c:v>368319</c:v>
                </c:pt>
                <c:pt idx="3">
                  <c:v>118561</c:v>
                </c:pt>
                <c:pt idx="4">
                  <c:v>408958</c:v>
                </c:pt>
                <c:pt idx="5">
                  <c:v>180875</c:v>
                </c:pt>
                <c:pt idx="6">
                  <c:v>80382</c:v>
                </c:pt>
                <c:pt idx="7">
                  <c:v>31308</c:v>
                </c:pt>
                <c:pt idx="8">
                  <c:v>799607</c:v>
                </c:pt>
                <c:pt idx="9">
                  <c:v>319847</c:v>
                </c:pt>
                <c:pt idx="10">
                  <c:v>312129</c:v>
                </c:pt>
                <c:pt idx="11">
                  <c:v>46874</c:v>
                </c:pt>
                <c:pt idx="12">
                  <c:v>494668</c:v>
                </c:pt>
                <c:pt idx="13">
                  <c:v>209949</c:v>
                </c:pt>
                <c:pt idx="14">
                  <c:v>55021</c:v>
                </c:pt>
                <c:pt idx="15">
                  <c:v>23528</c:v>
                </c:pt>
                <c:pt idx="16">
                  <c:v>50832</c:v>
                </c:pt>
                <c:pt idx="17">
                  <c:v>22283</c:v>
                </c:pt>
                <c:pt idx="18">
                  <c:v>170342</c:v>
                </c:pt>
                <c:pt idx="19">
                  <c:v>94117</c:v>
                </c:pt>
              </c:numCache>
            </c:numRef>
          </c:val>
        </c:ser>
        <c:ser>
          <c:idx val="2"/>
          <c:order val="2"/>
          <c:tx>
            <c:strRef>
              <c:f>AR!$E$973</c:f>
              <c:strCache>
                <c:ptCount val="1"/>
                <c:pt idx="0">
                  <c:v>Unauthorized Immigrant Payroll Tax Revenue ($)</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AR!$E$975:$E$994</c:f>
              <c:numCache>
                <c:formatCode>[$$-409]#,##0;\-[$$-409]#,##0</c:formatCode>
                <c:ptCount val="20"/>
                <c:pt idx="0">
                  <c:v>168701</c:v>
                </c:pt>
                <c:pt idx="1">
                  <c:v>71696</c:v>
                </c:pt>
                <c:pt idx="2">
                  <c:v>1515837</c:v>
                </c:pt>
                <c:pt idx="3">
                  <c:v>488557</c:v>
                </c:pt>
                <c:pt idx="4">
                  <c:v>1741695</c:v>
                </c:pt>
                <c:pt idx="5">
                  <c:v>770405</c:v>
                </c:pt>
                <c:pt idx="6">
                  <c:v>334606</c:v>
                </c:pt>
                <c:pt idx="7">
                  <c:v>130493</c:v>
                </c:pt>
                <c:pt idx="8">
                  <c:v>3481295</c:v>
                </c:pt>
                <c:pt idx="9">
                  <c:v>1392512</c:v>
                </c:pt>
                <c:pt idx="10">
                  <c:v>1374049</c:v>
                </c:pt>
                <c:pt idx="11">
                  <c:v>205973</c:v>
                </c:pt>
                <c:pt idx="12">
                  <c:v>2200740</c:v>
                </c:pt>
                <c:pt idx="13">
                  <c:v>933643</c:v>
                </c:pt>
                <c:pt idx="14">
                  <c:v>229197</c:v>
                </c:pt>
                <c:pt idx="15">
                  <c:v>97929</c:v>
                </c:pt>
                <c:pt idx="16">
                  <c:v>223436</c:v>
                </c:pt>
                <c:pt idx="17">
                  <c:v>98312</c:v>
                </c:pt>
                <c:pt idx="18">
                  <c:v>733718</c:v>
                </c:pt>
                <c:pt idx="19">
                  <c:v>405162</c:v>
                </c:pt>
              </c:numCache>
            </c:numRef>
          </c:val>
        </c:ser>
        <c:ser>
          <c:idx val="3"/>
          <c:order val="3"/>
          <c:tx>
            <c:strRef>
              <c:f>AR!$F$973</c:f>
              <c:strCache>
                <c:ptCount val="1"/>
                <c:pt idx="0">
                  <c:v>American Payroll Tax Revenue ($)</c:v>
                </c:pt>
              </c:strCache>
            </c:strRef>
          </c:tx>
          <c:spPr>
            <a:solidFill>
              <a:srgbClr val="579d1c"/>
            </a:solidFill>
            <a:ln w="0">
              <a:noFill/>
            </a:ln>
          </c:spPr>
          <c:invertIfNegative val="0"/>
          <c:dPt>
            <c:idx val="4"/>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AR!$B$975:$B$994</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AR!$F$975:$F$994</c:f>
              <c:numCache>
                <c:formatCode>[$$-409]#,##0;\-[$$-409]#,##0</c:formatCode>
                <c:ptCount val="20"/>
                <c:pt idx="0">
                  <c:v>940148</c:v>
                </c:pt>
                <c:pt idx="1">
                  <c:v>398980</c:v>
                </c:pt>
                <c:pt idx="2">
                  <c:v>8251615</c:v>
                </c:pt>
                <c:pt idx="3">
                  <c:v>2657135</c:v>
                </c:pt>
                <c:pt idx="4">
                  <c:v>9163446</c:v>
                </c:pt>
                <c:pt idx="5">
                  <c:v>4052360</c:v>
                </c:pt>
                <c:pt idx="6">
                  <c:v>1801189</c:v>
                </c:pt>
                <c:pt idx="7">
                  <c:v>701358</c:v>
                </c:pt>
                <c:pt idx="8">
                  <c:v>17916789</c:v>
                </c:pt>
                <c:pt idx="9">
                  <c:v>7165674</c:v>
                </c:pt>
                <c:pt idx="10">
                  <c:v>6993454</c:v>
                </c:pt>
                <c:pt idx="11">
                  <c:v>1050316</c:v>
                </c:pt>
                <c:pt idx="12">
                  <c:v>11083983</c:v>
                </c:pt>
                <c:pt idx="13">
                  <c:v>4703650</c:v>
                </c:pt>
                <c:pt idx="14">
                  <c:v>1233457</c:v>
                </c:pt>
                <c:pt idx="15">
                  <c:v>526631</c:v>
                </c:pt>
                <c:pt idx="16">
                  <c:v>1141457</c:v>
                </c:pt>
                <c:pt idx="17">
                  <c:v>500019</c:v>
                </c:pt>
                <c:pt idx="18">
                  <c:v>3817702</c:v>
                </c:pt>
                <c:pt idx="19">
                  <c:v>2107844</c:v>
                </c:pt>
              </c:numCache>
            </c:numRef>
          </c:val>
        </c:ser>
        <c:gapWidth val="100"/>
        <c:overlap val="0"/>
        <c:axId val="28111513"/>
        <c:axId val="17198293"/>
      </c:barChart>
      <c:catAx>
        <c:axId val="28111513"/>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17198293"/>
        <c:crosses val="autoZero"/>
        <c:auto val="1"/>
        <c:lblAlgn val="ctr"/>
        <c:lblOffset val="100"/>
        <c:noMultiLvlLbl val="0"/>
      </c:catAx>
      <c:valAx>
        <c:axId val="17198293"/>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Federal Payroll Tax Revenue</a:t>
                </a:r>
              </a:p>
            </c:rich>
          </c:tx>
          <c:layout>
            <c:manualLayout>
              <c:xMode val="edge"/>
              <c:yMode val="edge"/>
              <c:x val="0.438519317757397"/>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28111513"/>
        <c:crosses val="autoZero"/>
        <c:crossBetween val="midCat"/>
        <c:majorUnit val="10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Employment-to-Population Ratio by Industrial Labor Role</a:t>
            </a:r>
          </a:p>
        </c:rich>
      </c:tx>
      <c:layout>
        <c:manualLayout>
          <c:xMode val="edge"/>
          <c:yMode val="edge"/>
          <c:x val="0.171598124247832"/>
          <c:y val="0.0244938447451419"/>
        </c:manualLayout>
      </c:layout>
      <c:overlay val="0"/>
      <c:spPr>
        <a:noFill/>
        <a:ln w="0">
          <a:noFill/>
        </a:ln>
      </c:spPr>
    </c:title>
    <c:autoTitleDeleted val="0"/>
    <c:plotArea>
      <c:barChart>
        <c:barDir val="bar"/>
        <c:grouping val="clustered"/>
        <c:varyColors val="0"/>
        <c:ser>
          <c:idx val="0"/>
          <c:order val="0"/>
          <c:tx>
            <c:strRef>
              <c:f>AR!$C$142</c:f>
              <c:strCache>
                <c:ptCount val="1"/>
                <c:pt idx="0">
                  <c:v>Employment-to-Population Ratio</c:v>
                </c:pt>
              </c:strCache>
            </c:strRef>
          </c:tx>
          <c:spPr>
            <a:solidFill>
              <a:srgbClr val="004586"/>
            </a:solidFill>
            <a:ln w="0">
              <a:noFill/>
            </a:ln>
          </c:spPr>
          <c:invertIfNegative val="0"/>
          <c:dPt>
            <c:idx val="19"/>
            <c:invertIfNegative val="0"/>
            <c:spPr>
              <a:solidFill>
                <a:srgbClr val="004586"/>
              </a:solidFill>
              <a:ln w="0">
                <a:noFill/>
              </a:ln>
            </c:spPr>
          </c:dPt>
          <c:dLbls>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ffffff"/>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AR!$C$144:$C$163</c:f>
              <c:numCache>
                <c:formatCode>0.00%</c:formatCode>
                <c:ptCount val="20"/>
                <c:pt idx="0">
                  <c:v>0.944</c:v>
                </c:pt>
                <c:pt idx="1">
                  <c:v>0.944</c:v>
                </c:pt>
                <c:pt idx="2">
                  <c:v>0.953</c:v>
                </c:pt>
                <c:pt idx="3">
                  <c:v>0.953</c:v>
                </c:pt>
                <c:pt idx="4">
                  <c:v>0.94</c:v>
                </c:pt>
                <c:pt idx="5">
                  <c:v>0.94</c:v>
                </c:pt>
                <c:pt idx="6">
                  <c:v>0.938</c:v>
                </c:pt>
                <c:pt idx="7">
                  <c:v>0.938</c:v>
                </c:pt>
                <c:pt idx="8">
                  <c:v>0.966</c:v>
                </c:pt>
                <c:pt idx="9">
                  <c:v>0.966</c:v>
                </c:pt>
                <c:pt idx="10">
                  <c:v>0.961</c:v>
                </c:pt>
                <c:pt idx="11">
                  <c:v>0.961</c:v>
                </c:pt>
                <c:pt idx="12">
                  <c:v>0.955</c:v>
                </c:pt>
                <c:pt idx="13">
                  <c:v>0.955</c:v>
                </c:pt>
                <c:pt idx="14">
                  <c:v>0.942</c:v>
                </c:pt>
                <c:pt idx="15">
                  <c:v>0.942</c:v>
                </c:pt>
                <c:pt idx="16">
                  <c:v>0.959</c:v>
                </c:pt>
                <c:pt idx="17">
                  <c:v>0.959</c:v>
                </c:pt>
                <c:pt idx="18">
                  <c:v>0.957</c:v>
                </c:pt>
                <c:pt idx="19">
                  <c:v>0.957</c:v>
                </c:pt>
              </c:numCache>
            </c:numRef>
          </c:val>
        </c:ser>
        <c:ser>
          <c:idx val="1"/>
          <c:order val="1"/>
          <c:tx>
            <c:strRef>
              <c:f>AR!$D$142</c:f>
              <c:strCache>
                <c:ptCount val="1"/>
                <c:pt idx="0">
                  <c:v>Authorized Immigrant Employment-to-Population Ratio</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AR!$D$144:$D$163</c:f>
              <c:numCache>
                <c:formatCode>0.00%</c:formatCode>
                <c:ptCount val="20"/>
                <c:pt idx="0">
                  <c:v>0.93</c:v>
                </c:pt>
                <c:pt idx="1">
                  <c:v>0.93</c:v>
                </c:pt>
                <c:pt idx="2">
                  <c:v>0.94</c:v>
                </c:pt>
                <c:pt idx="3">
                  <c:v>0.94</c:v>
                </c:pt>
                <c:pt idx="4">
                  <c:v>0.93</c:v>
                </c:pt>
                <c:pt idx="5">
                  <c:v>0.93</c:v>
                </c:pt>
                <c:pt idx="6">
                  <c:v>0.93</c:v>
                </c:pt>
                <c:pt idx="7">
                  <c:v>0.93</c:v>
                </c:pt>
                <c:pt idx="8">
                  <c:v>0.96</c:v>
                </c:pt>
                <c:pt idx="9">
                  <c:v>0.96</c:v>
                </c:pt>
                <c:pt idx="10">
                  <c:v>0.95</c:v>
                </c:pt>
                <c:pt idx="11">
                  <c:v>0.95</c:v>
                </c:pt>
                <c:pt idx="12">
                  <c:v>0.95</c:v>
                </c:pt>
                <c:pt idx="13">
                  <c:v>0.95</c:v>
                </c:pt>
                <c:pt idx="14">
                  <c:v>0.93</c:v>
                </c:pt>
                <c:pt idx="15">
                  <c:v>0.93</c:v>
                </c:pt>
                <c:pt idx="16">
                  <c:v>0.95</c:v>
                </c:pt>
                <c:pt idx="17">
                  <c:v>0.95</c:v>
                </c:pt>
                <c:pt idx="18">
                  <c:v>0.95</c:v>
                </c:pt>
                <c:pt idx="19">
                  <c:v>0.95</c:v>
                </c:pt>
              </c:numCache>
            </c:numRef>
          </c:val>
        </c:ser>
        <c:ser>
          <c:idx val="2"/>
          <c:order val="2"/>
          <c:tx>
            <c:strRef>
              <c:f>AR!$E$142</c:f>
              <c:strCache>
                <c:ptCount val="1"/>
                <c:pt idx="0">
                  <c:v>Unauthorized Immigrant Employment-to-Population Ratio</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AR!$E$144:$E$163</c:f>
              <c:numCache>
                <c:formatCode>0.00%</c:formatCode>
                <c:ptCount val="20"/>
                <c:pt idx="0">
                  <c:v>0.92</c:v>
                </c:pt>
                <c:pt idx="1">
                  <c:v>0.92</c:v>
                </c:pt>
                <c:pt idx="2">
                  <c:v>0.93</c:v>
                </c:pt>
                <c:pt idx="3">
                  <c:v>0.93</c:v>
                </c:pt>
                <c:pt idx="4">
                  <c:v>0.91</c:v>
                </c:pt>
                <c:pt idx="5">
                  <c:v>0.91</c:v>
                </c:pt>
                <c:pt idx="6">
                  <c:v>0.91</c:v>
                </c:pt>
                <c:pt idx="7">
                  <c:v>0.91</c:v>
                </c:pt>
                <c:pt idx="8">
                  <c:v>0.95</c:v>
                </c:pt>
                <c:pt idx="9">
                  <c:v>0.95</c:v>
                </c:pt>
                <c:pt idx="10">
                  <c:v>0.94</c:v>
                </c:pt>
                <c:pt idx="11">
                  <c:v>0.94</c:v>
                </c:pt>
                <c:pt idx="12">
                  <c:v>0.93</c:v>
                </c:pt>
                <c:pt idx="13">
                  <c:v>0.93</c:v>
                </c:pt>
                <c:pt idx="14">
                  <c:v>0.91</c:v>
                </c:pt>
                <c:pt idx="15">
                  <c:v>0.91</c:v>
                </c:pt>
                <c:pt idx="16">
                  <c:v>0.94</c:v>
                </c:pt>
                <c:pt idx="17">
                  <c:v>0.94</c:v>
                </c:pt>
                <c:pt idx="18">
                  <c:v>0.94</c:v>
                </c:pt>
                <c:pt idx="19">
                  <c:v>0.94</c:v>
                </c:pt>
              </c:numCache>
            </c:numRef>
          </c:val>
        </c:ser>
        <c:ser>
          <c:idx val="3"/>
          <c:order val="3"/>
          <c:tx>
            <c:strRef>
              <c:f>AR!$F$142</c:f>
              <c:strCache>
                <c:ptCount val="1"/>
                <c:pt idx="0">
                  <c:v>American Employment-to-Population Ratio</c:v>
                </c:pt>
              </c:strCache>
            </c:strRef>
          </c:tx>
          <c:spPr>
            <a:solidFill>
              <a:srgbClr val="579d1c"/>
            </a:solidFill>
            <a:ln w="0">
              <a:noFill/>
            </a:ln>
          </c:spPr>
          <c:invertIfNegative val="0"/>
          <c:dPt>
            <c:idx val="18"/>
            <c:invertIfNegative val="0"/>
            <c:spPr>
              <a:solidFill>
                <a:srgbClr val="579d1c"/>
              </a:solidFill>
              <a:ln w="0">
                <a:noFill/>
              </a:ln>
            </c:spPr>
          </c:dPt>
          <c:dPt>
            <c:idx val="19"/>
            <c:invertIfNegative val="0"/>
            <c:spPr>
              <a:solidFill>
                <a:srgbClr val="579d1c"/>
              </a:solidFill>
              <a:ln w="0">
                <a:noFill/>
              </a:ln>
            </c:spPr>
          </c:dPt>
          <c:dLbls>
            <c:dLbl>
              <c:idx val="18"/>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9"/>
              <c:numFmt formatCode="0.0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numFmt formatCode="0.00%" sourceLinked="0"/>
            <c:txPr>
              <a:bodyPr wrap="none"/>
              <a:lstStyle/>
              <a:p>
                <a:pPr>
                  <a:defRPr sz="800" b="0" u="none" strike="noStrike">
                    <a:solidFill>
                      <a:srgbClr val="000000"/>
                    </a:solidFill>
                    <a:uFillTx/>
                    <a:latin typeface="Arial"/>
                    <a:ea typeface="DejaVu Sans"/>
                  </a:defRPr>
                </a:pPr>
              </a:p>
            </c:txPr>
            <c:dLblPos val="in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AR!$B$144:$B$163</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AR!$F$144:$F$163</c:f>
              <c:numCache>
                <c:formatCode>0.00%</c:formatCode>
                <c:ptCount val="20"/>
                <c:pt idx="0">
                  <c:v>0.945</c:v>
                </c:pt>
                <c:pt idx="1">
                  <c:v>0.945</c:v>
                </c:pt>
                <c:pt idx="2">
                  <c:v>0.954</c:v>
                </c:pt>
                <c:pt idx="3">
                  <c:v>0.954</c:v>
                </c:pt>
                <c:pt idx="4">
                  <c:v>0.941</c:v>
                </c:pt>
                <c:pt idx="5">
                  <c:v>0.941</c:v>
                </c:pt>
                <c:pt idx="6">
                  <c:v>0.939</c:v>
                </c:pt>
                <c:pt idx="7">
                  <c:v>0.939</c:v>
                </c:pt>
                <c:pt idx="8">
                  <c:v>0.966</c:v>
                </c:pt>
                <c:pt idx="9">
                  <c:v>0.966</c:v>
                </c:pt>
                <c:pt idx="10">
                  <c:v>0.962</c:v>
                </c:pt>
                <c:pt idx="11">
                  <c:v>0.962</c:v>
                </c:pt>
                <c:pt idx="12">
                  <c:v>0.956</c:v>
                </c:pt>
                <c:pt idx="13">
                  <c:v>0.956</c:v>
                </c:pt>
                <c:pt idx="14">
                  <c:v>0.943</c:v>
                </c:pt>
                <c:pt idx="15">
                  <c:v>0.943</c:v>
                </c:pt>
                <c:pt idx="16">
                  <c:v>0.96</c:v>
                </c:pt>
                <c:pt idx="17">
                  <c:v>0.96</c:v>
                </c:pt>
                <c:pt idx="18">
                  <c:v>0.958</c:v>
                </c:pt>
                <c:pt idx="19">
                  <c:v>0.958</c:v>
                </c:pt>
              </c:numCache>
            </c:numRef>
          </c:val>
        </c:ser>
        <c:gapWidth val="100"/>
        <c:overlap val="0"/>
        <c:axId val="89383529"/>
        <c:axId val="50703789"/>
      </c:barChart>
      <c:catAx>
        <c:axId val="89383529"/>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50703789"/>
        <c:crosses val="autoZero"/>
        <c:auto val="1"/>
        <c:lblAlgn val="ctr"/>
        <c:lblOffset val="100"/>
        <c:noMultiLvlLbl val="0"/>
      </c:catAx>
      <c:valAx>
        <c:axId val="50703789"/>
        <c:scaling>
          <c:orientation val="minMax"/>
        </c:scaling>
        <c:delete val="0"/>
        <c:axPos val="l"/>
        <c:majorGridlines>
          <c:spPr>
            <a:ln w="0">
              <a:solidFill>
                <a:srgbClr val="b3b3b3"/>
              </a:solidFill>
            </a:ln>
          </c:spPr>
        </c:majorGridlines>
        <c:title>
          <c:tx>
            <c:rich>
              <a:bodyPr rot="0"/>
              <a:lstStyle/>
              <a:p>
                <a:pPr>
                  <a:defRPr sz="1300" b="0" u="none" strike="noStrike">
                    <a:uFillTx/>
                    <a:latin typeface="Arial"/>
                  </a:defRPr>
                </a:pPr>
                <a:r>
                  <a:rPr sz="1100" b="0" u="none" strike="noStrike">
                    <a:solidFill>
                      <a:srgbClr val="000000"/>
                    </a:solidFill>
                    <a:uFillTx/>
                    <a:latin typeface="Arial"/>
                    <a:ea typeface="DejaVu Sans"/>
                  </a:rPr>
                  <a:t>Employment-to-Population Ratio</a:t>
                </a:r>
              </a:p>
            </c:rich>
          </c:tx>
          <c:layout>
            <c:manualLayout>
              <c:xMode val="edge"/>
              <c:yMode val="edge"/>
              <c:x val="0.388264099265469"/>
              <c:y val="0.964543697222505"/>
            </c:manualLayout>
          </c:layout>
          <c:overlay val="0"/>
          <c:spPr>
            <a:noFill/>
            <a:ln w="0">
              <a:noFill/>
            </a:ln>
          </c:spPr>
        </c:title>
        <c:numFmt formatCode="0.0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9383529"/>
        <c:crosses val="autoZero"/>
        <c:crossBetween val="midCat"/>
        <c:majorUnit val="0.01"/>
      </c:valAx>
      <c:spPr>
        <a:noFill/>
        <a:ln w="0">
          <a:solidFill>
            <a:srgbClr val="b3b3b3"/>
          </a:solidFill>
        </a:ln>
      </c:spPr>
    </c:plotArea>
    <c:legend>
      <c:legendPos val="r"/>
      <c:layout>
        <c:manualLayout>
          <c:xMode val="edge"/>
          <c:yMode val="edge"/>
          <c:x val="0.811055318089389"/>
          <c:y val="0.473395055448164"/>
          <c:w val="0.18015438247012"/>
          <c:h val="0.108915172326084"/>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E.I.T.C. Refund By Industrial Labor Role</a:t>
            </a:r>
          </a:p>
        </c:rich>
      </c:tx>
      <c:layout>
        <c:manualLayout>
          <c:xMode val="edge"/>
          <c:yMode val="edge"/>
          <c:x val="0.239863883470971"/>
          <c:y val="0.0231457930613491"/>
        </c:manualLayout>
      </c:layout>
      <c:overlay val="0"/>
      <c:spPr>
        <a:noFill/>
        <a:ln w="0">
          <a:noFill/>
        </a:ln>
      </c:spPr>
    </c:title>
    <c:autoTitleDeleted val="0"/>
    <c:plotArea>
      <c:barChart>
        <c:barDir val="bar"/>
        <c:grouping val="clustered"/>
        <c:varyColors val="0"/>
        <c:ser>
          <c:idx val="0"/>
          <c:order val="0"/>
          <c:tx>
            <c:strRef>
              <c:f>AR!$C$1090</c:f>
              <c:strCache>
                <c:ptCount val="1"/>
                <c:pt idx="0">
                  <c:v>EITC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AR!$C$1092:$C$1111</c:f>
              <c:numCache>
                <c:formatCode>[$$-409]#,##0;\-[$$-409]#,##0</c:formatCode>
                <c:ptCount val="20"/>
                <c:pt idx="0">
                  <c:v>5072111</c:v>
                </c:pt>
                <c:pt idx="1">
                  <c:v>2532169</c:v>
                </c:pt>
                <c:pt idx="2">
                  <c:v>35242331</c:v>
                </c:pt>
                <c:pt idx="3">
                  <c:v>14185489</c:v>
                </c:pt>
                <c:pt idx="4">
                  <c:v>67091231</c:v>
                </c:pt>
                <c:pt idx="5">
                  <c:v>37087405</c:v>
                </c:pt>
                <c:pt idx="6">
                  <c:v>14202029</c:v>
                </c:pt>
                <c:pt idx="7">
                  <c:v>7089955</c:v>
                </c:pt>
                <c:pt idx="8">
                  <c:v>87453205</c:v>
                </c:pt>
                <c:pt idx="9">
                  <c:v>38017415</c:v>
                </c:pt>
                <c:pt idx="10">
                  <c:v>32584021</c:v>
                </c:pt>
                <c:pt idx="11">
                  <c:v>5437379</c:v>
                </c:pt>
                <c:pt idx="12">
                  <c:v>71008551</c:v>
                </c:pt>
                <c:pt idx="13">
                  <c:v>35451369</c:v>
                </c:pt>
                <c:pt idx="14">
                  <c:v>7437089</c:v>
                </c:pt>
                <c:pt idx="15">
                  <c:v>3969331</c:v>
                </c:pt>
                <c:pt idx="16">
                  <c:v>5072111</c:v>
                </c:pt>
                <c:pt idx="17">
                  <c:v>2532169</c:v>
                </c:pt>
                <c:pt idx="18">
                  <c:v>30101669</c:v>
                </c:pt>
                <c:pt idx="19">
                  <c:v>19326151</c:v>
                </c:pt>
              </c:numCache>
            </c:numRef>
          </c:val>
        </c:ser>
        <c:ser>
          <c:idx val="1"/>
          <c:order val="1"/>
          <c:tx>
            <c:strRef>
              <c:f>AR!$D$1090</c:f>
              <c:strCache>
                <c:ptCount val="1"/>
                <c:pt idx="0">
                  <c:v>Authorized Immigrant EITC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AR!$D$1092:$D$1111</c:f>
              <c:numCache>
                <c:formatCode>[$$-409]#,##0;\-[$$-409]#,##0</c:formatCode>
                <c:ptCount val="20"/>
                <c:pt idx="0">
                  <c:v>160200</c:v>
                </c:pt>
                <c:pt idx="1">
                  <c:v>79800</c:v>
                </c:pt>
                <c:pt idx="2">
                  <c:v>1112400</c:v>
                </c:pt>
                <c:pt idx="3">
                  <c:v>447600</c:v>
                </c:pt>
                <c:pt idx="4">
                  <c:v>2117400</c:v>
                </c:pt>
                <c:pt idx="5">
                  <c:v>1170600</c:v>
                </c:pt>
                <c:pt idx="6">
                  <c:v>448200</c:v>
                </c:pt>
                <c:pt idx="7">
                  <c:v>223800</c:v>
                </c:pt>
                <c:pt idx="8">
                  <c:v>2760000</c:v>
                </c:pt>
                <c:pt idx="9">
                  <c:v>1200000</c:v>
                </c:pt>
                <c:pt idx="10">
                  <c:v>1028400</c:v>
                </c:pt>
                <c:pt idx="11">
                  <c:v>171600</c:v>
                </c:pt>
                <c:pt idx="12">
                  <c:v>2241000</c:v>
                </c:pt>
                <c:pt idx="13">
                  <c:v>1119000</c:v>
                </c:pt>
                <c:pt idx="14">
                  <c:v>234600</c:v>
                </c:pt>
                <c:pt idx="15">
                  <c:v>125400</c:v>
                </c:pt>
                <c:pt idx="16">
                  <c:v>160200</c:v>
                </c:pt>
                <c:pt idx="17">
                  <c:v>79800</c:v>
                </c:pt>
                <c:pt idx="18">
                  <c:v>949800</c:v>
                </c:pt>
                <c:pt idx="19">
                  <c:v>610200</c:v>
                </c:pt>
              </c:numCache>
            </c:numRef>
          </c:val>
        </c:ser>
        <c:ser>
          <c:idx val="2"/>
          <c:order val="2"/>
          <c:tx>
            <c:strRef>
              <c:f>AR!$E$1090</c:f>
              <c:strCache>
                <c:ptCount val="1"/>
                <c:pt idx="0">
                  <c:v>Unauthorized Immigrant EITC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AR!$E$1092:$E$1111</c:f>
              <c:numCache>
                <c:formatCode>[$$-409]#,##0;\-[$$-409]#,##0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ser>
        <c:ser>
          <c:idx val="3"/>
          <c:order val="3"/>
          <c:tx>
            <c:strRef>
              <c:f>AR!$F$1090</c:f>
              <c:strCache>
                <c:ptCount val="1"/>
                <c:pt idx="0">
                  <c:v>American Effective Tax EITC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AR!$B$1092:$B$1111</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AR!$F$1092:$F$1111</c:f>
              <c:numCache>
                <c:formatCode>[$$-409]#,##0;\-[$$-409]#,##0</c:formatCode>
                <c:ptCount val="20"/>
                <c:pt idx="0">
                  <c:v>4911911</c:v>
                </c:pt>
                <c:pt idx="1">
                  <c:v>2452369</c:v>
                </c:pt>
                <c:pt idx="2">
                  <c:v>34129931</c:v>
                </c:pt>
                <c:pt idx="3">
                  <c:v>13737889</c:v>
                </c:pt>
                <c:pt idx="4">
                  <c:v>64973831</c:v>
                </c:pt>
                <c:pt idx="5">
                  <c:v>35916805</c:v>
                </c:pt>
                <c:pt idx="6">
                  <c:v>13753829</c:v>
                </c:pt>
                <c:pt idx="7">
                  <c:v>6866155</c:v>
                </c:pt>
                <c:pt idx="8">
                  <c:v>84693205</c:v>
                </c:pt>
                <c:pt idx="9">
                  <c:v>36817415</c:v>
                </c:pt>
                <c:pt idx="10">
                  <c:v>31555621</c:v>
                </c:pt>
                <c:pt idx="11">
                  <c:v>5265779</c:v>
                </c:pt>
                <c:pt idx="12">
                  <c:v>68767551</c:v>
                </c:pt>
                <c:pt idx="13">
                  <c:v>34332369</c:v>
                </c:pt>
                <c:pt idx="14">
                  <c:v>7202489</c:v>
                </c:pt>
                <c:pt idx="15">
                  <c:v>3843931</c:v>
                </c:pt>
                <c:pt idx="16">
                  <c:v>4911911</c:v>
                </c:pt>
                <c:pt idx="17">
                  <c:v>2452369</c:v>
                </c:pt>
                <c:pt idx="18">
                  <c:v>29151869</c:v>
                </c:pt>
                <c:pt idx="19">
                  <c:v>18715951</c:v>
                </c:pt>
              </c:numCache>
            </c:numRef>
          </c:val>
        </c:ser>
        <c:gapWidth val="100"/>
        <c:overlap val="0"/>
        <c:axId val="75122704"/>
        <c:axId val="26646284"/>
      </c:barChart>
      <c:catAx>
        <c:axId val="75122704"/>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26646284"/>
        <c:crosses val="autoZero"/>
        <c:auto val="1"/>
        <c:lblAlgn val="ctr"/>
        <c:lblOffset val="100"/>
        <c:noMultiLvlLbl val="0"/>
      </c:catAx>
      <c:valAx>
        <c:axId val="26646284"/>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E.I.T.C.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75122704"/>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A.C.T.C.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AR!$C$1207</c:f>
              <c:strCache>
                <c:ptCount val="1"/>
                <c:pt idx="0">
                  <c:v>ACTC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AR!$C$1209:$C$1228</c:f>
              <c:numCache>
                <c:formatCode>[$$-409]#,##0;\-[$$-409]#,##0</c:formatCode>
                <c:ptCount val="20"/>
                <c:pt idx="0">
                  <c:v>3595805</c:v>
                </c:pt>
                <c:pt idx="1">
                  <c:v>1795155</c:v>
                </c:pt>
                <c:pt idx="2">
                  <c:v>24984578</c:v>
                </c:pt>
                <c:pt idx="3">
                  <c:v>10056662</c:v>
                </c:pt>
                <c:pt idx="4">
                  <c:v>47563471</c:v>
                </c:pt>
                <c:pt idx="5">
                  <c:v>26292681</c:v>
                </c:pt>
                <c:pt idx="6">
                  <c:v>10068317</c:v>
                </c:pt>
                <c:pt idx="7">
                  <c:v>5026371</c:v>
                </c:pt>
                <c:pt idx="8">
                  <c:v>61998840</c:v>
                </c:pt>
                <c:pt idx="9">
                  <c:v>26952000</c:v>
                </c:pt>
                <c:pt idx="10">
                  <c:v>23100078</c:v>
                </c:pt>
                <c:pt idx="11">
                  <c:v>3854722</c:v>
                </c:pt>
                <c:pt idx="12">
                  <c:v>50340657</c:v>
                </c:pt>
                <c:pt idx="13">
                  <c:v>25132783</c:v>
                </c:pt>
                <c:pt idx="14">
                  <c:v>5272417</c:v>
                </c:pt>
                <c:pt idx="15">
                  <c:v>2814023</c:v>
                </c:pt>
                <c:pt idx="16">
                  <c:v>3595805</c:v>
                </c:pt>
                <c:pt idx="17">
                  <c:v>1795155</c:v>
                </c:pt>
                <c:pt idx="18">
                  <c:v>21340185</c:v>
                </c:pt>
                <c:pt idx="19">
                  <c:v>13701055</c:v>
                </c:pt>
              </c:numCache>
            </c:numRef>
          </c:val>
        </c:ser>
        <c:ser>
          <c:idx val="1"/>
          <c:order val="1"/>
          <c:tx>
            <c:strRef>
              <c:f>AR!$D$1207</c:f>
              <c:strCache>
                <c:ptCount val="1"/>
                <c:pt idx="0">
                  <c:v>Authorized Immigrant ACTC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AR!$D$1209:$D$1228</c:f>
              <c:numCache>
                <c:formatCode>[$$-409]#,##0;\-[$$-409]#,##0</c:formatCode>
                <c:ptCount val="20"/>
                <c:pt idx="0">
                  <c:v>121485</c:v>
                </c:pt>
                <c:pt idx="1">
                  <c:v>60515</c:v>
                </c:pt>
                <c:pt idx="2">
                  <c:v>843570</c:v>
                </c:pt>
                <c:pt idx="3">
                  <c:v>339430</c:v>
                </c:pt>
                <c:pt idx="4">
                  <c:v>1605695</c:v>
                </c:pt>
                <c:pt idx="5">
                  <c:v>887705</c:v>
                </c:pt>
                <c:pt idx="6">
                  <c:v>339885</c:v>
                </c:pt>
                <c:pt idx="7">
                  <c:v>169715</c:v>
                </c:pt>
                <c:pt idx="8">
                  <c:v>2093000</c:v>
                </c:pt>
                <c:pt idx="9">
                  <c:v>910000</c:v>
                </c:pt>
                <c:pt idx="10">
                  <c:v>779870</c:v>
                </c:pt>
                <c:pt idx="11">
                  <c:v>130130</c:v>
                </c:pt>
                <c:pt idx="12">
                  <c:v>1699425</c:v>
                </c:pt>
                <c:pt idx="13">
                  <c:v>848575</c:v>
                </c:pt>
                <c:pt idx="14">
                  <c:v>177905</c:v>
                </c:pt>
                <c:pt idx="15">
                  <c:v>95095</c:v>
                </c:pt>
                <c:pt idx="16">
                  <c:v>121485</c:v>
                </c:pt>
                <c:pt idx="17">
                  <c:v>60515</c:v>
                </c:pt>
                <c:pt idx="18">
                  <c:v>720265</c:v>
                </c:pt>
                <c:pt idx="19">
                  <c:v>462735</c:v>
                </c:pt>
              </c:numCache>
            </c:numRef>
          </c:val>
        </c:ser>
        <c:ser>
          <c:idx val="2"/>
          <c:order val="2"/>
          <c:tx>
            <c:strRef>
              <c:f>AR!$E$1207</c:f>
              <c:strCache>
                <c:ptCount val="1"/>
                <c:pt idx="0">
                  <c:v>Unauthorized Immigrant ACTC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AR!$E$1209:$E$1228</c:f>
              <c:numCache>
                <c:formatCode>[$$-409]#,##0;\-[$$-409]#,##0</c:formatCode>
                <c:ptCount val="20"/>
                <c:pt idx="0">
                  <c:v>23040</c:v>
                </c:pt>
                <c:pt idx="1">
                  <c:v>11520</c:v>
                </c:pt>
                <c:pt idx="2">
                  <c:v>160128</c:v>
                </c:pt>
                <c:pt idx="3">
                  <c:v>64512</c:v>
                </c:pt>
                <c:pt idx="4">
                  <c:v>304896</c:v>
                </c:pt>
                <c:pt idx="5">
                  <c:v>168576</c:v>
                </c:pt>
                <c:pt idx="6">
                  <c:v>64512</c:v>
                </c:pt>
                <c:pt idx="7">
                  <c:v>32256</c:v>
                </c:pt>
                <c:pt idx="8">
                  <c:v>397440</c:v>
                </c:pt>
                <c:pt idx="9">
                  <c:v>172800</c:v>
                </c:pt>
                <c:pt idx="10">
                  <c:v>148128</c:v>
                </c:pt>
                <c:pt idx="11">
                  <c:v>24672</c:v>
                </c:pt>
                <c:pt idx="12">
                  <c:v>322752</c:v>
                </c:pt>
                <c:pt idx="13">
                  <c:v>161088</c:v>
                </c:pt>
                <c:pt idx="14">
                  <c:v>33792</c:v>
                </c:pt>
                <c:pt idx="15">
                  <c:v>18048</c:v>
                </c:pt>
                <c:pt idx="16">
                  <c:v>23040</c:v>
                </c:pt>
                <c:pt idx="17">
                  <c:v>11520</c:v>
                </c:pt>
                <c:pt idx="18">
                  <c:v>136800</c:v>
                </c:pt>
                <c:pt idx="19">
                  <c:v>87840</c:v>
                </c:pt>
              </c:numCache>
            </c:numRef>
          </c:val>
        </c:ser>
        <c:ser>
          <c:idx val="3"/>
          <c:order val="3"/>
          <c:tx>
            <c:strRef>
              <c:f>AR!$F$1207</c:f>
              <c:strCache>
                <c:ptCount val="1"/>
                <c:pt idx="0">
                  <c:v>American Effective Tax ACTC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AR!$B$1209:$B$1228</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AR!$F$1209:$F$1228</c:f>
              <c:numCache>
                <c:formatCode>[$$-409]#,##0;\-[$$-409]#,##0</c:formatCode>
                <c:ptCount val="20"/>
                <c:pt idx="0">
                  <c:v>3451280</c:v>
                </c:pt>
                <c:pt idx="1">
                  <c:v>1723120</c:v>
                </c:pt>
                <c:pt idx="2">
                  <c:v>23980880</c:v>
                </c:pt>
                <c:pt idx="3">
                  <c:v>9652720</c:v>
                </c:pt>
                <c:pt idx="4">
                  <c:v>45652880</c:v>
                </c:pt>
                <c:pt idx="5">
                  <c:v>25236400</c:v>
                </c:pt>
                <c:pt idx="6">
                  <c:v>9663920</c:v>
                </c:pt>
                <c:pt idx="7">
                  <c:v>4824400</c:v>
                </c:pt>
                <c:pt idx="8">
                  <c:v>59508400</c:v>
                </c:pt>
                <c:pt idx="9">
                  <c:v>25869200</c:v>
                </c:pt>
                <c:pt idx="10">
                  <c:v>22172080</c:v>
                </c:pt>
                <c:pt idx="11">
                  <c:v>3699920</c:v>
                </c:pt>
                <c:pt idx="12">
                  <c:v>48318480</c:v>
                </c:pt>
                <c:pt idx="13">
                  <c:v>24123120</c:v>
                </c:pt>
                <c:pt idx="14">
                  <c:v>5060720</c:v>
                </c:pt>
                <c:pt idx="15">
                  <c:v>2700880</c:v>
                </c:pt>
                <c:pt idx="16">
                  <c:v>3451280</c:v>
                </c:pt>
                <c:pt idx="17">
                  <c:v>1723120</c:v>
                </c:pt>
                <c:pt idx="18">
                  <c:v>20483120</c:v>
                </c:pt>
                <c:pt idx="19">
                  <c:v>13150480</c:v>
                </c:pt>
              </c:numCache>
            </c:numRef>
          </c:val>
        </c:ser>
        <c:gapWidth val="100"/>
        <c:overlap val="0"/>
        <c:axId val="86440570"/>
        <c:axId val="19299500"/>
      </c:barChart>
      <c:catAx>
        <c:axId val="86440570"/>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19299500"/>
        <c:crosses val="autoZero"/>
        <c:auto val="1"/>
        <c:lblAlgn val="ctr"/>
        <c:lblOffset val="100"/>
        <c:noMultiLvlLbl val="0"/>
      </c:catAx>
      <c:valAx>
        <c:axId val="19299500"/>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A.C.T.C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86440570"/>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charts/chart2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300" b="0" u="none" strike="noStrike">
                <a:solidFill>
                  <a:srgbClr val="000000"/>
                </a:solidFill>
                <a:uFillTx/>
                <a:latin typeface="Arial"/>
                <a:ea typeface="DejaVu Sans"/>
              </a:rPr>
              <a:t>U.S. Labor Statistics (Arkansas)</a:t>
            </a:r>
          </a:p>
          <a:p>
            <a:pPr>
              <a:defRPr sz="1300" b="0" u="none" strike="noStrike">
                <a:uFillTx/>
                <a:latin typeface="Arial"/>
              </a:defRPr>
            </a:pPr>
            <a:r>
              <a:rPr sz="1100" b="0" u="none" strike="noStrike">
                <a:solidFill>
                  <a:srgbClr val="000000"/>
                </a:solidFill>
                <a:uFillTx/>
                <a:latin typeface="Arial"/>
                <a:ea typeface="DejaVu Sans"/>
              </a:rPr>
              <a:t>Authorized, Unauthorized, American Laborer A.O.T.C. Refund By Industrial Labor Role</a:t>
            </a:r>
          </a:p>
        </c:rich>
      </c:tx>
      <c:layout>
        <c:manualLayout>
          <c:xMode val="edge"/>
          <c:yMode val="edge"/>
          <c:x val="0.161181889861809"/>
          <c:y val="0.0200172957574524"/>
        </c:manualLayout>
      </c:layout>
      <c:overlay val="0"/>
      <c:spPr>
        <a:noFill/>
        <a:ln w="0">
          <a:noFill/>
        </a:ln>
      </c:spPr>
    </c:title>
    <c:autoTitleDeleted val="0"/>
    <c:plotArea>
      <c:barChart>
        <c:barDir val="bar"/>
        <c:grouping val="clustered"/>
        <c:varyColors val="0"/>
        <c:ser>
          <c:idx val="0"/>
          <c:order val="0"/>
          <c:tx>
            <c:strRef>
              <c:f>AR!$C$1325</c:f>
              <c:strCache>
                <c:ptCount val="1"/>
                <c:pt idx="0">
                  <c:v>AOTC Credit Refund</c:v>
                </c:pt>
              </c:strCache>
            </c:strRef>
          </c:tx>
          <c:spPr>
            <a:solidFill>
              <a:srgbClr val="004586"/>
            </a:solidFill>
            <a:ln w="0">
              <a:noFill/>
            </a:ln>
          </c:spPr>
          <c:invertIfNegative val="0"/>
          <c:dPt>
            <c:idx val="4"/>
            <c:invertIfNegative val="0"/>
            <c:spPr>
              <a:solidFill>
                <a:srgbClr val="004586"/>
              </a:solidFill>
              <a:ln w="0">
                <a:noFill/>
              </a:ln>
            </c:spPr>
          </c:dPt>
          <c:dPt>
            <c:idx val="5"/>
            <c:invertIfNegative val="0"/>
            <c:spPr>
              <a:solidFill>
                <a:srgbClr val="004586"/>
              </a:solidFill>
              <a:ln w="0">
                <a:noFill/>
              </a:ln>
            </c:spPr>
          </c:dPt>
          <c:dPt>
            <c:idx val="8"/>
            <c:invertIfNegative val="0"/>
            <c:spPr>
              <a:solidFill>
                <a:srgbClr val="004586"/>
              </a:solidFill>
              <a:ln w="0">
                <a:noFill/>
              </a:ln>
            </c:spPr>
          </c:dPt>
          <c:dPt>
            <c:idx val="10"/>
            <c:invertIfNegative val="0"/>
            <c:spPr>
              <a:solidFill>
                <a:srgbClr val="004586"/>
              </a:solidFill>
              <a:ln w="0">
                <a:noFill/>
              </a:ln>
            </c:spPr>
          </c:dPt>
          <c:dPt>
            <c:idx val="12"/>
            <c:invertIfNegative val="0"/>
            <c:spPr>
              <a:solidFill>
                <a:srgbClr val="004586"/>
              </a:solidFill>
              <a:ln w="0">
                <a:noFill/>
              </a:ln>
            </c:spPr>
          </c:dPt>
          <c:dPt>
            <c:idx val="19"/>
            <c:invertIfNegative val="0"/>
            <c:spPr>
              <a:solidFill>
                <a:srgbClr val="004586"/>
              </a:solidFill>
              <a:ln w="0">
                <a:noFill/>
              </a:ln>
            </c:spPr>
          </c:dPt>
          <c:dLbls>
            <c:dLbl>
              <c:idx val="4"/>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5"/>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0"/>
              <c:numFmt formatCode="[$$-409]#,##0;\-[$$-409]#,##0" sourceLinked="0"/>
              <c:txPr>
                <a:bodyPr wrap="none"/>
                <a:lstStyle/>
                <a:p>
                  <a:pPr>
                    <a:defRPr sz="800" b="0" u="none" strike="noStrike">
                      <a:solidFill>
                        <a:srgbClr val="ffffff"/>
                      </a:solidFill>
                      <a:uFillTx/>
                      <a:latin typeface="Arial"/>
                    </a:defRPr>
                  </a:pPr>
                </a:p>
              </c:txPr>
              <c:dLblPos val="inEnd"/>
              <c:showLegendKey val="0"/>
              <c:showVal val="1"/>
              <c:showCatName val="0"/>
              <c:showSerName val="0"/>
              <c:showPercent val="0"/>
              <c:separator> </c:separator>
            </c:dLbl>
            <c:dLbl>
              <c:idx val="12"/>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AR!$C$1327:$C$1346</c:f>
              <c:numCache>
                <c:formatCode>[$$-409]#,##0;\-[$$-409]#,##0</c:formatCode>
                <c:ptCount val="20"/>
                <c:pt idx="0">
                  <c:v>1445931</c:v>
                </c:pt>
                <c:pt idx="1">
                  <c:v>721869</c:v>
                </c:pt>
                <c:pt idx="2">
                  <c:v>10046727</c:v>
                </c:pt>
                <c:pt idx="3">
                  <c:v>4043973</c:v>
                </c:pt>
                <c:pt idx="4">
                  <c:v>19126107</c:v>
                </c:pt>
                <c:pt idx="5">
                  <c:v>10572753</c:v>
                </c:pt>
                <c:pt idx="6">
                  <c:v>4048641</c:v>
                </c:pt>
                <c:pt idx="7">
                  <c:v>2021199</c:v>
                </c:pt>
                <c:pt idx="8">
                  <c:v>24930825</c:v>
                </c:pt>
                <c:pt idx="9">
                  <c:v>10837875</c:v>
                </c:pt>
                <c:pt idx="10">
                  <c:v>9288957</c:v>
                </c:pt>
                <c:pt idx="11">
                  <c:v>1550043</c:v>
                </c:pt>
                <c:pt idx="12">
                  <c:v>20242875</c:v>
                </c:pt>
                <c:pt idx="13">
                  <c:v>10106325</c:v>
                </c:pt>
                <c:pt idx="14">
                  <c:v>2120133</c:v>
                </c:pt>
                <c:pt idx="15">
                  <c:v>1131567</c:v>
                </c:pt>
                <c:pt idx="16">
                  <c:v>1445931</c:v>
                </c:pt>
                <c:pt idx="17">
                  <c:v>721869</c:v>
                </c:pt>
                <c:pt idx="18">
                  <c:v>8581269</c:v>
                </c:pt>
                <c:pt idx="19">
                  <c:v>5509431</c:v>
                </c:pt>
              </c:numCache>
            </c:numRef>
          </c:val>
        </c:ser>
        <c:ser>
          <c:idx val="1"/>
          <c:order val="1"/>
          <c:tx>
            <c:strRef>
              <c:f>AR!$D$1325</c:f>
              <c:strCache>
                <c:ptCount val="1"/>
                <c:pt idx="0">
                  <c:v>Authorized Immigrant AOTC Credit Refund</c:v>
                </c:pt>
              </c:strCache>
            </c:strRef>
          </c:tx>
          <c:spPr>
            <a:solidFill>
              <a:srgbClr val="ff420e"/>
            </a:solidFill>
            <a:ln w="0">
              <a:noFill/>
            </a:ln>
          </c:spPr>
          <c:invertIfNegative val="0"/>
          <c:dPt>
            <c:idx val="18"/>
            <c:invertIfNegative val="0"/>
            <c:spPr>
              <a:solidFill>
                <a:srgbClr val="ff420e"/>
              </a:solidFill>
              <a:ln w="0">
                <a:noFill/>
              </a:ln>
            </c:spPr>
          </c:dPt>
          <c:dPt>
            <c:idx val="19"/>
            <c:invertIfNegative val="0"/>
            <c:spPr>
              <a:solidFill>
                <a:srgbClr val="ff420e"/>
              </a:solidFill>
              <a:ln w="0">
                <a:noFill/>
              </a:ln>
            </c:spPr>
          </c:dPt>
          <c:dLbls>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AR!$D$1327:$D$1346</c:f>
              <c:numCache>
                <c:formatCode>[$$-409]#,##0;\-[$$-409]#,##0</c:formatCode>
                <c:ptCount val="20"/>
                <c:pt idx="0">
                  <c:v>44856</c:v>
                </c:pt>
                <c:pt idx="1">
                  <c:v>22344</c:v>
                </c:pt>
                <c:pt idx="2">
                  <c:v>311472</c:v>
                </c:pt>
                <c:pt idx="3">
                  <c:v>125328</c:v>
                </c:pt>
                <c:pt idx="4">
                  <c:v>592872</c:v>
                </c:pt>
                <c:pt idx="5">
                  <c:v>327768</c:v>
                </c:pt>
                <c:pt idx="6">
                  <c:v>125496</c:v>
                </c:pt>
                <c:pt idx="7">
                  <c:v>62664</c:v>
                </c:pt>
                <c:pt idx="8">
                  <c:v>772800</c:v>
                </c:pt>
                <c:pt idx="9">
                  <c:v>336000</c:v>
                </c:pt>
                <c:pt idx="10">
                  <c:v>287952</c:v>
                </c:pt>
                <c:pt idx="11">
                  <c:v>48048</c:v>
                </c:pt>
                <c:pt idx="12">
                  <c:v>627480</c:v>
                </c:pt>
                <c:pt idx="13">
                  <c:v>313320</c:v>
                </c:pt>
                <c:pt idx="14">
                  <c:v>65688</c:v>
                </c:pt>
                <c:pt idx="15">
                  <c:v>35112</c:v>
                </c:pt>
                <c:pt idx="16">
                  <c:v>44856</c:v>
                </c:pt>
                <c:pt idx="17">
                  <c:v>22344</c:v>
                </c:pt>
                <c:pt idx="18">
                  <c:v>265944</c:v>
                </c:pt>
                <c:pt idx="19">
                  <c:v>170856</c:v>
                </c:pt>
              </c:numCache>
            </c:numRef>
          </c:val>
        </c:ser>
        <c:ser>
          <c:idx val="2"/>
          <c:order val="2"/>
          <c:tx>
            <c:strRef>
              <c:f>AR!$E$1325</c:f>
              <c:strCache>
                <c:ptCount val="1"/>
                <c:pt idx="0">
                  <c:v>Unauthorized Immigrant AOTC Credit Refund</c:v>
                </c:pt>
              </c:strCache>
            </c:strRef>
          </c:tx>
          <c:spPr>
            <a:solidFill>
              <a:srgbClr val="ffd320"/>
            </a:solidFill>
            <a:ln w="0">
              <a:noFill/>
            </a:ln>
          </c:spPr>
          <c:invertIfNegative val="0"/>
          <c:dPt>
            <c:idx val="17"/>
            <c:invertIfNegative val="0"/>
            <c:spPr>
              <a:solidFill>
                <a:srgbClr val="ffd320"/>
              </a:solidFill>
              <a:ln w="0">
                <a:noFill/>
              </a:ln>
            </c:spPr>
          </c:dPt>
          <c:dPt>
            <c:idx val="19"/>
            <c:invertIfNegative val="0"/>
            <c:spPr>
              <a:solidFill>
                <a:srgbClr val="ffd320"/>
              </a:solidFill>
              <a:ln w="0">
                <a:noFill/>
              </a:ln>
            </c:spPr>
          </c:dPt>
          <c:dLbls>
            <c:dLbl>
              <c:idx val="17"/>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AR!$E$1327:$E$1346</c:f>
              <c:numCache>
                <c:formatCode>[$$-409]#,##0;\-[$$-409]#,##0</c:formatCode>
                <c:ptCount val="20"/>
                <c:pt idx="0">
                  <c:v>14400</c:v>
                </c:pt>
                <c:pt idx="1">
                  <c:v>7200</c:v>
                </c:pt>
                <c:pt idx="2">
                  <c:v>100080</c:v>
                </c:pt>
                <c:pt idx="3">
                  <c:v>40320</c:v>
                </c:pt>
                <c:pt idx="4">
                  <c:v>190560</c:v>
                </c:pt>
                <c:pt idx="5">
                  <c:v>105360</c:v>
                </c:pt>
                <c:pt idx="6">
                  <c:v>40320</c:v>
                </c:pt>
                <c:pt idx="7">
                  <c:v>20160</c:v>
                </c:pt>
                <c:pt idx="8">
                  <c:v>248400</c:v>
                </c:pt>
                <c:pt idx="9">
                  <c:v>108000</c:v>
                </c:pt>
                <c:pt idx="10">
                  <c:v>92580</c:v>
                </c:pt>
                <c:pt idx="11">
                  <c:v>15420</c:v>
                </c:pt>
                <c:pt idx="12">
                  <c:v>201720</c:v>
                </c:pt>
                <c:pt idx="13">
                  <c:v>100680</c:v>
                </c:pt>
                <c:pt idx="14">
                  <c:v>21120</c:v>
                </c:pt>
                <c:pt idx="15">
                  <c:v>11280</c:v>
                </c:pt>
                <c:pt idx="16">
                  <c:v>14400</c:v>
                </c:pt>
                <c:pt idx="17">
                  <c:v>7200</c:v>
                </c:pt>
                <c:pt idx="18">
                  <c:v>85500</c:v>
                </c:pt>
                <c:pt idx="19">
                  <c:v>54900</c:v>
                </c:pt>
              </c:numCache>
            </c:numRef>
          </c:val>
        </c:ser>
        <c:ser>
          <c:idx val="3"/>
          <c:order val="3"/>
          <c:tx>
            <c:strRef>
              <c:f>AR!$F$1325</c:f>
              <c:strCache>
                <c:ptCount val="1"/>
                <c:pt idx="0">
                  <c:v>American Effective Tax AOTC Credit Refund</c:v>
                </c:pt>
              </c:strCache>
            </c:strRef>
          </c:tx>
          <c:spPr>
            <a:solidFill>
              <a:srgbClr val="579d1c"/>
            </a:solidFill>
            <a:ln w="0">
              <a:noFill/>
            </a:ln>
          </c:spPr>
          <c:invertIfNegative val="0"/>
          <c:dPt>
            <c:idx val="4"/>
            <c:invertIfNegative val="0"/>
            <c:spPr>
              <a:solidFill>
                <a:srgbClr val="579d1c"/>
              </a:solidFill>
              <a:ln w="0">
                <a:noFill/>
              </a:ln>
            </c:spPr>
          </c:dPt>
          <c:dPt>
            <c:idx val="8"/>
            <c:invertIfNegative val="0"/>
            <c:spPr>
              <a:solidFill>
                <a:srgbClr val="579d1c"/>
              </a:solidFill>
              <a:ln w="0">
                <a:noFill/>
              </a:ln>
            </c:spPr>
          </c:dPt>
          <c:dPt>
            <c:idx val="18"/>
            <c:invertIfNegative val="0"/>
            <c:spPr>
              <a:solidFill>
                <a:srgbClr val="579d1c"/>
              </a:solidFill>
              <a:ln w="0">
                <a:noFill/>
              </a:ln>
            </c:spPr>
          </c:dPt>
          <c:dPt>
            <c:idx val="19"/>
            <c:invertIfNegative val="0"/>
            <c:spPr>
              <a:solidFill>
                <a:srgbClr val="579d1c"/>
              </a:solidFill>
              <a:ln w="0">
                <a:noFill/>
              </a:ln>
            </c:spPr>
          </c:dPt>
          <c:dLbls>
            <c:dLbl>
              <c:idx val="4"/>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8"/>
              <c:numFmt formatCode="[$$-409]#,##0;\-[$$-409]#,##0" sourceLinked="0"/>
              <c:txPr>
                <a:bodyPr wrap="none"/>
                <a:lstStyle/>
                <a:p>
                  <a:pPr>
                    <a:defRPr sz="800" b="0" u="none" strike="noStrike">
                      <a:solidFill>
                        <a:srgbClr val="000000"/>
                      </a:solidFill>
                      <a:uFillTx/>
                      <a:latin typeface="Arial"/>
                    </a:defRPr>
                  </a:pPr>
                </a:p>
              </c:txPr>
              <c:dLblPos val="inEnd"/>
              <c:showLegendKey val="0"/>
              <c:showVal val="1"/>
              <c:showCatName val="0"/>
              <c:showSerName val="0"/>
              <c:showPercent val="0"/>
              <c:separator> </c:separator>
            </c:dLbl>
            <c:dLbl>
              <c:idx val="18"/>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dLbl>
              <c:idx val="19"/>
              <c:numFmt formatCode="[$$-409]#,##0;\-[$$-409]#,##0" sourceLinked="0"/>
              <c:txPr>
                <a:bodyPr wrap="none"/>
                <a:lstStyle/>
                <a:p>
                  <a:pPr>
                    <a:defRPr sz="800" b="0" u="none" strike="noStrike">
                      <a:solidFill>
                        <a:srgbClr val="000000"/>
                      </a:solidFill>
                      <a:uFillTx/>
                      <a:latin typeface="Arial"/>
                    </a:defRPr>
                  </a:pPr>
                </a:p>
              </c:txPr>
              <c:dLblPos val="outEnd"/>
              <c:showLegendKey val="0"/>
              <c:showVal val="1"/>
              <c:showCatName val="0"/>
              <c:showSerName val="0"/>
              <c:showPercent val="0"/>
              <c:separator> </c:separator>
            </c:dLbl>
            <c:numFmt formatCode="[$$-409]#,##0;\-[$$-409]#,##0" sourceLinked="0"/>
            <c:txPr>
              <a:bodyPr wrap="none"/>
              <a:lstStyle/>
              <a:p>
                <a:pPr>
                  <a:defRPr sz="800" b="0" u="none" strike="noStrike">
                    <a:solidFill>
                      <a:srgbClr val="000000"/>
                    </a:solidFill>
                    <a:uFillTx/>
                    <a:latin typeface="Arial"/>
                    <a:ea typeface="DejaVu Sans"/>
                  </a:defRPr>
                </a:pPr>
              </a:p>
            </c:txPr>
            <c:dLblPos val="outEnd"/>
            <c:showLegendKey val="0"/>
            <c:showVal val="1"/>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AR!$B$1327:$B$1346</c:f>
              <c:strCache>
                <c:ptCount val="20"/>
                <c:pt idx="0">
                  <c:v>Agriculture: Worker</c:v>
                </c:pt>
                <c:pt idx="1">
                  <c:v>Agriculture: Support</c:v>
                </c:pt>
                <c:pt idx="2">
                  <c:v>Construction: Worker</c:v>
                </c:pt>
                <c:pt idx="3">
                  <c:v>Construction: Support</c:v>
                </c:pt>
                <c:pt idx="4">
                  <c:v>Hospitality: Worker</c:v>
                </c:pt>
                <c:pt idx="5">
                  <c:v>Hospitality: Support</c:v>
                </c:pt>
                <c:pt idx="6">
                  <c:v>Cleaning &amp; Maintenance: Worker</c:v>
                </c:pt>
                <c:pt idx="7">
                  <c:v>Cleaning &amp; Maintenance: Support</c:v>
                </c:pt>
                <c:pt idx="8">
                  <c:v>Manufacturing: Worker</c:v>
                </c:pt>
                <c:pt idx="9">
                  <c:v>Manufacturing: Support</c:v>
                </c:pt>
                <c:pt idx="10">
                  <c:v>Transportation &amp; Warehousing: Worker</c:v>
                </c:pt>
                <c:pt idx="11">
                  <c:v>Transportation &amp; Warehousing: Support</c:v>
                </c:pt>
                <c:pt idx="12">
                  <c:v>Retail Trade: Worker</c:v>
                </c:pt>
                <c:pt idx="13">
                  <c:v>Retail Trade: Support</c:v>
                </c:pt>
                <c:pt idx="14">
                  <c:v>Landscaping / Groundskeeping: Worker</c:v>
                </c:pt>
                <c:pt idx="15">
                  <c:v>Landscaping / Groundskeeping: Support</c:v>
                </c:pt>
                <c:pt idx="16">
                  <c:v>Automotive &amp; Repair: Worker</c:v>
                </c:pt>
                <c:pt idx="17">
                  <c:v>Automotive &amp; Repair: Support</c:v>
                </c:pt>
                <c:pt idx="18">
                  <c:v>Other Services: Worker</c:v>
                </c:pt>
                <c:pt idx="19">
                  <c:v>Other Services: Support</c:v>
                </c:pt>
              </c:strCache>
            </c:strRef>
          </c:cat>
          <c:val>
            <c:numRef>
              <c:f>AR!$F$1327:$F$1346</c:f>
              <c:numCache>
                <c:formatCode>[$$-409]#,##0;\-[$$-409]#,##0</c:formatCode>
                <c:ptCount val="20"/>
                <c:pt idx="0">
                  <c:v>1386675</c:v>
                </c:pt>
                <c:pt idx="1">
                  <c:v>692325</c:v>
                </c:pt>
                <c:pt idx="2">
                  <c:v>9635175</c:v>
                </c:pt>
                <c:pt idx="3">
                  <c:v>3878325</c:v>
                </c:pt>
                <c:pt idx="4">
                  <c:v>18342675</c:v>
                </c:pt>
                <c:pt idx="5">
                  <c:v>10139625</c:v>
                </c:pt>
                <c:pt idx="6">
                  <c:v>3882825</c:v>
                </c:pt>
                <c:pt idx="7">
                  <c:v>1938375</c:v>
                </c:pt>
                <c:pt idx="8">
                  <c:v>23909625</c:v>
                </c:pt>
                <c:pt idx="9">
                  <c:v>10393875</c:v>
                </c:pt>
                <c:pt idx="10">
                  <c:v>8908425</c:v>
                </c:pt>
                <c:pt idx="11">
                  <c:v>1486575</c:v>
                </c:pt>
                <c:pt idx="12">
                  <c:v>19413675</c:v>
                </c:pt>
                <c:pt idx="13">
                  <c:v>9692325</c:v>
                </c:pt>
                <c:pt idx="14">
                  <c:v>2033325</c:v>
                </c:pt>
                <c:pt idx="15">
                  <c:v>1085175</c:v>
                </c:pt>
                <c:pt idx="16">
                  <c:v>1386675</c:v>
                </c:pt>
                <c:pt idx="17">
                  <c:v>692325</c:v>
                </c:pt>
                <c:pt idx="18">
                  <c:v>8229825</c:v>
                </c:pt>
                <c:pt idx="19">
                  <c:v>5283675</c:v>
                </c:pt>
              </c:numCache>
            </c:numRef>
          </c:val>
        </c:ser>
        <c:gapWidth val="100"/>
        <c:overlap val="0"/>
        <c:axId val="3507416"/>
        <c:axId val="6860882"/>
      </c:barChart>
      <c:catAx>
        <c:axId val="3507416"/>
        <c:scaling>
          <c:orientation val="minMax"/>
        </c:scaling>
        <c:delete val="0"/>
        <c:axPos val="b"/>
        <c:title>
          <c:tx>
            <c:rich>
              <a:bodyPr rot="-5400000"/>
              <a:lstStyle/>
              <a:p>
                <a:pPr>
                  <a:defRPr sz="1300" b="0" u="none" strike="noStrike">
                    <a:uFillTx/>
                    <a:latin typeface="Arial"/>
                  </a:defRPr>
                </a:pPr>
                <a:r>
                  <a:rPr sz="900" b="0" u="none" strike="noStrike">
                    <a:solidFill>
                      <a:srgbClr val="000000"/>
                    </a:solidFill>
                    <a:uFillTx/>
                    <a:latin typeface="Arial"/>
                    <a:ea typeface="DejaVu Sans"/>
                  </a:rPr>
                  <a:t>Labor Industry, Labor Role</a:t>
                </a:r>
              </a:p>
            </c:rich>
          </c:tx>
          <c:overlay val="0"/>
          <c:spPr>
            <a:noFill/>
            <a:ln w="0">
              <a:noFill/>
            </a:ln>
          </c:spPr>
        </c:title>
        <c:numFmt formatCode="General" sourceLinked="0"/>
        <c:majorTickMark val="out"/>
        <c:minorTickMark val="none"/>
        <c:tickLblPos val="low"/>
        <c:spPr>
          <a:ln w="0">
            <a:solidFill>
              <a:srgbClr val="b3b3b3"/>
            </a:solidFill>
          </a:ln>
        </c:spPr>
        <c:txPr>
          <a:bodyPr/>
          <a:lstStyle/>
          <a:p>
            <a:pPr>
              <a:defRPr sz="1000" b="0" u="none" strike="noStrike">
                <a:solidFill>
                  <a:srgbClr val="000000"/>
                </a:solidFill>
                <a:uFillTx/>
                <a:latin typeface="Arial"/>
                <a:ea typeface="DejaVu Sans"/>
              </a:defRPr>
            </a:pPr>
          </a:p>
        </c:txPr>
        <c:crossAx val="6860882"/>
        <c:crosses val="autoZero"/>
        <c:auto val="1"/>
        <c:lblAlgn val="ctr"/>
        <c:lblOffset val="100"/>
        <c:noMultiLvlLbl val="0"/>
      </c:catAx>
      <c:valAx>
        <c:axId val="6860882"/>
        <c:scaling>
          <c:orientation val="minMax"/>
        </c:scaling>
        <c:delete val="0"/>
        <c:axPos val="l"/>
        <c:majorGridlines>
          <c:spPr>
            <a:ln w="0">
              <a:solidFill>
                <a:srgbClr val="dddddd"/>
              </a:solidFill>
            </a:ln>
          </c:spPr>
        </c:majorGridlines>
        <c:title>
          <c:tx>
            <c:rich>
              <a:bodyPr rot="0"/>
              <a:lstStyle/>
              <a:p>
                <a:pPr>
                  <a:defRPr sz="1300" b="0" u="none" strike="noStrike">
                    <a:uFillTx/>
                    <a:latin typeface="Arial"/>
                  </a:defRPr>
                </a:pPr>
                <a:r>
                  <a:rPr sz="900" b="0" u="none" strike="noStrike">
                    <a:solidFill>
                      <a:srgbClr val="000000"/>
                    </a:solidFill>
                    <a:uFillTx/>
                    <a:latin typeface="Arial"/>
                    <a:ea typeface="DejaVu Sans"/>
                  </a:rPr>
                  <a:t>A.O.T.C Refund</a:t>
                </a:r>
              </a:p>
            </c:rich>
          </c:tx>
          <c:layout>
            <c:manualLayout>
              <c:xMode val="edge"/>
              <c:yMode val="edge"/>
              <c:x val="0.438602315640951"/>
              <c:y val="0.974972021568827"/>
            </c:manualLayout>
          </c:layout>
          <c:overlay val="0"/>
          <c:spPr>
            <a:noFill/>
            <a:ln w="0">
              <a:noFill/>
            </a:ln>
          </c:spPr>
        </c:title>
        <c:numFmt formatCode="[$$-409]#,##0;\-[$$-409]#,##0" sourceLinked="0"/>
        <c:majorTickMark val="out"/>
        <c:minorTickMark val="none"/>
        <c:tickLblPos val="nextTo"/>
        <c:spPr>
          <a:ln w="0">
            <a:solidFill>
              <a:srgbClr val="b3b3b3"/>
            </a:solidFill>
          </a:ln>
        </c:spPr>
        <c:txPr>
          <a:bodyPr/>
          <a:lstStyle/>
          <a:p>
            <a:pPr>
              <a:defRPr sz="1000" b="0" u="none" strike="noStrike">
                <a:solidFill>
                  <a:srgbClr val="000000"/>
                </a:solidFill>
                <a:uFillTx/>
                <a:latin typeface="Arial"/>
                <a:ea typeface="DejaVu Sans"/>
              </a:defRPr>
            </a:pPr>
          </a:p>
        </c:txPr>
        <c:crossAx val="3507416"/>
        <c:crosses val="autoZero"/>
        <c:crossBetween val="midCat"/>
        <c:majorUnit val="100000"/>
      </c:valAx>
      <c:spPr>
        <a:noFill/>
        <a:ln w="0">
          <a:solidFill>
            <a:srgbClr val="b3b3b3"/>
          </a:solidFill>
        </a:ln>
      </c:spPr>
    </c:plotArea>
    <c:legend>
      <c:legendPos val="r"/>
      <c:layout>
        <c:manualLayout>
          <c:xMode val="edge"/>
          <c:yMode val="edge"/>
          <c:x val="0.78984935884135"/>
          <c:y val="0.468308067962153"/>
          <c:w val="0.199701195219124"/>
          <c:h val="0.117970240366272"/>
        </c:manualLayout>
      </c:layout>
      <c:overlay val="0"/>
      <c:spPr>
        <a:noFill/>
        <a:ln w="0">
          <a:noFill/>
        </a:ln>
      </c:spPr>
      <c:txPr>
        <a:bodyPr/>
        <a:lstStyle/>
        <a:p>
          <a:pPr>
            <a:defRPr sz="1000" b="0" u="none" strike="noStrike">
              <a:solidFill>
                <a:srgbClr val="000000"/>
              </a:solidFill>
              <a:uFillTx/>
              <a:latin typeface="Arial"/>
              <a:ea typeface="DejaVu Sans"/>
            </a:defRPr>
          </a:pPr>
        </a:p>
      </c:txPr>
    </c:legend>
    <c:plotVisOnly val="1"/>
    <c:dispBlanksAs val="gap"/>
  </c:chart>
  <c:spPr>
    <a:solidFill>
      <a:srgbClr val="ffffff"/>
    </a:solidFill>
    <a:ln w="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 Id="rId11" Type="http://schemas.openxmlformats.org/officeDocument/2006/relationships/chart" Target="../charts/chart11.xml"/><Relationship Id="rId12" Type="http://schemas.openxmlformats.org/officeDocument/2006/relationships/chart" Target="../charts/chart12.xml"/>
</Relationships>
</file>

<file path=xl/drawings/_rels/drawing2.xml.rels><?xml version="1.0" encoding="UTF-8"?>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 Id="rId9" Type="http://schemas.openxmlformats.org/officeDocument/2006/relationships/chart" Target="../charts/chart21.xml"/><Relationship Id="rId10" Type="http://schemas.openxmlformats.org/officeDocument/2006/relationships/chart" Target="../charts/chart22.xml"/><Relationship Id="rId11" Type="http://schemas.openxmlformats.org/officeDocument/2006/relationships/chart" Target="../charts/chart23.xml"/><Relationship Id="rId12" Type="http://schemas.openxmlformats.org/officeDocument/2006/relationships/chart" Target="../charts/chart2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35640</xdr:colOff>
      <xdr:row>285</xdr:row>
      <xdr:rowOff>64440</xdr:rowOff>
    </xdr:from>
    <xdr:to>
      <xdr:col>6</xdr:col>
      <xdr:colOff>1035720</xdr:colOff>
      <xdr:row>372</xdr:row>
      <xdr:rowOff>75240</xdr:rowOff>
    </xdr:to>
    <xdr:graphicFrame>
      <xdr:nvGraphicFramePr>
        <xdr:cNvPr id="1" name=""/>
        <xdr:cNvGraphicFramePr/>
      </xdr:nvGraphicFramePr>
      <xdr:xfrm>
        <a:off x="848520" y="47936520"/>
        <a:ext cx="8674560" cy="14153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808920</xdr:colOff>
      <xdr:row>401</xdr:row>
      <xdr:rowOff>81360</xdr:rowOff>
    </xdr:from>
    <xdr:to>
      <xdr:col>6</xdr:col>
      <xdr:colOff>996120</xdr:colOff>
      <xdr:row>488</xdr:row>
      <xdr:rowOff>91800</xdr:rowOff>
    </xdr:to>
    <xdr:graphicFrame>
      <xdr:nvGraphicFramePr>
        <xdr:cNvPr id="2" name=""/>
        <xdr:cNvGraphicFramePr/>
      </xdr:nvGraphicFramePr>
      <xdr:xfrm>
        <a:off x="808920" y="67235040"/>
        <a:ext cx="8674560" cy="14153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52920</xdr:colOff>
      <xdr:row>519</xdr:row>
      <xdr:rowOff>120240</xdr:rowOff>
    </xdr:from>
    <xdr:to>
      <xdr:col>6</xdr:col>
      <xdr:colOff>1053000</xdr:colOff>
      <xdr:row>606</xdr:row>
      <xdr:rowOff>131040</xdr:rowOff>
    </xdr:to>
    <xdr:graphicFrame>
      <xdr:nvGraphicFramePr>
        <xdr:cNvPr id="3" name=""/>
        <xdr:cNvGraphicFramePr/>
      </xdr:nvGraphicFramePr>
      <xdr:xfrm>
        <a:off x="865800" y="86880960"/>
        <a:ext cx="8674560" cy="14153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24840</xdr:colOff>
      <xdr:row>639</xdr:row>
      <xdr:rowOff>7920</xdr:rowOff>
    </xdr:from>
    <xdr:to>
      <xdr:col>6</xdr:col>
      <xdr:colOff>1024920</xdr:colOff>
      <xdr:row>726</xdr:row>
      <xdr:rowOff>18720</xdr:rowOff>
    </xdr:to>
    <xdr:graphicFrame>
      <xdr:nvGraphicFramePr>
        <xdr:cNvPr id="4" name=""/>
        <xdr:cNvGraphicFramePr/>
      </xdr:nvGraphicFramePr>
      <xdr:xfrm>
        <a:off x="837720" y="106558560"/>
        <a:ext cx="8674560" cy="14153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808200</xdr:colOff>
      <xdr:row>48</xdr:row>
      <xdr:rowOff>128880</xdr:rowOff>
    </xdr:from>
    <xdr:to>
      <xdr:col>6</xdr:col>
      <xdr:colOff>995400</xdr:colOff>
      <xdr:row>135</xdr:row>
      <xdr:rowOff>139680</xdr:rowOff>
    </xdr:to>
    <xdr:graphicFrame>
      <xdr:nvGraphicFramePr>
        <xdr:cNvPr id="5" name=""/>
        <xdr:cNvGraphicFramePr/>
      </xdr:nvGraphicFramePr>
      <xdr:xfrm>
        <a:off x="808200" y="8631000"/>
        <a:ext cx="8674560" cy="14153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50760</xdr:colOff>
      <xdr:row>759</xdr:row>
      <xdr:rowOff>9720</xdr:rowOff>
    </xdr:from>
    <xdr:to>
      <xdr:col>6</xdr:col>
      <xdr:colOff>1050840</xdr:colOff>
      <xdr:row>846</xdr:row>
      <xdr:rowOff>20160</xdr:rowOff>
    </xdr:to>
    <xdr:graphicFrame>
      <xdr:nvGraphicFramePr>
        <xdr:cNvPr id="6" name=""/>
        <xdr:cNvGraphicFramePr/>
      </xdr:nvGraphicFramePr>
      <xdr:xfrm>
        <a:off x="863640" y="126492120"/>
        <a:ext cx="8674560" cy="14153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1800</xdr:colOff>
      <xdr:row>879</xdr:row>
      <xdr:rowOff>106560</xdr:rowOff>
    </xdr:from>
    <xdr:to>
      <xdr:col>6</xdr:col>
      <xdr:colOff>1001880</xdr:colOff>
      <xdr:row>966</xdr:row>
      <xdr:rowOff>117360</xdr:rowOff>
    </xdr:to>
    <xdr:graphicFrame>
      <xdr:nvGraphicFramePr>
        <xdr:cNvPr id="7" name=""/>
        <xdr:cNvGraphicFramePr/>
      </xdr:nvGraphicFramePr>
      <xdr:xfrm>
        <a:off x="814680" y="146521080"/>
        <a:ext cx="8674560" cy="14153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11880</xdr:colOff>
      <xdr:row>997</xdr:row>
      <xdr:rowOff>39240</xdr:rowOff>
    </xdr:from>
    <xdr:to>
      <xdr:col>6</xdr:col>
      <xdr:colOff>1011960</xdr:colOff>
      <xdr:row>1084</xdr:row>
      <xdr:rowOff>49680</xdr:rowOff>
    </xdr:to>
    <xdr:graphicFrame>
      <xdr:nvGraphicFramePr>
        <xdr:cNvPr id="8" name=""/>
        <xdr:cNvGraphicFramePr/>
      </xdr:nvGraphicFramePr>
      <xdr:xfrm>
        <a:off x="824760" y="165909960"/>
        <a:ext cx="8674560" cy="141534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803880</xdr:colOff>
      <xdr:row>165</xdr:row>
      <xdr:rowOff>66240</xdr:rowOff>
    </xdr:from>
    <xdr:to>
      <xdr:col>6</xdr:col>
      <xdr:colOff>991080</xdr:colOff>
      <xdr:row>252</xdr:row>
      <xdr:rowOff>77040</xdr:rowOff>
    </xdr:to>
    <xdr:graphicFrame>
      <xdr:nvGraphicFramePr>
        <xdr:cNvPr id="9" name=""/>
        <xdr:cNvGraphicFramePr/>
      </xdr:nvGraphicFramePr>
      <xdr:xfrm>
        <a:off x="803880" y="28006200"/>
        <a:ext cx="8674560" cy="141534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22320</xdr:colOff>
      <xdr:row>1113</xdr:row>
      <xdr:rowOff>143280</xdr:rowOff>
    </xdr:from>
    <xdr:to>
      <xdr:col>6</xdr:col>
      <xdr:colOff>1022400</xdr:colOff>
      <xdr:row>1200</xdr:row>
      <xdr:rowOff>154080</xdr:rowOff>
    </xdr:to>
    <xdr:graphicFrame>
      <xdr:nvGraphicFramePr>
        <xdr:cNvPr id="10" name=""/>
        <xdr:cNvGraphicFramePr/>
      </xdr:nvGraphicFramePr>
      <xdr:xfrm>
        <a:off x="835200" y="185291640"/>
        <a:ext cx="8674560" cy="141534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774360</xdr:colOff>
      <xdr:row>1232</xdr:row>
      <xdr:rowOff>12960</xdr:rowOff>
    </xdr:from>
    <xdr:to>
      <xdr:col>6</xdr:col>
      <xdr:colOff>961560</xdr:colOff>
      <xdr:row>1319</xdr:row>
      <xdr:rowOff>23400</xdr:rowOff>
    </xdr:to>
    <xdr:graphicFrame>
      <xdr:nvGraphicFramePr>
        <xdr:cNvPr id="11" name=""/>
        <xdr:cNvGraphicFramePr/>
      </xdr:nvGraphicFramePr>
      <xdr:xfrm>
        <a:off x="774360" y="204926040"/>
        <a:ext cx="8674560" cy="14153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1348</xdr:row>
      <xdr:rowOff>139680</xdr:rowOff>
    </xdr:from>
    <xdr:to>
      <xdr:col>6</xdr:col>
      <xdr:colOff>992160</xdr:colOff>
      <xdr:row>1435</xdr:row>
      <xdr:rowOff>150480</xdr:rowOff>
    </xdr:to>
    <xdr:graphicFrame>
      <xdr:nvGraphicFramePr>
        <xdr:cNvPr id="12" name=""/>
        <xdr:cNvGraphicFramePr/>
      </xdr:nvGraphicFramePr>
      <xdr:xfrm>
        <a:off x="804960" y="224330400"/>
        <a:ext cx="8674560" cy="14153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35640</xdr:colOff>
      <xdr:row>285</xdr:row>
      <xdr:rowOff>64440</xdr:rowOff>
    </xdr:from>
    <xdr:to>
      <xdr:col>6</xdr:col>
      <xdr:colOff>1035720</xdr:colOff>
      <xdr:row>372</xdr:row>
      <xdr:rowOff>75240</xdr:rowOff>
    </xdr:to>
    <xdr:graphicFrame>
      <xdr:nvGraphicFramePr>
        <xdr:cNvPr id="13" name=""/>
        <xdr:cNvGraphicFramePr/>
      </xdr:nvGraphicFramePr>
      <xdr:xfrm>
        <a:off x="848520" y="47936520"/>
        <a:ext cx="8674560" cy="141534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808920</xdr:colOff>
      <xdr:row>401</xdr:row>
      <xdr:rowOff>81360</xdr:rowOff>
    </xdr:from>
    <xdr:to>
      <xdr:col>6</xdr:col>
      <xdr:colOff>996120</xdr:colOff>
      <xdr:row>488</xdr:row>
      <xdr:rowOff>91800</xdr:rowOff>
    </xdr:to>
    <xdr:graphicFrame>
      <xdr:nvGraphicFramePr>
        <xdr:cNvPr id="14" name=""/>
        <xdr:cNvGraphicFramePr/>
      </xdr:nvGraphicFramePr>
      <xdr:xfrm>
        <a:off x="808920" y="67235040"/>
        <a:ext cx="8674560" cy="14153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52920</xdr:colOff>
      <xdr:row>519</xdr:row>
      <xdr:rowOff>120240</xdr:rowOff>
    </xdr:from>
    <xdr:to>
      <xdr:col>6</xdr:col>
      <xdr:colOff>1053000</xdr:colOff>
      <xdr:row>606</xdr:row>
      <xdr:rowOff>131040</xdr:rowOff>
    </xdr:to>
    <xdr:graphicFrame>
      <xdr:nvGraphicFramePr>
        <xdr:cNvPr id="15" name=""/>
        <xdr:cNvGraphicFramePr/>
      </xdr:nvGraphicFramePr>
      <xdr:xfrm>
        <a:off x="865800" y="86880960"/>
        <a:ext cx="8674560" cy="1415340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24840</xdr:colOff>
      <xdr:row>639</xdr:row>
      <xdr:rowOff>7920</xdr:rowOff>
    </xdr:from>
    <xdr:to>
      <xdr:col>6</xdr:col>
      <xdr:colOff>1024920</xdr:colOff>
      <xdr:row>726</xdr:row>
      <xdr:rowOff>18720</xdr:rowOff>
    </xdr:to>
    <xdr:graphicFrame>
      <xdr:nvGraphicFramePr>
        <xdr:cNvPr id="16" name=""/>
        <xdr:cNvGraphicFramePr/>
      </xdr:nvGraphicFramePr>
      <xdr:xfrm>
        <a:off x="837720" y="106558560"/>
        <a:ext cx="8674560" cy="1415340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808200</xdr:colOff>
      <xdr:row>48</xdr:row>
      <xdr:rowOff>128880</xdr:rowOff>
    </xdr:from>
    <xdr:to>
      <xdr:col>6</xdr:col>
      <xdr:colOff>995400</xdr:colOff>
      <xdr:row>135</xdr:row>
      <xdr:rowOff>139680</xdr:rowOff>
    </xdr:to>
    <xdr:graphicFrame>
      <xdr:nvGraphicFramePr>
        <xdr:cNvPr id="17" name=""/>
        <xdr:cNvGraphicFramePr/>
      </xdr:nvGraphicFramePr>
      <xdr:xfrm>
        <a:off x="808200" y="8631000"/>
        <a:ext cx="8674560" cy="141534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50760</xdr:colOff>
      <xdr:row>759</xdr:row>
      <xdr:rowOff>9720</xdr:rowOff>
    </xdr:from>
    <xdr:to>
      <xdr:col>6</xdr:col>
      <xdr:colOff>1050840</xdr:colOff>
      <xdr:row>846</xdr:row>
      <xdr:rowOff>20160</xdr:rowOff>
    </xdr:to>
    <xdr:graphicFrame>
      <xdr:nvGraphicFramePr>
        <xdr:cNvPr id="18" name=""/>
        <xdr:cNvGraphicFramePr/>
      </xdr:nvGraphicFramePr>
      <xdr:xfrm>
        <a:off x="863640" y="126492120"/>
        <a:ext cx="8674560" cy="1415340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1800</xdr:colOff>
      <xdr:row>879</xdr:row>
      <xdr:rowOff>106560</xdr:rowOff>
    </xdr:from>
    <xdr:to>
      <xdr:col>6</xdr:col>
      <xdr:colOff>1001880</xdr:colOff>
      <xdr:row>966</xdr:row>
      <xdr:rowOff>117360</xdr:rowOff>
    </xdr:to>
    <xdr:graphicFrame>
      <xdr:nvGraphicFramePr>
        <xdr:cNvPr id="19" name=""/>
        <xdr:cNvGraphicFramePr/>
      </xdr:nvGraphicFramePr>
      <xdr:xfrm>
        <a:off x="814680" y="146521080"/>
        <a:ext cx="8674560" cy="1415340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11880</xdr:colOff>
      <xdr:row>997</xdr:row>
      <xdr:rowOff>39240</xdr:rowOff>
    </xdr:from>
    <xdr:to>
      <xdr:col>6</xdr:col>
      <xdr:colOff>1011960</xdr:colOff>
      <xdr:row>1084</xdr:row>
      <xdr:rowOff>49680</xdr:rowOff>
    </xdr:to>
    <xdr:graphicFrame>
      <xdr:nvGraphicFramePr>
        <xdr:cNvPr id="20" name=""/>
        <xdr:cNvGraphicFramePr/>
      </xdr:nvGraphicFramePr>
      <xdr:xfrm>
        <a:off x="824760" y="165909960"/>
        <a:ext cx="8674560" cy="1415340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803880</xdr:colOff>
      <xdr:row>165</xdr:row>
      <xdr:rowOff>66240</xdr:rowOff>
    </xdr:from>
    <xdr:to>
      <xdr:col>6</xdr:col>
      <xdr:colOff>991080</xdr:colOff>
      <xdr:row>252</xdr:row>
      <xdr:rowOff>77040</xdr:rowOff>
    </xdr:to>
    <xdr:graphicFrame>
      <xdr:nvGraphicFramePr>
        <xdr:cNvPr id="21" name=""/>
        <xdr:cNvGraphicFramePr/>
      </xdr:nvGraphicFramePr>
      <xdr:xfrm>
        <a:off x="803880" y="28006200"/>
        <a:ext cx="8674560" cy="1415340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22320</xdr:colOff>
      <xdr:row>1113</xdr:row>
      <xdr:rowOff>143280</xdr:rowOff>
    </xdr:from>
    <xdr:to>
      <xdr:col>6</xdr:col>
      <xdr:colOff>1022400</xdr:colOff>
      <xdr:row>1200</xdr:row>
      <xdr:rowOff>154080</xdr:rowOff>
    </xdr:to>
    <xdr:graphicFrame>
      <xdr:nvGraphicFramePr>
        <xdr:cNvPr id="22" name=""/>
        <xdr:cNvGraphicFramePr/>
      </xdr:nvGraphicFramePr>
      <xdr:xfrm>
        <a:off x="835200" y="185291640"/>
        <a:ext cx="8674560" cy="1415340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774360</xdr:colOff>
      <xdr:row>1232</xdr:row>
      <xdr:rowOff>12960</xdr:rowOff>
    </xdr:from>
    <xdr:to>
      <xdr:col>6</xdr:col>
      <xdr:colOff>961560</xdr:colOff>
      <xdr:row>1319</xdr:row>
      <xdr:rowOff>23400</xdr:rowOff>
    </xdr:to>
    <xdr:graphicFrame>
      <xdr:nvGraphicFramePr>
        <xdr:cNvPr id="23" name=""/>
        <xdr:cNvGraphicFramePr/>
      </xdr:nvGraphicFramePr>
      <xdr:xfrm>
        <a:off x="774360" y="204926040"/>
        <a:ext cx="8674560" cy="1415340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0</xdr:col>
      <xdr:colOff>804960</xdr:colOff>
      <xdr:row>1348</xdr:row>
      <xdr:rowOff>139680</xdr:rowOff>
    </xdr:from>
    <xdr:to>
      <xdr:col>6</xdr:col>
      <xdr:colOff>992160</xdr:colOff>
      <xdr:row>1435</xdr:row>
      <xdr:rowOff>150480</xdr:rowOff>
    </xdr:to>
    <xdr:graphicFrame>
      <xdr:nvGraphicFramePr>
        <xdr:cNvPr id="24" name=""/>
        <xdr:cNvGraphicFramePr/>
      </xdr:nvGraphicFramePr>
      <xdr:xfrm>
        <a:off x="804960" y="224330400"/>
        <a:ext cx="8674560" cy="1415340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99999"/>
    <pageSetUpPr fitToPage="false"/>
  </sheetPr>
  <dimension ref="A1:E28"/>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6" activeCellId="0" sqref="A16"/>
    </sheetView>
  </sheetViews>
  <sheetFormatPr defaultColWidth="11.53515625" defaultRowHeight="12.8" customHeight="false" zeroHeight="false" outlineLevelRow="0" outlineLevelCol="0"/>
  <cols>
    <col collapsed="false" customWidth="true" hidden="false" outlineLevel="0" max="2" min="2" style="1" width="25.37"/>
    <col collapsed="false" customWidth="true" hidden="false" outlineLevel="0" max="3" min="3" style="1" width="34.59"/>
    <col collapsed="false" customWidth="true" hidden="false" outlineLevel="0" max="4" min="4" style="0" width="23.07"/>
  </cols>
  <sheetData>
    <row r="1" customFormat="false" ht="12.8" hidden="false" customHeight="false" outlineLevel="0" collapsed="false">
      <c r="A1" s="2" t="s">
        <v>0</v>
      </c>
      <c r="B1" s="2"/>
      <c r="C1" s="2"/>
    </row>
    <row r="2" customFormat="false" ht="12.8" hidden="false" customHeight="false" outlineLevel="0" collapsed="false">
      <c r="A2" s="3" t="s">
        <v>1</v>
      </c>
      <c r="B2" s="4" t="s">
        <v>2</v>
      </c>
      <c r="C2" s="4"/>
    </row>
    <row r="3" customFormat="false" ht="12.8" hidden="false" customHeight="false" outlineLevel="0" collapsed="false">
      <c r="A3" s="5" t="s">
        <v>3</v>
      </c>
      <c r="B3" s="5" t="s">
        <v>4</v>
      </c>
      <c r="C3" s="5" t="s">
        <v>5</v>
      </c>
    </row>
    <row r="4" customFormat="false" ht="12.8" hidden="false" customHeight="false" outlineLevel="0" collapsed="false">
      <c r="A4" s="1" t="n">
        <v>0</v>
      </c>
      <c r="B4" s="6" t="s">
        <v>6</v>
      </c>
      <c r="C4" s="1" t="str">
        <f aca="false">AL!$B$1</f>
        <v>U.S. Labor Statistics (Alabama)</v>
      </c>
    </row>
    <row r="5" customFormat="false" ht="12.8" hidden="false" customHeight="false" outlineLevel="0" collapsed="false">
      <c r="A5" s="1" t="n">
        <v>0</v>
      </c>
      <c r="B5" s="6" t="s">
        <v>7</v>
      </c>
      <c r="C5" s="1" t="str">
        <f aca="false">AR!$B$1</f>
        <v>U.S. Labor Statistics (Arkansas)</v>
      </c>
    </row>
    <row r="6" customFormat="false" ht="12.8" hidden="false" customHeight="false" outlineLevel="0" collapsed="false">
      <c r="A6" s="1" t="n">
        <v>0</v>
      </c>
      <c r="B6" s="6" t="s">
        <v>8</v>
      </c>
    </row>
    <row r="7" customFormat="false" ht="12.8" hidden="true" customHeight="false" outlineLevel="0" collapsed="false">
      <c r="A7" s="1" t="n">
        <v>0</v>
      </c>
      <c r="B7" s="6" t="s">
        <v>9</v>
      </c>
    </row>
    <row r="8" customFormat="false" ht="12.8" hidden="true" customHeight="false" outlineLevel="0" collapsed="false">
      <c r="A8" s="1" t="n">
        <v>0</v>
      </c>
      <c r="B8" s="6" t="s">
        <v>10</v>
      </c>
    </row>
    <row r="9" customFormat="false" ht="12.8" hidden="true" customHeight="false" outlineLevel="0" collapsed="false">
      <c r="A9" s="1" t="n">
        <v>0</v>
      </c>
      <c r="B9" s="6" t="s">
        <v>11</v>
      </c>
    </row>
    <row r="10" customFormat="false" ht="12.8" hidden="true" customHeight="false" outlineLevel="0" collapsed="false">
      <c r="A10" s="1" t="n">
        <v>0</v>
      </c>
      <c r="B10" s="6" t="s">
        <v>12</v>
      </c>
    </row>
    <row r="11" customFormat="false" ht="12.8" hidden="true" customHeight="false" outlineLevel="0" collapsed="false">
      <c r="A11" s="1" t="n">
        <v>0</v>
      </c>
      <c r="B11" s="6" t="s">
        <v>13</v>
      </c>
    </row>
    <row r="12" customFormat="false" ht="12.8" hidden="true" customHeight="false" outlineLevel="0" collapsed="false">
      <c r="A12" s="1" t="n">
        <v>0</v>
      </c>
      <c r="B12" s="6" t="s">
        <v>14</v>
      </c>
    </row>
    <row r="13" customFormat="false" ht="12.8" hidden="true" customHeight="false" outlineLevel="0" collapsed="false">
      <c r="A13" s="1" t="n">
        <v>0</v>
      </c>
      <c r="B13" s="6" t="s">
        <v>15</v>
      </c>
    </row>
    <row r="14" customFormat="false" ht="12.8" hidden="true" customHeight="false" outlineLevel="0" collapsed="false">
      <c r="A14" s="1" t="n">
        <v>0</v>
      </c>
      <c r="B14" s="6" t="s">
        <v>16</v>
      </c>
    </row>
    <row r="15" customFormat="false" ht="12.8" hidden="true" customHeight="false" outlineLevel="0" collapsed="false">
      <c r="A15" s="1" t="n">
        <v>0</v>
      </c>
      <c r="B15" s="6" t="s">
        <v>17</v>
      </c>
    </row>
    <row r="16" customFormat="false" ht="12.8" hidden="false" customHeight="false" outlineLevel="0" collapsed="false">
      <c r="A16" s="1"/>
    </row>
    <row r="18" customFormat="false" ht="12.8" hidden="false" customHeight="false" outlineLevel="0" collapsed="false">
      <c r="A18" s="5" t="s">
        <v>18</v>
      </c>
      <c r="B18" s="5" t="s">
        <v>19</v>
      </c>
    </row>
    <row r="19" customFormat="false" ht="12.8" hidden="false" customHeight="false" outlineLevel="0" collapsed="false">
      <c r="A19" s="5" t="s">
        <v>20</v>
      </c>
      <c r="B19" s="5" t="s">
        <v>3</v>
      </c>
      <c r="C19" s="5" t="s">
        <v>21</v>
      </c>
    </row>
    <row r="20" customFormat="false" ht="12.8" hidden="false" customHeight="false" outlineLevel="0" collapsed="false">
      <c r="A20" s="7" t="n">
        <v>0</v>
      </c>
      <c r="B20" s="7" t="s">
        <v>22</v>
      </c>
      <c r="C20" s="7" t="s">
        <v>23</v>
      </c>
    </row>
    <row r="21" customFormat="false" ht="12.8" hidden="false" customHeight="false" outlineLevel="0" collapsed="false">
      <c r="A21" s="7" t="n">
        <v>1</v>
      </c>
      <c r="B21" s="7" t="s">
        <v>24</v>
      </c>
      <c r="C21" s="7" t="s">
        <v>25</v>
      </c>
    </row>
    <row r="22" customFormat="false" ht="12.8" hidden="false" customHeight="false" outlineLevel="0" collapsed="false">
      <c r="A22" s="1" t="n">
        <v>2</v>
      </c>
      <c r="B22" s="1" t="s">
        <v>26</v>
      </c>
      <c r="C22" s="1" t="s">
        <v>27</v>
      </c>
    </row>
    <row r="23" customFormat="false" ht="12.8" hidden="false" customHeight="false" outlineLevel="0" collapsed="false">
      <c r="A23" s="1" t="n">
        <v>3</v>
      </c>
      <c r="B23" s="1" t="s">
        <v>3</v>
      </c>
      <c r="C23" s="1" t="s">
        <v>21</v>
      </c>
    </row>
    <row r="25" customFormat="false" ht="12.8" hidden="false" customHeight="false" outlineLevel="0" collapsed="false">
      <c r="A25" s="5" t="s">
        <v>28</v>
      </c>
      <c r="B25" s="5" t="s">
        <v>29</v>
      </c>
    </row>
    <row r="26" customFormat="false" ht="12.8" hidden="false" customHeight="false" outlineLevel="0" collapsed="false">
      <c r="A26" s="5" t="s">
        <v>26</v>
      </c>
      <c r="B26" s="5" t="s">
        <v>5</v>
      </c>
      <c r="C26" s="5" t="s">
        <v>30</v>
      </c>
      <c r="D26" s="5" t="s">
        <v>31</v>
      </c>
      <c r="E26" s="0" t="s">
        <v>32</v>
      </c>
    </row>
    <row r="27" customFormat="false" ht="24.85" hidden="false" customHeight="false" outlineLevel="0" collapsed="false">
      <c r="A27" s="1" t="s">
        <v>33</v>
      </c>
      <c r="B27" s="0" t="s">
        <v>34</v>
      </c>
      <c r="C27" s="8" t="s">
        <v>35</v>
      </c>
      <c r="D27" s="9" t="s">
        <v>36</v>
      </c>
      <c r="E27" s="0" t="s">
        <v>37</v>
      </c>
    </row>
    <row r="28" customFormat="false" ht="24.85" hidden="false" customHeight="false" outlineLevel="0" collapsed="false">
      <c r="A28" s="1" t="s">
        <v>38</v>
      </c>
      <c r="B28" s="0" t="s">
        <v>39</v>
      </c>
      <c r="C28" s="8" t="s">
        <v>35</v>
      </c>
      <c r="D28" s="0" t="s">
        <v>40</v>
      </c>
      <c r="E28" s="0" t="s">
        <v>37</v>
      </c>
    </row>
  </sheetData>
  <mergeCells count="2">
    <mergeCell ref="A1:C1"/>
    <mergeCell ref="B2:C2"/>
  </mergeCells>
  <hyperlinks>
    <hyperlink ref="B4" location="AL!A1" display="AL"/>
    <hyperlink ref="B5" location="AR!A1" display="AR"/>
    <hyperlink ref="B6" location="FL!A1" display="FL"/>
    <hyperlink ref="B7" location="GA!A1" display="GA"/>
    <hyperlink ref="B8" location="KY!A1" display="KY"/>
    <hyperlink ref="B9" location="LA!A1" display="LA"/>
    <hyperlink ref="B10" location="MS!A1" display="MS"/>
    <hyperlink ref="B11" location="NC!A1" display="NC"/>
    <hyperlink ref="B12" location="SC!A1" display="SC"/>
    <hyperlink ref="B13" location="TN!A1" display="TN"/>
    <hyperlink ref="B14" location="VA!A1" display="VA"/>
    <hyperlink ref="B15" location="WV!A1" display="WV"/>
  </hyperlink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0041"/>
    <pageSetUpPr fitToPage="false"/>
  </sheetPr>
  <dimension ref="A1:BO134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11.53515625" defaultRowHeight="12.8" customHeight="false" zeroHeight="false" outlineLevelRow="1"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0" t="s">
        <v>6</v>
      </c>
      <c r="B1" s="11" t="s">
        <v>41</v>
      </c>
    </row>
    <row r="2" s="11" customFormat="true" ht="45.75" hidden="false" customHeight="false" outlineLevel="0" collapsed="false">
      <c r="A2" s="12" t="s">
        <v>22</v>
      </c>
      <c r="B2" s="12" t="s">
        <v>42</v>
      </c>
      <c r="C2" s="12" t="s">
        <v>43</v>
      </c>
      <c r="D2" s="13" t="s">
        <v>44</v>
      </c>
      <c r="E2" s="13" t="s">
        <v>45</v>
      </c>
      <c r="F2" s="13" t="s">
        <v>46</v>
      </c>
      <c r="G2" s="13" t="s">
        <v>47</v>
      </c>
      <c r="H2" s="14" t="s">
        <v>48</v>
      </c>
      <c r="I2" s="15" t="s">
        <v>49</v>
      </c>
      <c r="J2" s="15" t="s">
        <v>50</v>
      </c>
      <c r="K2" s="15" t="s">
        <v>51</v>
      </c>
      <c r="L2" s="11" t="s">
        <v>52</v>
      </c>
      <c r="M2" s="11" t="s">
        <v>53</v>
      </c>
      <c r="N2" s="11" t="s">
        <v>54</v>
      </c>
      <c r="O2" s="11" t="s">
        <v>55</v>
      </c>
      <c r="P2" s="16" t="s">
        <v>56</v>
      </c>
      <c r="Q2" s="16" t="s">
        <v>57</v>
      </c>
      <c r="R2" s="16" t="s">
        <v>58</v>
      </c>
      <c r="S2" s="16" t="s">
        <v>59</v>
      </c>
      <c r="T2" s="16" t="s">
        <v>60</v>
      </c>
      <c r="U2" s="16" t="s">
        <v>61</v>
      </c>
      <c r="V2" s="16" t="s">
        <v>62</v>
      </c>
      <c r="W2" s="16" t="s">
        <v>63</v>
      </c>
      <c r="X2" s="16" t="s">
        <v>64</v>
      </c>
      <c r="Y2" s="16" t="s">
        <v>65</v>
      </c>
      <c r="Z2" s="16" t="s">
        <v>66</v>
      </c>
      <c r="AA2" s="17" t="s">
        <v>67</v>
      </c>
      <c r="AB2" s="17" t="s">
        <v>68</v>
      </c>
      <c r="AC2" s="17" t="s">
        <v>69</v>
      </c>
      <c r="AD2" s="18" t="s">
        <v>70</v>
      </c>
      <c r="AE2" s="18" t="s">
        <v>71</v>
      </c>
      <c r="AF2" s="18" t="s">
        <v>72</v>
      </c>
      <c r="AG2" s="17" t="s">
        <v>73</v>
      </c>
      <c r="AH2" s="17" t="s">
        <v>74</v>
      </c>
      <c r="AI2" s="17" t="s">
        <v>75</v>
      </c>
      <c r="AJ2" s="18" t="s">
        <v>76</v>
      </c>
      <c r="AK2" s="18" t="s">
        <v>77</v>
      </c>
      <c r="AL2" s="18" t="s">
        <v>78</v>
      </c>
      <c r="AM2" s="17" t="s">
        <v>79</v>
      </c>
      <c r="AN2" s="17" t="s">
        <v>80</v>
      </c>
      <c r="AO2" s="17" t="s">
        <v>81</v>
      </c>
      <c r="AP2" s="18" t="s">
        <v>82</v>
      </c>
      <c r="AQ2" s="18" t="s">
        <v>83</v>
      </c>
      <c r="AR2" s="18" t="s">
        <v>84</v>
      </c>
      <c r="AS2" s="17" t="s">
        <v>85</v>
      </c>
      <c r="AT2" s="17" t="s">
        <v>86</v>
      </c>
      <c r="AU2" s="17" t="s">
        <v>87</v>
      </c>
      <c r="AV2" s="17" t="s">
        <v>88</v>
      </c>
      <c r="AW2" s="17" t="s">
        <v>89</v>
      </c>
      <c r="AX2" s="17" t="s">
        <v>90</v>
      </c>
      <c r="AY2" s="17" t="s">
        <v>91</v>
      </c>
      <c r="AZ2" s="17" t="s">
        <v>92</v>
      </c>
      <c r="BA2" s="17" t="s">
        <v>93</v>
      </c>
      <c r="BB2" s="17" t="s">
        <v>94</v>
      </c>
      <c r="BC2" s="17" t="s">
        <v>95</v>
      </c>
      <c r="BD2" s="11" t="s">
        <v>96</v>
      </c>
      <c r="BE2" s="11" t="s">
        <v>97</v>
      </c>
      <c r="BF2" s="11" t="s">
        <v>98</v>
      </c>
      <c r="BG2" s="11" t="s">
        <v>99</v>
      </c>
      <c r="BH2" s="11" t="s">
        <v>100</v>
      </c>
      <c r="BI2" s="11" t="s">
        <v>101</v>
      </c>
      <c r="BJ2" s="11" t="s">
        <v>102</v>
      </c>
      <c r="BK2" s="11" t="s">
        <v>103</v>
      </c>
      <c r="BL2" s="11" t="s">
        <v>104</v>
      </c>
      <c r="BM2" s="11" t="s">
        <v>105</v>
      </c>
      <c r="BN2" s="11" t="s">
        <v>106</v>
      </c>
      <c r="BO2" s="11" t="s">
        <v>107</v>
      </c>
    </row>
    <row r="3" customFormat="false" ht="23.85" hidden="false" customHeight="false" outlineLevel="0" collapsed="false">
      <c r="A3" s="11" t="n">
        <v>0</v>
      </c>
      <c r="B3" s="11" t="s">
        <v>108</v>
      </c>
      <c r="C3" s="11" t="s">
        <v>109</v>
      </c>
      <c r="D3" s="19" t="n">
        <v>2211200</v>
      </c>
      <c r="E3" s="19" t="n">
        <v>73000</v>
      </c>
      <c r="F3" s="19" t="n">
        <v>47000</v>
      </c>
      <c r="G3" s="19" t="n">
        <v>2094200</v>
      </c>
      <c r="H3" s="14" t="n">
        <v>0.973</v>
      </c>
      <c r="I3" s="14" t="n">
        <v>0.95</v>
      </c>
      <c r="J3" s="14" t="n">
        <v>0.92</v>
      </c>
      <c r="K3" s="14" t="n">
        <v>0.976</v>
      </c>
      <c r="L3" s="14" t="n">
        <v>0.577</v>
      </c>
      <c r="M3" s="14" t="n">
        <v>0.65</v>
      </c>
      <c r="N3" s="14" t="n">
        <v>0.72</v>
      </c>
      <c r="O3" s="14" t="n">
        <v>0.578</v>
      </c>
      <c r="P3" s="14" t="n">
        <v>0.027</v>
      </c>
      <c r="Q3" s="14" t="n">
        <v>0.05</v>
      </c>
      <c r="R3" s="14" t="n">
        <v>0.08</v>
      </c>
      <c r="S3" s="14" t="n">
        <v>0.024</v>
      </c>
      <c r="T3" s="14" t="n">
        <v>0.054</v>
      </c>
      <c r="U3" s="14" t="n">
        <v>0.062</v>
      </c>
      <c r="V3" s="14" t="n">
        <v>0.095</v>
      </c>
      <c r="W3" s="14" t="n">
        <v>0.049</v>
      </c>
      <c r="X3" s="20" t="n">
        <v>22.5</v>
      </c>
      <c r="Y3" s="20" t="n">
        <v>15</v>
      </c>
      <c r="Z3" s="20" t="n">
        <v>35</v>
      </c>
      <c r="AA3" s="21" t="n">
        <v>46800</v>
      </c>
      <c r="AB3" s="21" t="n">
        <v>31200</v>
      </c>
      <c r="AC3" s="21" t="n">
        <v>72800</v>
      </c>
      <c r="AD3" s="22" t="n">
        <v>21.8</v>
      </c>
      <c r="AE3" s="22" t="n">
        <v>14.5</v>
      </c>
      <c r="AF3" s="22" t="n">
        <v>34</v>
      </c>
      <c r="AG3" s="21" t="n">
        <v>45344</v>
      </c>
      <c r="AH3" s="21" t="n">
        <v>30128</v>
      </c>
      <c r="AI3" s="21" t="n">
        <v>70640</v>
      </c>
      <c r="AJ3" s="22" t="n">
        <v>19.5</v>
      </c>
      <c r="AK3" s="22" t="n">
        <v>13</v>
      </c>
      <c r="AL3" s="22" t="n">
        <v>30</v>
      </c>
      <c r="AM3" s="21" t="n">
        <v>40560</v>
      </c>
      <c r="AN3" s="21" t="n">
        <v>27000</v>
      </c>
      <c r="AO3" s="21" t="n">
        <v>62400</v>
      </c>
      <c r="AP3" s="22" t="n">
        <v>22.8</v>
      </c>
      <c r="AQ3" s="22" t="n">
        <v>15.2</v>
      </c>
      <c r="AR3" s="22" t="n">
        <v>35.5</v>
      </c>
      <c r="AS3" s="21" t="n">
        <v>47424</v>
      </c>
      <c r="AT3" s="21" t="n">
        <v>31616</v>
      </c>
      <c r="AU3" s="21" t="n">
        <v>73840</v>
      </c>
      <c r="AV3" s="21" t="n">
        <v>850000000</v>
      </c>
      <c r="AW3" s="21" t="n">
        <v>28000000</v>
      </c>
      <c r="AX3" s="21" t="n">
        <v>85000000</v>
      </c>
      <c r="AY3" s="21" t="n">
        <v>737000000</v>
      </c>
      <c r="AZ3" s="21" t="n">
        <v>430000000</v>
      </c>
      <c r="BA3" s="21" t="n">
        <v>14000000</v>
      </c>
      <c r="BB3" s="21" t="n">
        <v>43000000</v>
      </c>
      <c r="BC3" s="21" t="n">
        <v>383000000</v>
      </c>
      <c r="BD3" s="23" t="n">
        <v>219000000</v>
      </c>
      <c r="BE3" s="23" t="n">
        <v>56000000</v>
      </c>
      <c r="BF3" s="23" t="n">
        <v>0</v>
      </c>
      <c r="BG3" s="23" t="n">
        <v>163000000</v>
      </c>
      <c r="BH3" s="23" t="n">
        <v>102000000</v>
      </c>
      <c r="BI3" s="23" t="n">
        <v>25500000</v>
      </c>
      <c r="BJ3" s="23" t="n">
        <v>10200000</v>
      </c>
      <c r="BK3" s="23" t="n">
        <v>76500000</v>
      </c>
      <c r="BL3" s="23" t="n">
        <v>109000000</v>
      </c>
      <c r="BM3" s="23" t="n">
        <v>28000000</v>
      </c>
      <c r="BN3" s="23" t="n">
        <v>14000000</v>
      </c>
      <c r="BO3" s="23" t="n">
        <v>81000000</v>
      </c>
    </row>
    <row r="4" customFormat="false" ht="12.8" hidden="false" customHeight="false" outlineLevel="0" collapsed="false">
      <c r="A4" s="11" t="n">
        <v>1</v>
      </c>
      <c r="B4" s="11" t="s">
        <v>110</v>
      </c>
      <c r="C4" s="11" t="s">
        <v>111</v>
      </c>
      <c r="D4" s="19" t="n">
        <v>10000</v>
      </c>
      <c r="E4" s="19" t="n">
        <v>330</v>
      </c>
      <c r="F4" s="19" t="n">
        <v>210</v>
      </c>
      <c r="G4" s="19" t="n">
        <v>9460</v>
      </c>
      <c r="H4" s="14" t="n">
        <v>0.952</v>
      </c>
      <c r="I4" s="14" t="n">
        <v>0.93</v>
      </c>
      <c r="J4" s="14" t="n">
        <v>0.89</v>
      </c>
      <c r="K4" s="14" t="n">
        <v>0.955</v>
      </c>
      <c r="L4" s="14" t="n">
        <v>0.62</v>
      </c>
      <c r="M4" s="14" t="n">
        <v>0.68</v>
      </c>
      <c r="N4" s="14" t="n">
        <v>0.78</v>
      </c>
      <c r="O4" s="14" t="n">
        <v>0.6</v>
      </c>
      <c r="P4" s="14" t="n">
        <v>0.048</v>
      </c>
      <c r="Q4" s="14" t="n">
        <v>0.07</v>
      </c>
      <c r="R4" s="14" t="n">
        <v>0.11</v>
      </c>
      <c r="S4" s="14" t="n">
        <v>0.045</v>
      </c>
      <c r="T4" s="14" t="n">
        <v>0.095</v>
      </c>
      <c r="U4" s="14" t="n">
        <v>0.11</v>
      </c>
      <c r="V4" s="14" t="n">
        <v>0.17</v>
      </c>
      <c r="W4" s="14" t="n">
        <v>0.086</v>
      </c>
      <c r="X4" s="20" t="n">
        <v>18</v>
      </c>
      <c r="Y4" s="20" t="n">
        <v>12</v>
      </c>
      <c r="Z4" s="20" t="n">
        <v>28</v>
      </c>
      <c r="AA4" s="21" t="n">
        <v>37440</v>
      </c>
      <c r="AB4" s="21" t="n">
        <v>24960</v>
      </c>
      <c r="AC4" s="21" t="n">
        <v>58240</v>
      </c>
      <c r="AD4" s="22" t="n">
        <v>17.4</v>
      </c>
      <c r="AE4" s="22" t="n">
        <v>11.6</v>
      </c>
      <c r="AF4" s="22" t="n">
        <v>27</v>
      </c>
      <c r="AG4" s="21" t="n">
        <v>36192</v>
      </c>
      <c r="AH4" s="21" t="n">
        <v>24128</v>
      </c>
      <c r="AI4" s="21" t="n">
        <v>56160</v>
      </c>
      <c r="AJ4" s="22" t="n">
        <v>15.3</v>
      </c>
      <c r="AK4" s="22" t="n">
        <v>10.2</v>
      </c>
      <c r="AL4" s="22" t="n">
        <v>23.8</v>
      </c>
      <c r="AM4" s="21" t="n">
        <v>31824</v>
      </c>
      <c r="AN4" s="21" t="n">
        <v>21216</v>
      </c>
      <c r="AO4" s="21" t="n">
        <v>49504</v>
      </c>
      <c r="AP4" s="22" t="n">
        <v>18.3</v>
      </c>
      <c r="AQ4" s="22" t="n">
        <v>12.2</v>
      </c>
      <c r="AR4" s="22" t="n">
        <v>28.5</v>
      </c>
      <c r="AS4" s="21" t="n">
        <v>38064</v>
      </c>
      <c r="AT4" s="21" t="n">
        <v>25376</v>
      </c>
      <c r="AU4" s="21" t="n">
        <v>59280</v>
      </c>
      <c r="AV4" s="21" t="n">
        <v>1200000</v>
      </c>
      <c r="AW4" s="21" t="n">
        <v>40000</v>
      </c>
      <c r="AX4" s="21" t="n">
        <v>120000</v>
      </c>
      <c r="AY4" s="21" t="n">
        <v>1040000</v>
      </c>
      <c r="AZ4" s="21" t="n">
        <v>600000</v>
      </c>
      <c r="BA4" s="21" t="n">
        <v>20000</v>
      </c>
      <c r="BB4" s="21" t="n">
        <v>60000</v>
      </c>
      <c r="BC4" s="21" t="n">
        <v>520000</v>
      </c>
      <c r="BD4" s="23" t="n">
        <v>75000</v>
      </c>
      <c r="BE4" s="23" t="n">
        <v>15000</v>
      </c>
      <c r="BF4" s="23" t="n">
        <v>0</v>
      </c>
      <c r="BG4" s="23" t="n">
        <v>60000</v>
      </c>
      <c r="BH4" s="23" t="n">
        <v>30000</v>
      </c>
      <c r="BI4" s="23" t="n">
        <v>7500</v>
      </c>
      <c r="BJ4" s="23" t="n">
        <v>3000</v>
      </c>
      <c r="BK4" s="23" t="n">
        <v>22500</v>
      </c>
      <c r="BL4" s="23" t="n">
        <v>15000</v>
      </c>
      <c r="BM4" s="23" t="n">
        <v>3000</v>
      </c>
      <c r="BN4" s="23" t="n">
        <v>1500</v>
      </c>
      <c r="BO4" s="23" t="n">
        <v>10500</v>
      </c>
    </row>
    <row r="5" customFormat="false" ht="12.8" hidden="false" customHeight="false" outlineLevel="0" collapsed="false">
      <c r="A5" s="11" t="n">
        <v>2</v>
      </c>
      <c r="B5" s="11" t="s">
        <v>110</v>
      </c>
      <c r="C5" s="11" t="s">
        <v>112</v>
      </c>
      <c r="D5" s="19" t="n">
        <v>5000</v>
      </c>
      <c r="E5" s="19" t="n">
        <v>165</v>
      </c>
      <c r="F5" s="19" t="n">
        <v>105</v>
      </c>
      <c r="G5" s="19" t="n">
        <v>4730</v>
      </c>
      <c r="H5" s="14" t="n">
        <v>0.952</v>
      </c>
      <c r="I5" s="14" t="n">
        <v>0.93</v>
      </c>
      <c r="J5" s="14" t="n">
        <v>0.89</v>
      </c>
      <c r="K5" s="14" t="n">
        <v>0.955</v>
      </c>
      <c r="L5" s="14" t="n">
        <v>0.589</v>
      </c>
      <c r="M5" s="14" t="n">
        <v>0.646</v>
      </c>
      <c r="N5" s="14" t="n">
        <v>0.741</v>
      </c>
      <c r="O5" s="14" t="n">
        <v>0.57</v>
      </c>
      <c r="P5" s="14" t="n">
        <v>0.048</v>
      </c>
      <c r="Q5" s="14" t="n">
        <v>0.07</v>
      </c>
      <c r="R5" s="14" t="n">
        <v>0.11</v>
      </c>
      <c r="S5" s="14" t="n">
        <v>0.045</v>
      </c>
      <c r="T5" s="14" t="n">
        <v>0.095</v>
      </c>
      <c r="U5" s="14" t="n">
        <v>0.11</v>
      </c>
      <c r="V5" s="14" t="n">
        <v>0.17</v>
      </c>
      <c r="W5" s="14" t="n">
        <v>0.086</v>
      </c>
      <c r="X5" s="20" t="n">
        <v>15.3</v>
      </c>
      <c r="Y5" s="20" t="n">
        <v>10.2</v>
      </c>
      <c r="Z5" s="20" t="n">
        <v>23.8</v>
      </c>
      <c r="AA5" s="21" t="n">
        <v>31824</v>
      </c>
      <c r="AB5" s="21" t="n">
        <v>21216</v>
      </c>
      <c r="AC5" s="21" t="n">
        <v>49504</v>
      </c>
      <c r="AD5" s="22" t="n">
        <v>14.8</v>
      </c>
      <c r="AE5" s="22" t="n">
        <v>9.87</v>
      </c>
      <c r="AF5" s="22" t="n">
        <v>22.95</v>
      </c>
      <c r="AG5" s="21" t="n">
        <v>30784</v>
      </c>
      <c r="AH5" s="21" t="n">
        <v>20523</v>
      </c>
      <c r="AI5" s="21" t="n">
        <v>47736</v>
      </c>
      <c r="AJ5" s="22" t="n">
        <v>13</v>
      </c>
      <c r="AK5" s="22" t="n">
        <v>8.67</v>
      </c>
      <c r="AL5" s="22" t="n">
        <v>20.2</v>
      </c>
      <c r="AM5" s="21" t="n">
        <v>27040</v>
      </c>
      <c r="AN5" s="21" t="n">
        <v>18027</v>
      </c>
      <c r="AO5" s="21" t="n">
        <v>42016</v>
      </c>
      <c r="AP5" s="22" t="n">
        <v>15.6</v>
      </c>
      <c r="AQ5" s="22" t="n">
        <v>10.4</v>
      </c>
      <c r="AR5" s="22" t="n">
        <v>24.3</v>
      </c>
      <c r="AS5" s="21" t="n">
        <v>32448</v>
      </c>
      <c r="AT5" s="21" t="n">
        <v>21632</v>
      </c>
      <c r="AU5" s="21" t="n">
        <v>50544</v>
      </c>
      <c r="AV5" s="21" t="n">
        <v>600000</v>
      </c>
      <c r="AW5" s="21" t="n">
        <v>20000</v>
      </c>
      <c r="AX5" s="21" t="n">
        <v>60000</v>
      </c>
      <c r="AY5" s="21" t="n">
        <v>520000</v>
      </c>
      <c r="AZ5" s="21" t="n">
        <v>300000</v>
      </c>
      <c r="BA5" s="21" t="n">
        <v>10000</v>
      </c>
      <c r="BB5" s="21" t="n">
        <v>30000</v>
      </c>
      <c r="BC5" s="21" t="n">
        <v>260000</v>
      </c>
      <c r="BD5" s="23" t="n">
        <v>37500</v>
      </c>
      <c r="BE5" s="23" t="n">
        <v>7500</v>
      </c>
      <c r="BF5" s="23" t="n">
        <v>0</v>
      </c>
      <c r="BG5" s="23" t="n">
        <v>30000</v>
      </c>
      <c r="BH5" s="23" t="n">
        <v>15000</v>
      </c>
      <c r="BI5" s="23" t="n">
        <v>3750</v>
      </c>
      <c r="BJ5" s="23" t="n">
        <v>1500</v>
      </c>
      <c r="BK5" s="23" t="n">
        <v>11250</v>
      </c>
      <c r="BL5" s="23" t="n">
        <v>7500</v>
      </c>
      <c r="BM5" s="23" t="n">
        <v>1500</v>
      </c>
      <c r="BN5" s="23" t="n">
        <v>750</v>
      </c>
      <c r="BO5" s="23" t="n">
        <v>5250</v>
      </c>
    </row>
    <row r="6" customFormat="false" ht="12.8" hidden="false" customHeight="false" outlineLevel="0" collapsed="false">
      <c r="A6" s="11" t="n">
        <v>3</v>
      </c>
      <c r="B6" s="11" t="s">
        <v>113</v>
      </c>
      <c r="C6" s="11" t="s">
        <v>111</v>
      </c>
      <c r="D6" s="19" t="n">
        <v>80000</v>
      </c>
      <c r="E6" s="19" t="n">
        <v>2640</v>
      </c>
      <c r="F6" s="19" t="n">
        <v>1690</v>
      </c>
      <c r="G6" s="19" t="n">
        <v>75670</v>
      </c>
      <c r="H6" s="14" t="n">
        <v>0.967</v>
      </c>
      <c r="I6" s="14" t="n">
        <v>0.94</v>
      </c>
      <c r="J6" s="14" t="n">
        <v>0.9</v>
      </c>
      <c r="K6" s="14" t="n">
        <v>0.97</v>
      </c>
      <c r="L6" s="14" t="n">
        <v>0.61</v>
      </c>
      <c r="M6" s="14" t="n">
        <v>0.67</v>
      </c>
      <c r="N6" s="14" t="n">
        <v>0.76</v>
      </c>
      <c r="O6" s="14" t="n">
        <v>0.59</v>
      </c>
      <c r="P6" s="14" t="n">
        <v>0.033</v>
      </c>
      <c r="Q6" s="14" t="n">
        <v>0.06</v>
      </c>
      <c r="R6" s="14" t="n">
        <v>0.1</v>
      </c>
      <c r="S6" s="14" t="n">
        <v>0.03</v>
      </c>
      <c r="T6" s="14" t="n">
        <v>0.07</v>
      </c>
      <c r="U6" s="14" t="n">
        <v>0.08</v>
      </c>
      <c r="V6" s="14" t="n">
        <v>0.14</v>
      </c>
      <c r="W6" s="14" t="n">
        <v>0.064</v>
      </c>
      <c r="X6" s="20" t="n">
        <v>28</v>
      </c>
      <c r="Y6" s="20" t="n">
        <v>18</v>
      </c>
      <c r="Z6" s="20" t="n">
        <v>42</v>
      </c>
      <c r="AA6" s="21" t="n">
        <v>58240</v>
      </c>
      <c r="AB6" s="21" t="n">
        <v>37440</v>
      </c>
      <c r="AC6" s="21" t="n">
        <v>87360</v>
      </c>
      <c r="AD6" s="22" t="n">
        <v>27.1</v>
      </c>
      <c r="AE6" s="22" t="n">
        <v>17.4</v>
      </c>
      <c r="AF6" s="22" t="n">
        <v>41</v>
      </c>
      <c r="AG6" s="21" t="n">
        <v>56368</v>
      </c>
      <c r="AH6" s="21" t="n">
        <v>36224</v>
      </c>
      <c r="AI6" s="21" t="n">
        <v>85280</v>
      </c>
      <c r="AJ6" s="22" t="n">
        <v>24</v>
      </c>
      <c r="AK6" s="22" t="n">
        <v>15.4</v>
      </c>
      <c r="AL6" s="22" t="n">
        <v>36</v>
      </c>
      <c r="AM6" s="21" t="n">
        <v>49920</v>
      </c>
      <c r="AN6" s="21" t="n">
        <v>33280</v>
      </c>
      <c r="AO6" s="21" t="n">
        <v>74880</v>
      </c>
      <c r="AP6" s="22" t="n">
        <v>28.4</v>
      </c>
      <c r="AQ6" s="22" t="n">
        <v>18.3</v>
      </c>
      <c r="AR6" s="22" t="n">
        <v>44.2</v>
      </c>
      <c r="AS6" s="21" t="n">
        <v>59152</v>
      </c>
      <c r="AT6" s="21" t="n">
        <v>38064</v>
      </c>
      <c r="AU6" s="21" t="n">
        <v>91856</v>
      </c>
      <c r="AV6" s="21" t="n">
        <v>15000000</v>
      </c>
      <c r="AW6" s="21" t="n">
        <v>500000</v>
      </c>
      <c r="AX6" s="21" t="n">
        <v>1500000</v>
      </c>
      <c r="AY6" s="21" t="n">
        <v>13000000</v>
      </c>
      <c r="AZ6" s="21" t="n">
        <v>7500000</v>
      </c>
      <c r="BA6" s="21" t="n">
        <v>250000</v>
      </c>
      <c r="BB6" s="21" t="n">
        <v>750000</v>
      </c>
      <c r="BC6" s="21" t="n">
        <v>6500000</v>
      </c>
      <c r="BD6" s="23" t="n">
        <v>2000000</v>
      </c>
      <c r="BE6" s="23" t="n">
        <v>400000</v>
      </c>
      <c r="BF6" s="23" t="n">
        <v>0</v>
      </c>
      <c r="BG6" s="23" t="n">
        <v>1600000</v>
      </c>
      <c r="BH6" s="23" t="n">
        <v>800000</v>
      </c>
      <c r="BI6" s="23" t="n">
        <v>200000</v>
      </c>
      <c r="BJ6" s="23" t="n">
        <v>80000</v>
      </c>
      <c r="BK6" s="23" t="n">
        <v>600000</v>
      </c>
      <c r="BL6" s="23" t="n">
        <v>400000</v>
      </c>
      <c r="BM6" s="23" t="n">
        <v>80000</v>
      </c>
      <c r="BN6" s="23" t="n">
        <v>40000</v>
      </c>
      <c r="BO6" s="23" t="n">
        <v>280000</v>
      </c>
    </row>
    <row r="7" customFormat="false" ht="12.8" hidden="false" customHeight="false" outlineLevel="0" collapsed="false">
      <c r="A7" s="11" t="n">
        <v>4</v>
      </c>
      <c r="B7" s="11" t="s">
        <v>113</v>
      </c>
      <c r="C7" s="11" t="s">
        <v>112</v>
      </c>
      <c r="D7" s="19" t="n">
        <v>32100</v>
      </c>
      <c r="E7" s="19" t="n">
        <v>1060</v>
      </c>
      <c r="F7" s="19" t="n">
        <v>680</v>
      </c>
      <c r="G7" s="19" t="n">
        <v>30360</v>
      </c>
      <c r="H7" s="14" t="n">
        <v>0.967</v>
      </c>
      <c r="I7" s="14" t="n">
        <v>0.94</v>
      </c>
      <c r="J7" s="14" t="n">
        <v>0.9</v>
      </c>
      <c r="K7" s="14" t="n">
        <v>0.97</v>
      </c>
      <c r="L7" s="14" t="n">
        <v>0.579</v>
      </c>
      <c r="M7" s="14" t="n">
        <v>0.637</v>
      </c>
      <c r="N7" s="14" t="n">
        <v>0.722</v>
      </c>
      <c r="O7" s="14" t="n">
        <v>0.56</v>
      </c>
      <c r="P7" s="14" t="n">
        <v>0.033</v>
      </c>
      <c r="Q7" s="14" t="n">
        <v>0.06</v>
      </c>
      <c r="R7" s="14" t="n">
        <v>0.1</v>
      </c>
      <c r="S7" s="14" t="n">
        <v>0.03</v>
      </c>
      <c r="T7" s="14" t="n">
        <v>0.07</v>
      </c>
      <c r="U7" s="14" t="n">
        <v>0.08</v>
      </c>
      <c r="V7" s="14" t="n">
        <v>0.14</v>
      </c>
      <c r="W7" s="14" t="n">
        <v>0.064</v>
      </c>
      <c r="X7" s="20" t="n">
        <v>23</v>
      </c>
      <c r="Y7" s="20" t="n">
        <v>15</v>
      </c>
      <c r="Z7" s="20" t="n">
        <v>35</v>
      </c>
      <c r="AA7" s="21" t="n">
        <v>47840</v>
      </c>
      <c r="AB7" s="21" t="n">
        <v>31200</v>
      </c>
      <c r="AC7" s="21" t="n">
        <v>72800</v>
      </c>
      <c r="AD7" s="22" t="n">
        <v>22.3</v>
      </c>
      <c r="AE7" s="22" t="n">
        <v>14.5</v>
      </c>
      <c r="AF7" s="22" t="n">
        <v>33.9</v>
      </c>
      <c r="AG7" s="21" t="n">
        <v>46384</v>
      </c>
      <c r="AH7" s="21" t="n">
        <v>30128</v>
      </c>
      <c r="AI7" s="21" t="n">
        <v>70472</v>
      </c>
      <c r="AJ7" s="22" t="n">
        <v>19.7</v>
      </c>
      <c r="AK7" s="22" t="n">
        <v>12.8</v>
      </c>
      <c r="AL7" s="22" t="n">
        <v>29.8</v>
      </c>
      <c r="AM7" s="21" t="n">
        <v>40976</v>
      </c>
      <c r="AN7" s="21" t="n">
        <v>26624</v>
      </c>
      <c r="AO7" s="21" t="n">
        <v>61984</v>
      </c>
      <c r="AP7" s="22" t="n">
        <v>23.3</v>
      </c>
      <c r="AQ7" s="22" t="n">
        <v>15.2</v>
      </c>
      <c r="AR7" s="22" t="n">
        <v>36.3</v>
      </c>
      <c r="AS7" s="21" t="n">
        <v>48464</v>
      </c>
      <c r="AT7" s="21" t="n">
        <v>31616</v>
      </c>
      <c r="AU7" s="21" t="n">
        <v>75424</v>
      </c>
      <c r="AV7" s="21" t="n">
        <v>6000000</v>
      </c>
      <c r="AW7" s="21" t="n">
        <v>200000</v>
      </c>
      <c r="AX7" s="21" t="n">
        <v>600000</v>
      </c>
      <c r="AY7" s="21" t="n">
        <v>5200000</v>
      </c>
      <c r="AZ7" s="21" t="n">
        <v>3000000</v>
      </c>
      <c r="BA7" s="21" t="n">
        <v>100000</v>
      </c>
      <c r="BB7" s="21" t="n">
        <v>300000</v>
      </c>
      <c r="BC7" s="21" t="n">
        <v>2600000</v>
      </c>
      <c r="BD7" s="23" t="n">
        <v>800000</v>
      </c>
      <c r="BE7" s="23" t="n">
        <v>160000</v>
      </c>
      <c r="BF7" s="23" t="n">
        <v>0</v>
      </c>
      <c r="BG7" s="23" t="n">
        <v>640000</v>
      </c>
      <c r="BH7" s="23" t="n">
        <v>320000</v>
      </c>
      <c r="BI7" s="23" t="n">
        <v>80000</v>
      </c>
      <c r="BJ7" s="23" t="n">
        <v>32000</v>
      </c>
      <c r="BK7" s="23" t="n">
        <v>240000</v>
      </c>
      <c r="BL7" s="23" t="n">
        <v>160000</v>
      </c>
      <c r="BM7" s="23" t="n">
        <v>32000</v>
      </c>
      <c r="BN7" s="23" t="n">
        <v>16000</v>
      </c>
      <c r="BO7" s="23" t="n">
        <v>112000</v>
      </c>
    </row>
    <row r="8" customFormat="false" ht="12.8" hidden="false" customHeight="false" outlineLevel="0" collapsed="false">
      <c r="A8" s="11" t="n">
        <v>5</v>
      </c>
      <c r="B8" s="11" t="s">
        <v>114</v>
      </c>
      <c r="C8" s="11" t="s">
        <v>111</v>
      </c>
      <c r="D8" s="19" t="n">
        <v>140000</v>
      </c>
      <c r="E8" s="19" t="n">
        <v>4620</v>
      </c>
      <c r="F8" s="19" t="n">
        <v>2960</v>
      </c>
      <c r="G8" s="19" t="n">
        <v>132420</v>
      </c>
      <c r="H8" s="14" t="n">
        <v>0.96</v>
      </c>
      <c r="I8" s="14" t="n">
        <v>0.93</v>
      </c>
      <c r="J8" s="14" t="n">
        <v>0.88</v>
      </c>
      <c r="K8" s="14" t="n">
        <v>0.963</v>
      </c>
      <c r="L8" s="14" t="n">
        <v>0.58</v>
      </c>
      <c r="M8" s="14" t="n">
        <v>0.64</v>
      </c>
      <c r="N8" s="14" t="n">
        <v>0.71</v>
      </c>
      <c r="O8" s="14" t="n">
        <v>0.57</v>
      </c>
      <c r="P8" s="14" t="n">
        <v>0.04</v>
      </c>
      <c r="Q8" s="14" t="n">
        <v>0.07</v>
      </c>
      <c r="R8" s="14" t="n">
        <v>0.12</v>
      </c>
      <c r="S8" s="14" t="n">
        <v>0.037</v>
      </c>
      <c r="T8" s="14" t="n">
        <v>0.085</v>
      </c>
      <c r="U8" s="14" t="n">
        <v>0.1</v>
      </c>
      <c r="V8" s="14" t="n">
        <v>0.18</v>
      </c>
      <c r="W8" s="14" t="n">
        <v>0.077</v>
      </c>
      <c r="X8" s="20" t="n">
        <v>16.5</v>
      </c>
      <c r="Y8" s="20" t="n">
        <v>11</v>
      </c>
      <c r="Z8" s="20" t="n">
        <v>25</v>
      </c>
      <c r="AA8" s="21" t="n">
        <v>34320</v>
      </c>
      <c r="AB8" s="21" t="n">
        <v>22880</v>
      </c>
      <c r="AC8" s="21" t="n">
        <v>52000</v>
      </c>
      <c r="AD8" s="22" t="n">
        <v>16</v>
      </c>
      <c r="AE8" s="22" t="n">
        <v>10.6</v>
      </c>
      <c r="AF8" s="22" t="n">
        <v>24.8</v>
      </c>
      <c r="AG8" s="21" t="n">
        <v>33280</v>
      </c>
      <c r="AH8" s="21" t="n">
        <v>22144</v>
      </c>
      <c r="AI8" s="21" t="n">
        <v>51584</v>
      </c>
      <c r="AJ8" s="22" t="n">
        <v>14</v>
      </c>
      <c r="AK8" s="22" t="n">
        <v>9.3</v>
      </c>
      <c r="AL8" s="22" t="n">
        <v>21.7</v>
      </c>
      <c r="AM8" s="21" t="n">
        <v>29120</v>
      </c>
      <c r="AN8" s="21" t="n">
        <v>19344</v>
      </c>
      <c r="AO8" s="21" t="n">
        <v>45136</v>
      </c>
      <c r="AP8" s="22" t="n">
        <v>16.8</v>
      </c>
      <c r="AQ8" s="22" t="n">
        <v>11.2</v>
      </c>
      <c r="AR8" s="22" t="n">
        <v>26.1</v>
      </c>
      <c r="AS8" s="21" t="n">
        <v>34944</v>
      </c>
      <c r="AT8" s="21" t="n">
        <v>23296</v>
      </c>
      <c r="AU8" s="21" t="n">
        <v>54288</v>
      </c>
      <c r="AV8" s="21" t="n">
        <v>18000000</v>
      </c>
      <c r="AW8" s="21" t="n">
        <v>600000</v>
      </c>
      <c r="AX8" s="21" t="n">
        <v>1800000</v>
      </c>
      <c r="AY8" s="21" t="n">
        <v>15600000</v>
      </c>
      <c r="AZ8" s="21" t="n">
        <v>9000000</v>
      </c>
      <c r="BA8" s="21" t="n">
        <v>300000</v>
      </c>
      <c r="BB8" s="21" t="n">
        <v>900000</v>
      </c>
      <c r="BC8" s="21" t="n">
        <v>7800000</v>
      </c>
      <c r="BD8" s="23" t="n">
        <v>3500000</v>
      </c>
      <c r="BE8" s="23" t="n">
        <v>700000</v>
      </c>
      <c r="BF8" s="23" t="n">
        <v>0</v>
      </c>
      <c r="BG8" s="23" t="n">
        <v>2800000</v>
      </c>
      <c r="BH8" s="23" t="n">
        <v>1400000</v>
      </c>
      <c r="BI8" s="23" t="n">
        <v>350000</v>
      </c>
      <c r="BJ8" s="23" t="n">
        <v>140000</v>
      </c>
      <c r="BK8" s="23" t="n">
        <v>1050000</v>
      </c>
      <c r="BL8" s="23" t="n">
        <v>700000</v>
      </c>
      <c r="BM8" s="23" t="n">
        <v>140000</v>
      </c>
      <c r="BN8" s="23" t="n">
        <v>70000</v>
      </c>
      <c r="BO8" s="23" t="n">
        <v>525000</v>
      </c>
    </row>
    <row r="9" customFormat="false" ht="12.8" hidden="false" customHeight="false" outlineLevel="0" collapsed="false">
      <c r="A9" s="11" t="n">
        <v>6</v>
      </c>
      <c r="B9" s="11" t="s">
        <v>114</v>
      </c>
      <c r="C9" s="11" t="s">
        <v>112</v>
      </c>
      <c r="D9" s="19" t="n">
        <v>77300</v>
      </c>
      <c r="E9" s="19" t="n">
        <v>2550</v>
      </c>
      <c r="F9" s="19" t="n">
        <v>1640</v>
      </c>
      <c r="G9" s="19" t="n">
        <v>73110</v>
      </c>
      <c r="H9" s="14" t="n">
        <v>0.96</v>
      </c>
      <c r="I9" s="14" t="n">
        <v>0.93</v>
      </c>
      <c r="J9" s="14" t="n">
        <v>0.88</v>
      </c>
      <c r="K9" s="14" t="n">
        <v>0.963</v>
      </c>
      <c r="L9" s="14" t="n">
        <v>0.551</v>
      </c>
      <c r="M9" s="14" t="n">
        <v>0.608</v>
      </c>
      <c r="N9" s="14" t="n">
        <v>0.674</v>
      </c>
      <c r="O9" s="14" t="n">
        <v>0.542</v>
      </c>
      <c r="P9" s="14" t="n">
        <v>0.04</v>
      </c>
      <c r="Q9" s="14" t="n">
        <v>0.07</v>
      </c>
      <c r="R9" s="14" t="n">
        <v>0.12</v>
      </c>
      <c r="S9" s="14" t="n">
        <v>0.037</v>
      </c>
      <c r="T9" s="14" t="n">
        <v>0.085</v>
      </c>
      <c r="U9" s="14" t="n">
        <v>0.1</v>
      </c>
      <c r="V9" s="14" t="n">
        <v>0.18</v>
      </c>
      <c r="W9" s="14" t="n">
        <v>0.077</v>
      </c>
      <c r="X9" s="20" t="n">
        <v>13.2</v>
      </c>
      <c r="Y9" s="20" t="n">
        <v>8.8</v>
      </c>
      <c r="Z9" s="20" t="n">
        <v>20</v>
      </c>
      <c r="AA9" s="21" t="n">
        <v>27456</v>
      </c>
      <c r="AB9" s="21" t="n">
        <v>18304</v>
      </c>
      <c r="AC9" s="21" t="n">
        <v>41600</v>
      </c>
      <c r="AD9" s="22" t="n">
        <v>12.8</v>
      </c>
      <c r="AE9" s="22" t="n">
        <v>8.5</v>
      </c>
      <c r="AF9" s="22" t="n">
        <v>19.8</v>
      </c>
      <c r="AG9" s="21" t="n">
        <v>26624</v>
      </c>
      <c r="AH9" s="21" t="n">
        <v>17728</v>
      </c>
      <c r="AI9" s="21" t="n">
        <v>41184</v>
      </c>
      <c r="AJ9" s="22" t="n">
        <v>11.2</v>
      </c>
      <c r="AK9" s="22" t="n">
        <v>7.5</v>
      </c>
      <c r="AL9" s="22" t="n">
        <v>17.4</v>
      </c>
      <c r="AM9" s="21" t="n">
        <v>23304</v>
      </c>
      <c r="AN9" s="21" t="n">
        <v>15520</v>
      </c>
      <c r="AO9" s="21" t="n">
        <v>36112</v>
      </c>
      <c r="AP9" s="22" t="n">
        <v>13.4</v>
      </c>
      <c r="AQ9" s="22" t="n">
        <v>8.9</v>
      </c>
      <c r="AR9" s="22" t="n">
        <v>20.8</v>
      </c>
      <c r="AS9" s="21" t="n">
        <v>27872</v>
      </c>
      <c r="AT9" s="21" t="n">
        <v>18581</v>
      </c>
      <c r="AU9" s="21" t="n">
        <v>43264</v>
      </c>
      <c r="AV9" s="21" t="n">
        <v>9000000</v>
      </c>
      <c r="AW9" s="21" t="n">
        <v>300000</v>
      </c>
      <c r="AX9" s="21" t="n">
        <v>900000</v>
      </c>
      <c r="AY9" s="21" t="n">
        <v>7800000</v>
      </c>
      <c r="AZ9" s="21" t="n">
        <v>4500000</v>
      </c>
      <c r="BA9" s="21" t="n">
        <v>150000</v>
      </c>
      <c r="BB9" s="21" t="n">
        <v>450000</v>
      </c>
      <c r="BC9" s="21" t="n">
        <v>3900000</v>
      </c>
      <c r="BD9" s="23" t="n">
        <v>1750000</v>
      </c>
      <c r="BE9" s="23" t="n">
        <v>350000</v>
      </c>
      <c r="BF9" s="23" t="n">
        <v>0</v>
      </c>
      <c r="BG9" s="23" t="n">
        <v>1400000</v>
      </c>
      <c r="BH9" s="23" t="n">
        <v>700000</v>
      </c>
      <c r="BI9" s="23" t="n">
        <v>175000</v>
      </c>
      <c r="BJ9" s="23" t="n">
        <v>70000</v>
      </c>
      <c r="BK9" s="23" t="n">
        <v>525000</v>
      </c>
      <c r="BL9" s="23" t="n">
        <v>350000</v>
      </c>
      <c r="BM9" s="23" t="n">
        <v>70000</v>
      </c>
      <c r="BN9" s="23" t="n">
        <v>35000</v>
      </c>
      <c r="BO9" s="23" t="n">
        <v>262500</v>
      </c>
    </row>
    <row r="10" customFormat="false" ht="12.8" hidden="false" customHeight="false" outlineLevel="0" collapsed="false">
      <c r="A10" s="11" t="n">
        <v>7</v>
      </c>
      <c r="B10" s="11" t="s">
        <v>115</v>
      </c>
      <c r="C10" s="11" t="s">
        <v>111</v>
      </c>
      <c r="D10" s="19" t="n">
        <v>30000</v>
      </c>
      <c r="E10" s="19" t="n">
        <v>990</v>
      </c>
      <c r="F10" s="19" t="n">
        <v>635</v>
      </c>
      <c r="G10" s="19" t="n">
        <v>28375</v>
      </c>
      <c r="H10" s="14" t="n">
        <v>0.957</v>
      </c>
      <c r="I10" s="14" t="n">
        <v>0.92</v>
      </c>
      <c r="J10" s="14" t="n">
        <v>0.87</v>
      </c>
      <c r="K10" s="14" t="n">
        <v>0.96</v>
      </c>
      <c r="L10" s="14" t="n">
        <v>0.595</v>
      </c>
      <c r="M10" s="14" t="n">
        <v>0.655</v>
      </c>
      <c r="N10" s="14" t="n">
        <v>0.74</v>
      </c>
      <c r="O10" s="14" t="n">
        <v>0.58</v>
      </c>
      <c r="P10" s="14" t="n">
        <v>0.043</v>
      </c>
      <c r="Q10" s="14" t="n">
        <v>0.08</v>
      </c>
      <c r="R10" s="14" t="n">
        <v>0.13</v>
      </c>
      <c r="S10" s="14" t="n">
        <v>0.04</v>
      </c>
      <c r="T10" s="14" t="n">
        <v>0.09</v>
      </c>
      <c r="U10" s="14" t="n">
        <v>0.105</v>
      </c>
      <c r="V10" s="14" t="n">
        <v>0.19</v>
      </c>
      <c r="W10" s="14" t="n">
        <v>0.081</v>
      </c>
      <c r="X10" s="20" t="n">
        <v>14.5</v>
      </c>
      <c r="Y10" s="20" t="n">
        <v>9.7</v>
      </c>
      <c r="Z10" s="20" t="n">
        <v>22</v>
      </c>
      <c r="AA10" s="21" t="n">
        <v>30160</v>
      </c>
      <c r="AB10" s="21" t="n">
        <v>20160</v>
      </c>
      <c r="AC10" s="21" t="n">
        <v>45760</v>
      </c>
      <c r="AD10" s="22" t="n">
        <v>14</v>
      </c>
      <c r="AE10" s="22" t="n">
        <v>9.3</v>
      </c>
      <c r="AF10" s="22" t="n">
        <v>21.7</v>
      </c>
      <c r="AG10" s="21" t="n">
        <v>29120</v>
      </c>
      <c r="AH10" s="21" t="n">
        <v>19424</v>
      </c>
      <c r="AI10" s="21" t="n">
        <v>45136</v>
      </c>
      <c r="AJ10" s="22" t="n">
        <v>12.3</v>
      </c>
      <c r="AK10" s="22" t="n">
        <v>8.2</v>
      </c>
      <c r="AL10" s="22" t="n">
        <v>19.1</v>
      </c>
      <c r="AM10" s="21" t="n">
        <v>25584</v>
      </c>
      <c r="AN10" s="21" t="n">
        <v>17056</v>
      </c>
      <c r="AO10" s="21" t="n">
        <v>39728</v>
      </c>
      <c r="AP10" s="22" t="n">
        <v>14.7</v>
      </c>
      <c r="AQ10" s="22" t="n">
        <v>9.8</v>
      </c>
      <c r="AR10" s="22" t="n">
        <v>22.9</v>
      </c>
      <c r="AS10" s="21" t="n">
        <v>30576</v>
      </c>
      <c r="AT10" s="21" t="n">
        <v>20384</v>
      </c>
      <c r="AU10" s="21" t="n">
        <v>47632</v>
      </c>
      <c r="AV10" s="21" t="n">
        <v>3500000</v>
      </c>
      <c r="AW10" s="21" t="n">
        <v>120000</v>
      </c>
      <c r="AX10" s="21" t="n">
        <v>350000</v>
      </c>
      <c r="AY10" s="21" t="n">
        <v>3030000</v>
      </c>
      <c r="AZ10" s="21" t="n">
        <v>1800000</v>
      </c>
      <c r="BA10" s="21" t="n">
        <v>60000</v>
      </c>
      <c r="BB10" s="21" t="n">
        <v>180000</v>
      </c>
      <c r="BC10" s="21" t="n">
        <v>1560000</v>
      </c>
      <c r="BD10" s="23" t="n">
        <v>750000</v>
      </c>
      <c r="BE10" s="23" t="n">
        <v>150000</v>
      </c>
      <c r="BF10" s="23" t="n">
        <v>0</v>
      </c>
      <c r="BG10" s="23" t="n">
        <v>600000</v>
      </c>
      <c r="BH10" s="23" t="n">
        <v>300000</v>
      </c>
      <c r="BI10" s="23" t="n">
        <v>75000</v>
      </c>
      <c r="BJ10" s="23" t="n">
        <v>30000</v>
      </c>
      <c r="BK10" s="23" t="n">
        <v>225000</v>
      </c>
      <c r="BL10" s="23" t="n">
        <v>150000</v>
      </c>
      <c r="BM10" s="23" t="n">
        <v>30000</v>
      </c>
      <c r="BN10" s="23" t="n">
        <v>15000</v>
      </c>
      <c r="BO10" s="23" t="n">
        <v>112500</v>
      </c>
    </row>
    <row r="11" customFormat="false" ht="12.8" hidden="false" customHeight="false" outlineLevel="0" collapsed="false">
      <c r="A11" s="11" t="n">
        <v>8</v>
      </c>
      <c r="B11" s="11" t="s">
        <v>115</v>
      </c>
      <c r="C11" s="11" t="s">
        <v>112</v>
      </c>
      <c r="D11" s="19" t="n">
        <v>15000</v>
      </c>
      <c r="E11" s="19" t="n">
        <v>495</v>
      </c>
      <c r="F11" s="19" t="n">
        <v>318</v>
      </c>
      <c r="G11" s="19" t="n">
        <v>14188</v>
      </c>
      <c r="H11" s="14" t="n">
        <v>0.957</v>
      </c>
      <c r="I11" s="14" t="n">
        <v>0.92</v>
      </c>
      <c r="J11" s="14" t="n">
        <v>0.87</v>
      </c>
      <c r="K11" s="14" t="n">
        <v>0.96</v>
      </c>
      <c r="L11" s="14" t="n">
        <v>0.565</v>
      </c>
      <c r="M11" s="14" t="n">
        <v>0.622</v>
      </c>
      <c r="N11" s="14" t="n">
        <v>0.703</v>
      </c>
      <c r="O11" s="14" t="n">
        <v>0.551</v>
      </c>
      <c r="P11" s="14" t="n">
        <v>0.043</v>
      </c>
      <c r="Q11" s="14" t="n">
        <v>0.08</v>
      </c>
      <c r="R11" s="14" t="n">
        <v>0.13</v>
      </c>
      <c r="S11" s="14" t="n">
        <v>0.04</v>
      </c>
      <c r="T11" s="14" t="n">
        <v>0.09</v>
      </c>
      <c r="U11" s="14" t="n">
        <v>0.105</v>
      </c>
      <c r="V11" s="14" t="n">
        <v>0.19</v>
      </c>
      <c r="W11" s="14" t="n">
        <v>0.081</v>
      </c>
      <c r="X11" s="20" t="n">
        <v>11.3</v>
      </c>
      <c r="Y11" s="20" t="n">
        <v>7.5</v>
      </c>
      <c r="Z11" s="20" t="n">
        <v>17.1</v>
      </c>
      <c r="AA11" s="21" t="n">
        <v>23504</v>
      </c>
      <c r="AB11" s="21" t="n">
        <v>15680</v>
      </c>
      <c r="AC11" s="21" t="n">
        <v>35584</v>
      </c>
      <c r="AD11" s="22" t="n">
        <v>10.9</v>
      </c>
      <c r="AE11" s="22" t="n">
        <v>7.3</v>
      </c>
      <c r="AF11" s="22" t="n">
        <v>17</v>
      </c>
      <c r="AG11" s="21" t="n">
        <v>22672</v>
      </c>
      <c r="AH11" s="21" t="n">
        <v>15125</v>
      </c>
      <c r="AI11" s="21" t="n">
        <v>35360</v>
      </c>
      <c r="AJ11" s="22" t="n">
        <v>9.6</v>
      </c>
      <c r="AK11" s="22" t="n">
        <v>6.4</v>
      </c>
      <c r="AL11" s="22" t="n">
        <v>14.9</v>
      </c>
      <c r="AM11" s="21" t="n">
        <v>19968</v>
      </c>
      <c r="AN11" s="21" t="n">
        <v>13312</v>
      </c>
      <c r="AO11" s="21" t="n">
        <v>31008</v>
      </c>
      <c r="AP11" s="22" t="n">
        <v>11.5</v>
      </c>
      <c r="AQ11" s="22" t="n">
        <v>7.7</v>
      </c>
      <c r="AR11" s="22" t="n">
        <v>17.9</v>
      </c>
      <c r="AS11" s="21" t="n">
        <v>23920</v>
      </c>
      <c r="AT11" s="21" t="n">
        <v>15947</v>
      </c>
      <c r="AU11" s="21" t="n">
        <v>37232</v>
      </c>
      <c r="AV11" s="21" t="n">
        <v>1700000</v>
      </c>
      <c r="AW11" s="21" t="n">
        <v>60000</v>
      </c>
      <c r="AX11" s="21" t="n">
        <v>170000</v>
      </c>
      <c r="AY11" s="21" t="n">
        <v>1470000</v>
      </c>
      <c r="AZ11" s="21" t="n">
        <v>900000</v>
      </c>
      <c r="BA11" s="21" t="n">
        <v>30000</v>
      </c>
      <c r="BB11" s="21" t="n">
        <v>90000</v>
      </c>
      <c r="BC11" s="21" t="n">
        <v>780000</v>
      </c>
      <c r="BD11" s="23" t="n">
        <v>375000</v>
      </c>
      <c r="BE11" s="23" t="n">
        <v>75000</v>
      </c>
      <c r="BF11" s="23" t="n">
        <v>0</v>
      </c>
      <c r="BG11" s="23" t="n">
        <v>300000</v>
      </c>
      <c r="BH11" s="23" t="n">
        <v>150000</v>
      </c>
      <c r="BI11" s="23" t="n">
        <v>37500</v>
      </c>
      <c r="BJ11" s="23" t="n">
        <v>15000</v>
      </c>
      <c r="BK11" s="23" t="n">
        <v>112500</v>
      </c>
      <c r="BL11" s="23" t="n">
        <v>75000</v>
      </c>
      <c r="BM11" s="23" t="n">
        <v>15000</v>
      </c>
      <c r="BN11" s="23" t="n">
        <v>7500</v>
      </c>
      <c r="BO11" s="23" t="n">
        <v>56250</v>
      </c>
    </row>
    <row r="12" customFormat="false" ht="12.8" hidden="false" customHeight="false" outlineLevel="0" collapsed="false">
      <c r="A12" s="11" t="n">
        <v>9</v>
      </c>
      <c r="B12" s="11" t="s">
        <v>116</v>
      </c>
      <c r="C12" s="11" t="s">
        <v>111</v>
      </c>
      <c r="D12" s="19" t="n">
        <v>200000</v>
      </c>
      <c r="E12" s="19" t="n">
        <v>6600</v>
      </c>
      <c r="F12" s="19" t="n">
        <v>4230</v>
      </c>
      <c r="G12" s="19" t="n">
        <v>189170</v>
      </c>
      <c r="H12" s="14" t="n">
        <v>0.98</v>
      </c>
      <c r="I12" s="14" t="n">
        <v>0.96</v>
      </c>
      <c r="J12" s="14" t="n">
        <v>0.93</v>
      </c>
      <c r="K12" s="14" t="n">
        <v>0.982</v>
      </c>
      <c r="L12" s="14" t="n">
        <v>0.605</v>
      </c>
      <c r="M12" s="14" t="n">
        <v>0.665</v>
      </c>
      <c r="N12" s="14" t="n">
        <v>0.74</v>
      </c>
      <c r="O12" s="14" t="n">
        <v>0.59</v>
      </c>
      <c r="P12" s="14" t="n">
        <v>0.02</v>
      </c>
      <c r="Q12" s="14" t="n">
        <v>0.04</v>
      </c>
      <c r="R12" s="14" t="n">
        <v>0.07</v>
      </c>
      <c r="S12" s="14" t="n">
        <v>0.018</v>
      </c>
      <c r="T12" s="14" t="n">
        <v>0.045</v>
      </c>
      <c r="U12" s="14" t="n">
        <v>0.052</v>
      </c>
      <c r="V12" s="14" t="n">
        <v>0.094</v>
      </c>
      <c r="W12" s="14" t="n">
        <v>0.041</v>
      </c>
      <c r="X12" s="20" t="n">
        <v>26.5</v>
      </c>
      <c r="Y12" s="20" t="n">
        <v>17</v>
      </c>
      <c r="Z12" s="20" t="n">
        <v>40</v>
      </c>
      <c r="AA12" s="21" t="n">
        <v>55120</v>
      </c>
      <c r="AB12" s="21" t="n">
        <v>35360</v>
      </c>
      <c r="AC12" s="21" t="n">
        <v>83200</v>
      </c>
      <c r="AD12" s="22" t="n">
        <v>25.7</v>
      </c>
      <c r="AE12" s="22" t="n">
        <v>16.5</v>
      </c>
      <c r="AF12" s="22" t="n">
        <v>38.8</v>
      </c>
      <c r="AG12" s="21" t="n">
        <v>53456</v>
      </c>
      <c r="AH12" s="21" t="n">
        <v>34304</v>
      </c>
      <c r="AI12" s="21" t="n">
        <v>80624</v>
      </c>
      <c r="AJ12" s="22" t="n">
        <v>23</v>
      </c>
      <c r="AK12" s="22" t="n">
        <v>14.8</v>
      </c>
      <c r="AL12" s="22" t="n">
        <v>34.5</v>
      </c>
      <c r="AM12" s="21" t="n">
        <v>47840</v>
      </c>
      <c r="AN12" s="21" t="n">
        <v>30720</v>
      </c>
      <c r="AO12" s="21" t="n">
        <v>71680</v>
      </c>
      <c r="AP12" s="22" t="n">
        <v>26.9</v>
      </c>
      <c r="AQ12" s="22" t="n">
        <v>17.3</v>
      </c>
      <c r="AR12" s="22" t="n">
        <v>41.8</v>
      </c>
      <c r="AS12" s="21" t="n">
        <v>55952</v>
      </c>
      <c r="AT12" s="21" t="n">
        <v>35936</v>
      </c>
      <c r="AU12" s="21" t="n">
        <v>86864</v>
      </c>
      <c r="AV12" s="21" t="n">
        <v>45000000</v>
      </c>
      <c r="AW12" s="21" t="n">
        <v>1500000</v>
      </c>
      <c r="AX12" s="21" t="n">
        <v>4500000</v>
      </c>
      <c r="AY12" s="21" t="n">
        <v>39000000</v>
      </c>
      <c r="AZ12" s="21" t="n">
        <v>22000000</v>
      </c>
      <c r="BA12" s="21" t="n">
        <v>750000</v>
      </c>
      <c r="BB12" s="21" t="n">
        <v>2250000</v>
      </c>
      <c r="BC12" s="21" t="n">
        <v>19000000</v>
      </c>
      <c r="BD12" s="23" t="n">
        <v>5000000</v>
      </c>
      <c r="BE12" s="23" t="n">
        <v>1000000</v>
      </c>
      <c r="BF12" s="23" t="n">
        <v>0</v>
      </c>
      <c r="BG12" s="23" t="n">
        <v>4000000</v>
      </c>
      <c r="BH12" s="23" t="n">
        <v>2000000</v>
      </c>
      <c r="BI12" s="23" t="n">
        <v>500000</v>
      </c>
      <c r="BJ12" s="23" t="n">
        <v>200000</v>
      </c>
      <c r="BK12" s="23" t="n">
        <v>1500000</v>
      </c>
      <c r="BL12" s="23" t="n">
        <v>1000000</v>
      </c>
      <c r="BM12" s="23" t="n">
        <v>200000</v>
      </c>
      <c r="BN12" s="23" t="n">
        <v>100000</v>
      </c>
      <c r="BO12" s="23" t="n">
        <v>750000</v>
      </c>
    </row>
    <row r="13" customFormat="false" ht="12.8" hidden="false" customHeight="false" outlineLevel="0" collapsed="false">
      <c r="A13" s="11" t="n">
        <v>10</v>
      </c>
      <c r="B13" s="11" t="s">
        <v>116</v>
      </c>
      <c r="C13" s="11" t="s">
        <v>112</v>
      </c>
      <c r="D13" s="19" t="n">
        <v>87100</v>
      </c>
      <c r="E13" s="19" t="n">
        <v>2880</v>
      </c>
      <c r="F13" s="19" t="n">
        <v>1840</v>
      </c>
      <c r="G13" s="19" t="n">
        <v>82380</v>
      </c>
      <c r="H13" s="14" t="n">
        <v>0.98</v>
      </c>
      <c r="I13" s="14" t="n">
        <v>0.96</v>
      </c>
      <c r="J13" s="14" t="n">
        <v>0.93</v>
      </c>
      <c r="K13" s="14" t="n">
        <v>0.982</v>
      </c>
      <c r="L13" s="14" t="n">
        <v>0.575</v>
      </c>
      <c r="M13" s="14" t="n">
        <v>0.632</v>
      </c>
      <c r="N13" s="14" t="n">
        <v>0.703</v>
      </c>
      <c r="O13" s="14" t="n">
        <v>0.56</v>
      </c>
      <c r="P13" s="14" t="n">
        <v>0.02</v>
      </c>
      <c r="Q13" s="14" t="n">
        <v>0.04</v>
      </c>
      <c r="R13" s="14" t="n">
        <v>0.07</v>
      </c>
      <c r="S13" s="14" t="n">
        <v>0.018</v>
      </c>
      <c r="T13" s="14" t="n">
        <v>0.045</v>
      </c>
      <c r="U13" s="14" t="n">
        <v>0.052</v>
      </c>
      <c r="V13" s="14" t="n">
        <v>0.094</v>
      </c>
      <c r="W13" s="14" t="n">
        <v>0.041</v>
      </c>
      <c r="X13" s="20" t="n">
        <v>24.4</v>
      </c>
      <c r="Y13" s="20" t="n">
        <v>15.7</v>
      </c>
      <c r="Z13" s="20" t="n">
        <v>37</v>
      </c>
      <c r="AA13" s="21" t="n">
        <v>50752</v>
      </c>
      <c r="AB13" s="21" t="n">
        <v>32608</v>
      </c>
      <c r="AC13" s="21" t="n">
        <v>76960</v>
      </c>
      <c r="AD13" s="22" t="n">
        <v>23.7</v>
      </c>
      <c r="AE13" s="22" t="n">
        <v>15.2</v>
      </c>
      <c r="AF13" s="22" t="n">
        <v>35.7</v>
      </c>
      <c r="AG13" s="21" t="n">
        <v>49296</v>
      </c>
      <c r="AH13" s="21" t="n">
        <v>31680</v>
      </c>
      <c r="AI13" s="21" t="n">
        <v>74256</v>
      </c>
      <c r="AJ13" s="22" t="n">
        <v>21.2</v>
      </c>
      <c r="AK13" s="22" t="n">
        <v>13.6</v>
      </c>
      <c r="AL13" s="22" t="n">
        <v>31.7</v>
      </c>
      <c r="AM13" s="21" t="n">
        <v>44100</v>
      </c>
      <c r="AN13" s="21" t="n">
        <v>28320</v>
      </c>
      <c r="AO13" s="21" t="n">
        <v>65936</v>
      </c>
      <c r="AP13" s="22" t="n">
        <v>24.8</v>
      </c>
      <c r="AQ13" s="22" t="n">
        <v>15.9</v>
      </c>
      <c r="AR13" s="22" t="n">
        <v>38.5</v>
      </c>
      <c r="AS13" s="21" t="n">
        <v>51584</v>
      </c>
      <c r="AT13" s="21" t="n">
        <v>33152</v>
      </c>
      <c r="AU13" s="21" t="n">
        <v>80048</v>
      </c>
      <c r="AV13" s="21" t="n">
        <v>19000000</v>
      </c>
      <c r="AW13" s="21" t="n">
        <v>650000</v>
      </c>
      <c r="AX13" s="21" t="n">
        <v>1900000</v>
      </c>
      <c r="AY13" s="21" t="n">
        <v>16400000</v>
      </c>
      <c r="AZ13" s="21" t="n">
        <v>9500000</v>
      </c>
      <c r="BA13" s="21" t="n">
        <v>325000</v>
      </c>
      <c r="BB13" s="21" t="n">
        <v>950000</v>
      </c>
      <c r="BC13" s="21" t="n">
        <v>8225000</v>
      </c>
      <c r="BD13" s="23" t="n">
        <v>2100000</v>
      </c>
      <c r="BE13" s="23" t="n">
        <v>420000</v>
      </c>
      <c r="BF13" s="23" t="n">
        <v>0</v>
      </c>
      <c r="BG13" s="23" t="n">
        <v>1680000</v>
      </c>
      <c r="BH13" s="23" t="n">
        <v>840000</v>
      </c>
      <c r="BI13" s="23" t="n">
        <v>210000</v>
      </c>
      <c r="BJ13" s="23" t="n">
        <v>84000</v>
      </c>
      <c r="BK13" s="23" t="n">
        <v>630000</v>
      </c>
      <c r="BL13" s="23" t="n">
        <v>420000</v>
      </c>
      <c r="BM13" s="23" t="n">
        <v>84000</v>
      </c>
      <c r="BN13" s="23" t="n">
        <v>42000</v>
      </c>
      <c r="BO13" s="23" t="n">
        <v>315000</v>
      </c>
    </row>
    <row r="14" customFormat="false" ht="12.8" hidden="false" customHeight="false" outlineLevel="0" collapsed="false">
      <c r="A14" s="11" t="n">
        <v>11</v>
      </c>
      <c r="B14" s="11" t="s">
        <v>117</v>
      </c>
      <c r="C14" s="11" t="s">
        <v>111</v>
      </c>
      <c r="D14" s="19" t="n">
        <v>180000</v>
      </c>
      <c r="E14" s="19" t="n">
        <v>5940</v>
      </c>
      <c r="F14" s="19" t="n">
        <v>3810</v>
      </c>
      <c r="G14" s="19" t="n">
        <v>170250</v>
      </c>
      <c r="H14" s="14" t="n">
        <v>0.976</v>
      </c>
      <c r="I14" s="14" t="n">
        <v>0.95</v>
      </c>
      <c r="J14" s="14" t="n">
        <v>0.92</v>
      </c>
      <c r="K14" s="14" t="n">
        <v>0.978</v>
      </c>
      <c r="L14" s="14" t="n">
        <v>0.6</v>
      </c>
      <c r="M14" s="14" t="n">
        <v>0.66</v>
      </c>
      <c r="N14" s="14" t="n">
        <v>0.75</v>
      </c>
      <c r="O14" s="14" t="n">
        <v>0.58</v>
      </c>
      <c r="P14" s="14" t="n">
        <v>0.024</v>
      </c>
      <c r="Q14" s="14" t="n">
        <v>0.05</v>
      </c>
      <c r="R14" s="14" t="n">
        <v>0.08</v>
      </c>
      <c r="S14" s="14" t="n">
        <v>0.022</v>
      </c>
      <c r="T14" s="14" t="n">
        <v>0.05</v>
      </c>
      <c r="U14" s="14" t="n">
        <v>0.058</v>
      </c>
      <c r="V14" s="14" t="n">
        <v>0.105</v>
      </c>
      <c r="W14" s="14" t="n">
        <v>0.045</v>
      </c>
      <c r="X14" s="20" t="n">
        <v>25</v>
      </c>
      <c r="Y14" s="20" t="n">
        <v>16</v>
      </c>
      <c r="Z14" s="20" t="n">
        <v>38</v>
      </c>
      <c r="AA14" s="21" t="n">
        <v>52000</v>
      </c>
      <c r="AB14" s="21" t="n">
        <v>33280</v>
      </c>
      <c r="AC14" s="21" t="n">
        <v>79040</v>
      </c>
      <c r="AD14" s="22" t="n">
        <v>24.2</v>
      </c>
      <c r="AE14" s="22" t="n">
        <v>15.5</v>
      </c>
      <c r="AF14" s="22" t="n">
        <v>36.7</v>
      </c>
      <c r="AG14" s="21" t="n">
        <v>50336</v>
      </c>
      <c r="AH14" s="21" t="n">
        <v>32256</v>
      </c>
      <c r="AI14" s="21" t="n">
        <v>76304</v>
      </c>
      <c r="AJ14" s="22" t="n">
        <v>21.7</v>
      </c>
      <c r="AK14" s="22" t="n">
        <v>13.9</v>
      </c>
      <c r="AL14" s="22" t="n">
        <v>32.8</v>
      </c>
      <c r="AM14" s="21" t="n">
        <v>45136</v>
      </c>
      <c r="AN14" s="21" t="n">
        <v>30090</v>
      </c>
      <c r="AO14" s="21" t="n">
        <v>68224</v>
      </c>
      <c r="AP14" s="22" t="n">
        <v>25.4</v>
      </c>
      <c r="AQ14" s="22" t="n">
        <v>16.3</v>
      </c>
      <c r="AR14" s="22" t="n">
        <v>39.5</v>
      </c>
      <c r="AS14" s="21" t="n">
        <v>52832</v>
      </c>
      <c r="AT14" s="21" t="n">
        <v>33984</v>
      </c>
      <c r="AU14" s="21" t="n">
        <v>82160</v>
      </c>
      <c r="AV14" s="21" t="n">
        <v>38000000</v>
      </c>
      <c r="AW14" s="21" t="n">
        <v>1300000</v>
      </c>
      <c r="AX14" s="21" t="n">
        <v>3800000</v>
      </c>
      <c r="AY14" s="21" t="n">
        <v>32900000</v>
      </c>
      <c r="AZ14" s="21" t="n">
        <v>19000000</v>
      </c>
      <c r="BA14" s="21" t="n">
        <v>650000</v>
      </c>
      <c r="BB14" s="21" t="n">
        <v>1900000</v>
      </c>
      <c r="BC14" s="21" t="n">
        <v>16350000</v>
      </c>
      <c r="BD14" s="23" t="n">
        <v>4500000</v>
      </c>
      <c r="BE14" s="23" t="n">
        <v>900000</v>
      </c>
      <c r="BF14" s="23" t="n">
        <v>0</v>
      </c>
      <c r="BG14" s="23" t="n">
        <v>3600000</v>
      </c>
      <c r="BH14" s="23" t="n">
        <v>1800000</v>
      </c>
      <c r="BI14" s="23" t="n">
        <v>450000</v>
      </c>
      <c r="BJ14" s="23" t="n">
        <v>180000</v>
      </c>
      <c r="BK14" s="23" t="n">
        <v>1350000</v>
      </c>
      <c r="BL14" s="23" t="n">
        <v>900000</v>
      </c>
      <c r="BM14" s="23" t="n">
        <v>180000</v>
      </c>
      <c r="BN14" s="23" t="n">
        <v>90000</v>
      </c>
      <c r="BO14" s="23" t="n">
        <v>675000</v>
      </c>
    </row>
    <row r="15" customFormat="false" ht="12.8" hidden="false" customHeight="false" outlineLevel="0" collapsed="false">
      <c r="A15" s="11" t="n">
        <v>12</v>
      </c>
      <c r="B15" s="11" t="s">
        <v>117</v>
      </c>
      <c r="C15" s="11" t="s">
        <v>112</v>
      </c>
      <c r="D15" s="19" t="n">
        <v>30000</v>
      </c>
      <c r="E15" s="19" t="n">
        <v>990</v>
      </c>
      <c r="F15" s="19" t="n">
        <v>630</v>
      </c>
      <c r="G15" s="19" t="n">
        <v>28380</v>
      </c>
      <c r="H15" s="14" t="n">
        <v>0.976</v>
      </c>
      <c r="I15" s="14" t="n">
        <v>0.95</v>
      </c>
      <c r="J15" s="14" t="n">
        <v>0.92</v>
      </c>
      <c r="K15" s="14" t="n">
        <v>0.978</v>
      </c>
      <c r="L15" s="14" t="n">
        <v>0.57</v>
      </c>
      <c r="M15" s="14" t="n">
        <v>0.627</v>
      </c>
      <c r="N15" s="14" t="n">
        <v>0.712</v>
      </c>
      <c r="O15" s="14" t="n">
        <v>0.55</v>
      </c>
      <c r="P15" s="14" t="n">
        <v>0.024</v>
      </c>
      <c r="Q15" s="14" t="n">
        <v>0.05</v>
      </c>
      <c r="R15" s="14" t="n">
        <v>0.08</v>
      </c>
      <c r="S15" s="14" t="n">
        <v>0.022</v>
      </c>
      <c r="T15" s="14" t="n">
        <v>0.05</v>
      </c>
      <c r="U15" s="14" t="n">
        <v>0.058</v>
      </c>
      <c r="V15" s="14" t="n">
        <v>0.105</v>
      </c>
      <c r="W15" s="14" t="n">
        <v>0.045</v>
      </c>
      <c r="X15" s="20" t="n">
        <v>22.5</v>
      </c>
      <c r="Y15" s="20" t="n">
        <v>14.5</v>
      </c>
      <c r="Z15" s="20" t="n">
        <v>34</v>
      </c>
      <c r="AA15" s="21" t="n">
        <v>46800</v>
      </c>
      <c r="AB15" s="21" t="n">
        <v>30160</v>
      </c>
      <c r="AC15" s="21" t="n">
        <v>70720</v>
      </c>
      <c r="AD15" s="22" t="n">
        <v>21.8</v>
      </c>
      <c r="AE15" s="22" t="n">
        <v>14</v>
      </c>
      <c r="AF15" s="22" t="n">
        <v>33</v>
      </c>
      <c r="AG15" s="21" t="n">
        <v>45344</v>
      </c>
      <c r="AH15" s="21" t="n">
        <v>29120</v>
      </c>
      <c r="AI15" s="21" t="n">
        <v>68640</v>
      </c>
      <c r="AJ15" s="22" t="n">
        <v>19.5</v>
      </c>
      <c r="AK15" s="22" t="n">
        <v>12.5</v>
      </c>
      <c r="AL15" s="22" t="n">
        <v>29.5</v>
      </c>
      <c r="AM15" s="21" t="n">
        <v>40560</v>
      </c>
      <c r="AN15" s="21" t="n">
        <v>26000</v>
      </c>
      <c r="AO15" s="21" t="n">
        <v>61360</v>
      </c>
      <c r="AP15" s="22" t="n">
        <v>22.8</v>
      </c>
      <c r="AQ15" s="22" t="n">
        <v>14.7</v>
      </c>
      <c r="AR15" s="22" t="n">
        <v>35.4</v>
      </c>
      <c r="AS15" s="21" t="n">
        <v>47424</v>
      </c>
      <c r="AT15" s="21" t="n">
        <v>30528</v>
      </c>
      <c r="AU15" s="21" t="n">
        <v>73632</v>
      </c>
      <c r="AV15" s="21" t="n">
        <v>15000000</v>
      </c>
      <c r="AW15" s="21" t="n">
        <v>500000</v>
      </c>
      <c r="AX15" s="21" t="n">
        <v>1500000</v>
      </c>
      <c r="AY15" s="21" t="n">
        <v>13000000</v>
      </c>
      <c r="AZ15" s="21" t="n">
        <v>7500000</v>
      </c>
      <c r="BA15" s="21" t="n">
        <v>250000</v>
      </c>
      <c r="BB15" s="21" t="n">
        <v>750000</v>
      </c>
      <c r="BC15" s="21" t="n">
        <v>6500000</v>
      </c>
      <c r="BD15" s="23" t="n">
        <v>1750000</v>
      </c>
      <c r="BE15" s="23" t="n">
        <v>350000</v>
      </c>
      <c r="BF15" s="23" t="n">
        <v>0</v>
      </c>
      <c r="BG15" s="23" t="n">
        <v>1400000</v>
      </c>
      <c r="BH15" s="23" t="n">
        <v>700000</v>
      </c>
      <c r="BI15" s="23" t="n">
        <v>175000</v>
      </c>
      <c r="BJ15" s="23" t="n">
        <v>70000</v>
      </c>
      <c r="BK15" s="23" t="n">
        <v>525000</v>
      </c>
      <c r="BL15" s="23" t="n">
        <v>350000</v>
      </c>
      <c r="BM15" s="23" t="n">
        <v>70000</v>
      </c>
      <c r="BN15" s="23" t="n">
        <v>35000</v>
      </c>
      <c r="BO15" s="23" t="n">
        <v>262500</v>
      </c>
    </row>
    <row r="16" customFormat="false" ht="12.8" hidden="false" customHeight="false" outlineLevel="0" collapsed="false">
      <c r="A16" s="11" t="n">
        <v>13</v>
      </c>
      <c r="B16" s="11" t="s">
        <v>118</v>
      </c>
      <c r="C16" s="11" t="s">
        <v>111</v>
      </c>
      <c r="D16" s="19" t="n">
        <v>150000</v>
      </c>
      <c r="E16" s="19" t="n">
        <v>4950</v>
      </c>
      <c r="F16" s="19" t="n">
        <v>3170</v>
      </c>
      <c r="G16" s="19" t="n">
        <v>141880</v>
      </c>
      <c r="H16" s="14" t="n">
        <v>0.968</v>
      </c>
      <c r="I16" s="14" t="n">
        <v>0.94</v>
      </c>
      <c r="J16" s="14" t="n">
        <v>0.9</v>
      </c>
      <c r="K16" s="14" t="n">
        <v>0.97</v>
      </c>
      <c r="L16" s="14" t="n">
        <v>0.585</v>
      </c>
      <c r="M16" s="14" t="n">
        <v>0.645</v>
      </c>
      <c r="N16" s="14" t="n">
        <v>0.72</v>
      </c>
      <c r="O16" s="14" t="n">
        <v>0.57</v>
      </c>
      <c r="P16" s="14" t="n">
        <v>0.032</v>
      </c>
      <c r="Q16" s="14" t="n">
        <v>0.06</v>
      </c>
      <c r="R16" s="14" t="n">
        <v>0.1</v>
      </c>
      <c r="S16" s="14" t="n">
        <v>0.03</v>
      </c>
      <c r="T16" s="14" t="n">
        <v>0.07</v>
      </c>
      <c r="U16" s="14" t="n">
        <v>0.08</v>
      </c>
      <c r="V16" s="14" t="n">
        <v>0.14</v>
      </c>
      <c r="W16" s="14" t="n">
        <v>0.064</v>
      </c>
      <c r="X16" s="20" t="n">
        <v>18.5</v>
      </c>
      <c r="Y16" s="20" t="n">
        <v>12</v>
      </c>
      <c r="Z16" s="20" t="n">
        <v>28</v>
      </c>
      <c r="AA16" s="21" t="n">
        <v>38480</v>
      </c>
      <c r="AB16" s="21" t="n">
        <v>24960</v>
      </c>
      <c r="AC16" s="21" t="n">
        <v>58240</v>
      </c>
      <c r="AD16" s="22" t="n">
        <v>17.9</v>
      </c>
      <c r="AE16" s="22" t="n">
        <v>11.6</v>
      </c>
      <c r="AF16" s="22" t="n">
        <v>27.1</v>
      </c>
      <c r="AG16" s="21" t="n">
        <v>37232</v>
      </c>
      <c r="AH16" s="21" t="n">
        <v>24128</v>
      </c>
      <c r="AI16" s="21" t="n">
        <v>56368</v>
      </c>
      <c r="AJ16" s="22" t="n">
        <v>16</v>
      </c>
      <c r="AK16" s="22" t="n">
        <v>10.4</v>
      </c>
      <c r="AL16" s="22" t="n">
        <v>24.2</v>
      </c>
      <c r="AM16" s="21" t="n">
        <v>33280</v>
      </c>
      <c r="AN16" s="21" t="n">
        <v>21536</v>
      </c>
      <c r="AO16" s="21" t="n">
        <v>50336</v>
      </c>
      <c r="AP16" s="22" t="n">
        <v>18.8</v>
      </c>
      <c r="AQ16" s="22" t="n">
        <v>12.2</v>
      </c>
      <c r="AR16" s="22" t="n">
        <v>29.2</v>
      </c>
      <c r="AS16" s="21" t="n">
        <v>39104</v>
      </c>
      <c r="AT16" s="21" t="n">
        <v>25920</v>
      </c>
      <c r="AU16" s="21" t="n">
        <v>60736</v>
      </c>
      <c r="AV16" s="21" t="n">
        <v>25000000</v>
      </c>
      <c r="AW16" s="21" t="n">
        <v>850000</v>
      </c>
      <c r="AX16" s="21" t="n">
        <v>2500000</v>
      </c>
      <c r="AY16" s="21" t="n">
        <v>21650000</v>
      </c>
      <c r="AZ16" s="21" t="n">
        <v>12500000</v>
      </c>
      <c r="BA16" s="21" t="n">
        <v>425000</v>
      </c>
      <c r="BB16" s="21" t="n">
        <v>1250000</v>
      </c>
      <c r="BC16" s="21" t="n">
        <v>10825000</v>
      </c>
      <c r="BD16" s="23" t="n">
        <v>3750000</v>
      </c>
      <c r="BE16" s="23" t="n">
        <v>750000</v>
      </c>
      <c r="BF16" s="23" t="n">
        <v>0</v>
      </c>
      <c r="BG16" s="23" t="n">
        <v>3000000</v>
      </c>
      <c r="BH16" s="23" t="n">
        <v>1500000</v>
      </c>
      <c r="BI16" s="23" t="n">
        <v>375000</v>
      </c>
      <c r="BJ16" s="23" t="n">
        <v>150000</v>
      </c>
      <c r="BK16" s="23" t="n">
        <v>1125000</v>
      </c>
      <c r="BL16" s="23" t="n">
        <v>750000</v>
      </c>
      <c r="BM16" s="23" t="n">
        <v>150000</v>
      </c>
      <c r="BN16" s="23" t="n">
        <v>75000</v>
      </c>
      <c r="BO16" s="23" t="n">
        <v>562500</v>
      </c>
    </row>
    <row r="17" customFormat="false" ht="12.8" hidden="false" customHeight="false" outlineLevel="0" collapsed="false">
      <c r="A17" s="11" t="n">
        <v>14</v>
      </c>
      <c r="B17" s="11" t="s">
        <v>118</v>
      </c>
      <c r="C17" s="11" t="s">
        <v>112</v>
      </c>
      <c r="D17" s="19" t="n">
        <v>75000</v>
      </c>
      <c r="E17" s="19" t="n">
        <v>2480</v>
      </c>
      <c r="F17" s="19" t="n">
        <v>1590</v>
      </c>
      <c r="G17" s="19" t="n">
        <v>70930</v>
      </c>
      <c r="H17" s="14" t="n">
        <v>0.968</v>
      </c>
      <c r="I17" s="14" t="n">
        <v>0.94</v>
      </c>
      <c r="J17" s="14" t="n">
        <v>0.9</v>
      </c>
      <c r="K17" s="14" t="n">
        <v>0.97</v>
      </c>
      <c r="L17" s="14" t="n">
        <v>0.556</v>
      </c>
      <c r="M17" s="14" t="n">
        <v>0.613</v>
      </c>
      <c r="N17" s="14" t="n">
        <v>0.684</v>
      </c>
      <c r="O17" s="14" t="n">
        <v>0.542</v>
      </c>
      <c r="P17" s="14" t="n">
        <v>0.032</v>
      </c>
      <c r="Q17" s="14" t="n">
        <v>0.06</v>
      </c>
      <c r="R17" s="14" t="n">
        <v>0.1</v>
      </c>
      <c r="S17" s="14" t="n">
        <v>0.03</v>
      </c>
      <c r="T17" s="14" t="n">
        <v>0.07</v>
      </c>
      <c r="U17" s="14" t="n">
        <v>0.08</v>
      </c>
      <c r="V17" s="14" t="n">
        <v>0.14</v>
      </c>
      <c r="W17" s="14" t="n">
        <v>0.064</v>
      </c>
      <c r="X17" s="20" t="n">
        <v>15.7</v>
      </c>
      <c r="Y17" s="20" t="n">
        <v>10.2</v>
      </c>
      <c r="Z17" s="20" t="n">
        <v>23.8</v>
      </c>
      <c r="AA17" s="21" t="n">
        <v>32656</v>
      </c>
      <c r="AB17" s="21" t="n">
        <v>21216</v>
      </c>
      <c r="AC17" s="21" t="n">
        <v>49504</v>
      </c>
      <c r="AD17" s="22" t="n">
        <v>15.2</v>
      </c>
      <c r="AE17" s="22" t="n">
        <v>9.9</v>
      </c>
      <c r="AF17" s="22" t="n">
        <v>23</v>
      </c>
      <c r="AG17" s="21" t="n">
        <v>31616</v>
      </c>
      <c r="AH17" s="21" t="n">
        <v>20592</v>
      </c>
      <c r="AI17" s="21" t="n">
        <v>47840</v>
      </c>
      <c r="AJ17" s="22" t="n">
        <v>13.6</v>
      </c>
      <c r="AK17" s="22" t="n">
        <v>8.8</v>
      </c>
      <c r="AL17" s="22" t="n">
        <v>20.5</v>
      </c>
      <c r="AM17" s="21" t="n">
        <v>28288</v>
      </c>
      <c r="AN17" s="21" t="n">
        <v>18304</v>
      </c>
      <c r="AO17" s="21" t="n">
        <v>42640</v>
      </c>
      <c r="AP17" s="22" t="n">
        <v>16</v>
      </c>
      <c r="AQ17" s="22" t="n">
        <v>10.4</v>
      </c>
      <c r="AR17" s="22" t="n">
        <v>24.8</v>
      </c>
      <c r="AS17" s="21" t="n">
        <v>33280</v>
      </c>
      <c r="AT17" s="21" t="n">
        <v>21632</v>
      </c>
      <c r="AU17" s="21" t="n">
        <v>51584</v>
      </c>
      <c r="AV17" s="21" t="n">
        <v>12000000</v>
      </c>
      <c r="AW17" s="21" t="n">
        <v>400000</v>
      </c>
      <c r="AX17" s="21" t="n">
        <v>1200000</v>
      </c>
      <c r="AY17" s="21" t="n">
        <v>10400000</v>
      </c>
      <c r="AZ17" s="21" t="n">
        <v>6000000</v>
      </c>
      <c r="BA17" s="21" t="n">
        <v>200000</v>
      </c>
      <c r="BB17" s="21" t="n">
        <v>600000</v>
      </c>
      <c r="BC17" s="21" t="n">
        <v>5200000</v>
      </c>
      <c r="BD17" s="23" t="n">
        <v>1800000</v>
      </c>
      <c r="BE17" s="23" t="n">
        <v>360000</v>
      </c>
      <c r="BF17" s="23" t="n">
        <v>0</v>
      </c>
      <c r="BG17" s="23" t="n">
        <v>1440000</v>
      </c>
      <c r="BH17" s="23" t="n">
        <v>720000</v>
      </c>
      <c r="BI17" s="23" t="n">
        <v>180000</v>
      </c>
      <c r="BJ17" s="23" t="n">
        <v>72000</v>
      </c>
      <c r="BK17" s="23" t="n">
        <v>540000</v>
      </c>
      <c r="BL17" s="23" t="n">
        <v>360000</v>
      </c>
      <c r="BM17" s="23" t="n">
        <v>72000</v>
      </c>
      <c r="BN17" s="23" t="n">
        <v>36000</v>
      </c>
      <c r="BO17" s="23" t="n">
        <v>270000</v>
      </c>
    </row>
    <row r="18" customFormat="false" ht="12.8" hidden="false" customHeight="false" outlineLevel="0" collapsed="false">
      <c r="A18" s="11" t="n">
        <v>15</v>
      </c>
      <c r="B18" s="11" t="s">
        <v>119</v>
      </c>
      <c r="C18" s="11" t="s">
        <v>111</v>
      </c>
      <c r="D18" s="19" t="n">
        <v>15000</v>
      </c>
      <c r="E18" s="19" t="n">
        <v>495</v>
      </c>
      <c r="F18" s="19" t="n">
        <v>318</v>
      </c>
      <c r="G18" s="19" t="n">
        <v>14188</v>
      </c>
      <c r="H18" s="14" t="n">
        <v>0.967</v>
      </c>
      <c r="I18" s="14" t="n">
        <v>0.94</v>
      </c>
      <c r="J18" s="14" t="n">
        <v>0.9</v>
      </c>
      <c r="K18" s="14" t="n">
        <v>0.97</v>
      </c>
      <c r="L18" s="14" t="n">
        <v>0.63</v>
      </c>
      <c r="M18" s="14" t="n">
        <v>0.69</v>
      </c>
      <c r="N18" s="14" t="n">
        <v>0.79</v>
      </c>
      <c r="O18" s="14" t="n">
        <v>0.61</v>
      </c>
      <c r="P18" s="14" t="n">
        <v>0.033</v>
      </c>
      <c r="Q18" s="14" t="n">
        <v>0.06</v>
      </c>
      <c r="R18" s="14" t="n">
        <v>0.1</v>
      </c>
      <c r="S18" s="14" t="n">
        <v>0.03</v>
      </c>
      <c r="T18" s="14" t="n">
        <v>0.07</v>
      </c>
      <c r="U18" s="14" t="n">
        <v>0.08</v>
      </c>
      <c r="V18" s="14" t="n">
        <v>0.14</v>
      </c>
      <c r="W18" s="14" t="n">
        <v>0.064</v>
      </c>
      <c r="X18" s="20" t="n">
        <v>18</v>
      </c>
      <c r="Y18" s="20" t="n">
        <v>12</v>
      </c>
      <c r="Z18" s="20" t="n">
        <v>27</v>
      </c>
      <c r="AA18" s="21" t="n">
        <v>37440</v>
      </c>
      <c r="AB18" s="21" t="n">
        <v>24960</v>
      </c>
      <c r="AC18" s="21" t="n">
        <v>56160</v>
      </c>
      <c r="AD18" s="22" t="n">
        <v>17.4</v>
      </c>
      <c r="AE18" s="22" t="n">
        <v>11.6</v>
      </c>
      <c r="AF18" s="22" t="n">
        <v>26.1</v>
      </c>
      <c r="AG18" s="21" t="n">
        <v>36192</v>
      </c>
      <c r="AH18" s="21" t="n">
        <v>24128</v>
      </c>
      <c r="AI18" s="21" t="n">
        <v>54288</v>
      </c>
      <c r="AJ18" s="22" t="n">
        <v>15.3</v>
      </c>
      <c r="AK18" s="22" t="n">
        <v>10.2</v>
      </c>
      <c r="AL18" s="22" t="n">
        <v>23</v>
      </c>
      <c r="AM18" s="21" t="n">
        <v>31824</v>
      </c>
      <c r="AN18" s="21" t="n">
        <v>21216</v>
      </c>
      <c r="AO18" s="21" t="n">
        <v>47840</v>
      </c>
      <c r="AP18" s="22" t="n">
        <v>18.3</v>
      </c>
      <c r="AQ18" s="22" t="n">
        <v>12.2</v>
      </c>
      <c r="AR18" s="22" t="n">
        <v>27.5</v>
      </c>
      <c r="AS18" s="21" t="n">
        <v>38064</v>
      </c>
      <c r="AT18" s="21" t="n">
        <v>25376</v>
      </c>
      <c r="AU18" s="21" t="n">
        <v>57200</v>
      </c>
      <c r="AV18" s="21" t="n">
        <v>2500000</v>
      </c>
      <c r="AW18" s="21" t="n">
        <v>85000</v>
      </c>
      <c r="AX18" s="21" t="n">
        <v>250000</v>
      </c>
      <c r="AY18" s="21" t="n">
        <v>2165000</v>
      </c>
      <c r="AZ18" s="21" t="n">
        <v>1250000</v>
      </c>
      <c r="BA18" s="21" t="n">
        <v>42500</v>
      </c>
      <c r="BB18" s="21" t="n">
        <v>125000</v>
      </c>
      <c r="BC18" s="21" t="n">
        <v>1082500</v>
      </c>
      <c r="BD18" s="23" t="n">
        <v>375000</v>
      </c>
      <c r="BE18" s="23" t="n">
        <v>75000</v>
      </c>
      <c r="BF18" s="23" t="n">
        <v>0</v>
      </c>
      <c r="BG18" s="23" t="n">
        <v>300000</v>
      </c>
      <c r="BH18" s="23" t="n">
        <v>150000</v>
      </c>
      <c r="BI18" s="23" t="n">
        <v>37500</v>
      </c>
      <c r="BJ18" s="23" t="n">
        <v>15000</v>
      </c>
      <c r="BK18" s="23" t="n">
        <v>112500</v>
      </c>
      <c r="BL18" s="23" t="n">
        <v>75000</v>
      </c>
      <c r="BM18" s="23" t="n">
        <v>15000</v>
      </c>
      <c r="BN18" s="23" t="n">
        <v>7500</v>
      </c>
      <c r="BO18" s="23" t="n">
        <v>56250</v>
      </c>
    </row>
    <row r="19" customFormat="false" ht="12.8" hidden="false" customHeight="false" outlineLevel="0" collapsed="false">
      <c r="A19" s="11" t="n">
        <v>16</v>
      </c>
      <c r="B19" s="11" t="s">
        <v>119</v>
      </c>
      <c r="C19" s="11" t="s">
        <v>112</v>
      </c>
      <c r="D19" s="19" t="n">
        <v>8000</v>
      </c>
      <c r="E19" s="19" t="n">
        <v>264</v>
      </c>
      <c r="F19" s="19" t="n">
        <v>169</v>
      </c>
      <c r="G19" s="19" t="n">
        <v>7567</v>
      </c>
      <c r="H19" s="14" t="n">
        <v>0.967</v>
      </c>
      <c r="I19" s="14" t="n">
        <v>0.94</v>
      </c>
      <c r="J19" s="14" t="n">
        <v>0.9</v>
      </c>
      <c r="K19" s="14" t="n">
        <v>0.97</v>
      </c>
      <c r="L19" s="14" t="n">
        <v>0.599</v>
      </c>
      <c r="M19" s="14" t="n">
        <v>0.656</v>
      </c>
      <c r="N19" s="14" t="n">
        <v>0.751</v>
      </c>
      <c r="O19" s="14" t="n">
        <v>0.58</v>
      </c>
      <c r="P19" s="14" t="n">
        <v>0.033</v>
      </c>
      <c r="Q19" s="14" t="n">
        <v>0.06</v>
      </c>
      <c r="R19" s="14" t="n">
        <v>0.1</v>
      </c>
      <c r="S19" s="14" t="n">
        <v>0.03</v>
      </c>
      <c r="T19" s="14" t="n">
        <v>0.07</v>
      </c>
      <c r="U19" s="14" t="n">
        <v>0.08</v>
      </c>
      <c r="V19" s="14" t="n">
        <v>0.14</v>
      </c>
      <c r="W19" s="14" t="n">
        <v>0.064</v>
      </c>
      <c r="X19" s="20" t="n">
        <v>14.4</v>
      </c>
      <c r="Y19" s="20" t="n">
        <v>9.6</v>
      </c>
      <c r="Z19" s="20" t="n">
        <v>21.6</v>
      </c>
      <c r="AA19" s="21" t="n">
        <v>29952</v>
      </c>
      <c r="AB19" s="21" t="n">
        <v>19968</v>
      </c>
      <c r="AC19" s="21" t="n">
        <v>44928</v>
      </c>
      <c r="AD19" s="22" t="n">
        <v>13.9</v>
      </c>
      <c r="AE19" s="22" t="n">
        <v>9.3</v>
      </c>
      <c r="AF19" s="22" t="n">
        <v>20.9</v>
      </c>
      <c r="AG19" s="21" t="n">
        <v>28912</v>
      </c>
      <c r="AH19" s="21" t="n">
        <v>19344</v>
      </c>
      <c r="AI19" s="21" t="n">
        <v>43472</v>
      </c>
      <c r="AJ19" s="22" t="n">
        <v>12.2</v>
      </c>
      <c r="AK19" s="22" t="n">
        <v>8.1</v>
      </c>
      <c r="AL19" s="22" t="n">
        <v>18.3</v>
      </c>
      <c r="AM19" s="21" t="n">
        <v>25376</v>
      </c>
      <c r="AN19" s="21" t="n">
        <v>16848</v>
      </c>
      <c r="AO19" s="21" t="n">
        <v>38064</v>
      </c>
      <c r="AP19" s="22" t="n">
        <v>14.6</v>
      </c>
      <c r="AQ19" s="22" t="n">
        <v>9.7</v>
      </c>
      <c r="AR19" s="22" t="n">
        <v>22</v>
      </c>
      <c r="AS19" s="21" t="n">
        <v>30368</v>
      </c>
      <c r="AT19" s="21" t="n">
        <v>20224</v>
      </c>
      <c r="AU19" s="21" t="n">
        <v>45760</v>
      </c>
      <c r="AV19" s="21" t="n">
        <v>1300000</v>
      </c>
      <c r="AW19" s="21" t="n">
        <v>45000</v>
      </c>
      <c r="AX19" s="21" t="n">
        <v>130000</v>
      </c>
      <c r="AY19" s="21" t="n">
        <v>1125000</v>
      </c>
      <c r="AZ19" s="21" t="n">
        <v>650000</v>
      </c>
      <c r="BA19" s="21" t="n">
        <v>22500</v>
      </c>
      <c r="BB19" s="21" t="n">
        <v>65000</v>
      </c>
      <c r="BC19" s="21" t="n">
        <v>562500</v>
      </c>
      <c r="BD19" s="23" t="n">
        <v>195000</v>
      </c>
      <c r="BE19" s="23" t="n">
        <v>39000</v>
      </c>
      <c r="BF19" s="23" t="n">
        <v>0</v>
      </c>
      <c r="BG19" s="23" t="n">
        <v>156000</v>
      </c>
      <c r="BH19" s="23" t="n">
        <v>78000</v>
      </c>
      <c r="BI19" s="23" t="n">
        <v>19500</v>
      </c>
      <c r="BJ19" s="23" t="n">
        <v>7800</v>
      </c>
      <c r="BK19" s="23" t="n">
        <v>58500</v>
      </c>
      <c r="BL19" s="23" t="n">
        <v>39000</v>
      </c>
      <c r="BM19" s="23" t="n">
        <v>7800</v>
      </c>
      <c r="BN19" s="23" t="n">
        <v>3900</v>
      </c>
      <c r="BO19" s="23" t="n">
        <v>29250</v>
      </c>
    </row>
    <row r="20" customFormat="false" ht="12.8" hidden="false" customHeight="false" outlineLevel="0" collapsed="false">
      <c r="A20" s="11" t="n">
        <v>17</v>
      </c>
      <c r="B20" s="11" t="s">
        <v>120</v>
      </c>
      <c r="C20" s="11" t="s">
        <v>111</v>
      </c>
      <c r="D20" s="19" t="n">
        <v>10000</v>
      </c>
      <c r="E20" s="19" t="n">
        <v>330</v>
      </c>
      <c r="F20" s="19" t="n">
        <v>210</v>
      </c>
      <c r="G20" s="19" t="n">
        <v>9460</v>
      </c>
      <c r="H20" s="14" t="n">
        <v>0.976</v>
      </c>
      <c r="I20" s="14" t="n">
        <v>0.95</v>
      </c>
      <c r="J20" s="14" t="n">
        <v>0.92</v>
      </c>
      <c r="K20" s="14" t="n">
        <v>0.978</v>
      </c>
      <c r="L20" s="14" t="n">
        <v>0.6</v>
      </c>
      <c r="M20" s="14" t="n">
        <v>0.66</v>
      </c>
      <c r="N20" s="14" t="n">
        <v>0.74</v>
      </c>
      <c r="O20" s="14" t="n">
        <v>0.58</v>
      </c>
      <c r="P20" s="14" t="n">
        <v>0.024</v>
      </c>
      <c r="Q20" s="14" t="n">
        <v>0.05</v>
      </c>
      <c r="R20" s="14" t="n">
        <v>0.08</v>
      </c>
      <c r="S20" s="14" t="n">
        <v>0.022</v>
      </c>
      <c r="T20" s="14" t="n">
        <v>0.05</v>
      </c>
      <c r="U20" s="14" t="n">
        <v>0.058</v>
      </c>
      <c r="V20" s="14" t="n">
        <v>0.105</v>
      </c>
      <c r="W20" s="14" t="n">
        <v>0.045</v>
      </c>
      <c r="X20" s="20" t="n">
        <v>24</v>
      </c>
      <c r="Y20" s="20" t="n">
        <v>15</v>
      </c>
      <c r="Z20" s="20" t="n">
        <v>36</v>
      </c>
      <c r="AA20" s="21" t="n">
        <v>49920</v>
      </c>
      <c r="AB20" s="21" t="n">
        <v>31200</v>
      </c>
      <c r="AC20" s="21" t="n">
        <v>74880</v>
      </c>
      <c r="AD20" s="22" t="n">
        <v>23.3</v>
      </c>
      <c r="AE20" s="22" t="n">
        <v>14.5</v>
      </c>
      <c r="AF20" s="22" t="n">
        <v>34.9</v>
      </c>
      <c r="AG20" s="21" t="n">
        <v>48464</v>
      </c>
      <c r="AH20" s="21" t="n">
        <v>30160</v>
      </c>
      <c r="AI20" s="21" t="n">
        <v>72592</v>
      </c>
      <c r="AJ20" s="22" t="n">
        <v>20.8</v>
      </c>
      <c r="AK20" s="22" t="n">
        <v>13</v>
      </c>
      <c r="AL20" s="22" t="n">
        <v>31.2</v>
      </c>
      <c r="AM20" s="21" t="n">
        <v>43264</v>
      </c>
      <c r="AN20" s="21" t="n">
        <v>27040</v>
      </c>
      <c r="AO20" s="21" t="n">
        <v>64896</v>
      </c>
      <c r="AP20" s="22" t="n">
        <v>24.4</v>
      </c>
      <c r="AQ20" s="22" t="n">
        <v>15.3</v>
      </c>
      <c r="AR20" s="22" t="n">
        <v>36.8</v>
      </c>
      <c r="AS20" s="21" t="n">
        <v>50752</v>
      </c>
      <c r="AT20" s="21" t="n">
        <v>31776</v>
      </c>
      <c r="AU20" s="21" t="n">
        <v>76576</v>
      </c>
      <c r="AV20" s="21" t="n">
        <v>2000000</v>
      </c>
      <c r="AW20" s="21" t="n">
        <v>70000</v>
      </c>
      <c r="AX20" s="21" t="n">
        <v>200000</v>
      </c>
      <c r="AY20" s="21" t="n">
        <v>1730000</v>
      </c>
      <c r="AZ20" s="21" t="n">
        <v>1000000</v>
      </c>
      <c r="BA20" s="21" t="n">
        <v>35000</v>
      </c>
      <c r="BB20" s="21" t="n">
        <v>100000</v>
      </c>
      <c r="BC20" s="21" t="n">
        <v>865000</v>
      </c>
      <c r="BD20" s="23" t="n">
        <v>250000</v>
      </c>
      <c r="BE20" s="23" t="n">
        <v>50000</v>
      </c>
      <c r="BF20" s="23" t="n">
        <v>0</v>
      </c>
      <c r="BG20" s="23" t="n">
        <v>200000</v>
      </c>
      <c r="BH20" s="23" t="n">
        <v>100000</v>
      </c>
      <c r="BI20" s="23" t="n">
        <v>25000</v>
      </c>
      <c r="BJ20" s="23" t="n">
        <v>10000</v>
      </c>
      <c r="BK20" s="23" t="n">
        <v>75000</v>
      </c>
      <c r="BL20" s="23" t="n">
        <v>50000</v>
      </c>
      <c r="BM20" s="23" t="n">
        <v>10000</v>
      </c>
      <c r="BN20" s="23" t="n">
        <v>5000</v>
      </c>
      <c r="BO20" s="23" t="n">
        <v>37500</v>
      </c>
    </row>
    <row r="21" customFormat="false" ht="12.8" hidden="false" customHeight="false" outlineLevel="0" collapsed="false">
      <c r="A21" s="11" t="n">
        <v>18</v>
      </c>
      <c r="B21" s="11" t="s">
        <v>120</v>
      </c>
      <c r="C21" s="11" t="s">
        <v>112</v>
      </c>
      <c r="D21" s="19" t="n">
        <v>5000</v>
      </c>
      <c r="E21" s="19" t="n">
        <v>165</v>
      </c>
      <c r="F21" s="19" t="n">
        <v>105</v>
      </c>
      <c r="G21" s="19" t="n">
        <v>4730</v>
      </c>
      <c r="H21" s="14" t="n">
        <v>0.976</v>
      </c>
      <c r="I21" s="14" t="n">
        <v>0.95</v>
      </c>
      <c r="J21" s="14" t="n">
        <v>0.92</v>
      </c>
      <c r="K21" s="14" t="n">
        <v>0.978</v>
      </c>
      <c r="L21" s="14" t="n">
        <v>0.57</v>
      </c>
      <c r="M21" s="14" t="n">
        <v>0.627</v>
      </c>
      <c r="N21" s="14" t="n">
        <v>0.703</v>
      </c>
      <c r="O21" s="14" t="n">
        <v>0.55</v>
      </c>
      <c r="P21" s="14" t="n">
        <v>0.024</v>
      </c>
      <c r="Q21" s="14" t="n">
        <v>0.05</v>
      </c>
      <c r="R21" s="14" t="n">
        <v>0.08</v>
      </c>
      <c r="S21" s="14" t="n">
        <v>0.022</v>
      </c>
      <c r="T21" s="14" t="n">
        <v>0.05</v>
      </c>
      <c r="U21" s="14" t="n">
        <v>0.058</v>
      </c>
      <c r="V21" s="14" t="n">
        <v>0.105</v>
      </c>
      <c r="W21" s="14" t="n">
        <v>0.045</v>
      </c>
      <c r="X21" s="20" t="n">
        <v>21.1</v>
      </c>
      <c r="Y21" s="20" t="n">
        <v>13.2</v>
      </c>
      <c r="Z21" s="20" t="n">
        <v>31.7</v>
      </c>
      <c r="AA21" s="21" t="n">
        <v>43888</v>
      </c>
      <c r="AB21" s="21" t="n">
        <v>27456</v>
      </c>
      <c r="AC21" s="21" t="n">
        <v>65936</v>
      </c>
      <c r="AD21" s="22" t="n">
        <v>20.5</v>
      </c>
      <c r="AE21" s="22" t="n">
        <v>12.8</v>
      </c>
      <c r="AF21" s="22" t="n">
        <v>30.7</v>
      </c>
      <c r="AG21" s="21" t="n">
        <v>42640</v>
      </c>
      <c r="AH21" s="21" t="n">
        <v>26624</v>
      </c>
      <c r="AI21" s="21" t="n">
        <v>63856</v>
      </c>
      <c r="AJ21" s="22" t="n">
        <v>18.3</v>
      </c>
      <c r="AK21" s="22" t="n">
        <v>11.4</v>
      </c>
      <c r="AL21" s="22" t="n">
        <v>27.4</v>
      </c>
      <c r="AM21" s="21" t="n">
        <v>38064</v>
      </c>
      <c r="AN21" s="21" t="n">
        <v>23712</v>
      </c>
      <c r="AO21" s="21" t="n">
        <v>56992</v>
      </c>
      <c r="AP21" s="22" t="n">
        <v>21.4</v>
      </c>
      <c r="AQ21" s="22" t="n">
        <v>13.4</v>
      </c>
      <c r="AR21" s="22" t="n">
        <v>33.2</v>
      </c>
      <c r="AS21" s="21" t="n">
        <v>44512</v>
      </c>
      <c r="AT21" s="21" t="n">
        <v>27872</v>
      </c>
      <c r="AU21" s="21" t="n">
        <v>69056</v>
      </c>
      <c r="AV21" s="21" t="n">
        <v>1000000</v>
      </c>
      <c r="AW21" s="21" t="n">
        <v>35000</v>
      </c>
      <c r="AX21" s="21" t="n">
        <v>100000</v>
      </c>
      <c r="AY21" s="21" t="n">
        <v>865000</v>
      </c>
      <c r="AZ21" s="21" t="n">
        <v>500000</v>
      </c>
      <c r="BA21" s="21" t="n">
        <v>17500</v>
      </c>
      <c r="BB21" s="21" t="n">
        <v>50000</v>
      </c>
      <c r="BC21" s="21" t="n">
        <v>432500</v>
      </c>
      <c r="BD21" s="23" t="n">
        <v>125000</v>
      </c>
      <c r="BE21" s="23" t="n">
        <v>25000</v>
      </c>
      <c r="BF21" s="23" t="n">
        <v>0</v>
      </c>
      <c r="BG21" s="23" t="n">
        <v>100000</v>
      </c>
      <c r="BH21" s="23" t="n">
        <v>50000</v>
      </c>
      <c r="BI21" s="23" t="n">
        <v>12500</v>
      </c>
      <c r="BJ21" s="23" t="n">
        <v>5000</v>
      </c>
      <c r="BK21" s="23" t="n">
        <v>37500</v>
      </c>
      <c r="BL21" s="23" t="n">
        <v>25000</v>
      </c>
      <c r="BM21" s="23" t="n">
        <v>5000</v>
      </c>
      <c r="BN21" s="23" t="n">
        <v>2500</v>
      </c>
      <c r="BO21" s="23" t="n">
        <v>18750</v>
      </c>
    </row>
    <row r="22" customFormat="false" ht="12.8" hidden="false" customHeight="false" outlineLevel="0" collapsed="false">
      <c r="A22" s="11" t="n">
        <v>19</v>
      </c>
      <c r="B22" s="11" t="s">
        <v>121</v>
      </c>
      <c r="C22" s="11" t="s">
        <v>111</v>
      </c>
      <c r="D22" s="19" t="n">
        <v>60000</v>
      </c>
      <c r="E22" s="19" t="n">
        <v>1980</v>
      </c>
      <c r="F22" s="19" t="n">
        <v>1270</v>
      </c>
      <c r="G22" s="19" t="n">
        <v>56750</v>
      </c>
      <c r="H22" s="14" t="n">
        <v>0.976</v>
      </c>
      <c r="I22" s="14" t="n">
        <v>0.95</v>
      </c>
      <c r="J22" s="14" t="n">
        <v>0.92</v>
      </c>
      <c r="K22" s="14" t="n">
        <v>0.978</v>
      </c>
      <c r="L22" s="14" t="n">
        <v>0.595</v>
      </c>
      <c r="M22" s="14" t="n">
        <v>0.655</v>
      </c>
      <c r="N22" s="14" t="n">
        <v>0.73</v>
      </c>
      <c r="O22" s="14" t="n">
        <v>0.58</v>
      </c>
      <c r="P22" s="14" t="n">
        <v>0.024</v>
      </c>
      <c r="Q22" s="14" t="n">
        <v>0.05</v>
      </c>
      <c r="R22" s="14" t="n">
        <v>0.08</v>
      </c>
      <c r="S22" s="14" t="n">
        <v>0.022</v>
      </c>
      <c r="T22" s="14" t="n">
        <v>0.05</v>
      </c>
      <c r="U22" s="14" t="n">
        <v>0.058</v>
      </c>
      <c r="V22" s="14" t="n">
        <v>0.105</v>
      </c>
      <c r="W22" s="14" t="n">
        <v>0.045</v>
      </c>
      <c r="X22" s="20" t="n">
        <v>20</v>
      </c>
      <c r="Y22" s="20" t="n">
        <v>13</v>
      </c>
      <c r="Z22" s="20" t="n">
        <v>30</v>
      </c>
      <c r="AA22" s="21" t="n">
        <v>41600</v>
      </c>
      <c r="AB22" s="21" t="n">
        <v>27040</v>
      </c>
      <c r="AC22" s="21" t="n">
        <v>62400</v>
      </c>
      <c r="AD22" s="22" t="n">
        <v>19.4</v>
      </c>
      <c r="AE22" s="22" t="n">
        <v>12.6</v>
      </c>
      <c r="AF22" s="22" t="n">
        <v>29.1</v>
      </c>
      <c r="AG22" s="21" t="n">
        <v>40352</v>
      </c>
      <c r="AH22" s="21" t="n">
        <v>26208</v>
      </c>
      <c r="AI22" s="21" t="n">
        <v>60528</v>
      </c>
      <c r="AJ22" s="22" t="n">
        <v>17.4</v>
      </c>
      <c r="AK22" s="22" t="n">
        <v>11.3</v>
      </c>
      <c r="AL22" s="22" t="n">
        <v>26.1</v>
      </c>
      <c r="AM22" s="21" t="n">
        <v>36192</v>
      </c>
      <c r="AN22" s="21" t="n">
        <v>23504</v>
      </c>
      <c r="AO22" s="21" t="n">
        <v>54288</v>
      </c>
      <c r="AP22" s="22" t="n">
        <v>20.3</v>
      </c>
      <c r="AQ22" s="22" t="n">
        <v>13.2</v>
      </c>
      <c r="AR22" s="22" t="n">
        <v>31.5</v>
      </c>
      <c r="AS22" s="21" t="n">
        <v>42224</v>
      </c>
      <c r="AT22" s="21" t="n">
        <v>27456</v>
      </c>
      <c r="AU22" s="21" t="n">
        <v>65520</v>
      </c>
      <c r="AV22" s="21" t="n">
        <v>10000000</v>
      </c>
      <c r="AW22" s="21" t="n">
        <v>350000</v>
      </c>
      <c r="AX22" s="21" t="n">
        <v>1000000</v>
      </c>
      <c r="AY22" s="21" t="n">
        <v>8650000</v>
      </c>
      <c r="AZ22" s="21" t="n">
        <v>5000000</v>
      </c>
      <c r="BA22" s="21" t="n">
        <v>175000</v>
      </c>
      <c r="BB22" s="21" t="n">
        <v>500000</v>
      </c>
      <c r="BC22" s="21" t="n">
        <v>4325000</v>
      </c>
      <c r="BD22" s="23" t="n">
        <v>900000</v>
      </c>
      <c r="BE22" s="23" t="n">
        <v>180000</v>
      </c>
      <c r="BF22" s="23" t="n">
        <v>0</v>
      </c>
      <c r="BG22" s="23" t="n">
        <v>720000</v>
      </c>
      <c r="BH22" s="23" t="n">
        <v>360000</v>
      </c>
      <c r="BI22" s="23" t="n">
        <v>90000</v>
      </c>
      <c r="BJ22" s="23" t="n">
        <v>36000</v>
      </c>
      <c r="BK22" s="23" t="n">
        <v>270000</v>
      </c>
      <c r="BL22" s="23" t="n">
        <v>180000</v>
      </c>
      <c r="BM22" s="23" t="n">
        <v>36000</v>
      </c>
      <c r="BN22" s="23" t="n">
        <v>18000</v>
      </c>
      <c r="BO22" s="23" t="n">
        <v>135000</v>
      </c>
    </row>
    <row r="23" customFormat="false" ht="12.8" hidden="false" customHeight="false" outlineLevel="0" collapsed="false">
      <c r="A23" s="11" t="n">
        <v>20</v>
      </c>
      <c r="B23" s="11" t="s">
        <v>121</v>
      </c>
      <c r="C23" s="11" t="s">
        <v>112</v>
      </c>
      <c r="D23" s="19" t="n">
        <v>38500</v>
      </c>
      <c r="E23" s="19" t="n">
        <v>1270</v>
      </c>
      <c r="F23" s="19" t="n">
        <v>815</v>
      </c>
      <c r="G23" s="19" t="n">
        <v>36415</v>
      </c>
      <c r="H23" s="14" t="n">
        <v>0.976</v>
      </c>
      <c r="I23" s="14" t="n">
        <v>0.95</v>
      </c>
      <c r="J23" s="14" t="n">
        <v>0.92</v>
      </c>
      <c r="K23" s="14" t="n">
        <v>0.978</v>
      </c>
      <c r="L23" s="14" t="n">
        <v>0.565</v>
      </c>
      <c r="M23" s="14" t="n">
        <v>0.622</v>
      </c>
      <c r="N23" s="14" t="n">
        <v>0.694</v>
      </c>
      <c r="O23" s="14" t="n">
        <v>0.551</v>
      </c>
      <c r="P23" s="14" t="n">
        <v>0.024</v>
      </c>
      <c r="Q23" s="14" t="n">
        <v>0.05</v>
      </c>
      <c r="R23" s="14" t="n">
        <v>0.08</v>
      </c>
      <c r="S23" s="14" t="n">
        <v>0.022</v>
      </c>
      <c r="T23" s="14" t="n">
        <v>0.05</v>
      </c>
      <c r="U23" s="14" t="n">
        <v>0.058</v>
      </c>
      <c r="V23" s="14" t="n">
        <v>0.105</v>
      </c>
      <c r="W23" s="14" t="n">
        <v>0.045</v>
      </c>
      <c r="X23" s="20" t="n">
        <v>17.2</v>
      </c>
      <c r="Y23" s="20" t="n">
        <v>11.1</v>
      </c>
      <c r="Z23" s="20" t="n">
        <v>26</v>
      </c>
      <c r="AA23" s="21" t="n">
        <v>35776</v>
      </c>
      <c r="AB23" s="21" t="n">
        <v>23088</v>
      </c>
      <c r="AC23" s="21" t="n">
        <v>54080</v>
      </c>
      <c r="AD23" s="22" t="n">
        <v>16.7</v>
      </c>
      <c r="AE23" s="22" t="n">
        <v>10.8</v>
      </c>
      <c r="AF23" s="22" t="n">
        <v>25.1</v>
      </c>
      <c r="AG23" s="21" t="n">
        <v>34736</v>
      </c>
      <c r="AH23" s="21" t="n">
        <v>22464</v>
      </c>
      <c r="AI23" s="21" t="n">
        <v>52208</v>
      </c>
      <c r="AJ23" s="22" t="n">
        <v>14.9</v>
      </c>
      <c r="AK23" s="22" t="n">
        <v>9.6</v>
      </c>
      <c r="AL23" s="22" t="n">
        <v>22.3</v>
      </c>
      <c r="AM23" s="21" t="n">
        <v>30992</v>
      </c>
      <c r="AN23" s="21" t="n">
        <v>19968</v>
      </c>
      <c r="AO23" s="21" t="n">
        <v>46384</v>
      </c>
      <c r="AP23" s="22" t="n">
        <v>17.5</v>
      </c>
      <c r="AQ23" s="22" t="n">
        <v>11.3</v>
      </c>
      <c r="AR23" s="22" t="n">
        <v>27.1</v>
      </c>
      <c r="AS23" s="21" t="n">
        <v>36400</v>
      </c>
      <c r="AT23" s="21" t="n">
        <v>23504</v>
      </c>
      <c r="AU23" s="21" t="n">
        <v>56368</v>
      </c>
      <c r="AV23" s="21" t="n">
        <v>6000000</v>
      </c>
      <c r="AW23" s="21" t="n">
        <v>210000</v>
      </c>
      <c r="AX23" s="21" t="n">
        <v>600000</v>
      </c>
      <c r="AY23" s="21" t="n">
        <v>5190000</v>
      </c>
      <c r="AZ23" s="21" t="n">
        <v>3000000</v>
      </c>
      <c r="BA23" s="21" t="n">
        <v>105000</v>
      </c>
      <c r="BB23" s="21" t="n">
        <v>300000</v>
      </c>
      <c r="BC23" s="21" t="n">
        <v>2595000</v>
      </c>
      <c r="BD23" s="23" t="n">
        <v>540000</v>
      </c>
      <c r="BE23" s="23" t="n">
        <v>108000</v>
      </c>
      <c r="BF23" s="23" t="n">
        <v>0</v>
      </c>
      <c r="BG23" s="23" t="n">
        <v>432000</v>
      </c>
      <c r="BH23" s="23" t="n">
        <v>216000</v>
      </c>
      <c r="BI23" s="23" t="n">
        <v>54000</v>
      </c>
      <c r="BJ23" s="23" t="n">
        <v>21600</v>
      </c>
      <c r="BK23" s="23" t="n">
        <v>162000</v>
      </c>
      <c r="BL23" s="23" t="n">
        <v>108000</v>
      </c>
      <c r="BM23" s="23" t="n">
        <v>21600</v>
      </c>
      <c r="BN23" s="23" t="n">
        <v>10800</v>
      </c>
      <c r="BO23" s="23" t="n">
        <v>81000</v>
      </c>
    </row>
    <row r="24" customFormat="false" ht="12.8" hidden="false" customHeight="false" outlineLevel="0" collapsed="false">
      <c r="A24" s="11"/>
      <c r="B24" s="11"/>
      <c r="C24" s="11"/>
      <c r="D24" s="11"/>
      <c r="E24" s="11"/>
      <c r="F24" s="11"/>
      <c r="G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ustomFormat="false" ht="12.8" hidden="false" customHeight="false" outlineLevel="0" collapsed="false">
      <c r="A25" s="5" t="s">
        <v>122</v>
      </c>
      <c r="B25" s="24" t="s">
        <v>41</v>
      </c>
      <c r="C25" s="5" t="s">
        <v>123</v>
      </c>
    </row>
    <row r="26" customFormat="false" ht="23.85" hidden="false" customHeight="false" outlineLevel="0" collapsed="false">
      <c r="A26" s="5" t="s">
        <v>24</v>
      </c>
      <c r="B26" s="25" t="s">
        <v>124</v>
      </c>
      <c r="C26" s="25" t="str">
        <f aca="false">D2</f>
        <v>Total Population</v>
      </c>
      <c r="D26" s="25" t="str">
        <f aca="false">E2</f>
        <v>Authorized Population</v>
      </c>
      <c r="E26" s="25" t="str">
        <f aca="false">F2</f>
        <v>Unauthorized Population</v>
      </c>
      <c r="F26" s="25" t="str">
        <f aca="false">G2</f>
        <v>American Population</v>
      </c>
    </row>
    <row r="27" customFormat="false" ht="12.8" hidden="false" customHeight="false" outlineLevel="1" collapsed="false">
      <c r="A27" s="5" t="str">
        <f aca="false">_xlfn.CONCAT($A$25, ".", $A3)</f>
        <v>AL.0.0</v>
      </c>
      <c r="B27" s="5" t="str">
        <f aca="false">_xlfn.CONCAT(B3, ": ", C3)</f>
        <v>All Industries: All Roles</v>
      </c>
      <c r="C27" s="26" t="n">
        <f aca="false">D3</f>
        <v>2211200</v>
      </c>
      <c r="D27" s="26" t="n">
        <f aca="false">E3</f>
        <v>73000</v>
      </c>
      <c r="E27" s="26" t="n">
        <f aca="false">F3</f>
        <v>47000</v>
      </c>
      <c r="F27" s="26" t="n">
        <f aca="false">G3</f>
        <v>2094200</v>
      </c>
    </row>
    <row r="28" customFormat="false" ht="12.8" hidden="false" customHeight="false" outlineLevel="1" collapsed="false">
      <c r="A28" s="7" t="str">
        <f aca="false">_xlfn.CONCAT($A$25, ".", $A4)</f>
        <v>AL.0.1</v>
      </c>
      <c r="B28" s="7" t="str">
        <f aca="false">_xlfn.CONCAT(B4, ": ", C4)</f>
        <v>Agriculture: Worker</v>
      </c>
      <c r="C28" s="19" t="n">
        <f aca="false">D4</f>
        <v>10000</v>
      </c>
      <c r="D28" s="19" t="n">
        <f aca="false">E4</f>
        <v>330</v>
      </c>
      <c r="E28" s="19" t="n">
        <f aca="false">F4</f>
        <v>210</v>
      </c>
      <c r="F28" s="19" t="n">
        <f aca="false">G4</f>
        <v>9460</v>
      </c>
    </row>
    <row r="29" customFormat="false" ht="12.8" hidden="false" customHeight="false" outlineLevel="1" collapsed="false">
      <c r="A29" s="7" t="str">
        <f aca="false">_xlfn.CONCAT($A$25, ".", $A5)</f>
        <v>AL.0.2</v>
      </c>
      <c r="B29" s="7" t="str">
        <f aca="false">_xlfn.CONCAT(B5, ": ", C5)</f>
        <v>Agriculture: Support</v>
      </c>
      <c r="C29" s="19" t="n">
        <f aca="false">D5</f>
        <v>5000</v>
      </c>
      <c r="D29" s="19" t="n">
        <f aca="false">E5</f>
        <v>165</v>
      </c>
      <c r="E29" s="19" t="n">
        <f aca="false">F5</f>
        <v>105</v>
      </c>
      <c r="F29" s="19" t="n">
        <f aca="false">G5</f>
        <v>4730</v>
      </c>
    </row>
    <row r="30" customFormat="false" ht="12.8" hidden="false" customHeight="false" outlineLevel="1" collapsed="false">
      <c r="A30" s="7" t="str">
        <f aca="false">_xlfn.CONCAT($A$25, ".", $A6)</f>
        <v>AL.0.3</v>
      </c>
      <c r="B30" s="7" t="str">
        <f aca="false">_xlfn.CONCAT(B6, ": ", C6)</f>
        <v>Construction: Worker</v>
      </c>
      <c r="C30" s="19" t="n">
        <f aca="false">D6</f>
        <v>80000</v>
      </c>
      <c r="D30" s="19" t="n">
        <f aca="false">E6</f>
        <v>2640</v>
      </c>
      <c r="E30" s="19" t="n">
        <f aca="false">F6</f>
        <v>1690</v>
      </c>
      <c r="F30" s="19" t="n">
        <f aca="false">G6</f>
        <v>75670</v>
      </c>
    </row>
    <row r="31" customFormat="false" ht="12.8" hidden="false" customHeight="false" outlineLevel="1" collapsed="false">
      <c r="A31" s="7" t="str">
        <f aca="false">_xlfn.CONCAT($A$25, ".", $A7)</f>
        <v>AL.0.4</v>
      </c>
      <c r="B31" s="7" t="str">
        <f aca="false">_xlfn.CONCAT(B7, ": ", C7)</f>
        <v>Construction: Support</v>
      </c>
      <c r="C31" s="19" t="n">
        <f aca="false">D7</f>
        <v>32100</v>
      </c>
      <c r="D31" s="19" t="n">
        <f aca="false">E7</f>
        <v>1060</v>
      </c>
      <c r="E31" s="19" t="n">
        <f aca="false">F7</f>
        <v>680</v>
      </c>
      <c r="F31" s="19" t="n">
        <f aca="false">G7</f>
        <v>30360</v>
      </c>
    </row>
    <row r="32" customFormat="false" ht="12.8" hidden="false" customHeight="false" outlineLevel="1" collapsed="false">
      <c r="A32" s="7" t="str">
        <f aca="false">_xlfn.CONCAT($A$25, ".", $A8)</f>
        <v>AL.0.5</v>
      </c>
      <c r="B32" s="7" t="str">
        <f aca="false">_xlfn.CONCAT(B8, ": ", C8)</f>
        <v>Hospitality: Worker</v>
      </c>
      <c r="C32" s="19" t="n">
        <f aca="false">D8</f>
        <v>140000</v>
      </c>
      <c r="D32" s="19" t="n">
        <f aca="false">E8</f>
        <v>4620</v>
      </c>
      <c r="E32" s="19" t="n">
        <f aca="false">F8</f>
        <v>2960</v>
      </c>
      <c r="F32" s="19" t="n">
        <f aca="false">G8</f>
        <v>132420</v>
      </c>
    </row>
    <row r="33" customFormat="false" ht="12.8" hidden="false" customHeight="false" outlineLevel="1" collapsed="false">
      <c r="A33" s="7" t="str">
        <f aca="false">_xlfn.CONCAT($A$25, ".", $A9)</f>
        <v>AL.0.6</v>
      </c>
      <c r="B33" s="7" t="str">
        <f aca="false">_xlfn.CONCAT(B9, ": ", C9)</f>
        <v>Hospitality: Support</v>
      </c>
      <c r="C33" s="19" t="n">
        <f aca="false">D9</f>
        <v>77300</v>
      </c>
      <c r="D33" s="19" t="n">
        <f aca="false">E9</f>
        <v>2550</v>
      </c>
      <c r="E33" s="19" t="n">
        <f aca="false">F9</f>
        <v>1640</v>
      </c>
      <c r="F33" s="19" t="n">
        <f aca="false">G9</f>
        <v>73110</v>
      </c>
    </row>
    <row r="34" customFormat="false" ht="12.8" hidden="false" customHeight="false" outlineLevel="1" collapsed="false">
      <c r="A34" s="7" t="str">
        <f aca="false">_xlfn.CONCAT($A$25, ".", $A10)</f>
        <v>AL.0.7</v>
      </c>
      <c r="B34" s="7" t="str">
        <f aca="false">_xlfn.CONCAT(B10, ": ", C10)</f>
        <v>Cleaning &amp; Maintenance: Worker</v>
      </c>
      <c r="C34" s="19" t="n">
        <f aca="false">D10</f>
        <v>30000</v>
      </c>
      <c r="D34" s="19" t="n">
        <f aca="false">E10</f>
        <v>990</v>
      </c>
      <c r="E34" s="19" t="n">
        <f aca="false">F10</f>
        <v>635</v>
      </c>
      <c r="F34" s="19" t="n">
        <f aca="false">G10</f>
        <v>28375</v>
      </c>
    </row>
    <row r="35" customFormat="false" ht="12.8" hidden="false" customHeight="false" outlineLevel="1" collapsed="false">
      <c r="A35" s="7" t="str">
        <f aca="false">_xlfn.CONCAT($A$25, ".", $A11)</f>
        <v>AL.0.8</v>
      </c>
      <c r="B35" s="7" t="str">
        <f aca="false">_xlfn.CONCAT(B11, ": ", C11)</f>
        <v>Cleaning &amp; Maintenance: Support</v>
      </c>
      <c r="C35" s="19" t="n">
        <f aca="false">D11</f>
        <v>15000</v>
      </c>
      <c r="D35" s="19" t="n">
        <f aca="false">E11</f>
        <v>495</v>
      </c>
      <c r="E35" s="19" t="n">
        <f aca="false">F11</f>
        <v>318</v>
      </c>
      <c r="F35" s="19" t="n">
        <f aca="false">G11</f>
        <v>14188</v>
      </c>
    </row>
    <row r="36" customFormat="false" ht="12.8" hidden="false" customHeight="false" outlineLevel="1" collapsed="false">
      <c r="A36" s="7" t="str">
        <f aca="false">_xlfn.CONCAT($A$25, ".", $A12)</f>
        <v>AL.0.9</v>
      </c>
      <c r="B36" s="7" t="str">
        <f aca="false">_xlfn.CONCAT(B12, ": ", C12)</f>
        <v>Manufacturing: Worker</v>
      </c>
      <c r="C36" s="19" t="n">
        <f aca="false">D12</f>
        <v>200000</v>
      </c>
      <c r="D36" s="19" t="n">
        <f aca="false">E12</f>
        <v>6600</v>
      </c>
      <c r="E36" s="19" t="n">
        <f aca="false">F12</f>
        <v>4230</v>
      </c>
      <c r="F36" s="19" t="n">
        <f aca="false">G12</f>
        <v>189170</v>
      </c>
    </row>
    <row r="37" customFormat="false" ht="12.8" hidden="false" customHeight="false" outlineLevel="1" collapsed="false">
      <c r="A37" s="7" t="str">
        <f aca="false">_xlfn.CONCAT($A$25, ".", $A13)</f>
        <v>AL.0.10</v>
      </c>
      <c r="B37" s="7" t="str">
        <f aca="false">_xlfn.CONCAT(B13, ": ", C13)</f>
        <v>Manufacturing: Support</v>
      </c>
      <c r="C37" s="19" t="n">
        <f aca="false">D13</f>
        <v>87100</v>
      </c>
      <c r="D37" s="19" t="n">
        <f aca="false">E13</f>
        <v>2880</v>
      </c>
      <c r="E37" s="19" t="n">
        <f aca="false">F13</f>
        <v>1840</v>
      </c>
      <c r="F37" s="19" t="n">
        <f aca="false">G13</f>
        <v>82380</v>
      </c>
    </row>
    <row r="38" customFormat="false" ht="12.8" hidden="false" customHeight="false" outlineLevel="1" collapsed="false">
      <c r="A38" s="7" t="str">
        <f aca="false">_xlfn.CONCAT($A$25, ".", $A14)</f>
        <v>AL.0.11</v>
      </c>
      <c r="B38" s="7" t="str">
        <f aca="false">_xlfn.CONCAT(B14, ": ", C14)</f>
        <v>Transportation &amp; Warehousing: Worker</v>
      </c>
      <c r="C38" s="19" t="n">
        <f aca="false">D14</f>
        <v>180000</v>
      </c>
      <c r="D38" s="19" t="n">
        <f aca="false">E14</f>
        <v>5940</v>
      </c>
      <c r="E38" s="19" t="n">
        <f aca="false">F14</f>
        <v>3810</v>
      </c>
      <c r="F38" s="19" t="n">
        <f aca="false">G14</f>
        <v>170250</v>
      </c>
    </row>
    <row r="39" customFormat="false" ht="12.8" hidden="false" customHeight="false" outlineLevel="1" collapsed="false">
      <c r="A39" s="7" t="str">
        <f aca="false">_xlfn.CONCAT($A$25, ".", $A15)</f>
        <v>AL.0.12</v>
      </c>
      <c r="B39" s="7" t="str">
        <f aca="false">_xlfn.CONCAT(B15, ": ", C15)</f>
        <v>Transportation &amp; Warehousing: Support</v>
      </c>
      <c r="C39" s="19" t="n">
        <f aca="false">D15</f>
        <v>30000</v>
      </c>
      <c r="D39" s="19" t="n">
        <f aca="false">E15</f>
        <v>990</v>
      </c>
      <c r="E39" s="19" t="n">
        <f aca="false">F15</f>
        <v>630</v>
      </c>
      <c r="F39" s="19" t="n">
        <f aca="false">G15</f>
        <v>28380</v>
      </c>
    </row>
    <row r="40" customFormat="false" ht="12.8" hidden="false" customHeight="false" outlineLevel="1" collapsed="false">
      <c r="A40" s="7" t="str">
        <f aca="false">_xlfn.CONCAT($A$25, ".", $A16)</f>
        <v>AL.0.13</v>
      </c>
      <c r="B40" s="7" t="str">
        <f aca="false">_xlfn.CONCAT(B16, ": ", C16)</f>
        <v>Retail Trade: Worker</v>
      </c>
      <c r="C40" s="19" t="n">
        <f aca="false">D16</f>
        <v>150000</v>
      </c>
      <c r="D40" s="19" t="n">
        <f aca="false">E16</f>
        <v>4950</v>
      </c>
      <c r="E40" s="19" t="n">
        <f aca="false">F16</f>
        <v>3170</v>
      </c>
      <c r="F40" s="19" t="n">
        <f aca="false">G16</f>
        <v>141880</v>
      </c>
    </row>
    <row r="41" customFormat="false" ht="12.8" hidden="false" customHeight="false" outlineLevel="1" collapsed="false">
      <c r="A41" s="7" t="str">
        <f aca="false">_xlfn.CONCAT($A$25, ".", $A17)</f>
        <v>AL.0.14</v>
      </c>
      <c r="B41" s="7" t="str">
        <f aca="false">_xlfn.CONCAT(B17, ": ", C17)</f>
        <v>Retail Trade: Support</v>
      </c>
      <c r="C41" s="19" t="n">
        <f aca="false">D17</f>
        <v>75000</v>
      </c>
      <c r="D41" s="19" t="n">
        <f aca="false">E17</f>
        <v>2480</v>
      </c>
      <c r="E41" s="19" t="n">
        <f aca="false">F17</f>
        <v>1590</v>
      </c>
      <c r="F41" s="19" t="n">
        <f aca="false">G17</f>
        <v>70930</v>
      </c>
    </row>
    <row r="42" customFormat="false" ht="12.8" hidden="false" customHeight="false" outlineLevel="1" collapsed="false">
      <c r="A42" s="7" t="str">
        <f aca="false">_xlfn.CONCAT($A$25, ".", $A18)</f>
        <v>AL.0.15</v>
      </c>
      <c r="B42" s="7" t="str">
        <f aca="false">_xlfn.CONCAT(B18, ": ", C18)</f>
        <v>Landscaping / Groundskeeping: Worker</v>
      </c>
      <c r="C42" s="19" t="n">
        <f aca="false">D18</f>
        <v>15000</v>
      </c>
      <c r="D42" s="19" t="n">
        <f aca="false">E18</f>
        <v>495</v>
      </c>
      <c r="E42" s="19" t="n">
        <f aca="false">F18</f>
        <v>318</v>
      </c>
      <c r="F42" s="19" t="n">
        <f aca="false">G18</f>
        <v>14188</v>
      </c>
    </row>
    <row r="43" customFormat="false" ht="12.8" hidden="false" customHeight="false" outlineLevel="1" collapsed="false">
      <c r="A43" s="7" t="str">
        <f aca="false">_xlfn.CONCAT($A$25, ".", $A19)</f>
        <v>AL.0.16</v>
      </c>
      <c r="B43" s="7" t="str">
        <f aca="false">_xlfn.CONCAT(B19, ": ", C19)</f>
        <v>Landscaping / Groundskeeping: Support</v>
      </c>
      <c r="C43" s="19" t="n">
        <f aca="false">D19</f>
        <v>8000</v>
      </c>
      <c r="D43" s="19" t="n">
        <f aca="false">E19</f>
        <v>264</v>
      </c>
      <c r="E43" s="19" t="n">
        <f aca="false">F19</f>
        <v>169</v>
      </c>
      <c r="F43" s="19" t="n">
        <f aca="false">G19</f>
        <v>7567</v>
      </c>
    </row>
    <row r="44" customFormat="false" ht="12.8" hidden="false" customHeight="false" outlineLevel="1" collapsed="false">
      <c r="A44" s="7" t="str">
        <f aca="false">_xlfn.CONCAT($A$25, ".", $A20)</f>
        <v>AL.0.17</v>
      </c>
      <c r="B44" s="7" t="str">
        <f aca="false">_xlfn.CONCAT(B20, ": ", C20)</f>
        <v>Automotive &amp; Repair: Worker</v>
      </c>
      <c r="C44" s="19" t="n">
        <f aca="false">D20</f>
        <v>10000</v>
      </c>
      <c r="D44" s="19" t="n">
        <f aca="false">E20</f>
        <v>330</v>
      </c>
      <c r="E44" s="19" t="n">
        <f aca="false">F20</f>
        <v>210</v>
      </c>
      <c r="F44" s="19" t="n">
        <f aca="false">G20</f>
        <v>9460</v>
      </c>
    </row>
    <row r="45" customFormat="false" ht="12.8" hidden="false" customHeight="false" outlineLevel="1" collapsed="false">
      <c r="A45" s="7" t="str">
        <f aca="false">_xlfn.CONCAT($A$25, ".", $A21)</f>
        <v>AL.0.18</v>
      </c>
      <c r="B45" s="7" t="str">
        <f aca="false">_xlfn.CONCAT(B21, ": ", C21)</f>
        <v>Automotive &amp; Repair: Support</v>
      </c>
      <c r="C45" s="19" t="n">
        <f aca="false">D21</f>
        <v>5000</v>
      </c>
      <c r="D45" s="19" t="n">
        <f aca="false">E21</f>
        <v>165</v>
      </c>
      <c r="E45" s="19" t="n">
        <f aca="false">F21</f>
        <v>105</v>
      </c>
      <c r="F45" s="19" t="n">
        <f aca="false">G21</f>
        <v>4730</v>
      </c>
    </row>
    <row r="46" customFormat="false" ht="12.8" hidden="false" customHeight="false" outlineLevel="1" collapsed="false">
      <c r="A46" s="7" t="str">
        <f aca="false">_xlfn.CONCAT($A$25, ".", $A22)</f>
        <v>AL.0.19</v>
      </c>
      <c r="B46" s="7" t="str">
        <f aca="false">_xlfn.CONCAT(B22, ": ", C22)</f>
        <v>Other Services: Worker</v>
      </c>
      <c r="C46" s="19" t="n">
        <f aca="false">D22</f>
        <v>60000</v>
      </c>
      <c r="D46" s="19" t="n">
        <f aca="false">E22</f>
        <v>1980</v>
      </c>
      <c r="E46" s="19" t="n">
        <f aca="false">F22</f>
        <v>1270</v>
      </c>
      <c r="F46" s="19" t="n">
        <f aca="false">G22</f>
        <v>56750</v>
      </c>
    </row>
    <row r="47" customFormat="false" ht="12.8" hidden="false" customHeight="false" outlineLevel="1" collapsed="false">
      <c r="A47" s="7" t="str">
        <f aca="false">_xlfn.CONCAT($A$25, ".", $A23)</f>
        <v>AL.0.20</v>
      </c>
      <c r="B47" s="7" t="str">
        <f aca="false">_xlfn.CONCAT(B23, ": ", C23)</f>
        <v>Other Services: Support</v>
      </c>
      <c r="C47" s="19" t="n">
        <f aca="false">D23</f>
        <v>38500</v>
      </c>
      <c r="D47" s="19" t="n">
        <f aca="false">E23</f>
        <v>1270</v>
      </c>
      <c r="E47" s="19" t="n">
        <f aca="false">F23</f>
        <v>815</v>
      </c>
      <c r="F47" s="19" t="n">
        <f aca="false">G23</f>
        <v>36415</v>
      </c>
    </row>
    <row r="141" customFormat="false" ht="12.8" hidden="false" customHeight="false" outlineLevel="0" collapsed="false">
      <c r="A141" s="5" t="s">
        <v>125</v>
      </c>
      <c r="B141" s="24" t="s">
        <v>41</v>
      </c>
      <c r="C141" s="27" t="s">
        <v>126</v>
      </c>
    </row>
    <row r="142" customFormat="false" ht="45.75" hidden="false" customHeight="false" outlineLevel="0" collapsed="false">
      <c r="A142" s="5" t="s">
        <v>24</v>
      </c>
      <c r="B142" s="25" t="s">
        <v>124</v>
      </c>
      <c r="C142" s="28" t="str">
        <f aca="false">H2</f>
        <v>Employment-to-Population Ratio</v>
      </c>
      <c r="D142" s="28" t="str">
        <f aca="false">I2</f>
        <v>Authorized Immigrant Employment-to-Population Ratio</v>
      </c>
      <c r="E142" s="28" t="str">
        <f aca="false">J2</f>
        <v>Unauthorized Immigrant Employment-to-Population Ratio</v>
      </c>
      <c r="F142" s="28" t="str">
        <f aca="false">K2</f>
        <v>American Employment-to-Population Ratio</v>
      </c>
    </row>
    <row r="143" customFormat="false" ht="12.8" hidden="false" customHeight="false" outlineLevel="0" collapsed="false">
      <c r="A143" s="1" t="str">
        <f aca="false">_xlfn.CONCAT($A$141, ".", A3)</f>
        <v>AL.1.0</v>
      </c>
      <c r="B143" s="5" t="str">
        <f aca="false">_xlfn.CONCAT(B3, ": ", C3)</f>
        <v>All Industries: All Roles</v>
      </c>
      <c r="C143" s="28" t="n">
        <f aca="false">H3</f>
        <v>0.973</v>
      </c>
      <c r="D143" s="28" t="n">
        <f aca="false">I3</f>
        <v>0.95</v>
      </c>
      <c r="E143" s="28" t="n">
        <f aca="false">J3</f>
        <v>0.92</v>
      </c>
      <c r="F143" s="28" t="n">
        <f aca="false">K3</f>
        <v>0.976</v>
      </c>
    </row>
    <row r="144" customFormat="false" ht="12.8" hidden="false" customHeight="false" outlineLevel="0" collapsed="false">
      <c r="A144" s="1" t="str">
        <f aca="false">_xlfn.CONCAT($A$141, ".", A4)</f>
        <v>AL.1.1</v>
      </c>
      <c r="B144" s="7" t="str">
        <f aca="false">_xlfn.CONCAT(B4, ": ", C4)</f>
        <v>Agriculture: Worker</v>
      </c>
      <c r="C144" s="28" t="n">
        <f aca="false">H4</f>
        <v>0.952</v>
      </c>
      <c r="D144" s="28" t="n">
        <f aca="false">I4</f>
        <v>0.93</v>
      </c>
      <c r="E144" s="28" t="n">
        <f aca="false">J4</f>
        <v>0.89</v>
      </c>
      <c r="F144" s="28" t="n">
        <f aca="false">K4</f>
        <v>0.955</v>
      </c>
    </row>
    <row r="145" customFormat="false" ht="12.8" hidden="false" customHeight="false" outlineLevel="0" collapsed="false">
      <c r="A145" s="1" t="str">
        <f aca="false">_xlfn.CONCAT($A$141, ".", A5)</f>
        <v>AL.1.2</v>
      </c>
      <c r="B145" s="7" t="str">
        <f aca="false">_xlfn.CONCAT(B5, ": ", C5)</f>
        <v>Agriculture: Support</v>
      </c>
      <c r="C145" s="28" t="n">
        <f aca="false">H5</f>
        <v>0.952</v>
      </c>
      <c r="D145" s="28" t="n">
        <f aca="false">I5</f>
        <v>0.93</v>
      </c>
      <c r="E145" s="28" t="n">
        <f aca="false">J5</f>
        <v>0.89</v>
      </c>
      <c r="F145" s="28" t="n">
        <f aca="false">K5</f>
        <v>0.955</v>
      </c>
    </row>
    <row r="146" customFormat="false" ht="12.8" hidden="false" customHeight="false" outlineLevel="0" collapsed="false">
      <c r="A146" s="1" t="str">
        <f aca="false">_xlfn.CONCAT($A$141, ".", A6)</f>
        <v>AL.1.3</v>
      </c>
      <c r="B146" s="7" t="str">
        <f aca="false">_xlfn.CONCAT(B6, ": ", C6)</f>
        <v>Construction: Worker</v>
      </c>
      <c r="C146" s="28" t="n">
        <f aca="false">H6</f>
        <v>0.967</v>
      </c>
      <c r="D146" s="28" t="n">
        <f aca="false">I6</f>
        <v>0.94</v>
      </c>
      <c r="E146" s="28" t="n">
        <f aca="false">J6</f>
        <v>0.9</v>
      </c>
      <c r="F146" s="28" t="n">
        <f aca="false">K6</f>
        <v>0.97</v>
      </c>
    </row>
    <row r="147" customFormat="false" ht="12.8" hidden="false" customHeight="false" outlineLevel="0" collapsed="false">
      <c r="A147" s="1" t="str">
        <f aca="false">_xlfn.CONCAT($A$141, ".", A7)</f>
        <v>AL.1.4</v>
      </c>
      <c r="B147" s="7" t="str">
        <f aca="false">_xlfn.CONCAT(B7, ": ", C7)</f>
        <v>Construction: Support</v>
      </c>
      <c r="C147" s="28" t="n">
        <f aca="false">H7</f>
        <v>0.967</v>
      </c>
      <c r="D147" s="28" t="n">
        <f aca="false">I7</f>
        <v>0.94</v>
      </c>
      <c r="E147" s="28" t="n">
        <f aca="false">J7</f>
        <v>0.9</v>
      </c>
      <c r="F147" s="28" t="n">
        <f aca="false">K7</f>
        <v>0.97</v>
      </c>
    </row>
    <row r="148" customFormat="false" ht="12.8" hidden="false" customHeight="false" outlineLevel="0" collapsed="false">
      <c r="A148" s="1" t="str">
        <f aca="false">_xlfn.CONCAT($A$141, ".", A8)</f>
        <v>AL.1.5</v>
      </c>
      <c r="B148" s="7" t="str">
        <f aca="false">_xlfn.CONCAT(B8, ": ", C8)</f>
        <v>Hospitality: Worker</v>
      </c>
      <c r="C148" s="28" t="n">
        <f aca="false">H8</f>
        <v>0.96</v>
      </c>
      <c r="D148" s="28" t="n">
        <f aca="false">I8</f>
        <v>0.93</v>
      </c>
      <c r="E148" s="28" t="n">
        <f aca="false">J8</f>
        <v>0.88</v>
      </c>
      <c r="F148" s="28" t="n">
        <f aca="false">K8</f>
        <v>0.963</v>
      </c>
    </row>
    <row r="149" customFormat="false" ht="12.8" hidden="false" customHeight="false" outlineLevel="0" collapsed="false">
      <c r="A149" s="1" t="str">
        <f aca="false">_xlfn.CONCAT($A$141, ".", A9)</f>
        <v>AL.1.6</v>
      </c>
      <c r="B149" s="7" t="str">
        <f aca="false">_xlfn.CONCAT(B9, ": ", C9)</f>
        <v>Hospitality: Support</v>
      </c>
      <c r="C149" s="28" t="n">
        <f aca="false">H9</f>
        <v>0.96</v>
      </c>
      <c r="D149" s="28" t="n">
        <f aca="false">I9</f>
        <v>0.93</v>
      </c>
      <c r="E149" s="28" t="n">
        <f aca="false">J9</f>
        <v>0.88</v>
      </c>
      <c r="F149" s="28" t="n">
        <f aca="false">K9</f>
        <v>0.963</v>
      </c>
    </row>
    <row r="150" customFormat="false" ht="12.8" hidden="false" customHeight="false" outlineLevel="0" collapsed="false">
      <c r="A150" s="1" t="str">
        <f aca="false">_xlfn.CONCAT($A$141, ".", A10)</f>
        <v>AL.1.7</v>
      </c>
      <c r="B150" s="7" t="str">
        <f aca="false">_xlfn.CONCAT(B10, ": ", C10)</f>
        <v>Cleaning &amp; Maintenance: Worker</v>
      </c>
      <c r="C150" s="28" t="n">
        <f aca="false">H10</f>
        <v>0.957</v>
      </c>
      <c r="D150" s="28" t="n">
        <f aca="false">I10</f>
        <v>0.92</v>
      </c>
      <c r="E150" s="28" t="n">
        <f aca="false">J10</f>
        <v>0.87</v>
      </c>
      <c r="F150" s="28" t="n">
        <f aca="false">K10</f>
        <v>0.96</v>
      </c>
    </row>
    <row r="151" customFormat="false" ht="12.8" hidden="false" customHeight="false" outlineLevel="0" collapsed="false">
      <c r="A151" s="1" t="str">
        <f aca="false">_xlfn.CONCAT($A$141, ".", A11)</f>
        <v>AL.1.8</v>
      </c>
      <c r="B151" s="7" t="str">
        <f aca="false">_xlfn.CONCAT(B11, ": ", C11)</f>
        <v>Cleaning &amp; Maintenance: Support</v>
      </c>
      <c r="C151" s="28" t="n">
        <f aca="false">H11</f>
        <v>0.957</v>
      </c>
      <c r="D151" s="28" t="n">
        <f aca="false">I11</f>
        <v>0.92</v>
      </c>
      <c r="E151" s="28" t="n">
        <f aca="false">J11</f>
        <v>0.87</v>
      </c>
      <c r="F151" s="28" t="n">
        <f aca="false">K11</f>
        <v>0.96</v>
      </c>
    </row>
    <row r="152" customFormat="false" ht="12.8" hidden="false" customHeight="false" outlineLevel="0" collapsed="false">
      <c r="A152" s="1" t="str">
        <f aca="false">_xlfn.CONCAT($A$141, ".", A12)</f>
        <v>AL.1.9</v>
      </c>
      <c r="B152" s="7" t="str">
        <f aca="false">_xlfn.CONCAT(B12, ": ", C12)</f>
        <v>Manufacturing: Worker</v>
      </c>
      <c r="C152" s="28" t="n">
        <f aca="false">H12</f>
        <v>0.98</v>
      </c>
      <c r="D152" s="28" t="n">
        <f aca="false">I12</f>
        <v>0.96</v>
      </c>
      <c r="E152" s="28" t="n">
        <f aca="false">J12</f>
        <v>0.93</v>
      </c>
      <c r="F152" s="28" t="n">
        <f aca="false">K12</f>
        <v>0.982</v>
      </c>
    </row>
    <row r="153" customFormat="false" ht="12.8" hidden="false" customHeight="false" outlineLevel="0" collapsed="false">
      <c r="A153" s="1" t="str">
        <f aca="false">_xlfn.CONCAT($A$141, ".", A13)</f>
        <v>AL.1.10</v>
      </c>
      <c r="B153" s="7" t="str">
        <f aca="false">_xlfn.CONCAT(B13, ": ", C13)</f>
        <v>Manufacturing: Support</v>
      </c>
      <c r="C153" s="28" t="n">
        <f aca="false">H13</f>
        <v>0.98</v>
      </c>
      <c r="D153" s="28" t="n">
        <f aca="false">I13</f>
        <v>0.96</v>
      </c>
      <c r="E153" s="28" t="n">
        <f aca="false">J13</f>
        <v>0.93</v>
      </c>
      <c r="F153" s="28" t="n">
        <f aca="false">K13</f>
        <v>0.982</v>
      </c>
    </row>
    <row r="154" customFormat="false" ht="12.8" hidden="false" customHeight="false" outlineLevel="0" collapsed="false">
      <c r="A154" s="1" t="str">
        <f aca="false">_xlfn.CONCAT($A$141, ".", A14)</f>
        <v>AL.1.11</v>
      </c>
      <c r="B154" s="7" t="str">
        <f aca="false">_xlfn.CONCAT(B14, ": ", C14)</f>
        <v>Transportation &amp; Warehousing: Worker</v>
      </c>
      <c r="C154" s="28" t="n">
        <f aca="false">H14</f>
        <v>0.976</v>
      </c>
      <c r="D154" s="28" t="n">
        <f aca="false">I14</f>
        <v>0.95</v>
      </c>
      <c r="E154" s="28" t="n">
        <f aca="false">J14</f>
        <v>0.92</v>
      </c>
      <c r="F154" s="28" t="n">
        <f aca="false">K14</f>
        <v>0.978</v>
      </c>
    </row>
    <row r="155" customFormat="false" ht="12.8" hidden="false" customHeight="false" outlineLevel="0" collapsed="false">
      <c r="A155" s="1" t="str">
        <f aca="false">_xlfn.CONCAT($A$141, ".", A15)</f>
        <v>AL.1.12</v>
      </c>
      <c r="B155" s="7" t="str">
        <f aca="false">_xlfn.CONCAT(B15, ": ", C15)</f>
        <v>Transportation &amp; Warehousing: Support</v>
      </c>
      <c r="C155" s="28" t="n">
        <f aca="false">H15</f>
        <v>0.976</v>
      </c>
      <c r="D155" s="28" t="n">
        <f aca="false">I15</f>
        <v>0.95</v>
      </c>
      <c r="E155" s="28" t="n">
        <f aca="false">J15</f>
        <v>0.92</v>
      </c>
      <c r="F155" s="28" t="n">
        <f aca="false">K15</f>
        <v>0.978</v>
      </c>
    </row>
    <row r="156" customFormat="false" ht="12.8" hidden="false" customHeight="false" outlineLevel="0" collapsed="false">
      <c r="A156" s="1" t="str">
        <f aca="false">_xlfn.CONCAT($A$141, ".", A16)</f>
        <v>AL.1.13</v>
      </c>
      <c r="B156" s="7" t="str">
        <f aca="false">_xlfn.CONCAT(B16, ": ", C16)</f>
        <v>Retail Trade: Worker</v>
      </c>
      <c r="C156" s="28" t="n">
        <f aca="false">H16</f>
        <v>0.968</v>
      </c>
      <c r="D156" s="28" t="n">
        <f aca="false">I16</f>
        <v>0.94</v>
      </c>
      <c r="E156" s="28" t="n">
        <f aca="false">J16</f>
        <v>0.9</v>
      </c>
      <c r="F156" s="28" t="n">
        <f aca="false">K16</f>
        <v>0.97</v>
      </c>
    </row>
    <row r="157" customFormat="false" ht="12.8" hidden="false" customHeight="false" outlineLevel="0" collapsed="false">
      <c r="A157" s="1" t="str">
        <f aca="false">_xlfn.CONCAT($A$141, ".", A17)</f>
        <v>AL.1.14</v>
      </c>
      <c r="B157" s="7" t="str">
        <f aca="false">_xlfn.CONCAT(B17, ": ", C17)</f>
        <v>Retail Trade: Support</v>
      </c>
      <c r="C157" s="28" t="n">
        <f aca="false">H17</f>
        <v>0.968</v>
      </c>
      <c r="D157" s="28" t="n">
        <f aca="false">I17</f>
        <v>0.94</v>
      </c>
      <c r="E157" s="28" t="n">
        <f aca="false">J17</f>
        <v>0.9</v>
      </c>
      <c r="F157" s="28" t="n">
        <f aca="false">K17</f>
        <v>0.97</v>
      </c>
    </row>
    <row r="158" customFormat="false" ht="12.8" hidden="false" customHeight="false" outlineLevel="0" collapsed="false">
      <c r="A158" s="1" t="str">
        <f aca="false">_xlfn.CONCAT($A$141, ".", A18)</f>
        <v>AL.1.15</v>
      </c>
      <c r="B158" s="7" t="str">
        <f aca="false">_xlfn.CONCAT(B18, ": ", C18)</f>
        <v>Landscaping / Groundskeeping: Worker</v>
      </c>
      <c r="C158" s="28" t="n">
        <f aca="false">H18</f>
        <v>0.967</v>
      </c>
      <c r="D158" s="28" t="n">
        <f aca="false">I18</f>
        <v>0.94</v>
      </c>
      <c r="E158" s="28" t="n">
        <f aca="false">J18</f>
        <v>0.9</v>
      </c>
      <c r="F158" s="28" t="n">
        <f aca="false">K18</f>
        <v>0.97</v>
      </c>
    </row>
    <row r="159" customFormat="false" ht="12.8" hidden="false" customHeight="false" outlineLevel="0" collapsed="false">
      <c r="A159" s="1" t="str">
        <f aca="false">_xlfn.CONCAT($A$141, ".", A19)</f>
        <v>AL.1.16</v>
      </c>
      <c r="B159" s="7" t="str">
        <f aca="false">_xlfn.CONCAT(B19, ": ", C19)</f>
        <v>Landscaping / Groundskeeping: Support</v>
      </c>
      <c r="C159" s="28" t="n">
        <f aca="false">H19</f>
        <v>0.967</v>
      </c>
      <c r="D159" s="28" t="n">
        <f aca="false">I19</f>
        <v>0.94</v>
      </c>
      <c r="E159" s="28" t="n">
        <f aca="false">J19</f>
        <v>0.9</v>
      </c>
      <c r="F159" s="28" t="n">
        <f aca="false">K19</f>
        <v>0.97</v>
      </c>
    </row>
    <row r="160" customFormat="false" ht="12.8" hidden="false" customHeight="false" outlineLevel="0" collapsed="false">
      <c r="A160" s="1" t="str">
        <f aca="false">_xlfn.CONCAT($A$141, ".", A20)</f>
        <v>AL.1.17</v>
      </c>
      <c r="B160" s="7" t="str">
        <f aca="false">_xlfn.CONCAT(B20, ": ", C20)</f>
        <v>Automotive &amp; Repair: Worker</v>
      </c>
      <c r="C160" s="28" t="n">
        <f aca="false">H20</f>
        <v>0.976</v>
      </c>
      <c r="D160" s="28" t="n">
        <f aca="false">I20</f>
        <v>0.95</v>
      </c>
      <c r="E160" s="28" t="n">
        <f aca="false">J20</f>
        <v>0.92</v>
      </c>
      <c r="F160" s="28" t="n">
        <f aca="false">K20</f>
        <v>0.978</v>
      </c>
    </row>
    <row r="161" customFormat="false" ht="12.8" hidden="false" customHeight="false" outlineLevel="0" collapsed="false">
      <c r="A161" s="1" t="str">
        <f aca="false">_xlfn.CONCAT($A$141, ".", A21)</f>
        <v>AL.1.18</v>
      </c>
      <c r="B161" s="7" t="str">
        <f aca="false">_xlfn.CONCAT(B21, ": ", C21)</f>
        <v>Automotive &amp; Repair: Support</v>
      </c>
      <c r="C161" s="28" t="n">
        <f aca="false">H21</f>
        <v>0.976</v>
      </c>
      <c r="D161" s="28" t="n">
        <f aca="false">I21</f>
        <v>0.95</v>
      </c>
      <c r="E161" s="28" t="n">
        <f aca="false">J21</f>
        <v>0.92</v>
      </c>
      <c r="F161" s="28" t="n">
        <f aca="false">K21</f>
        <v>0.978</v>
      </c>
    </row>
    <row r="162" customFormat="false" ht="12.8" hidden="false" customHeight="false" outlineLevel="0" collapsed="false">
      <c r="A162" s="1" t="str">
        <f aca="false">_xlfn.CONCAT($A$141, ".", A22)</f>
        <v>AL.1.19</v>
      </c>
      <c r="B162" s="7" t="str">
        <f aca="false">_xlfn.CONCAT(B22, ": ", C22)</f>
        <v>Other Services: Worker</v>
      </c>
      <c r="C162" s="28" t="n">
        <f aca="false">H22</f>
        <v>0.976</v>
      </c>
      <c r="D162" s="28" t="n">
        <f aca="false">I22</f>
        <v>0.95</v>
      </c>
      <c r="E162" s="28" t="n">
        <f aca="false">J22</f>
        <v>0.92</v>
      </c>
      <c r="F162" s="28" t="n">
        <f aca="false">K22</f>
        <v>0.978</v>
      </c>
    </row>
    <row r="163" customFormat="false" ht="12.8" hidden="false" customHeight="false" outlineLevel="0" collapsed="false">
      <c r="A163" s="1" t="str">
        <f aca="false">_xlfn.CONCAT($A$141, ".", A23)</f>
        <v>AL.1.20</v>
      </c>
      <c r="B163" s="7" t="str">
        <f aca="false">_xlfn.CONCAT(B23, ": ", C23)</f>
        <v>Other Services: Support</v>
      </c>
      <c r="C163" s="28" t="n">
        <f aca="false">H23</f>
        <v>0.976</v>
      </c>
      <c r="D163" s="28" t="n">
        <f aca="false">I23</f>
        <v>0.95</v>
      </c>
      <c r="E163" s="28" t="n">
        <f aca="false">J23</f>
        <v>0.92</v>
      </c>
      <c r="F163" s="28" t="n">
        <f aca="false">K23</f>
        <v>0.978</v>
      </c>
    </row>
    <row r="259" customFormat="false" ht="12.8" hidden="false" customHeight="false" outlineLevel="0" collapsed="false">
      <c r="A259" s="5" t="s">
        <v>127</v>
      </c>
      <c r="B259" s="24" t="s">
        <v>41</v>
      </c>
      <c r="C259" s="27" t="s">
        <v>128</v>
      </c>
    </row>
    <row r="260" customFormat="false" ht="46.25" hidden="false" customHeight="false" outlineLevel="0" collapsed="false">
      <c r="A260" s="5" t="s">
        <v>24</v>
      </c>
      <c r="B260" s="25" t="s">
        <v>124</v>
      </c>
      <c r="C260" s="28" t="str">
        <f aca="false">L2</f>
        <v>Labor Force Participation Rate (LFPR)</v>
      </c>
      <c r="D260" s="28" t="str">
        <f aca="false">M2</f>
        <v>Authorized Immigrant Labor Force Participation Rate (LFPR)</v>
      </c>
      <c r="E260" s="28" t="str">
        <f aca="false">N2</f>
        <v>Unauthorized Immigrant Labor Force Participation Rate (LFPR)</v>
      </c>
      <c r="F260" s="28" t="str">
        <f aca="false">O2</f>
        <v>American Labor Force Participation Rate (LFPR)</v>
      </c>
    </row>
    <row r="261" customFormat="false" ht="12.8" hidden="false" customHeight="false" outlineLevel="0" collapsed="false">
      <c r="A261" s="1" t="str">
        <f aca="false">_xlfn.CONCAT($A$259, ".", A3)</f>
        <v>AL.2.0</v>
      </c>
      <c r="B261" s="5" t="str">
        <f aca="false">_xlfn.CONCAT(B3, ": ", C3)</f>
        <v>All Industries: All Roles</v>
      </c>
      <c r="C261" s="28" t="n">
        <f aca="false">L3</f>
        <v>0.577</v>
      </c>
      <c r="D261" s="28" t="n">
        <f aca="false">M3</f>
        <v>0.65</v>
      </c>
      <c r="E261" s="28" t="n">
        <f aca="false">N3</f>
        <v>0.72</v>
      </c>
      <c r="F261" s="28" t="n">
        <f aca="false">O3</f>
        <v>0.578</v>
      </c>
    </row>
    <row r="262" customFormat="false" ht="12.8" hidden="false" customHeight="false" outlineLevel="0" collapsed="false">
      <c r="A262" s="1" t="str">
        <f aca="false">_xlfn.CONCAT($A$259, ".", A4)</f>
        <v>AL.2.1</v>
      </c>
      <c r="B262" s="7" t="str">
        <f aca="false">_xlfn.CONCAT(B4, ": ", C4)</f>
        <v>Agriculture: Worker</v>
      </c>
      <c r="C262" s="28" t="n">
        <f aca="false">L4</f>
        <v>0.62</v>
      </c>
      <c r="D262" s="28" t="n">
        <f aca="false">M4</f>
        <v>0.68</v>
      </c>
      <c r="E262" s="28" t="n">
        <f aca="false">N4</f>
        <v>0.78</v>
      </c>
      <c r="F262" s="28" t="n">
        <f aca="false">O4</f>
        <v>0.6</v>
      </c>
    </row>
    <row r="263" customFormat="false" ht="12.8" hidden="false" customHeight="false" outlineLevel="0" collapsed="false">
      <c r="A263" s="1" t="str">
        <f aca="false">_xlfn.CONCAT($A$259, ".", A5)</f>
        <v>AL.2.2</v>
      </c>
      <c r="B263" s="7" t="str">
        <f aca="false">_xlfn.CONCAT(B5, ": ", C5)</f>
        <v>Agriculture: Support</v>
      </c>
      <c r="C263" s="28" t="n">
        <f aca="false">L5</f>
        <v>0.589</v>
      </c>
      <c r="D263" s="28" t="n">
        <f aca="false">M5</f>
        <v>0.646</v>
      </c>
      <c r="E263" s="28" t="n">
        <f aca="false">N5</f>
        <v>0.741</v>
      </c>
      <c r="F263" s="28" t="n">
        <f aca="false">O5</f>
        <v>0.57</v>
      </c>
    </row>
    <row r="264" customFormat="false" ht="12.8" hidden="false" customHeight="false" outlineLevel="0" collapsed="false">
      <c r="A264" s="1" t="str">
        <f aca="false">_xlfn.CONCAT($A$259, ".", A6)</f>
        <v>AL.2.3</v>
      </c>
      <c r="B264" s="7" t="str">
        <f aca="false">_xlfn.CONCAT(B6, ": ", C6)</f>
        <v>Construction: Worker</v>
      </c>
      <c r="C264" s="28" t="n">
        <f aca="false">L6</f>
        <v>0.61</v>
      </c>
      <c r="D264" s="28" t="n">
        <f aca="false">M6</f>
        <v>0.67</v>
      </c>
      <c r="E264" s="28" t="n">
        <f aca="false">N6</f>
        <v>0.76</v>
      </c>
      <c r="F264" s="28" t="n">
        <f aca="false">O6</f>
        <v>0.59</v>
      </c>
    </row>
    <row r="265" customFormat="false" ht="12.8" hidden="false" customHeight="false" outlineLevel="0" collapsed="false">
      <c r="A265" s="1" t="str">
        <f aca="false">_xlfn.CONCAT($A$259, ".", A7)</f>
        <v>AL.2.4</v>
      </c>
      <c r="B265" s="7" t="str">
        <f aca="false">_xlfn.CONCAT(B7, ": ", C7)</f>
        <v>Construction: Support</v>
      </c>
      <c r="C265" s="28" t="n">
        <f aca="false">L7</f>
        <v>0.579</v>
      </c>
      <c r="D265" s="28" t="n">
        <f aca="false">M7</f>
        <v>0.637</v>
      </c>
      <c r="E265" s="28" t="n">
        <f aca="false">N7</f>
        <v>0.722</v>
      </c>
      <c r="F265" s="28" t="n">
        <f aca="false">O7</f>
        <v>0.56</v>
      </c>
    </row>
    <row r="266" customFormat="false" ht="12.8" hidden="false" customHeight="false" outlineLevel="0" collapsed="false">
      <c r="A266" s="1" t="str">
        <f aca="false">_xlfn.CONCAT($A$259, ".", A8)</f>
        <v>AL.2.5</v>
      </c>
      <c r="B266" s="7" t="str">
        <f aca="false">_xlfn.CONCAT(B8, ": ", C8)</f>
        <v>Hospitality: Worker</v>
      </c>
      <c r="C266" s="28" t="n">
        <f aca="false">L8</f>
        <v>0.58</v>
      </c>
      <c r="D266" s="28" t="n">
        <f aca="false">M8</f>
        <v>0.64</v>
      </c>
      <c r="E266" s="28" t="n">
        <f aca="false">N8</f>
        <v>0.71</v>
      </c>
      <c r="F266" s="28" t="n">
        <f aca="false">O8</f>
        <v>0.57</v>
      </c>
    </row>
    <row r="267" customFormat="false" ht="12.8" hidden="false" customHeight="false" outlineLevel="0" collapsed="false">
      <c r="A267" s="1" t="str">
        <f aca="false">_xlfn.CONCAT($A$259, ".", A9)</f>
        <v>AL.2.6</v>
      </c>
      <c r="B267" s="7" t="str">
        <f aca="false">_xlfn.CONCAT(B9, ": ", C9)</f>
        <v>Hospitality: Support</v>
      </c>
      <c r="C267" s="28" t="n">
        <f aca="false">L9</f>
        <v>0.551</v>
      </c>
      <c r="D267" s="28" t="n">
        <f aca="false">M9</f>
        <v>0.608</v>
      </c>
      <c r="E267" s="28" t="n">
        <f aca="false">N9</f>
        <v>0.674</v>
      </c>
      <c r="F267" s="28" t="n">
        <f aca="false">O9</f>
        <v>0.542</v>
      </c>
    </row>
    <row r="268" customFormat="false" ht="12.8" hidden="false" customHeight="false" outlineLevel="0" collapsed="false">
      <c r="A268" s="1" t="str">
        <f aca="false">_xlfn.CONCAT($A$259, ".", A10)</f>
        <v>AL.2.7</v>
      </c>
      <c r="B268" s="7" t="str">
        <f aca="false">_xlfn.CONCAT(B10, ": ", C10)</f>
        <v>Cleaning &amp; Maintenance: Worker</v>
      </c>
      <c r="C268" s="28" t="n">
        <f aca="false">L10</f>
        <v>0.595</v>
      </c>
      <c r="D268" s="28" t="n">
        <f aca="false">M10</f>
        <v>0.655</v>
      </c>
      <c r="E268" s="28" t="n">
        <f aca="false">N10</f>
        <v>0.74</v>
      </c>
      <c r="F268" s="28" t="n">
        <f aca="false">O10</f>
        <v>0.58</v>
      </c>
    </row>
    <row r="269" customFormat="false" ht="12.8" hidden="false" customHeight="false" outlineLevel="0" collapsed="false">
      <c r="A269" s="1" t="str">
        <f aca="false">_xlfn.CONCAT($A$259, ".", A11)</f>
        <v>AL.2.8</v>
      </c>
      <c r="B269" s="7" t="str">
        <f aca="false">_xlfn.CONCAT(B11, ": ", C11)</f>
        <v>Cleaning &amp; Maintenance: Support</v>
      </c>
      <c r="C269" s="28" t="n">
        <f aca="false">L11</f>
        <v>0.565</v>
      </c>
      <c r="D269" s="28" t="n">
        <f aca="false">M11</f>
        <v>0.622</v>
      </c>
      <c r="E269" s="28" t="n">
        <f aca="false">N11</f>
        <v>0.703</v>
      </c>
      <c r="F269" s="28" t="n">
        <f aca="false">O11</f>
        <v>0.551</v>
      </c>
    </row>
    <row r="270" customFormat="false" ht="12.8" hidden="false" customHeight="false" outlineLevel="0" collapsed="false">
      <c r="A270" s="1" t="str">
        <f aca="false">_xlfn.CONCAT($A$259, ".", A12)</f>
        <v>AL.2.9</v>
      </c>
      <c r="B270" s="7" t="str">
        <f aca="false">_xlfn.CONCAT(B12, ": ", C12)</f>
        <v>Manufacturing: Worker</v>
      </c>
      <c r="C270" s="28" t="n">
        <f aca="false">L12</f>
        <v>0.605</v>
      </c>
      <c r="D270" s="28" t="n">
        <f aca="false">M12</f>
        <v>0.665</v>
      </c>
      <c r="E270" s="28" t="n">
        <f aca="false">N12</f>
        <v>0.74</v>
      </c>
      <c r="F270" s="28" t="n">
        <f aca="false">O12</f>
        <v>0.59</v>
      </c>
    </row>
    <row r="271" customFormat="false" ht="12.8" hidden="false" customHeight="false" outlineLevel="0" collapsed="false">
      <c r="A271" s="1" t="str">
        <f aca="false">_xlfn.CONCAT($A$259, ".", A13)</f>
        <v>AL.2.10</v>
      </c>
      <c r="B271" s="7" t="str">
        <f aca="false">_xlfn.CONCAT(B13, ": ", C13)</f>
        <v>Manufacturing: Support</v>
      </c>
      <c r="C271" s="28" t="n">
        <f aca="false">L13</f>
        <v>0.575</v>
      </c>
      <c r="D271" s="28" t="n">
        <f aca="false">M13</f>
        <v>0.632</v>
      </c>
      <c r="E271" s="28" t="n">
        <f aca="false">N13</f>
        <v>0.703</v>
      </c>
      <c r="F271" s="28" t="n">
        <f aca="false">O13</f>
        <v>0.56</v>
      </c>
    </row>
    <row r="272" customFormat="false" ht="12.8" hidden="false" customHeight="false" outlineLevel="0" collapsed="false">
      <c r="A272" s="1" t="str">
        <f aca="false">_xlfn.CONCAT($A$259, ".", A14)</f>
        <v>AL.2.11</v>
      </c>
      <c r="B272" s="7" t="str">
        <f aca="false">_xlfn.CONCAT(B14, ": ", C14)</f>
        <v>Transportation &amp; Warehousing: Worker</v>
      </c>
      <c r="C272" s="28" t="n">
        <f aca="false">L14</f>
        <v>0.6</v>
      </c>
      <c r="D272" s="28" t="n">
        <f aca="false">M14</f>
        <v>0.66</v>
      </c>
      <c r="E272" s="28" t="n">
        <f aca="false">N14</f>
        <v>0.75</v>
      </c>
      <c r="F272" s="28" t="n">
        <f aca="false">O14</f>
        <v>0.58</v>
      </c>
    </row>
    <row r="273" customFormat="false" ht="12.8" hidden="false" customHeight="false" outlineLevel="0" collapsed="false">
      <c r="A273" s="1" t="str">
        <f aca="false">_xlfn.CONCAT($A$259, ".", A15)</f>
        <v>AL.2.12</v>
      </c>
      <c r="B273" s="7" t="str">
        <f aca="false">_xlfn.CONCAT(B15, ": ", C15)</f>
        <v>Transportation &amp; Warehousing: Support</v>
      </c>
      <c r="C273" s="28" t="n">
        <f aca="false">L15</f>
        <v>0.57</v>
      </c>
      <c r="D273" s="28" t="n">
        <f aca="false">M15</f>
        <v>0.627</v>
      </c>
      <c r="E273" s="28" t="n">
        <f aca="false">N15</f>
        <v>0.712</v>
      </c>
      <c r="F273" s="28" t="n">
        <f aca="false">O15</f>
        <v>0.55</v>
      </c>
    </row>
    <row r="274" customFormat="false" ht="12.8" hidden="false" customHeight="false" outlineLevel="0" collapsed="false">
      <c r="A274" s="1" t="str">
        <f aca="false">_xlfn.CONCAT($A$259, ".", A16)</f>
        <v>AL.2.13</v>
      </c>
      <c r="B274" s="7" t="str">
        <f aca="false">_xlfn.CONCAT(B16, ": ", C16)</f>
        <v>Retail Trade: Worker</v>
      </c>
      <c r="C274" s="28" t="n">
        <f aca="false">L16</f>
        <v>0.585</v>
      </c>
      <c r="D274" s="28" t="n">
        <f aca="false">M16</f>
        <v>0.645</v>
      </c>
      <c r="E274" s="28" t="n">
        <f aca="false">N16</f>
        <v>0.72</v>
      </c>
      <c r="F274" s="28" t="n">
        <f aca="false">O16</f>
        <v>0.57</v>
      </c>
    </row>
    <row r="275" customFormat="false" ht="12.8" hidden="false" customHeight="false" outlineLevel="0" collapsed="false">
      <c r="A275" s="1" t="str">
        <f aca="false">_xlfn.CONCAT($A$259, ".", A17)</f>
        <v>AL.2.14</v>
      </c>
      <c r="B275" s="7" t="str">
        <f aca="false">_xlfn.CONCAT(B17, ": ", C17)</f>
        <v>Retail Trade: Support</v>
      </c>
      <c r="C275" s="28" t="n">
        <f aca="false">L17</f>
        <v>0.556</v>
      </c>
      <c r="D275" s="28" t="n">
        <f aca="false">M17</f>
        <v>0.613</v>
      </c>
      <c r="E275" s="28" t="n">
        <f aca="false">N17</f>
        <v>0.684</v>
      </c>
      <c r="F275" s="28" t="n">
        <f aca="false">O17</f>
        <v>0.542</v>
      </c>
    </row>
    <row r="276" customFormat="false" ht="12.8" hidden="false" customHeight="false" outlineLevel="0" collapsed="false">
      <c r="A276" s="1" t="str">
        <f aca="false">_xlfn.CONCAT($A$259, ".", A18)</f>
        <v>AL.2.15</v>
      </c>
      <c r="B276" s="7" t="str">
        <f aca="false">_xlfn.CONCAT(B18, ": ", C18)</f>
        <v>Landscaping / Groundskeeping: Worker</v>
      </c>
      <c r="C276" s="28" t="n">
        <f aca="false">L18</f>
        <v>0.63</v>
      </c>
      <c r="D276" s="28" t="n">
        <f aca="false">M18</f>
        <v>0.69</v>
      </c>
      <c r="E276" s="28" t="n">
        <f aca="false">N18</f>
        <v>0.79</v>
      </c>
      <c r="F276" s="28" t="n">
        <f aca="false">O18</f>
        <v>0.61</v>
      </c>
    </row>
    <row r="277" customFormat="false" ht="12.8" hidden="false" customHeight="false" outlineLevel="0" collapsed="false">
      <c r="A277" s="1" t="str">
        <f aca="false">_xlfn.CONCAT($A$259, ".", A19)</f>
        <v>AL.2.16</v>
      </c>
      <c r="B277" s="7" t="str">
        <f aca="false">_xlfn.CONCAT(B19, ": ", C19)</f>
        <v>Landscaping / Groundskeeping: Support</v>
      </c>
      <c r="C277" s="28" t="n">
        <f aca="false">L19</f>
        <v>0.599</v>
      </c>
      <c r="D277" s="28" t="n">
        <f aca="false">M19</f>
        <v>0.656</v>
      </c>
      <c r="E277" s="28" t="n">
        <f aca="false">N19</f>
        <v>0.751</v>
      </c>
      <c r="F277" s="28" t="n">
        <f aca="false">O19</f>
        <v>0.58</v>
      </c>
    </row>
    <row r="278" customFormat="false" ht="12.8" hidden="false" customHeight="false" outlineLevel="0" collapsed="false">
      <c r="A278" s="1" t="str">
        <f aca="false">_xlfn.CONCAT($A$259, ".", A20)</f>
        <v>AL.2.17</v>
      </c>
      <c r="B278" s="7" t="str">
        <f aca="false">_xlfn.CONCAT(B20, ": ", C20)</f>
        <v>Automotive &amp; Repair: Worker</v>
      </c>
      <c r="C278" s="28" t="n">
        <f aca="false">L20</f>
        <v>0.6</v>
      </c>
      <c r="D278" s="28" t="n">
        <f aca="false">M20</f>
        <v>0.66</v>
      </c>
      <c r="E278" s="28" t="n">
        <f aca="false">N20</f>
        <v>0.74</v>
      </c>
      <c r="F278" s="28" t="n">
        <f aca="false">O20</f>
        <v>0.58</v>
      </c>
    </row>
    <row r="279" customFormat="false" ht="12.8" hidden="false" customHeight="false" outlineLevel="0" collapsed="false">
      <c r="A279" s="1" t="str">
        <f aca="false">_xlfn.CONCAT($A$259, ".", A21)</f>
        <v>AL.2.18</v>
      </c>
      <c r="B279" s="7" t="str">
        <f aca="false">_xlfn.CONCAT(B21, ": ", C21)</f>
        <v>Automotive &amp; Repair: Support</v>
      </c>
      <c r="C279" s="28" t="n">
        <f aca="false">L21</f>
        <v>0.57</v>
      </c>
      <c r="D279" s="28" t="n">
        <f aca="false">M21</f>
        <v>0.627</v>
      </c>
      <c r="E279" s="28" t="n">
        <f aca="false">N21</f>
        <v>0.703</v>
      </c>
      <c r="F279" s="28" t="n">
        <f aca="false">O21</f>
        <v>0.55</v>
      </c>
    </row>
    <row r="280" customFormat="false" ht="12.8" hidden="false" customHeight="false" outlineLevel="0" collapsed="false">
      <c r="A280" s="1" t="str">
        <f aca="false">_xlfn.CONCAT($A$259, ".", A22)</f>
        <v>AL.2.19</v>
      </c>
      <c r="B280" s="7" t="str">
        <f aca="false">_xlfn.CONCAT(B22, ": ", C22)</f>
        <v>Other Services: Worker</v>
      </c>
      <c r="C280" s="28" t="n">
        <f aca="false">L22</f>
        <v>0.595</v>
      </c>
      <c r="D280" s="28" t="n">
        <f aca="false">M22</f>
        <v>0.655</v>
      </c>
      <c r="E280" s="28" t="n">
        <f aca="false">N22</f>
        <v>0.73</v>
      </c>
      <c r="F280" s="28" t="n">
        <f aca="false">O22</f>
        <v>0.58</v>
      </c>
    </row>
    <row r="281" customFormat="false" ht="12.8" hidden="false" customHeight="false" outlineLevel="0" collapsed="false">
      <c r="A281" s="1" t="str">
        <f aca="false">_xlfn.CONCAT($A$259, ".", A23)</f>
        <v>AL.2.20</v>
      </c>
      <c r="B281" s="7" t="str">
        <f aca="false">_xlfn.CONCAT(B23, ": ", C23)</f>
        <v>Other Services: Support</v>
      </c>
      <c r="C281" s="28" t="n">
        <f aca="false">L23</f>
        <v>0.565</v>
      </c>
      <c r="D281" s="28" t="n">
        <f aca="false">M23</f>
        <v>0.622</v>
      </c>
      <c r="E281" s="28" t="n">
        <f aca="false">N23</f>
        <v>0.694</v>
      </c>
      <c r="F281" s="28" t="n">
        <f aca="false">O23</f>
        <v>0.551</v>
      </c>
    </row>
    <row r="282" customFormat="false" ht="12.8" hidden="false" customHeight="false" outlineLevel="0" collapsed="false">
      <c r="A282" s="1"/>
      <c r="B282" s="7"/>
      <c r="C282" s="14"/>
      <c r="D282" s="14"/>
      <c r="E282" s="14"/>
      <c r="F282" s="14"/>
    </row>
    <row r="283" customFormat="false" ht="12.8" hidden="false" customHeight="false" outlineLevel="0" collapsed="false">
      <c r="A283" s="1"/>
      <c r="B283" s="7"/>
      <c r="C283" s="14"/>
      <c r="D283" s="14"/>
      <c r="E283" s="14"/>
      <c r="F283" s="14"/>
    </row>
    <row r="284" customFormat="false" ht="12.8" hidden="false" customHeight="false" outlineLevel="0" collapsed="false">
      <c r="A284" s="1"/>
      <c r="B284" s="7"/>
      <c r="C284" s="14"/>
      <c r="D284" s="14"/>
      <c r="E284" s="14"/>
      <c r="F284" s="14"/>
    </row>
    <row r="285" customFormat="false" ht="12.8" hidden="false" customHeight="false" outlineLevel="0" collapsed="false">
      <c r="A285" s="1"/>
      <c r="B285" s="7"/>
      <c r="C285" s="14"/>
      <c r="D285" s="14"/>
      <c r="E285" s="14"/>
      <c r="F285" s="14"/>
    </row>
    <row r="376" customFormat="false" ht="12.8" hidden="false" customHeight="false" outlineLevel="0" collapsed="false">
      <c r="A376" s="5" t="s">
        <v>129</v>
      </c>
      <c r="B376" s="24" t="s">
        <v>41</v>
      </c>
      <c r="C376" s="27" t="s">
        <v>130</v>
      </c>
    </row>
    <row r="377" customFormat="false" ht="46.25" hidden="false" customHeight="false" outlineLevel="0" collapsed="false">
      <c r="A377" s="5" t="s">
        <v>24</v>
      </c>
      <c r="B377" s="25" t="s">
        <v>124</v>
      </c>
      <c r="C377" s="28" t="str">
        <f aca="false">P2</f>
        <v>Unemployment Rate</v>
      </c>
      <c r="D377" s="28" t="str">
        <f aca="false">Q2</f>
        <v>Authorized Immigrant Unemployment Rate</v>
      </c>
      <c r="E377" s="28" t="str">
        <f aca="false">R2</f>
        <v>Unauthorized Immigrant Unemployment Rate</v>
      </c>
      <c r="F377" s="28" t="str">
        <f aca="false">S2</f>
        <v>American Unemployment Rate</v>
      </c>
    </row>
    <row r="378" customFormat="false" ht="12.8" hidden="false" customHeight="false" outlineLevel="0" collapsed="false">
      <c r="A378" s="5" t="str">
        <f aca="false">_xlfn.CONCAT($A$376, ".", A3)</f>
        <v>AL.3.0</v>
      </c>
      <c r="B378" s="5" t="str">
        <f aca="false">_xlfn.CONCAT(B3, ": ", C3)</f>
        <v>All Industries: All Roles</v>
      </c>
      <c r="C378" s="28" t="n">
        <f aca="false">P3</f>
        <v>0.027</v>
      </c>
      <c r="D378" s="28" t="n">
        <f aca="false">Q3</f>
        <v>0.05</v>
      </c>
      <c r="E378" s="28" t="n">
        <f aca="false">R3</f>
        <v>0.08</v>
      </c>
      <c r="F378" s="28" t="n">
        <f aca="false">S3</f>
        <v>0.024</v>
      </c>
    </row>
    <row r="379" customFormat="false" ht="12.8" hidden="false" customHeight="false" outlineLevel="0" collapsed="false">
      <c r="A379" s="7" t="str">
        <f aca="false">_xlfn.CONCAT($A$376, ".", A4)</f>
        <v>AL.3.1</v>
      </c>
      <c r="B379" s="7" t="str">
        <f aca="false">_xlfn.CONCAT(B4, ": ", C4)</f>
        <v>Agriculture: Worker</v>
      </c>
      <c r="C379" s="16" t="n">
        <f aca="false">P4</f>
        <v>0.048</v>
      </c>
      <c r="D379" s="16" t="n">
        <f aca="false">Q4</f>
        <v>0.07</v>
      </c>
      <c r="E379" s="16" t="n">
        <f aca="false">R4</f>
        <v>0.11</v>
      </c>
      <c r="F379" s="16" t="n">
        <f aca="false">S4</f>
        <v>0.045</v>
      </c>
    </row>
    <row r="380" customFormat="false" ht="12.8" hidden="false" customHeight="false" outlineLevel="0" collapsed="false">
      <c r="A380" s="7" t="str">
        <f aca="false">_xlfn.CONCAT($A$376, ".", A5)</f>
        <v>AL.3.2</v>
      </c>
      <c r="B380" s="7" t="str">
        <f aca="false">_xlfn.CONCAT(B5, ": ", C5)</f>
        <v>Agriculture: Support</v>
      </c>
      <c r="C380" s="16" t="n">
        <f aca="false">P5</f>
        <v>0.048</v>
      </c>
      <c r="D380" s="16" t="n">
        <f aca="false">Q5</f>
        <v>0.07</v>
      </c>
      <c r="E380" s="16" t="n">
        <f aca="false">R5</f>
        <v>0.11</v>
      </c>
      <c r="F380" s="16" t="n">
        <f aca="false">S5</f>
        <v>0.045</v>
      </c>
    </row>
    <row r="381" customFormat="false" ht="12.8" hidden="false" customHeight="false" outlineLevel="0" collapsed="false">
      <c r="A381" s="7" t="str">
        <f aca="false">_xlfn.CONCAT($A$376, ".", A6)</f>
        <v>AL.3.3</v>
      </c>
      <c r="B381" s="7" t="str">
        <f aca="false">_xlfn.CONCAT(B6, ": ", C6)</f>
        <v>Construction: Worker</v>
      </c>
      <c r="C381" s="16" t="n">
        <f aca="false">P6</f>
        <v>0.033</v>
      </c>
      <c r="D381" s="16" t="n">
        <f aca="false">Q6</f>
        <v>0.06</v>
      </c>
      <c r="E381" s="16" t="n">
        <f aca="false">R6</f>
        <v>0.1</v>
      </c>
      <c r="F381" s="16" t="n">
        <f aca="false">S6</f>
        <v>0.03</v>
      </c>
    </row>
    <row r="382" customFormat="false" ht="12.8" hidden="false" customHeight="false" outlineLevel="0" collapsed="false">
      <c r="A382" s="7" t="str">
        <f aca="false">_xlfn.CONCAT($A$376, ".", A7)</f>
        <v>AL.3.4</v>
      </c>
      <c r="B382" s="7" t="str">
        <f aca="false">_xlfn.CONCAT(B7, ": ", C7)</f>
        <v>Construction: Support</v>
      </c>
      <c r="C382" s="16" t="n">
        <f aca="false">P7</f>
        <v>0.033</v>
      </c>
      <c r="D382" s="16" t="n">
        <f aca="false">Q7</f>
        <v>0.06</v>
      </c>
      <c r="E382" s="16" t="n">
        <f aca="false">R7</f>
        <v>0.1</v>
      </c>
      <c r="F382" s="16" t="n">
        <f aca="false">S7</f>
        <v>0.03</v>
      </c>
    </row>
    <row r="383" customFormat="false" ht="12.8" hidden="false" customHeight="false" outlineLevel="0" collapsed="false">
      <c r="A383" s="7" t="str">
        <f aca="false">_xlfn.CONCAT($A$376, ".", A8)</f>
        <v>AL.3.5</v>
      </c>
      <c r="B383" s="7" t="str">
        <f aca="false">_xlfn.CONCAT(B8, ": ", C8)</f>
        <v>Hospitality: Worker</v>
      </c>
      <c r="C383" s="16" t="n">
        <f aca="false">P8</f>
        <v>0.04</v>
      </c>
      <c r="D383" s="16" t="n">
        <f aca="false">Q8</f>
        <v>0.07</v>
      </c>
      <c r="E383" s="16" t="n">
        <f aca="false">R8</f>
        <v>0.12</v>
      </c>
      <c r="F383" s="16" t="n">
        <f aca="false">S8</f>
        <v>0.037</v>
      </c>
    </row>
    <row r="384" customFormat="false" ht="12.8" hidden="false" customHeight="false" outlineLevel="0" collapsed="false">
      <c r="A384" s="7" t="str">
        <f aca="false">_xlfn.CONCAT($A$376, ".", A9)</f>
        <v>AL.3.6</v>
      </c>
      <c r="B384" s="7" t="str">
        <f aca="false">_xlfn.CONCAT(B9, ": ", C9)</f>
        <v>Hospitality: Support</v>
      </c>
      <c r="C384" s="16" t="n">
        <f aca="false">P9</f>
        <v>0.04</v>
      </c>
      <c r="D384" s="16" t="n">
        <f aca="false">Q9</f>
        <v>0.07</v>
      </c>
      <c r="E384" s="16" t="n">
        <f aca="false">R9</f>
        <v>0.12</v>
      </c>
      <c r="F384" s="16" t="n">
        <f aca="false">S9</f>
        <v>0.037</v>
      </c>
    </row>
    <row r="385" customFormat="false" ht="12.8" hidden="false" customHeight="false" outlineLevel="0" collapsed="false">
      <c r="A385" s="7" t="str">
        <f aca="false">_xlfn.CONCAT($A$376, ".", A10)</f>
        <v>AL.3.7</v>
      </c>
      <c r="B385" s="7" t="str">
        <f aca="false">_xlfn.CONCAT(B10, ": ", C10)</f>
        <v>Cleaning &amp; Maintenance: Worker</v>
      </c>
      <c r="C385" s="16" t="n">
        <f aca="false">P10</f>
        <v>0.043</v>
      </c>
      <c r="D385" s="16" t="n">
        <f aca="false">Q10</f>
        <v>0.08</v>
      </c>
      <c r="E385" s="16" t="n">
        <f aca="false">R10</f>
        <v>0.13</v>
      </c>
      <c r="F385" s="16" t="n">
        <f aca="false">S10</f>
        <v>0.04</v>
      </c>
    </row>
    <row r="386" customFormat="false" ht="12.8" hidden="false" customHeight="false" outlineLevel="0" collapsed="false">
      <c r="A386" s="7" t="str">
        <f aca="false">_xlfn.CONCAT($A$376, ".", A11)</f>
        <v>AL.3.8</v>
      </c>
      <c r="B386" s="7" t="str">
        <f aca="false">_xlfn.CONCAT(B11, ": ", C11)</f>
        <v>Cleaning &amp; Maintenance: Support</v>
      </c>
      <c r="C386" s="16" t="n">
        <f aca="false">P11</f>
        <v>0.043</v>
      </c>
      <c r="D386" s="16" t="n">
        <f aca="false">Q11</f>
        <v>0.08</v>
      </c>
      <c r="E386" s="16" t="n">
        <f aca="false">R11</f>
        <v>0.13</v>
      </c>
      <c r="F386" s="16" t="n">
        <f aca="false">S11</f>
        <v>0.04</v>
      </c>
    </row>
    <row r="387" customFormat="false" ht="12.8" hidden="false" customHeight="false" outlineLevel="0" collapsed="false">
      <c r="A387" s="7" t="str">
        <f aca="false">_xlfn.CONCAT($A$376, ".", A12)</f>
        <v>AL.3.9</v>
      </c>
      <c r="B387" s="7" t="str">
        <f aca="false">_xlfn.CONCAT(B12, ": ", C12)</f>
        <v>Manufacturing: Worker</v>
      </c>
      <c r="C387" s="16" t="n">
        <f aca="false">P12</f>
        <v>0.02</v>
      </c>
      <c r="D387" s="16" t="n">
        <f aca="false">Q12</f>
        <v>0.04</v>
      </c>
      <c r="E387" s="16" t="n">
        <f aca="false">R12</f>
        <v>0.07</v>
      </c>
      <c r="F387" s="16" t="n">
        <f aca="false">S12</f>
        <v>0.018</v>
      </c>
    </row>
    <row r="388" customFormat="false" ht="12.8" hidden="false" customHeight="false" outlineLevel="0" collapsed="false">
      <c r="A388" s="7" t="str">
        <f aca="false">_xlfn.CONCAT($A$376, ".", A13)</f>
        <v>AL.3.10</v>
      </c>
      <c r="B388" s="7" t="str">
        <f aca="false">_xlfn.CONCAT(B13, ": ", C13)</f>
        <v>Manufacturing: Support</v>
      </c>
      <c r="C388" s="16" t="n">
        <f aca="false">P13</f>
        <v>0.02</v>
      </c>
      <c r="D388" s="16" t="n">
        <f aca="false">Q13</f>
        <v>0.04</v>
      </c>
      <c r="E388" s="16" t="n">
        <f aca="false">R13</f>
        <v>0.07</v>
      </c>
      <c r="F388" s="16" t="n">
        <f aca="false">S13</f>
        <v>0.018</v>
      </c>
    </row>
    <row r="389" customFormat="false" ht="12.8" hidden="false" customHeight="false" outlineLevel="0" collapsed="false">
      <c r="A389" s="7" t="str">
        <f aca="false">_xlfn.CONCAT($A$376, ".", A14)</f>
        <v>AL.3.11</v>
      </c>
      <c r="B389" s="7" t="str">
        <f aca="false">_xlfn.CONCAT(B14, ": ", C14)</f>
        <v>Transportation &amp; Warehousing: Worker</v>
      </c>
      <c r="C389" s="16" t="n">
        <f aca="false">P14</f>
        <v>0.024</v>
      </c>
      <c r="D389" s="16" t="n">
        <f aca="false">Q14</f>
        <v>0.05</v>
      </c>
      <c r="E389" s="16" t="n">
        <f aca="false">R14</f>
        <v>0.08</v>
      </c>
      <c r="F389" s="16" t="n">
        <f aca="false">S14</f>
        <v>0.022</v>
      </c>
    </row>
    <row r="390" customFormat="false" ht="12.8" hidden="false" customHeight="false" outlineLevel="0" collapsed="false">
      <c r="A390" s="7" t="str">
        <f aca="false">_xlfn.CONCAT($A$376, ".", A15)</f>
        <v>AL.3.12</v>
      </c>
      <c r="B390" s="7" t="str">
        <f aca="false">_xlfn.CONCAT(B15, ": ", C15)</f>
        <v>Transportation &amp; Warehousing: Support</v>
      </c>
      <c r="C390" s="16" t="n">
        <f aca="false">P15</f>
        <v>0.024</v>
      </c>
      <c r="D390" s="16" t="n">
        <f aca="false">Q15</f>
        <v>0.05</v>
      </c>
      <c r="E390" s="16" t="n">
        <f aca="false">R15</f>
        <v>0.08</v>
      </c>
      <c r="F390" s="16" t="n">
        <f aca="false">S15</f>
        <v>0.022</v>
      </c>
    </row>
    <row r="391" customFormat="false" ht="12.8" hidden="false" customHeight="false" outlineLevel="0" collapsed="false">
      <c r="A391" s="7" t="str">
        <f aca="false">_xlfn.CONCAT($A$376, ".", A16)</f>
        <v>AL.3.13</v>
      </c>
      <c r="B391" s="7" t="str">
        <f aca="false">_xlfn.CONCAT(B16, ": ", C16)</f>
        <v>Retail Trade: Worker</v>
      </c>
      <c r="C391" s="16" t="n">
        <f aca="false">P16</f>
        <v>0.032</v>
      </c>
      <c r="D391" s="16" t="n">
        <f aca="false">Q16</f>
        <v>0.06</v>
      </c>
      <c r="E391" s="16" t="n">
        <f aca="false">R16</f>
        <v>0.1</v>
      </c>
      <c r="F391" s="16" t="n">
        <f aca="false">S16</f>
        <v>0.03</v>
      </c>
    </row>
    <row r="392" customFormat="false" ht="12.8" hidden="false" customHeight="false" outlineLevel="0" collapsed="false">
      <c r="A392" s="7" t="str">
        <f aca="false">_xlfn.CONCAT($A$376, ".", A17)</f>
        <v>AL.3.14</v>
      </c>
      <c r="B392" s="7" t="str">
        <f aca="false">_xlfn.CONCAT(B17, ": ", C17)</f>
        <v>Retail Trade: Support</v>
      </c>
      <c r="C392" s="16" t="n">
        <f aca="false">P17</f>
        <v>0.032</v>
      </c>
      <c r="D392" s="16" t="n">
        <f aca="false">Q17</f>
        <v>0.06</v>
      </c>
      <c r="E392" s="16" t="n">
        <f aca="false">R17</f>
        <v>0.1</v>
      </c>
      <c r="F392" s="16" t="n">
        <f aca="false">S17</f>
        <v>0.03</v>
      </c>
    </row>
    <row r="393" customFormat="false" ht="12.8" hidden="false" customHeight="false" outlineLevel="0" collapsed="false">
      <c r="A393" s="7" t="str">
        <f aca="false">_xlfn.CONCAT($A$376, ".", A18)</f>
        <v>AL.3.15</v>
      </c>
      <c r="B393" s="7" t="str">
        <f aca="false">_xlfn.CONCAT(B18, ": ", C18)</f>
        <v>Landscaping / Groundskeeping: Worker</v>
      </c>
      <c r="C393" s="16" t="n">
        <f aca="false">P18</f>
        <v>0.033</v>
      </c>
      <c r="D393" s="16" t="n">
        <f aca="false">Q18</f>
        <v>0.06</v>
      </c>
      <c r="E393" s="16" t="n">
        <f aca="false">R18</f>
        <v>0.1</v>
      </c>
      <c r="F393" s="16" t="n">
        <f aca="false">S18</f>
        <v>0.03</v>
      </c>
    </row>
    <row r="394" customFormat="false" ht="12.8" hidden="false" customHeight="false" outlineLevel="0" collapsed="false">
      <c r="A394" s="7" t="str">
        <f aca="false">_xlfn.CONCAT($A$376, ".", A19)</f>
        <v>AL.3.16</v>
      </c>
      <c r="B394" s="7" t="str">
        <f aca="false">_xlfn.CONCAT(B19, ": ", C19)</f>
        <v>Landscaping / Groundskeeping: Support</v>
      </c>
      <c r="C394" s="16" t="n">
        <f aca="false">P19</f>
        <v>0.033</v>
      </c>
      <c r="D394" s="16" t="n">
        <f aca="false">Q19</f>
        <v>0.06</v>
      </c>
      <c r="E394" s="16" t="n">
        <f aca="false">R19</f>
        <v>0.1</v>
      </c>
      <c r="F394" s="16" t="n">
        <f aca="false">S19</f>
        <v>0.03</v>
      </c>
    </row>
    <row r="395" customFormat="false" ht="12.8" hidden="false" customHeight="false" outlineLevel="0" collapsed="false">
      <c r="A395" s="7" t="str">
        <f aca="false">_xlfn.CONCAT($A$376, ".", A20)</f>
        <v>AL.3.17</v>
      </c>
      <c r="B395" s="7" t="str">
        <f aca="false">_xlfn.CONCAT(B20, ": ", C20)</f>
        <v>Automotive &amp; Repair: Worker</v>
      </c>
      <c r="C395" s="16" t="n">
        <f aca="false">P20</f>
        <v>0.024</v>
      </c>
      <c r="D395" s="16" t="n">
        <f aca="false">Q20</f>
        <v>0.05</v>
      </c>
      <c r="E395" s="16" t="n">
        <f aca="false">R20</f>
        <v>0.08</v>
      </c>
      <c r="F395" s="16" t="n">
        <f aca="false">S20</f>
        <v>0.022</v>
      </c>
    </row>
    <row r="396" customFormat="false" ht="12.8" hidden="false" customHeight="false" outlineLevel="0" collapsed="false">
      <c r="A396" s="7" t="str">
        <f aca="false">_xlfn.CONCAT($A$376, ".", A21)</f>
        <v>AL.3.18</v>
      </c>
      <c r="B396" s="7" t="str">
        <f aca="false">_xlfn.CONCAT(B21, ": ", C21)</f>
        <v>Automotive &amp; Repair: Support</v>
      </c>
      <c r="C396" s="16" t="n">
        <f aca="false">P21</f>
        <v>0.024</v>
      </c>
      <c r="D396" s="16" t="n">
        <f aca="false">Q21</f>
        <v>0.05</v>
      </c>
      <c r="E396" s="16" t="n">
        <f aca="false">R21</f>
        <v>0.08</v>
      </c>
      <c r="F396" s="16" t="n">
        <f aca="false">S21</f>
        <v>0.022</v>
      </c>
    </row>
    <row r="397" customFormat="false" ht="12.8" hidden="false" customHeight="false" outlineLevel="0" collapsed="false">
      <c r="A397" s="7" t="str">
        <f aca="false">_xlfn.CONCAT($A$376, ".", A22)</f>
        <v>AL.3.19</v>
      </c>
      <c r="B397" s="7" t="str">
        <f aca="false">_xlfn.CONCAT(B22, ": ", C22)</f>
        <v>Other Services: Worker</v>
      </c>
      <c r="C397" s="16" t="n">
        <f aca="false">P22</f>
        <v>0.024</v>
      </c>
      <c r="D397" s="16" t="n">
        <f aca="false">Q22</f>
        <v>0.05</v>
      </c>
      <c r="E397" s="16" t="n">
        <f aca="false">R22</f>
        <v>0.08</v>
      </c>
      <c r="F397" s="16" t="n">
        <f aca="false">S22</f>
        <v>0.022</v>
      </c>
    </row>
    <row r="398" customFormat="false" ht="12.8" hidden="false" customHeight="false" outlineLevel="0" collapsed="false">
      <c r="A398" s="7" t="str">
        <f aca="false">_xlfn.CONCAT($A$376, ".", A23)</f>
        <v>AL.3.20</v>
      </c>
      <c r="B398" s="7" t="str">
        <f aca="false">_xlfn.CONCAT(B23, ": ", C23)</f>
        <v>Other Services: Support</v>
      </c>
      <c r="C398" s="16" t="n">
        <f aca="false">P23</f>
        <v>0.024</v>
      </c>
      <c r="D398" s="16" t="n">
        <f aca="false">Q23</f>
        <v>0.05</v>
      </c>
      <c r="E398" s="16" t="n">
        <f aca="false">R23</f>
        <v>0.08</v>
      </c>
      <c r="F398" s="16" t="n">
        <f aca="false">S23</f>
        <v>0.022</v>
      </c>
    </row>
    <row r="399" customFormat="false" ht="12.8" hidden="false" customHeight="false" outlineLevel="0" collapsed="false">
      <c r="A399" s="7"/>
      <c r="B399" s="7"/>
      <c r="C399" s="16"/>
      <c r="D399" s="16"/>
      <c r="E399" s="16"/>
      <c r="F399" s="16"/>
    </row>
    <row r="494" customFormat="false" ht="12.8" hidden="false" customHeight="false" outlineLevel="0" collapsed="false">
      <c r="A494" s="5" t="s">
        <v>131</v>
      </c>
      <c r="B494" s="24" t="s">
        <v>41</v>
      </c>
      <c r="C494" s="27" t="s">
        <v>132</v>
      </c>
    </row>
    <row r="495" customFormat="false" ht="46.25" hidden="false" customHeight="false" outlineLevel="0" collapsed="false">
      <c r="A495" s="5" t="s">
        <v>24</v>
      </c>
      <c r="B495" s="25" t="s">
        <v>124</v>
      </c>
      <c r="C495" s="28" t="str">
        <f aca="false">T2</f>
        <v>Underemployment Rate</v>
      </c>
      <c r="D495" s="28" t="str">
        <f aca="false">U2</f>
        <v>Authorized Immigrant Underemployment Rate</v>
      </c>
      <c r="E495" s="28" t="str">
        <f aca="false">V2</f>
        <v>Unauthorized Immigrant Underemployment Rate</v>
      </c>
      <c r="F495" s="28" t="str">
        <f aca="false">W2</f>
        <v>American Underemployment Rate</v>
      </c>
    </row>
    <row r="496" customFormat="false" ht="12.8" hidden="false" customHeight="false" outlineLevel="0" collapsed="false">
      <c r="A496" s="1" t="str">
        <f aca="false">_xlfn.CONCAT($A$494, ".", A3)</f>
        <v>AL.4.0</v>
      </c>
      <c r="B496" s="5" t="str">
        <f aca="false">_xlfn.CONCAT(B3, ": ", C3)</f>
        <v>All Industries: All Roles</v>
      </c>
      <c r="C496" s="16" t="n">
        <f aca="false">T3</f>
        <v>0.054</v>
      </c>
      <c r="D496" s="16" t="n">
        <f aca="false">U3</f>
        <v>0.062</v>
      </c>
      <c r="E496" s="16" t="n">
        <f aca="false">V3</f>
        <v>0.095</v>
      </c>
      <c r="F496" s="16" t="n">
        <f aca="false">W3</f>
        <v>0.049</v>
      </c>
    </row>
    <row r="497" customFormat="false" ht="12.8" hidden="false" customHeight="false" outlineLevel="0" collapsed="false">
      <c r="A497" s="1" t="str">
        <f aca="false">_xlfn.CONCAT($A$494, ".", A4)</f>
        <v>AL.4.1</v>
      </c>
      <c r="B497" s="7" t="str">
        <f aca="false">_xlfn.CONCAT(B4, ": ", C4)</f>
        <v>Agriculture: Worker</v>
      </c>
      <c r="C497" s="16" t="n">
        <f aca="false">T4</f>
        <v>0.095</v>
      </c>
      <c r="D497" s="16" t="n">
        <f aca="false">U4</f>
        <v>0.11</v>
      </c>
      <c r="E497" s="16" t="n">
        <f aca="false">V4</f>
        <v>0.17</v>
      </c>
      <c r="F497" s="16" t="n">
        <f aca="false">W4</f>
        <v>0.086</v>
      </c>
    </row>
    <row r="498" customFormat="false" ht="12.8" hidden="false" customHeight="false" outlineLevel="0" collapsed="false">
      <c r="A498" s="1" t="str">
        <f aca="false">_xlfn.CONCAT($A$494, ".", A5)</f>
        <v>AL.4.2</v>
      </c>
      <c r="B498" s="7" t="str">
        <f aca="false">_xlfn.CONCAT(B5, ": ", C5)</f>
        <v>Agriculture: Support</v>
      </c>
      <c r="C498" s="16" t="n">
        <f aca="false">T5</f>
        <v>0.095</v>
      </c>
      <c r="D498" s="16" t="n">
        <f aca="false">U5</f>
        <v>0.11</v>
      </c>
      <c r="E498" s="16" t="n">
        <f aca="false">V5</f>
        <v>0.17</v>
      </c>
      <c r="F498" s="16" t="n">
        <f aca="false">W5</f>
        <v>0.086</v>
      </c>
    </row>
    <row r="499" customFormat="false" ht="12.8" hidden="false" customHeight="false" outlineLevel="0" collapsed="false">
      <c r="A499" s="1" t="str">
        <f aca="false">_xlfn.CONCAT($A$494, ".", A6)</f>
        <v>AL.4.3</v>
      </c>
      <c r="B499" s="7" t="str">
        <f aca="false">_xlfn.CONCAT(B6, ": ", C6)</f>
        <v>Construction: Worker</v>
      </c>
      <c r="C499" s="16" t="n">
        <f aca="false">T6</f>
        <v>0.07</v>
      </c>
      <c r="D499" s="16" t="n">
        <f aca="false">U6</f>
        <v>0.08</v>
      </c>
      <c r="E499" s="16" t="n">
        <f aca="false">V6</f>
        <v>0.14</v>
      </c>
      <c r="F499" s="16" t="n">
        <f aca="false">W6</f>
        <v>0.064</v>
      </c>
    </row>
    <row r="500" customFormat="false" ht="12.8" hidden="false" customHeight="false" outlineLevel="0" collapsed="false">
      <c r="A500" s="1" t="str">
        <f aca="false">_xlfn.CONCAT($A$494, ".", A7)</f>
        <v>AL.4.4</v>
      </c>
      <c r="B500" s="7" t="str">
        <f aca="false">_xlfn.CONCAT(B7, ": ", C7)</f>
        <v>Construction: Support</v>
      </c>
      <c r="C500" s="16" t="n">
        <f aca="false">T7</f>
        <v>0.07</v>
      </c>
      <c r="D500" s="16" t="n">
        <f aca="false">U7</f>
        <v>0.08</v>
      </c>
      <c r="E500" s="16" t="n">
        <f aca="false">V7</f>
        <v>0.14</v>
      </c>
      <c r="F500" s="16" t="n">
        <f aca="false">W7</f>
        <v>0.064</v>
      </c>
    </row>
    <row r="501" customFormat="false" ht="12.8" hidden="false" customHeight="false" outlineLevel="0" collapsed="false">
      <c r="A501" s="1" t="str">
        <f aca="false">_xlfn.CONCAT($A$494, ".", A8)</f>
        <v>AL.4.5</v>
      </c>
      <c r="B501" s="7" t="str">
        <f aca="false">_xlfn.CONCAT(B8, ": ", C8)</f>
        <v>Hospitality: Worker</v>
      </c>
      <c r="C501" s="16" t="n">
        <f aca="false">T8</f>
        <v>0.085</v>
      </c>
      <c r="D501" s="16" t="n">
        <f aca="false">U8</f>
        <v>0.1</v>
      </c>
      <c r="E501" s="16" t="n">
        <f aca="false">V8</f>
        <v>0.18</v>
      </c>
      <c r="F501" s="16" t="n">
        <f aca="false">W8</f>
        <v>0.077</v>
      </c>
    </row>
    <row r="502" customFormat="false" ht="12.8" hidden="false" customHeight="false" outlineLevel="0" collapsed="false">
      <c r="A502" s="1" t="str">
        <f aca="false">_xlfn.CONCAT($A$494, ".", A9)</f>
        <v>AL.4.6</v>
      </c>
      <c r="B502" s="7" t="str">
        <f aca="false">_xlfn.CONCAT(B9, ": ", C9)</f>
        <v>Hospitality: Support</v>
      </c>
      <c r="C502" s="16" t="n">
        <f aca="false">T9</f>
        <v>0.085</v>
      </c>
      <c r="D502" s="16" t="n">
        <f aca="false">U9</f>
        <v>0.1</v>
      </c>
      <c r="E502" s="16" t="n">
        <f aca="false">V9</f>
        <v>0.18</v>
      </c>
      <c r="F502" s="16" t="n">
        <f aca="false">W9</f>
        <v>0.077</v>
      </c>
    </row>
    <row r="503" customFormat="false" ht="12.8" hidden="false" customHeight="false" outlineLevel="0" collapsed="false">
      <c r="A503" s="1" t="str">
        <f aca="false">_xlfn.CONCAT($A$494, ".", A10)</f>
        <v>AL.4.7</v>
      </c>
      <c r="B503" s="7" t="str">
        <f aca="false">_xlfn.CONCAT(B10, ": ", C10)</f>
        <v>Cleaning &amp; Maintenance: Worker</v>
      </c>
      <c r="C503" s="16" t="n">
        <f aca="false">T10</f>
        <v>0.09</v>
      </c>
      <c r="D503" s="16" t="n">
        <f aca="false">U10</f>
        <v>0.105</v>
      </c>
      <c r="E503" s="16" t="n">
        <f aca="false">V10</f>
        <v>0.19</v>
      </c>
      <c r="F503" s="16" t="n">
        <f aca="false">W10</f>
        <v>0.081</v>
      </c>
    </row>
    <row r="504" customFormat="false" ht="12.8" hidden="false" customHeight="false" outlineLevel="0" collapsed="false">
      <c r="A504" s="1" t="str">
        <f aca="false">_xlfn.CONCAT($A$494, ".", A11)</f>
        <v>AL.4.8</v>
      </c>
      <c r="B504" s="7" t="str">
        <f aca="false">_xlfn.CONCAT(B11, ": ", C11)</f>
        <v>Cleaning &amp; Maintenance: Support</v>
      </c>
      <c r="C504" s="16" t="n">
        <f aca="false">T11</f>
        <v>0.09</v>
      </c>
      <c r="D504" s="16" t="n">
        <f aca="false">U11</f>
        <v>0.105</v>
      </c>
      <c r="E504" s="16" t="n">
        <f aca="false">V11</f>
        <v>0.19</v>
      </c>
      <c r="F504" s="16" t="n">
        <f aca="false">W11</f>
        <v>0.081</v>
      </c>
    </row>
    <row r="505" customFormat="false" ht="12.8" hidden="false" customHeight="false" outlineLevel="0" collapsed="false">
      <c r="A505" s="1" t="str">
        <f aca="false">_xlfn.CONCAT($A$494, ".", A12)</f>
        <v>AL.4.9</v>
      </c>
      <c r="B505" s="7" t="str">
        <f aca="false">_xlfn.CONCAT(B12, ": ", C12)</f>
        <v>Manufacturing: Worker</v>
      </c>
      <c r="C505" s="16" t="n">
        <f aca="false">T12</f>
        <v>0.045</v>
      </c>
      <c r="D505" s="16" t="n">
        <f aca="false">U12</f>
        <v>0.052</v>
      </c>
      <c r="E505" s="16" t="n">
        <f aca="false">V12</f>
        <v>0.094</v>
      </c>
      <c r="F505" s="16" t="n">
        <f aca="false">W12</f>
        <v>0.041</v>
      </c>
    </row>
    <row r="506" customFormat="false" ht="12.8" hidden="false" customHeight="false" outlineLevel="0" collapsed="false">
      <c r="A506" s="1" t="str">
        <f aca="false">_xlfn.CONCAT($A$494, ".", A13)</f>
        <v>AL.4.10</v>
      </c>
      <c r="B506" s="7" t="str">
        <f aca="false">_xlfn.CONCAT(B13, ": ", C13)</f>
        <v>Manufacturing: Support</v>
      </c>
      <c r="C506" s="16" t="n">
        <f aca="false">T13</f>
        <v>0.045</v>
      </c>
      <c r="D506" s="16" t="n">
        <f aca="false">U13</f>
        <v>0.052</v>
      </c>
      <c r="E506" s="16" t="n">
        <f aca="false">V13</f>
        <v>0.094</v>
      </c>
      <c r="F506" s="16" t="n">
        <f aca="false">W13</f>
        <v>0.041</v>
      </c>
    </row>
    <row r="507" customFormat="false" ht="12.8" hidden="false" customHeight="false" outlineLevel="0" collapsed="false">
      <c r="A507" s="1" t="str">
        <f aca="false">_xlfn.CONCAT($A$494, ".", A14)</f>
        <v>AL.4.11</v>
      </c>
      <c r="B507" s="7" t="str">
        <f aca="false">_xlfn.CONCAT(B14, ": ", C14)</f>
        <v>Transportation &amp; Warehousing: Worker</v>
      </c>
      <c r="C507" s="16" t="n">
        <f aca="false">T14</f>
        <v>0.05</v>
      </c>
      <c r="D507" s="16" t="n">
        <f aca="false">U14</f>
        <v>0.058</v>
      </c>
      <c r="E507" s="16" t="n">
        <f aca="false">V14</f>
        <v>0.105</v>
      </c>
      <c r="F507" s="16" t="n">
        <f aca="false">W14</f>
        <v>0.045</v>
      </c>
    </row>
    <row r="508" customFormat="false" ht="12.8" hidden="false" customHeight="false" outlineLevel="0" collapsed="false">
      <c r="A508" s="1" t="str">
        <f aca="false">_xlfn.CONCAT($A$494, ".", A15)</f>
        <v>AL.4.12</v>
      </c>
      <c r="B508" s="7" t="str">
        <f aca="false">_xlfn.CONCAT(B15, ": ", C15)</f>
        <v>Transportation &amp; Warehousing: Support</v>
      </c>
      <c r="C508" s="16" t="n">
        <f aca="false">T15</f>
        <v>0.05</v>
      </c>
      <c r="D508" s="16" t="n">
        <f aca="false">U15</f>
        <v>0.058</v>
      </c>
      <c r="E508" s="16" t="n">
        <f aca="false">V15</f>
        <v>0.105</v>
      </c>
      <c r="F508" s="16" t="n">
        <f aca="false">W15</f>
        <v>0.045</v>
      </c>
    </row>
    <row r="509" customFormat="false" ht="12.8" hidden="false" customHeight="false" outlineLevel="0" collapsed="false">
      <c r="A509" s="1" t="str">
        <f aca="false">_xlfn.CONCAT($A$494, ".", A16)</f>
        <v>AL.4.13</v>
      </c>
      <c r="B509" s="7" t="str">
        <f aca="false">_xlfn.CONCAT(B16, ": ", C16)</f>
        <v>Retail Trade: Worker</v>
      </c>
      <c r="C509" s="16" t="n">
        <f aca="false">T16</f>
        <v>0.07</v>
      </c>
      <c r="D509" s="16" t="n">
        <f aca="false">U16</f>
        <v>0.08</v>
      </c>
      <c r="E509" s="16" t="n">
        <f aca="false">V16</f>
        <v>0.14</v>
      </c>
      <c r="F509" s="16" t="n">
        <f aca="false">W16</f>
        <v>0.064</v>
      </c>
    </row>
    <row r="510" customFormat="false" ht="12.8" hidden="false" customHeight="false" outlineLevel="0" collapsed="false">
      <c r="A510" s="1" t="str">
        <f aca="false">_xlfn.CONCAT($A$494, ".", A17)</f>
        <v>AL.4.14</v>
      </c>
      <c r="B510" s="7" t="str">
        <f aca="false">_xlfn.CONCAT(B17, ": ", C17)</f>
        <v>Retail Trade: Support</v>
      </c>
      <c r="C510" s="16" t="n">
        <f aca="false">T17</f>
        <v>0.07</v>
      </c>
      <c r="D510" s="16" t="n">
        <f aca="false">U17</f>
        <v>0.08</v>
      </c>
      <c r="E510" s="16" t="n">
        <f aca="false">V17</f>
        <v>0.14</v>
      </c>
      <c r="F510" s="16" t="n">
        <f aca="false">W17</f>
        <v>0.064</v>
      </c>
    </row>
    <row r="511" customFormat="false" ht="12.8" hidden="false" customHeight="false" outlineLevel="0" collapsed="false">
      <c r="A511" s="1" t="str">
        <f aca="false">_xlfn.CONCAT($A$494, ".", A18)</f>
        <v>AL.4.15</v>
      </c>
      <c r="B511" s="7" t="str">
        <f aca="false">_xlfn.CONCAT(B18, ": ", C18)</f>
        <v>Landscaping / Groundskeeping: Worker</v>
      </c>
      <c r="C511" s="16" t="n">
        <f aca="false">T18</f>
        <v>0.07</v>
      </c>
      <c r="D511" s="16" t="n">
        <f aca="false">U18</f>
        <v>0.08</v>
      </c>
      <c r="E511" s="16" t="n">
        <f aca="false">V18</f>
        <v>0.14</v>
      </c>
      <c r="F511" s="16" t="n">
        <f aca="false">W18</f>
        <v>0.064</v>
      </c>
    </row>
    <row r="512" customFormat="false" ht="12.8" hidden="false" customHeight="false" outlineLevel="0" collapsed="false">
      <c r="A512" s="1" t="str">
        <f aca="false">_xlfn.CONCAT($A$494, ".", A19)</f>
        <v>AL.4.16</v>
      </c>
      <c r="B512" s="7" t="str">
        <f aca="false">_xlfn.CONCAT(B19, ": ", C19)</f>
        <v>Landscaping / Groundskeeping: Support</v>
      </c>
      <c r="C512" s="16" t="n">
        <f aca="false">T19</f>
        <v>0.07</v>
      </c>
      <c r="D512" s="16" t="n">
        <f aca="false">U19</f>
        <v>0.08</v>
      </c>
      <c r="E512" s="16" t="n">
        <f aca="false">V19</f>
        <v>0.14</v>
      </c>
      <c r="F512" s="16" t="n">
        <f aca="false">W19</f>
        <v>0.064</v>
      </c>
    </row>
    <row r="513" customFormat="false" ht="12.8" hidden="false" customHeight="false" outlineLevel="0" collapsed="false">
      <c r="A513" s="1" t="str">
        <f aca="false">_xlfn.CONCAT($A$494, ".", A20)</f>
        <v>AL.4.17</v>
      </c>
      <c r="B513" s="7" t="str">
        <f aca="false">_xlfn.CONCAT(B20, ": ", C20)</f>
        <v>Automotive &amp; Repair: Worker</v>
      </c>
      <c r="C513" s="16" t="n">
        <f aca="false">T20</f>
        <v>0.05</v>
      </c>
      <c r="D513" s="16" t="n">
        <f aca="false">U20</f>
        <v>0.058</v>
      </c>
      <c r="E513" s="16" t="n">
        <f aca="false">V20</f>
        <v>0.105</v>
      </c>
      <c r="F513" s="16" t="n">
        <f aca="false">W20</f>
        <v>0.045</v>
      </c>
    </row>
    <row r="514" customFormat="false" ht="12.8" hidden="false" customHeight="false" outlineLevel="0" collapsed="false">
      <c r="A514" s="1" t="str">
        <f aca="false">_xlfn.CONCAT($A$494, ".", A21)</f>
        <v>AL.4.18</v>
      </c>
      <c r="B514" s="7" t="str">
        <f aca="false">_xlfn.CONCAT(B21, ": ", C21)</f>
        <v>Automotive &amp; Repair: Support</v>
      </c>
      <c r="C514" s="16" t="n">
        <f aca="false">T21</f>
        <v>0.05</v>
      </c>
      <c r="D514" s="16" t="n">
        <f aca="false">U21</f>
        <v>0.058</v>
      </c>
      <c r="E514" s="16" t="n">
        <f aca="false">V21</f>
        <v>0.105</v>
      </c>
      <c r="F514" s="16" t="n">
        <f aca="false">W21</f>
        <v>0.045</v>
      </c>
    </row>
    <row r="515" customFormat="false" ht="12.8" hidden="false" customHeight="false" outlineLevel="0" collapsed="false">
      <c r="A515" s="1" t="str">
        <f aca="false">_xlfn.CONCAT($A$494, ".", A22)</f>
        <v>AL.4.19</v>
      </c>
      <c r="B515" s="7" t="str">
        <f aca="false">_xlfn.CONCAT(B22, ": ", C22)</f>
        <v>Other Services: Worker</v>
      </c>
      <c r="C515" s="16" t="n">
        <f aca="false">T22</f>
        <v>0.05</v>
      </c>
      <c r="D515" s="16" t="n">
        <f aca="false">U22</f>
        <v>0.058</v>
      </c>
      <c r="E515" s="16" t="n">
        <f aca="false">V22</f>
        <v>0.105</v>
      </c>
      <c r="F515" s="16" t="n">
        <f aca="false">W22</f>
        <v>0.045</v>
      </c>
    </row>
    <row r="516" customFormat="false" ht="12.8" hidden="false" customHeight="false" outlineLevel="0" collapsed="false">
      <c r="A516" s="1" t="str">
        <f aca="false">_xlfn.CONCAT($A$494, ".", A23)</f>
        <v>AL.4.20</v>
      </c>
      <c r="B516" s="7" t="str">
        <f aca="false">_xlfn.CONCAT(B23, ": ", C23)</f>
        <v>Other Services: Support</v>
      </c>
      <c r="C516" s="16" t="n">
        <f aca="false">T23</f>
        <v>0.05</v>
      </c>
      <c r="D516" s="16" t="n">
        <f aca="false">U23</f>
        <v>0.058</v>
      </c>
      <c r="E516" s="16" t="n">
        <f aca="false">V23</f>
        <v>0.105</v>
      </c>
      <c r="F516" s="16" t="n">
        <f aca="false">W23</f>
        <v>0.045</v>
      </c>
    </row>
    <row r="613" customFormat="false" ht="12.8" hidden="false" customHeight="false" outlineLevel="0" collapsed="false">
      <c r="A613" s="5" t="s">
        <v>133</v>
      </c>
      <c r="B613" s="24" t="s">
        <v>41</v>
      </c>
      <c r="C613" s="27" t="s">
        <v>134</v>
      </c>
    </row>
    <row r="614" customFormat="false" ht="35.05" hidden="false" customHeight="false" outlineLevel="0" collapsed="false">
      <c r="A614" s="5" t="s">
        <v>24</v>
      </c>
      <c r="B614" s="5" t="str">
        <f aca="false">_xlfn.CONCAT(B2, ": ", C2)</f>
        <v>Industry: Role</v>
      </c>
      <c r="C614" s="25" t="str">
        <f aca="false">X2</f>
        <v>Wage Average ($/hr)</v>
      </c>
      <c r="D614" s="25" t="str">
        <f aca="false">AD2</f>
        <v>Authorized Immigrant Wage Average ($/hr)</v>
      </c>
      <c r="E614" s="25" t="str">
        <f aca="false">AJ2</f>
        <v>Unauthorized Immigrant Wage Average ($/hr)</v>
      </c>
      <c r="F614" s="25" t="str">
        <f aca="false">AP2</f>
        <v>American Wage Average ($/hr)</v>
      </c>
    </row>
    <row r="615" customFormat="false" ht="12.8" hidden="false" customHeight="false" outlineLevel="0" collapsed="false">
      <c r="A615" s="1" t="str">
        <f aca="false">_xlfn.CONCAT($A$613, ".", A3)</f>
        <v>AL.5.0</v>
      </c>
      <c r="B615" s="5" t="str">
        <f aca="false">_xlfn.CONCAT(B3, ": ", C3)</f>
        <v>All Industries: All Roles</v>
      </c>
      <c r="C615" s="29" t="n">
        <f aca="false">X3</f>
        <v>22.5</v>
      </c>
      <c r="D615" s="30" t="n">
        <f aca="false">AD3</f>
        <v>21.8</v>
      </c>
      <c r="E615" s="30" t="n">
        <f aca="false">AJ3</f>
        <v>19.5</v>
      </c>
      <c r="F615" s="30" t="n">
        <f aca="false">AP3</f>
        <v>22.8</v>
      </c>
    </row>
    <row r="616" customFormat="false" ht="12.8" hidden="false" customHeight="false" outlineLevel="0" collapsed="false">
      <c r="A616" s="1" t="str">
        <f aca="false">_xlfn.CONCAT($A$613, ".", A4)</f>
        <v>AL.5.1</v>
      </c>
      <c r="B616" s="7" t="str">
        <f aca="false">_xlfn.CONCAT(B4, ": ", C4)</f>
        <v>Agriculture: Worker</v>
      </c>
      <c r="C616" s="20" t="n">
        <f aca="false">X4</f>
        <v>18</v>
      </c>
      <c r="D616" s="20" t="n">
        <f aca="false">AD4</f>
        <v>17.4</v>
      </c>
      <c r="E616" s="20" t="n">
        <f aca="false">AJ4</f>
        <v>15.3</v>
      </c>
      <c r="F616" s="20" t="n">
        <f aca="false">AP4</f>
        <v>18.3</v>
      </c>
    </row>
    <row r="617" customFormat="false" ht="12.8" hidden="false" customHeight="false" outlineLevel="0" collapsed="false">
      <c r="A617" s="1" t="str">
        <f aca="false">_xlfn.CONCAT($A$613, ".", A5)</f>
        <v>AL.5.2</v>
      </c>
      <c r="B617" s="7" t="str">
        <f aca="false">_xlfn.CONCAT(B5, ": ", C5)</f>
        <v>Agriculture: Support</v>
      </c>
      <c r="C617" s="20" t="n">
        <f aca="false">X5</f>
        <v>15.3</v>
      </c>
      <c r="D617" s="20" t="n">
        <f aca="false">AD5</f>
        <v>14.8</v>
      </c>
      <c r="E617" s="20" t="n">
        <f aca="false">AJ5</f>
        <v>13</v>
      </c>
      <c r="F617" s="20" t="n">
        <f aca="false">AP5</f>
        <v>15.6</v>
      </c>
    </row>
    <row r="618" customFormat="false" ht="12.8" hidden="false" customHeight="false" outlineLevel="0" collapsed="false">
      <c r="A618" s="1" t="str">
        <f aca="false">_xlfn.CONCAT($A$613, ".", A6)</f>
        <v>AL.5.3</v>
      </c>
      <c r="B618" s="7" t="str">
        <f aca="false">_xlfn.CONCAT(B6, ": ", C6)</f>
        <v>Construction: Worker</v>
      </c>
      <c r="C618" s="20" t="n">
        <f aca="false">X6</f>
        <v>28</v>
      </c>
      <c r="D618" s="20" t="n">
        <f aca="false">AD6</f>
        <v>27.1</v>
      </c>
      <c r="E618" s="20" t="n">
        <f aca="false">AJ6</f>
        <v>24</v>
      </c>
      <c r="F618" s="20" t="n">
        <f aca="false">AP6</f>
        <v>28.4</v>
      </c>
    </row>
    <row r="619" customFormat="false" ht="12.8" hidden="false" customHeight="false" outlineLevel="0" collapsed="false">
      <c r="A619" s="1" t="str">
        <f aca="false">_xlfn.CONCAT($A$613, ".", A7)</f>
        <v>AL.5.4</v>
      </c>
      <c r="B619" s="7" t="str">
        <f aca="false">_xlfn.CONCAT(B7, ": ", C7)</f>
        <v>Construction: Support</v>
      </c>
      <c r="C619" s="20" t="n">
        <f aca="false">X7</f>
        <v>23</v>
      </c>
      <c r="D619" s="20" t="n">
        <f aca="false">AD7</f>
        <v>22.3</v>
      </c>
      <c r="E619" s="20" t="n">
        <f aca="false">AJ7</f>
        <v>19.7</v>
      </c>
      <c r="F619" s="20" t="n">
        <f aca="false">AP7</f>
        <v>23.3</v>
      </c>
    </row>
    <row r="620" customFormat="false" ht="12.8" hidden="false" customHeight="false" outlineLevel="0" collapsed="false">
      <c r="A620" s="1" t="str">
        <f aca="false">_xlfn.CONCAT($A$613, ".", A8)</f>
        <v>AL.5.5</v>
      </c>
      <c r="B620" s="7" t="str">
        <f aca="false">_xlfn.CONCAT(B8, ": ", C8)</f>
        <v>Hospitality: Worker</v>
      </c>
      <c r="C620" s="20" t="n">
        <f aca="false">X8</f>
        <v>16.5</v>
      </c>
      <c r="D620" s="20" t="n">
        <f aca="false">AD8</f>
        <v>16</v>
      </c>
      <c r="E620" s="20" t="n">
        <f aca="false">AJ8</f>
        <v>14</v>
      </c>
      <c r="F620" s="20" t="n">
        <f aca="false">AP8</f>
        <v>16.8</v>
      </c>
    </row>
    <row r="621" customFormat="false" ht="12.8" hidden="false" customHeight="false" outlineLevel="0" collapsed="false">
      <c r="A621" s="1" t="str">
        <f aca="false">_xlfn.CONCAT($A$613, ".", A9)</f>
        <v>AL.5.6</v>
      </c>
      <c r="B621" s="7" t="str">
        <f aca="false">_xlfn.CONCAT(B9, ": ", C9)</f>
        <v>Hospitality: Support</v>
      </c>
      <c r="C621" s="20" t="n">
        <f aca="false">X9</f>
        <v>13.2</v>
      </c>
      <c r="D621" s="20" t="n">
        <f aca="false">AD9</f>
        <v>12.8</v>
      </c>
      <c r="E621" s="20" t="n">
        <f aca="false">AJ9</f>
        <v>11.2</v>
      </c>
      <c r="F621" s="20" t="n">
        <f aca="false">AP9</f>
        <v>13.4</v>
      </c>
    </row>
    <row r="622" customFormat="false" ht="12.8" hidden="false" customHeight="false" outlineLevel="0" collapsed="false">
      <c r="A622" s="1" t="str">
        <f aca="false">_xlfn.CONCAT($A$613, ".", A10)</f>
        <v>AL.5.7</v>
      </c>
      <c r="B622" s="7" t="str">
        <f aca="false">_xlfn.CONCAT(B10, ": ", C10)</f>
        <v>Cleaning &amp; Maintenance: Worker</v>
      </c>
      <c r="C622" s="20" t="n">
        <f aca="false">X10</f>
        <v>14.5</v>
      </c>
      <c r="D622" s="20" t="n">
        <f aca="false">AD10</f>
        <v>14</v>
      </c>
      <c r="E622" s="20" t="n">
        <f aca="false">AJ10</f>
        <v>12.3</v>
      </c>
      <c r="F622" s="20" t="n">
        <f aca="false">AP10</f>
        <v>14.7</v>
      </c>
    </row>
    <row r="623" customFormat="false" ht="12.8" hidden="false" customHeight="false" outlineLevel="0" collapsed="false">
      <c r="A623" s="1" t="str">
        <f aca="false">_xlfn.CONCAT($A$613, ".", A11)</f>
        <v>AL.5.8</v>
      </c>
      <c r="B623" s="7" t="str">
        <f aca="false">_xlfn.CONCAT(B11, ": ", C11)</f>
        <v>Cleaning &amp; Maintenance: Support</v>
      </c>
      <c r="C623" s="20" t="n">
        <f aca="false">X11</f>
        <v>11.3</v>
      </c>
      <c r="D623" s="20" t="n">
        <f aca="false">AD11</f>
        <v>10.9</v>
      </c>
      <c r="E623" s="20" t="n">
        <f aca="false">AJ11</f>
        <v>9.6</v>
      </c>
      <c r="F623" s="20" t="n">
        <f aca="false">AP11</f>
        <v>11.5</v>
      </c>
    </row>
    <row r="624" customFormat="false" ht="12.8" hidden="false" customHeight="false" outlineLevel="0" collapsed="false">
      <c r="A624" s="1" t="str">
        <f aca="false">_xlfn.CONCAT($A$613, ".", A12)</f>
        <v>AL.5.9</v>
      </c>
      <c r="B624" s="7" t="str">
        <f aca="false">_xlfn.CONCAT(B12, ": ", C12)</f>
        <v>Manufacturing: Worker</v>
      </c>
      <c r="C624" s="20" t="n">
        <f aca="false">X12</f>
        <v>26.5</v>
      </c>
      <c r="D624" s="20" t="n">
        <f aca="false">AD12</f>
        <v>25.7</v>
      </c>
      <c r="E624" s="20" t="n">
        <f aca="false">AJ12</f>
        <v>23</v>
      </c>
      <c r="F624" s="20" t="n">
        <f aca="false">AP12</f>
        <v>26.9</v>
      </c>
    </row>
    <row r="625" customFormat="false" ht="12.8" hidden="false" customHeight="false" outlineLevel="0" collapsed="false">
      <c r="A625" s="1" t="str">
        <f aca="false">_xlfn.CONCAT($A$613, ".", A13)</f>
        <v>AL.5.10</v>
      </c>
      <c r="B625" s="7" t="str">
        <f aca="false">_xlfn.CONCAT(B13, ": ", C13)</f>
        <v>Manufacturing: Support</v>
      </c>
      <c r="C625" s="20" t="n">
        <f aca="false">X13</f>
        <v>24.4</v>
      </c>
      <c r="D625" s="20" t="n">
        <f aca="false">AD13</f>
        <v>23.7</v>
      </c>
      <c r="E625" s="20" t="n">
        <f aca="false">AJ13</f>
        <v>21.2</v>
      </c>
      <c r="F625" s="20" t="n">
        <f aca="false">AP13</f>
        <v>24.8</v>
      </c>
    </row>
    <row r="626" customFormat="false" ht="12.8" hidden="false" customHeight="false" outlineLevel="0" collapsed="false">
      <c r="A626" s="1" t="str">
        <f aca="false">_xlfn.CONCAT($A$613, ".", A14)</f>
        <v>AL.5.11</v>
      </c>
      <c r="B626" s="7" t="str">
        <f aca="false">_xlfn.CONCAT(B14, ": ", C14)</f>
        <v>Transportation &amp; Warehousing: Worker</v>
      </c>
      <c r="C626" s="20" t="n">
        <f aca="false">X14</f>
        <v>25</v>
      </c>
      <c r="D626" s="20" t="n">
        <f aca="false">AD14</f>
        <v>24.2</v>
      </c>
      <c r="E626" s="20" t="n">
        <f aca="false">AJ14</f>
        <v>21.7</v>
      </c>
      <c r="F626" s="20" t="n">
        <f aca="false">AP14</f>
        <v>25.4</v>
      </c>
    </row>
    <row r="627" customFormat="false" ht="12.8" hidden="false" customHeight="false" outlineLevel="0" collapsed="false">
      <c r="A627" s="1" t="str">
        <f aca="false">_xlfn.CONCAT($A$613, ".", A15)</f>
        <v>AL.5.12</v>
      </c>
      <c r="B627" s="7" t="str">
        <f aca="false">_xlfn.CONCAT(B15, ": ", C15)</f>
        <v>Transportation &amp; Warehousing: Support</v>
      </c>
      <c r="C627" s="20" t="n">
        <f aca="false">X15</f>
        <v>22.5</v>
      </c>
      <c r="D627" s="20" t="n">
        <f aca="false">AD15</f>
        <v>21.8</v>
      </c>
      <c r="E627" s="20" t="n">
        <f aca="false">AJ15</f>
        <v>19.5</v>
      </c>
      <c r="F627" s="20" t="n">
        <f aca="false">AP15</f>
        <v>22.8</v>
      </c>
    </row>
    <row r="628" customFormat="false" ht="12.8" hidden="false" customHeight="false" outlineLevel="0" collapsed="false">
      <c r="A628" s="1" t="str">
        <f aca="false">_xlfn.CONCAT($A$613, ".", A16)</f>
        <v>AL.5.13</v>
      </c>
      <c r="B628" s="7" t="str">
        <f aca="false">_xlfn.CONCAT(B16, ": ", C16)</f>
        <v>Retail Trade: Worker</v>
      </c>
      <c r="C628" s="20" t="n">
        <f aca="false">X16</f>
        <v>18.5</v>
      </c>
      <c r="D628" s="20" t="n">
        <f aca="false">AD16</f>
        <v>17.9</v>
      </c>
      <c r="E628" s="20" t="n">
        <f aca="false">AJ16</f>
        <v>16</v>
      </c>
      <c r="F628" s="20" t="n">
        <f aca="false">AP16</f>
        <v>18.8</v>
      </c>
    </row>
    <row r="629" customFormat="false" ht="12.8" hidden="false" customHeight="false" outlineLevel="0" collapsed="false">
      <c r="A629" s="1" t="str">
        <f aca="false">_xlfn.CONCAT($A$613, ".", A17)</f>
        <v>AL.5.14</v>
      </c>
      <c r="B629" s="7" t="str">
        <f aca="false">_xlfn.CONCAT(B17, ": ", C17)</f>
        <v>Retail Trade: Support</v>
      </c>
      <c r="C629" s="20" t="n">
        <f aca="false">X17</f>
        <v>15.7</v>
      </c>
      <c r="D629" s="20" t="n">
        <f aca="false">AD17</f>
        <v>15.2</v>
      </c>
      <c r="E629" s="20" t="n">
        <f aca="false">AJ17</f>
        <v>13.6</v>
      </c>
      <c r="F629" s="20" t="n">
        <f aca="false">AP17</f>
        <v>16</v>
      </c>
    </row>
    <row r="630" customFormat="false" ht="12.8" hidden="false" customHeight="false" outlineLevel="0" collapsed="false">
      <c r="A630" s="1" t="str">
        <f aca="false">_xlfn.CONCAT($A$613, ".", A18)</f>
        <v>AL.5.15</v>
      </c>
      <c r="B630" s="7" t="str">
        <f aca="false">_xlfn.CONCAT(B18, ": ", C18)</f>
        <v>Landscaping / Groundskeeping: Worker</v>
      </c>
      <c r="C630" s="20" t="n">
        <f aca="false">X18</f>
        <v>18</v>
      </c>
      <c r="D630" s="20" t="n">
        <f aca="false">AD18</f>
        <v>17.4</v>
      </c>
      <c r="E630" s="20" t="n">
        <f aca="false">AJ18</f>
        <v>15.3</v>
      </c>
      <c r="F630" s="20" t="n">
        <f aca="false">AP18</f>
        <v>18.3</v>
      </c>
    </row>
    <row r="631" customFormat="false" ht="12.8" hidden="false" customHeight="false" outlineLevel="0" collapsed="false">
      <c r="A631" s="1" t="str">
        <f aca="false">_xlfn.CONCAT($A$613, ".", A19)</f>
        <v>AL.5.16</v>
      </c>
      <c r="B631" s="7" t="str">
        <f aca="false">_xlfn.CONCAT(B19, ": ", C19)</f>
        <v>Landscaping / Groundskeeping: Support</v>
      </c>
      <c r="C631" s="20" t="n">
        <f aca="false">X19</f>
        <v>14.4</v>
      </c>
      <c r="D631" s="20" t="n">
        <f aca="false">AD19</f>
        <v>13.9</v>
      </c>
      <c r="E631" s="20" t="n">
        <f aca="false">AJ19</f>
        <v>12.2</v>
      </c>
      <c r="F631" s="20" t="n">
        <f aca="false">AP19</f>
        <v>14.6</v>
      </c>
    </row>
    <row r="632" customFormat="false" ht="12.8" hidden="false" customHeight="false" outlineLevel="0" collapsed="false">
      <c r="A632" s="1" t="str">
        <f aca="false">_xlfn.CONCAT($A$613, ".", A20)</f>
        <v>AL.5.17</v>
      </c>
      <c r="B632" s="7" t="str">
        <f aca="false">_xlfn.CONCAT(B20, ": ", C20)</f>
        <v>Automotive &amp; Repair: Worker</v>
      </c>
      <c r="C632" s="20" t="n">
        <f aca="false">X20</f>
        <v>24</v>
      </c>
      <c r="D632" s="20" t="n">
        <f aca="false">AD20</f>
        <v>23.3</v>
      </c>
      <c r="E632" s="20" t="n">
        <f aca="false">AJ20</f>
        <v>20.8</v>
      </c>
      <c r="F632" s="20" t="n">
        <f aca="false">AP20</f>
        <v>24.4</v>
      </c>
    </row>
    <row r="633" customFormat="false" ht="12.8" hidden="false" customHeight="false" outlineLevel="0" collapsed="false">
      <c r="A633" s="1" t="str">
        <f aca="false">_xlfn.CONCAT($A$613, ".", A21)</f>
        <v>AL.5.18</v>
      </c>
      <c r="B633" s="7" t="str">
        <f aca="false">_xlfn.CONCAT(B21, ": ", C21)</f>
        <v>Automotive &amp; Repair: Support</v>
      </c>
      <c r="C633" s="20" t="n">
        <f aca="false">X21</f>
        <v>21.1</v>
      </c>
      <c r="D633" s="20" t="n">
        <f aca="false">AD21</f>
        <v>20.5</v>
      </c>
      <c r="E633" s="20" t="n">
        <f aca="false">AJ21</f>
        <v>18.3</v>
      </c>
      <c r="F633" s="20" t="n">
        <f aca="false">AP21</f>
        <v>21.4</v>
      </c>
    </row>
    <row r="634" customFormat="false" ht="12.8" hidden="false" customHeight="false" outlineLevel="0" collapsed="false">
      <c r="A634" s="1" t="str">
        <f aca="false">_xlfn.CONCAT($A$613, ".", A22)</f>
        <v>AL.5.19</v>
      </c>
      <c r="B634" s="7" t="str">
        <f aca="false">_xlfn.CONCAT(B22, ": ", C22)</f>
        <v>Other Services: Worker</v>
      </c>
      <c r="C634" s="20" t="n">
        <f aca="false">X22</f>
        <v>20</v>
      </c>
      <c r="D634" s="20" t="n">
        <f aca="false">AD22</f>
        <v>19.4</v>
      </c>
      <c r="E634" s="20" t="n">
        <f aca="false">AJ22</f>
        <v>17.4</v>
      </c>
      <c r="F634" s="20" t="n">
        <f aca="false">AP22</f>
        <v>20.3</v>
      </c>
    </row>
    <row r="635" customFormat="false" ht="12.8" hidden="false" customHeight="false" outlineLevel="0" collapsed="false">
      <c r="A635" s="1" t="str">
        <f aca="false">_xlfn.CONCAT($A$613, ".", A23)</f>
        <v>AL.5.20</v>
      </c>
      <c r="B635" s="7" t="str">
        <f aca="false">_xlfn.CONCAT(B23, ": ", C23)</f>
        <v>Other Services: Support</v>
      </c>
      <c r="C635" s="20" t="n">
        <f aca="false">X23</f>
        <v>17.2</v>
      </c>
      <c r="D635" s="20" t="n">
        <f aca="false">AD23</f>
        <v>16.7</v>
      </c>
      <c r="E635" s="20" t="n">
        <f aca="false">AJ23</f>
        <v>14.9</v>
      </c>
      <c r="F635" s="20" t="n">
        <f aca="false">AP23</f>
        <v>17.5</v>
      </c>
    </row>
    <row r="636" customFormat="false" ht="12.8" hidden="false" customHeight="false" outlineLevel="0" collapsed="false">
      <c r="A636" s="1"/>
      <c r="B636" s="7"/>
      <c r="C636" s="20"/>
      <c r="D636" s="20"/>
      <c r="E636" s="20"/>
      <c r="F636" s="20"/>
    </row>
    <row r="637" customFormat="false" ht="12.8" hidden="false" customHeight="false" outlineLevel="0" collapsed="false">
      <c r="A637" s="1"/>
      <c r="B637" s="7"/>
      <c r="C637" s="20"/>
      <c r="D637" s="20"/>
      <c r="E637" s="20"/>
      <c r="F637" s="20"/>
    </row>
    <row r="638" customFormat="false" ht="12.8" hidden="false" customHeight="false" outlineLevel="0" collapsed="false">
      <c r="A638" s="1"/>
      <c r="B638" s="7"/>
      <c r="C638" s="20"/>
      <c r="D638" s="20"/>
      <c r="E638" s="20"/>
      <c r="F638" s="20"/>
    </row>
    <row r="733" customFormat="false" ht="12.8" hidden="false" customHeight="false" outlineLevel="0" collapsed="false">
      <c r="A733" s="5" t="s">
        <v>135</v>
      </c>
      <c r="B733" s="24" t="s">
        <v>41</v>
      </c>
      <c r="C733" s="27" t="s">
        <v>136</v>
      </c>
    </row>
    <row r="734" customFormat="false" ht="46.25" hidden="false" customHeight="false" outlineLevel="0" collapsed="false">
      <c r="A734" s="5" t="s">
        <v>24</v>
      </c>
      <c r="B734" s="5" t="str">
        <f aca="false">_xlfn.CONCAT(B2, ": ", C2)</f>
        <v>Industry: Role</v>
      </c>
      <c r="C734" s="31" t="str">
        <f aca="false">AA2</f>
        <v>Annual Income ($)</v>
      </c>
      <c r="D734" s="31" t="str">
        <f aca="false">AG2</f>
        <v>Authorized Immigrant Annual Income Average ($)</v>
      </c>
      <c r="E734" s="31" t="str">
        <f aca="false">AM2</f>
        <v>Unauthorized Immigrant Annual Income Average ($)</v>
      </c>
      <c r="F734" s="31" t="str">
        <f aca="false">AS2</f>
        <v>American Annual Income Average ($)</v>
      </c>
    </row>
    <row r="735" customFormat="false" ht="12.8" hidden="false" customHeight="false" outlineLevel="0" collapsed="false">
      <c r="A735" s="1" t="str">
        <f aca="false">_xlfn.CONCAT($A$733, ".", A3)</f>
        <v>AL.6.0</v>
      </c>
      <c r="B735" s="5" t="str">
        <f aca="false">_xlfn.CONCAT(B3, ": ", C3)</f>
        <v>All Industries: All Roles</v>
      </c>
      <c r="C735" s="31" t="n">
        <f aca="false">AA3</f>
        <v>46800</v>
      </c>
      <c r="D735" s="31" t="n">
        <f aca="false">AG3</f>
        <v>45344</v>
      </c>
      <c r="E735" s="31" t="n">
        <f aca="false">AM3</f>
        <v>40560</v>
      </c>
      <c r="F735" s="31" t="n">
        <f aca="false">AS3</f>
        <v>47424</v>
      </c>
    </row>
    <row r="736" customFormat="false" ht="12.8" hidden="false" customHeight="false" outlineLevel="0" collapsed="false">
      <c r="A736" s="1" t="str">
        <f aca="false">_xlfn.CONCAT($A$733, ".", A4)</f>
        <v>AL.6.1</v>
      </c>
      <c r="B736" s="7" t="str">
        <f aca="false">_xlfn.CONCAT(B4, ": ", C4)</f>
        <v>Agriculture: Worker</v>
      </c>
      <c r="C736" s="31" t="n">
        <f aca="false">AA4</f>
        <v>37440</v>
      </c>
      <c r="D736" s="31" t="n">
        <f aca="false">AG4</f>
        <v>36192</v>
      </c>
      <c r="E736" s="31" t="n">
        <f aca="false">AM4</f>
        <v>31824</v>
      </c>
      <c r="F736" s="31" t="n">
        <f aca="false">AS4</f>
        <v>38064</v>
      </c>
    </row>
    <row r="737" customFormat="false" ht="12.8" hidden="false" customHeight="false" outlineLevel="0" collapsed="false">
      <c r="A737" s="1" t="str">
        <f aca="false">_xlfn.CONCAT($A$733, ".", A5)</f>
        <v>AL.6.2</v>
      </c>
      <c r="B737" s="7" t="str">
        <f aca="false">_xlfn.CONCAT(B5, ": ", C5)</f>
        <v>Agriculture: Support</v>
      </c>
      <c r="C737" s="31" t="n">
        <f aca="false">AA5</f>
        <v>31824</v>
      </c>
      <c r="D737" s="31" t="n">
        <f aca="false">AG5</f>
        <v>30784</v>
      </c>
      <c r="E737" s="31" t="n">
        <f aca="false">AM5</f>
        <v>27040</v>
      </c>
      <c r="F737" s="31" t="n">
        <f aca="false">AS5</f>
        <v>32448</v>
      </c>
    </row>
    <row r="738" customFormat="false" ht="12.8" hidden="false" customHeight="false" outlineLevel="0" collapsed="false">
      <c r="A738" s="1" t="str">
        <f aca="false">_xlfn.CONCAT($A$733, ".", A6)</f>
        <v>AL.6.3</v>
      </c>
      <c r="B738" s="7" t="str">
        <f aca="false">_xlfn.CONCAT(B6, ": ", C6)</f>
        <v>Construction: Worker</v>
      </c>
      <c r="C738" s="31" t="n">
        <f aca="false">AA6</f>
        <v>58240</v>
      </c>
      <c r="D738" s="31" t="n">
        <f aca="false">AG6</f>
        <v>56368</v>
      </c>
      <c r="E738" s="31" t="n">
        <f aca="false">AM6</f>
        <v>49920</v>
      </c>
      <c r="F738" s="31" t="n">
        <f aca="false">AS6</f>
        <v>59152</v>
      </c>
    </row>
    <row r="739" customFormat="false" ht="12.8" hidden="false" customHeight="false" outlineLevel="0" collapsed="false">
      <c r="A739" s="1" t="str">
        <f aca="false">_xlfn.CONCAT($A$733, ".", A7)</f>
        <v>AL.6.4</v>
      </c>
      <c r="B739" s="7" t="str">
        <f aca="false">_xlfn.CONCAT(B7, ": ", C7)</f>
        <v>Construction: Support</v>
      </c>
      <c r="C739" s="31" t="n">
        <f aca="false">AA7</f>
        <v>47840</v>
      </c>
      <c r="D739" s="31" t="n">
        <f aca="false">AG7</f>
        <v>46384</v>
      </c>
      <c r="E739" s="31" t="n">
        <f aca="false">AM7</f>
        <v>40976</v>
      </c>
      <c r="F739" s="31" t="n">
        <f aca="false">AS7</f>
        <v>48464</v>
      </c>
    </row>
    <row r="740" customFormat="false" ht="12.8" hidden="false" customHeight="false" outlineLevel="0" collapsed="false">
      <c r="A740" s="1" t="str">
        <f aca="false">_xlfn.CONCAT($A$733, ".", A8)</f>
        <v>AL.6.5</v>
      </c>
      <c r="B740" s="7" t="str">
        <f aca="false">_xlfn.CONCAT(B8, ": ", C8)</f>
        <v>Hospitality: Worker</v>
      </c>
      <c r="C740" s="31" t="n">
        <f aca="false">AA8</f>
        <v>34320</v>
      </c>
      <c r="D740" s="31" t="n">
        <f aca="false">AG8</f>
        <v>33280</v>
      </c>
      <c r="E740" s="31" t="n">
        <f aca="false">AM8</f>
        <v>29120</v>
      </c>
      <c r="F740" s="31" t="n">
        <f aca="false">AS8</f>
        <v>34944</v>
      </c>
    </row>
    <row r="741" customFormat="false" ht="12.8" hidden="false" customHeight="false" outlineLevel="0" collapsed="false">
      <c r="A741" s="1" t="str">
        <f aca="false">_xlfn.CONCAT($A$733, ".", A9)</f>
        <v>AL.6.6</v>
      </c>
      <c r="B741" s="7" t="str">
        <f aca="false">_xlfn.CONCAT(B9, ": ", C9)</f>
        <v>Hospitality: Support</v>
      </c>
      <c r="C741" s="31" t="n">
        <f aca="false">AA9</f>
        <v>27456</v>
      </c>
      <c r="D741" s="31" t="n">
        <f aca="false">AG9</f>
        <v>26624</v>
      </c>
      <c r="E741" s="31" t="n">
        <f aca="false">AM9</f>
        <v>23304</v>
      </c>
      <c r="F741" s="31" t="n">
        <f aca="false">AS9</f>
        <v>27872</v>
      </c>
    </row>
    <row r="742" customFormat="false" ht="12.8" hidden="false" customHeight="false" outlineLevel="0" collapsed="false">
      <c r="A742" s="1" t="str">
        <f aca="false">_xlfn.CONCAT($A$733, ".", A10)</f>
        <v>AL.6.7</v>
      </c>
      <c r="B742" s="7" t="str">
        <f aca="false">_xlfn.CONCAT(B10, ": ", C10)</f>
        <v>Cleaning &amp; Maintenance: Worker</v>
      </c>
      <c r="C742" s="31" t="n">
        <f aca="false">AA10</f>
        <v>30160</v>
      </c>
      <c r="D742" s="31" t="n">
        <f aca="false">AG10</f>
        <v>29120</v>
      </c>
      <c r="E742" s="31" t="n">
        <f aca="false">AM10</f>
        <v>25584</v>
      </c>
      <c r="F742" s="31" t="n">
        <f aca="false">AS10</f>
        <v>30576</v>
      </c>
    </row>
    <row r="743" customFormat="false" ht="12.8" hidden="false" customHeight="false" outlineLevel="0" collapsed="false">
      <c r="A743" s="1" t="str">
        <f aca="false">_xlfn.CONCAT($A$733, ".", A11)</f>
        <v>AL.6.8</v>
      </c>
      <c r="B743" s="7" t="str">
        <f aca="false">_xlfn.CONCAT(B11, ": ", C11)</f>
        <v>Cleaning &amp; Maintenance: Support</v>
      </c>
      <c r="C743" s="31" t="n">
        <f aca="false">AA11</f>
        <v>23504</v>
      </c>
      <c r="D743" s="31" t="n">
        <f aca="false">AG11</f>
        <v>22672</v>
      </c>
      <c r="E743" s="31" t="n">
        <f aca="false">AM11</f>
        <v>19968</v>
      </c>
      <c r="F743" s="31" t="n">
        <f aca="false">AS11</f>
        <v>23920</v>
      </c>
    </row>
    <row r="744" customFormat="false" ht="12.8" hidden="false" customHeight="false" outlineLevel="0" collapsed="false">
      <c r="A744" s="1" t="str">
        <f aca="false">_xlfn.CONCAT($A$733, ".", A12)</f>
        <v>AL.6.9</v>
      </c>
      <c r="B744" s="7" t="str">
        <f aca="false">_xlfn.CONCAT(B12, ": ", C12)</f>
        <v>Manufacturing: Worker</v>
      </c>
      <c r="C744" s="31" t="n">
        <f aca="false">AA12</f>
        <v>55120</v>
      </c>
      <c r="D744" s="31" t="n">
        <f aca="false">AG12</f>
        <v>53456</v>
      </c>
      <c r="E744" s="31" t="n">
        <f aca="false">AM12</f>
        <v>47840</v>
      </c>
      <c r="F744" s="31" t="n">
        <f aca="false">AS12</f>
        <v>55952</v>
      </c>
    </row>
    <row r="745" customFormat="false" ht="12.8" hidden="false" customHeight="false" outlineLevel="0" collapsed="false">
      <c r="A745" s="1" t="str">
        <f aca="false">_xlfn.CONCAT($A$733, ".", A13)</f>
        <v>AL.6.10</v>
      </c>
      <c r="B745" s="7" t="str">
        <f aca="false">_xlfn.CONCAT(B13, ": ", C13)</f>
        <v>Manufacturing: Support</v>
      </c>
      <c r="C745" s="31" t="n">
        <f aca="false">AA13</f>
        <v>50752</v>
      </c>
      <c r="D745" s="31" t="n">
        <f aca="false">AG13</f>
        <v>49296</v>
      </c>
      <c r="E745" s="31" t="n">
        <f aca="false">AM13</f>
        <v>44100</v>
      </c>
      <c r="F745" s="31" t="n">
        <f aca="false">AS13</f>
        <v>51584</v>
      </c>
    </row>
    <row r="746" customFormat="false" ht="12.8" hidden="false" customHeight="false" outlineLevel="0" collapsed="false">
      <c r="A746" s="1" t="str">
        <f aca="false">_xlfn.CONCAT($A$733, ".", A14)</f>
        <v>AL.6.11</v>
      </c>
      <c r="B746" s="7" t="str">
        <f aca="false">_xlfn.CONCAT(B14, ": ", C14)</f>
        <v>Transportation &amp; Warehousing: Worker</v>
      </c>
      <c r="C746" s="31" t="n">
        <f aca="false">AA14</f>
        <v>52000</v>
      </c>
      <c r="D746" s="31" t="n">
        <f aca="false">AG14</f>
        <v>50336</v>
      </c>
      <c r="E746" s="31" t="n">
        <f aca="false">AM14</f>
        <v>45136</v>
      </c>
      <c r="F746" s="31" t="n">
        <f aca="false">AS14</f>
        <v>52832</v>
      </c>
    </row>
    <row r="747" customFormat="false" ht="12.8" hidden="false" customHeight="false" outlineLevel="0" collapsed="false">
      <c r="A747" s="1" t="str">
        <f aca="false">_xlfn.CONCAT($A$733, ".", A15)</f>
        <v>AL.6.12</v>
      </c>
      <c r="B747" s="7" t="str">
        <f aca="false">_xlfn.CONCAT(B15, ": ", C15)</f>
        <v>Transportation &amp; Warehousing: Support</v>
      </c>
      <c r="C747" s="31" t="n">
        <f aca="false">AA15</f>
        <v>46800</v>
      </c>
      <c r="D747" s="31" t="n">
        <f aca="false">AG15</f>
        <v>45344</v>
      </c>
      <c r="E747" s="31" t="n">
        <f aca="false">AM15</f>
        <v>40560</v>
      </c>
      <c r="F747" s="31" t="n">
        <f aca="false">AS15</f>
        <v>47424</v>
      </c>
    </row>
    <row r="748" customFormat="false" ht="12.8" hidden="false" customHeight="false" outlineLevel="0" collapsed="false">
      <c r="A748" s="1" t="str">
        <f aca="false">_xlfn.CONCAT($A$733, ".", A16)</f>
        <v>AL.6.13</v>
      </c>
      <c r="B748" s="7" t="str">
        <f aca="false">_xlfn.CONCAT(B16, ": ", C16)</f>
        <v>Retail Trade: Worker</v>
      </c>
      <c r="C748" s="31" t="n">
        <f aca="false">AA16</f>
        <v>38480</v>
      </c>
      <c r="D748" s="31" t="n">
        <f aca="false">AG16</f>
        <v>37232</v>
      </c>
      <c r="E748" s="31" t="n">
        <f aca="false">AM16</f>
        <v>33280</v>
      </c>
      <c r="F748" s="31" t="n">
        <f aca="false">AS16</f>
        <v>39104</v>
      </c>
    </row>
    <row r="749" customFormat="false" ht="12.8" hidden="false" customHeight="false" outlineLevel="0" collapsed="false">
      <c r="A749" s="1" t="str">
        <f aca="false">_xlfn.CONCAT($A$733, ".", A17)</f>
        <v>AL.6.14</v>
      </c>
      <c r="B749" s="7" t="str">
        <f aca="false">_xlfn.CONCAT(B17, ": ", C17)</f>
        <v>Retail Trade: Support</v>
      </c>
      <c r="C749" s="31" t="n">
        <f aca="false">AA17</f>
        <v>32656</v>
      </c>
      <c r="D749" s="31" t="n">
        <f aca="false">AG17</f>
        <v>31616</v>
      </c>
      <c r="E749" s="31" t="n">
        <f aca="false">AM17</f>
        <v>28288</v>
      </c>
      <c r="F749" s="31" t="n">
        <f aca="false">AS17</f>
        <v>33280</v>
      </c>
    </row>
    <row r="750" customFormat="false" ht="12.8" hidden="false" customHeight="false" outlineLevel="0" collapsed="false">
      <c r="A750" s="1" t="str">
        <f aca="false">_xlfn.CONCAT($A$733, ".", A18)</f>
        <v>AL.6.15</v>
      </c>
      <c r="B750" s="7" t="str">
        <f aca="false">_xlfn.CONCAT(B18, ": ", C18)</f>
        <v>Landscaping / Groundskeeping: Worker</v>
      </c>
      <c r="C750" s="31" t="n">
        <f aca="false">AA18</f>
        <v>37440</v>
      </c>
      <c r="D750" s="31" t="n">
        <f aca="false">AG18</f>
        <v>36192</v>
      </c>
      <c r="E750" s="31" t="n">
        <f aca="false">AM18</f>
        <v>31824</v>
      </c>
      <c r="F750" s="31" t="n">
        <f aca="false">AS18</f>
        <v>38064</v>
      </c>
    </row>
    <row r="751" customFormat="false" ht="12.8" hidden="false" customHeight="false" outlineLevel="0" collapsed="false">
      <c r="A751" s="1" t="str">
        <f aca="false">_xlfn.CONCAT($A$733, ".", A19)</f>
        <v>AL.6.16</v>
      </c>
      <c r="B751" s="7" t="str">
        <f aca="false">_xlfn.CONCAT(B19, ": ", C19)</f>
        <v>Landscaping / Groundskeeping: Support</v>
      </c>
      <c r="C751" s="31" t="n">
        <f aca="false">AA19</f>
        <v>29952</v>
      </c>
      <c r="D751" s="31" t="n">
        <f aca="false">AG19</f>
        <v>28912</v>
      </c>
      <c r="E751" s="31" t="n">
        <f aca="false">AM19</f>
        <v>25376</v>
      </c>
      <c r="F751" s="31" t="n">
        <f aca="false">AS19</f>
        <v>30368</v>
      </c>
    </row>
    <row r="752" customFormat="false" ht="12.8" hidden="false" customHeight="false" outlineLevel="0" collapsed="false">
      <c r="A752" s="1" t="str">
        <f aca="false">_xlfn.CONCAT($A$733, ".", A20)</f>
        <v>AL.6.17</v>
      </c>
      <c r="B752" s="7" t="str">
        <f aca="false">_xlfn.CONCAT(B20, ": ", C20)</f>
        <v>Automotive &amp; Repair: Worker</v>
      </c>
      <c r="C752" s="31" t="n">
        <f aca="false">AA20</f>
        <v>49920</v>
      </c>
      <c r="D752" s="31" t="n">
        <f aca="false">AG20</f>
        <v>48464</v>
      </c>
      <c r="E752" s="31" t="n">
        <f aca="false">AM20</f>
        <v>43264</v>
      </c>
      <c r="F752" s="31" t="n">
        <f aca="false">AS20</f>
        <v>50752</v>
      </c>
    </row>
    <row r="753" customFormat="false" ht="12.8" hidden="false" customHeight="false" outlineLevel="0" collapsed="false">
      <c r="A753" s="1" t="str">
        <f aca="false">_xlfn.CONCAT($A$733, ".", A21)</f>
        <v>AL.6.18</v>
      </c>
      <c r="B753" s="7" t="str">
        <f aca="false">_xlfn.CONCAT(B21, ": ", C21)</f>
        <v>Automotive &amp; Repair: Support</v>
      </c>
      <c r="C753" s="31" t="n">
        <f aca="false">AA21</f>
        <v>43888</v>
      </c>
      <c r="D753" s="31" t="n">
        <f aca="false">AG21</f>
        <v>42640</v>
      </c>
      <c r="E753" s="31" t="n">
        <f aca="false">AM21</f>
        <v>38064</v>
      </c>
      <c r="F753" s="31" t="n">
        <f aca="false">AS21</f>
        <v>44512</v>
      </c>
    </row>
    <row r="754" customFormat="false" ht="12.8" hidden="false" customHeight="false" outlineLevel="0" collapsed="false">
      <c r="A754" s="1" t="str">
        <f aca="false">_xlfn.CONCAT($A$733, ".", A22)</f>
        <v>AL.6.19</v>
      </c>
      <c r="B754" s="7" t="str">
        <f aca="false">_xlfn.CONCAT(B22, ": ", C22)</f>
        <v>Other Services: Worker</v>
      </c>
      <c r="C754" s="31" t="n">
        <f aca="false">AA22</f>
        <v>41600</v>
      </c>
      <c r="D754" s="31" t="n">
        <f aca="false">AG22</f>
        <v>40352</v>
      </c>
      <c r="E754" s="31" t="n">
        <f aca="false">AM22</f>
        <v>36192</v>
      </c>
      <c r="F754" s="31" t="n">
        <f aca="false">AS22</f>
        <v>42224</v>
      </c>
    </row>
    <row r="755" customFormat="false" ht="12.8" hidden="false" customHeight="false" outlineLevel="0" collapsed="false">
      <c r="A755" s="1" t="str">
        <f aca="false">_xlfn.CONCAT($A$733, ".", A23)</f>
        <v>AL.6.20</v>
      </c>
      <c r="B755" s="7" t="str">
        <f aca="false">_xlfn.CONCAT(B23, ": ", C23)</f>
        <v>Other Services: Support</v>
      </c>
      <c r="C755" s="31" t="n">
        <f aca="false">AA23</f>
        <v>35776</v>
      </c>
      <c r="D755" s="31" t="n">
        <f aca="false">AG23</f>
        <v>34736</v>
      </c>
      <c r="E755" s="31" t="n">
        <f aca="false">AM23</f>
        <v>30992</v>
      </c>
      <c r="F755" s="31" t="n">
        <f aca="false">AS23</f>
        <v>36400</v>
      </c>
    </row>
    <row r="756" customFormat="false" ht="12.8" hidden="false" customHeight="false" outlineLevel="0" collapsed="false">
      <c r="A756" s="1"/>
      <c r="B756" s="7"/>
      <c r="C756" s="31"/>
      <c r="D756" s="31"/>
      <c r="E756" s="31"/>
      <c r="F756" s="31"/>
    </row>
    <row r="757" customFormat="false" ht="12.8" hidden="false" customHeight="false" outlineLevel="0" collapsed="false">
      <c r="A757" s="1"/>
      <c r="B757" s="7"/>
      <c r="C757" s="31"/>
      <c r="D757" s="31"/>
      <c r="E757" s="31"/>
      <c r="F757" s="31"/>
    </row>
    <row r="758" customFormat="false" ht="12.8" hidden="false" customHeight="false" outlineLevel="0" collapsed="false">
      <c r="A758" s="1"/>
      <c r="B758" s="7"/>
      <c r="C758" s="31"/>
      <c r="D758" s="31"/>
      <c r="E758" s="31"/>
      <c r="F758" s="31"/>
    </row>
    <row r="854" customFormat="false" ht="12.8" hidden="false" customHeight="false" outlineLevel="0" collapsed="false">
      <c r="A854" s="5" t="s">
        <v>137</v>
      </c>
      <c r="B854" s="24" t="s">
        <v>41</v>
      </c>
      <c r="C854" s="27" t="s">
        <v>138</v>
      </c>
    </row>
    <row r="855" customFormat="false" ht="46.25" hidden="false" customHeight="false" outlineLevel="0" collapsed="false">
      <c r="A855" s="5" t="s">
        <v>24</v>
      </c>
      <c r="B855" s="5" t="str">
        <f aca="false">_xlfn.CONCAT(B2, ": ", C2)</f>
        <v>Industry: Role</v>
      </c>
      <c r="C855" s="32" t="str">
        <f aca="false">AV2</f>
        <v>Federal Personal Income Tax Revenue ($)</v>
      </c>
      <c r="D855" s="32" t="str">
        <f aca="false">AW2</f>
        <v>Authorized Immigrant Federal Personal Income Tax Revenue ($)</v>
      </c>
      <c r="E855" s="32" t="str">
        <f aca="false">AX2</f>
        <v>Unauthorized Immigrant Federal Personal Income Tax Revenue ($)</v>
      </c>
      <c r="F855" s="32" t="str">
        <f aca="false">AY2</f>
        <v>American Federal Personal Income Tax Revenue ($)</v>
      </c>
    </row>
    <row r="856" customFormat="false" ht="12.8" hidden="false" customHeight="false" outlineLevel="0" collapsed="false">
      <c r="A856" s="7" t="str">
        <f aca="false">_xlfn.CONCAT($A$854, ".", A3)</f>
        <v>AL.7.0</v>
      </c>
      <c r="B856" s="7" t="str">
        <f aca="false">_xlfn.CONCAT(B3, ": ", C3)</f>
        <v>All Industries: All Roles</v>
      </c>
      <c r="C856" s="32" t="n">
        <f aca="false">AV3</f>
        <v>850000000</v>
      </c>
      <c r="D856" s="32" t="n">
        <f aca="false">AW3</f>
        <v>28000000</v>
      </c>
      <c r="E856" s="32" t="n">
        <f aca="false">AX3</f>
        <v>85000000</v>
      </c>
      <c r="F856" s="32" t="n">
        <f aca="false">AY3</f>
        <v>737000000</v>
      </c>
    </row>
    <row r="857" customFormat="false" ht="12.8" hidden="false" customHeight="false" outlineLevel="0" collapsed="false">
      <c r="A857" s="7" t="str">
        <f aca="false">_xlfn.CONCAT($A$854, ".", A4)</f>
        <v>AL.7.1</v>
      </c>
      <c r="B857" s="7" t="str">
        <f aca="false">_xlfn.CONCAT(B4, ": ", C4)</f>
        <v>Agriculture: Worker</v>
      </c>
      <c r="C857" s="32" t="n">
        <f aca="false">AV4</f>
        <v>1200000</v>
      </c>
      <c r="D857" s="32" t="n">
        <f aca="false">AW4</f>
        <v>40000</v>
      </c>
      <c r="E857" s="32" t="n">
        <f aca="false">AX4</f>
        <v>120000</v>
      </c>
      <c r="F857" s="32" t="n">
        <f aca="false">AY4</f>
        <v>1040000</v>
      </c>
    </row>
    <row r="858" customFormat="false" ht="12.8" hidden="false" customHeight="false" outlineLevel="0" collapsed="false">
      <c r="A858" s="7" t="str">
        <f aca="false">_xlfn.CONCAT($A$854, ".", A5)</f>
        <v>AL.7.2</v>
      </c>
      <c r="B858" s="7" t="str">
        <f aca="false">_xlfn.CONCAT(B5, ": ", C5)</f>
        <v>Agriculture: Support</v>
      </c>
      <c r="C858" s="32" t="n">
        <f aca="false">AV5</f>
        <v>600000</v>
      </c>
      <c r="D858" s="32" t="n">
        <f aca="false">AW5</f>
        <v>20000</v>
      </c>
      <c r="E858" s="32" t="n">
        <f aca="false">AX5</f>
        <v>60000</v>
      </c>
      <c r="F858" s="32" t="n">
        <f aca="false">AY5</f>
        <v>520000</v>
      </c>
    </row>
    <row r="859" customFormat="false" ht="12.8" hidden="false" customHeight="false" outlineLevel="0" collapsed="false">
      <c r="A859" s="7" t="str">
        <f aca="false">_xlfn.CONCAT($A$854, ".", A6)</f>
        <v>AL.7.3</v>
      </c>
      <c r="B859" s="7" t="str">
        <f aca="false">_xlfn.CONCAT(B6, ": ", C6)</f>
        <v>Construction: Worker</v>
      </c>
      <c r="C859" s="32" t="n">
        <f aca="false">AV6</f>
        <v>15000000</v>
      </c>
      <c r="D859" s="32" t="n">
        <f aca="false">AW6</f>
        <v>500000</v>
      </c>
      <c r="E859" s="32" t="n">
        <f aca="false">AX6</f>
        <v>1500000</v>
      </c>
      <c r="F859" s="32" t="n">
        <f aca="false">AY6</f>
        <v>13000000</v>
      </c>
    </row>
    <row r="860" customFormat="false" ht="12.8" hidden="false" customHeight="false" outlineLevel="0" collapsed="false">
      <c r="A860" s="7" t="str">
        <f aca="false">_xlfn.CONCAT($A$854, ".", A7)</f>
        <v>AL.7.4</v>
      </c>
      <c r="B860" s="7" t="str">
        <f aca="false">_xlfn.CONCAT(B7, ": ", C7)</f>
        <v>Construction: Support</v>
      </c>
      <c r="C860" s="32" t="n">
        <f aca="false">AV7</f>
        <v>6000000</v>
      </c>
      <c r="D860" s="32" t="n">
        <f aca="false">AW7</f>
        <v>200000</v>
      </c>
      <c r="E860" s="32" t="n">
        <f aca="false">AX7</f>
        <v>600000</v>
      </c>
      <c r="F860" s="32" t="n">
        <f aca="false">AY7</f>
        <v>5200000</v>
      </c>
    </row>
    <row r="861" customFormat="false" ht="12.8" hidden="false" customHeight="false" outlineLevel="0" collapsed="false">
      <c r="A861" s="7" t="str">
        <f aca="false">_xlfn.CONCAT($A$854, ".", A8)</f>
        <v>AL.7.5</v>
      </c>
      <c r="B861" s="7" t="str">
        <f aca="false">_xlfn.CONCAT(B8, ": ", C8)</f>
        <v>Hospitality: Worker</v>
      </c>
      <c r="C861" s="32" t="n">
        <f aca="false">AV8</f>
        <v>18000000</v>
      </c>
      <c r="D861" s="32" t="n">
        <f aca="false">AW8</f>
        <v>600000</v>
      </c>
      <c r="E861" s="32" t="n">
        <f aca="false">AX8</f>
        <v>1800000</v>
      </c>
      <c r="F861" s="32" t="n">
        <f aca="false">AY8</f>
        <v>15600000</v>
      </c>
    </row>
    <row r="862" customFormat="false" ht="12.8" hidden="false" customHeight="false" outlineLevel="0" collapsed="false">
      <c r="A862" s="7" t="str">
        <f aca="false">_xlfn.CONCAT($A$854, ".", A9)</f>
        <v>AL.7.6</v>
      </c>
      <c r="B862" s="7" t="str">
        <f aca="false">_xlfn.CONCAT(B9, ": ", C9)</f>
        <v>Hospitality: Support</v>
      </c>
      <c r="C862" s="32" t="n">
        <f aca="false">AV9</f>
        <v>9000000</v>
      </c>
      <c r="D862" s="32" t="n">
        <f aca="false">AW9</f>
        <v>300000</v>
      </c>
      <c r="E862" s="32" t="n">
        <f aca="false">AX9</f>
        <v>900000</v>
      </c>
      <c r="F862" s="32" t="n">
        <f aca="false">AY9</f>
        <v>7800000</v>
      </c>
    </row>
    <row r="863" customFormat="false" ht="12.8" hidden="false" customHeight="false" outlineLevel="0" collapsed="false">
      <c r="A863" s="7" t="str">
        <f aca="false">_xlfn.CONCAT($A$854, ".", A10)</f>
        <v>AL.7.7</v>
      </c>
      <c r="B863" s="7" t="str">
        <f aca="false">_xlfn.CONCAT(B10, ": ", C10)</f>
        <v>Cleaning &amp; Maintenance: Worker</v>
      </c>
      <c r="C863" s="32" t="n">
        <f aca="false">AV10</f>
        <v>3500000</v>
      </c>
      <c r="D863" s="32" t="n">
        <f aca="false">AW10</f>
        <v>120000</v>
      </c>
      <c r="E863" s="32" t="n">
        <f aca="false">AX10</f>
        <v>350000</v>
      </c>
      <c r="F863" s="32" t="n">
        <f aca="false">AY10</f>
        <v>3030000</v>
      </c>
    </row>
    <row r="864" customFormat="false" ht="12.8" hidden="false" customHeight="false" outlineLevel="0" collapsed="false">
      <c r="A864" s="7" t="str">
        <f aca="false">_xlfn.CONCAT($A$854, ".", A11)</f>
        <v>AL.7.8</v>
      </c>
      <c r="B864" s="7" t="str">
        <f aca="false">_xlfn.CONCAT(B11, ": ", C11)</f>
        <v>Cleaning &amp; Maintenance: Support</v>
      </c>
      <c r="C864" s="32" t="n">
        <f aca="false">AV11</f>
        <v>1700000</v>
      </c>
      <c r="D864" s="32" t="n">
        <f aca="false">AW11</f>
        <v>60000</v>
      </c>
      <c r="E864" s="32" t="n">
        <f aca="false">AX11</f>
        <v>170000</v>
      </c>
      <c r="F864" s="32" t="n">
        <f aca="false">AY11</f>
        <v>1470000</v>
      </c>
    </row>
    <row r="865" customFormat="false" ht="12.8" hidden="false" customHeight="false" outlineLevel="0" collapsed="false">
      <c r="A865" s="7" t="str">
        <f aca="false">_xlfn.CONCAT($A$854, ".", A12)</f>
        <v>AL.7.9</v>
      </c>
      <c r="B865" s="7" t="str">
        <f aca="false">_xlfn.CONCAT(B12, ": ", C12)</f>
        <v>Manufacturing: Worker</v>
      </c>
      <c r="C865" s="32" t="n">
        <f aca="false">AV12</f>
        <v>45000000</v>
      </c>
      <c r="D865" s="32" t="n">
        <f aca="false">AW12</f>
        <v>1500000</v>
      </c>
      <c r="E865" s="32" t="n">
        <f aca="false">AX12</f>
        <v>4500000</v>
      </c>
      <c r="F865" s="32" t="n">
        <f aca="false">AY12</f>
        <v>39000000</v>
      </c>
    </row>
    <row r="866" customFormat="false" ht="12.8" hidden="false" customHeight="false" outlineLevel="0" collapsed="false">
      <c r="A866" s="7" t="str">
        <f aca="false">_xlfn.CONCAT($A$854, ".", A13)</f>
        <v>AL.7.10</v>
      </c>
      <c r="B866" s="7" t="str">
        <f aca="false">_xlfn.CONCAT(B13, ": ", C13)</f>
        <v>Manufacturing: Support</v>
      </c>
      <c r="C866" s="32" t="n">
        <f aca="false">AV13</f>
        <v>19000000</v>
      </c>
      <c r="D866" s="32" t="n">
        <f aca="false">AW13</f>
        <v>650000</v>
      </c>
      <c r="E866" s="32" t="n">
        <f aca="false">AX13</f>
        <v>1900000</v>
      </c>
      <c r="F866" s="32" t="n">
        <f aca="false">AY13</f>
        <v>16400000</v>
      </c>
    </row>
    <row r="867" customFormat="false" ht="12.8" hidden="false" customHeight="false" outlineLevel="0" collapsed="false">
      <c r="A867" s="7" t="str">
        <f aca="false">_xlfn.CONCAT($A$854, ".", A14)</f>
        <v>AL.7.11</v>
      </c>
      <c r="B867" s="7" t="str">
        <f aca="false">_xlfn.CONCAT(B14, ": ", C14)</f>
        <v>Transportation &amp; Warehousing: Worker</v>
      </c>
      <c r="C867" s="32" t="n">
        <f aca="false">AV14</f>
        <v>38000000</v>
      </c>
      <c r="D867" s="32" t="n">
        <f aca="false">AW14</f>
        <v>1300000</v>
      </c>
      <c r="E867" s="32" t="n">
        <f aca="false">AX14</f>
        <v>3800000</v>
      </c>
      <c r="F867" s="32" t="n">
        <f aca="false">AY14</f>
        <v>32900000</v>
      </c>
    </row>
    <row r="868" customFormat="false" ht="12.8" hidden="false" customHeight="false" outlineLevel="0" collapsed="false">
      <c r="A868" s="7" t="str">
        <f aca="false">_xlfn.CONCAT($A$854, ".", A15)</f>
        <v>AL.7.12</v>
      </c>
      <c r="B868" s="7" t="str">
        <f aca="false">_xlfn.CONCAT(B15, ": ", C15)</f>
        <v>Transportation &amp; Warehousing: Support</v>
      </c>
      <c r="C868" s="32" t="n">
        <f aca="false">AV15</f>
        <v>15000000</v>
      </c>
      <c r="D868" s="32" t="n">
        <f aca="false">AW15</f>
        <v>500000</v>
      </c>
      <c r="E868" s="32" t="n">
        <f aca="false">AX15</f>
        <v>1500000</v>
      </c>
      <c r="F868" s="32" t="n">
        <f aca="false">AY15</f>
        <v>13000000</v>
      </c>
    </row>
    <row r="869" customFormat="false" ht="12.8" hidden="false" customHeight="false" outlineLevel="0" collapsed="false">
      <c r="A869" s="7" t="str">
        <f aca="false">_xlfn.CONCAT($A$854, ".", A16)</f>
        <v>AL.7.13</v>
      </c>
      <c r="B869" s="7" t="str">
        <f aca="false">_xlfn.CONCAT(B16, ": ", C16)</f>
        <v>Retail Trade: Worker</v>
      </c>
      <c r="C869" s="32" t="n">
        <f aca="false">AV16</f>
        <v>25000000</v>
      </c>
      <c r="D869" s="32" t="n">
        <f aca="false">AW16</f>
        <v>850000</v>
      </c>
      <c r="E869" s="32" t="n">
        <f aca="false">AX16</f>
        <v>2500000</v>
      </c>
      <c r="F869" s="32" t="n">
        <f aca="false">AY16</f>
        <v>21650000</v>
      </c>
    </row>
    <row r="870" customFormat="false" ht="12.8" hidden="false" customHeight="false" outlineLevel="0" collapsed="false">
      <c r="A870" s="7" t="str">
        <f aca="false">_xlfn.CONCAT($A$854, ".", A17)</f>
        <v>AL.7.14</v>
      </c>
      <c r="B870" s="7" t="str">
        <f aca="false">_xlfn.CONCAT(B17, ": ", C17)</f>
        <v>Retail Trade: Support</v>
      </c>
      <c r="C870" s="32" t="n">
        <f aca="false">AV17</f>
        <v>12000000</v>
      </c>
      <c r="D870" s="32" t="n">
        <f aca="false">AW17</f>
        <v>400000</v>
      </c>
      <c r="E870" s="32" t="n">
        <f aca="false">AX17</f>
        <v>1200000</v>
      </c>
      <c r="F870" s="32" t="n">
        <f aca="false">AY17</f>
        <v>10400000</v>
      </c>
    </row>
    <row r="871" customFormat="false" ht="12.8" hidden="false" customHeight="false" outlineLevel="0" collapsed="false">
      <c r="A871" s="7" t="str">
        <f aca="false">_xlfn.CONCAT($A$854, ".", A18)</f>
        <v>AL.7.15</v>
      </c>
      <c r="B871" s="7" t="str">
        <f aca="false">_xlfn.CONCAT(B18, ": ", C18)</f>
        <v>Landscaping / Groundskeeping: Worker</v>
      </c>
      <c r="C871" s="32" t="n">
        <f aca="false">AV18</f>
        <v>2500000</v>
      </c>
      <c r="D871" s="32" t="n">
        <f aca="false">AW18</f>
        <v>85000</v>
      </c>
      <c r="E871" s="32" t="n">
        <f aca="false">AX18</f>
        <v>250000</v>
      </c>
      <c r="F871" s="32" t="n">
        <f aca="false">AY18</f>
        <v>2165000</v>
      </c>
    </row>
    <row r="872" customFormat="false" ht="12.8" hidden="false" customHeight="false" outlineLevel="0" collapsed="false">
      <c r="A872" s="7" t="str">
        <f aca="false">_xlfn.CONCAT($A$854, ".", A19)</f>
        <v>AL.7.16</v>
      </c>
      <c r="B872" s="7" t="str">
        <f aca="false">_xlfn.CONCAT(B19, ": ", C19)</f>
        <v>Landscaping / Groundskeeping: Support</v>
      </c>
      <c r="C872" s="32" t="n">
        <f aca="false">AV19</f>
        <v>1300000</v>
      </c>
      <c r="D872" s="32" t="n">
        <f aca="false">AW19</f>
        <v>45000</v>
      </c>
      <c r="E872" s="32" t="n">
        <f aca="false">AX19</f>
        <v>130000</v>
      </c>
      <c r="F872" s="32" t="n">
        <f aca="false">AY19</f>
        <v>1125000</v>
      </c>
    </row>
    <row r="873" customFormat="false" ht="12.8" hidden="false" customHeight="false" outlineLevel="0" collapsed="false">
      <c r="A873" s="7" t="str">
        <f aca="false">_xlfn.CONCAT($A$854, ".", A20)</f>
        <v>AL.7.17</v>
      </c>
      <c r="B873" s="7" t="str">
        <f aca="false">_xlfn.CONCAT(B20, ": ", C20)</f>
        <v>Automotive &amp; Repair: Worker</v>
      </c>
      <c r="C873" s="32" t="n">
        <f aca="false">AV20</f>
        <v>2000000</v>
      </c>
      <c r="D873" s="32" t="n">
        <f aca="false">AW20</f>
        <v>70000</v>
      </c>
      <c r="E873" s="32" t="n">
        <f aca="false">AX20</f>
        <v>200000</v>
      </c>
      <c r="F873" s="32" t="n">
        <f aca="false">AY20</f>
        <v>1730000</v>
      </c>
    </row>
    <row r="874" customFormat="false" ht="12.8" hidden="false" customHeight="false" outlineLevel="0" collapsed="false">
      <c r="A874" s="7" t="str">
        <f aca="false">_xlfn.CONCAT($A$854, ".", A21)</f>
        <v>AL.7.18</v>
      </c>
      <c r="B874" s="7" t="str">
        <f aca="false">_xlfn.CONCAT(B21, ": ", C21)</f>
        <v>Automotive &amp; Repair: Support</v>
      </c>
      <c r="C874" s="32" t="n">
        <f aca="false">AV21</f>
        <v>1000000</v>
      </c>
      <c r="D874" s="32" t="n">
        <f aca="false">AW21</f>
        <v>35000</v>
      </c>
      <c r="E874" s="32" t="n">
        <f aca="false">AX21</f>
        <v>100000</v>
      </c>
      <c r="F874" s="32" t="n">
        <f aca="false">AY21</f>
        <v>865000</v>
      </c>
    </row>
    <row r="875" customFormat="false" ht="12.8" hidden="false" customHeight="false" outlineLevel="0" collapsed="false">
      <c r="A875" s="7" t="str">
        <f aca="false">_xlfn.CONCAT($A$854, ".", A22)</f>
        <v>AL.7.19</v>
      </c>
      <c r="B875" s="7" t="str">
        <f aca="false">_xlfn.CONCAT(B22, ": ", C22)</f>
        <v>Other Services: Worker</v>
      </c>
      <c r="C875" s="32" t="n">
        <f aca="false">AV22</f>
        <v>10000000</v>
      </c>
      <c r="D875" s="32" t="n">
        <f aca="false">AW22</f>
        <v>350000</v>
      </c>
      <c r="E875" s="32" t="n">
        <f aca="false">AX22</f>
        <v>1000000</v>
      </c>
      <c r="F875" s="32" t="n">
        <f aca="false">AY22</f>
        <v>8650000</v>
      </c>
    </row>
    <row r="876" customFormat="false" ht="12.8" hidden="false" customHeight="false" outlineLevel="0" collapsed="false">
      <c r="A876" s="7" t="str">
        <f aca="false">_xlfn.CONCAT($A$854, ".", A23)</f>
        <v>AL.7.20</v>
      </c>
      <c r="B876" s="7" t="str">
        <f aca="false">_xlfn.CONCAT(B23, ": ", C23)</f>
        <v>Other Services: Support</v>
      </c>
      <c r="C876" s="32" t="n">
        <f aca="false">AV23</f>
        <v>6000000</v>
      </c>
      <c r="D876" s="32" t="n">
        <f aca="false">AW23</f>
        <v>210000</v>
      </c>
      <c r="E876" s="32" t="n">
        <f aca="false">AX23</f>
        <v>600000</v>
      </c>
      <c r="F876" s="32" t="n">
        <f aca="false">AY23</f>
        <v>5190000</v>
      </c>
    </row>
    <row r="877" customFormat="false" ht="12.8" hidden="false" customHeight="false" outlineLevel="0" collapsed="false">
      <c r="A877" s="7"/>
      <c r="B877" s="7"/>
      <c r="C877" s="32"/>
      <c r="D877" s="32"/>
      <c r="E877" s="32"/>
      <c r="F877" s="32"/>
    </row>
    <row r="878" customFormat="false" ht="12.8" hidden="false" customHeight="false" outlineLevel="0" collapsed="false">
      <c r="A878" s="7"/>
      <c r="B878" s="7"/>
      <c r="C878" s="32"/>
      <c r="D878" s="32"/>
      <c r="E878" s="32"/>
      <c r="F878" s="32"/>
    </row>
    <row r="879" customFormat="false" ht="12.8" hidden="false" customHeight="false" outlineLevel="0" collapsed="false">
      <c r="A879" s="7"/>
      <c r="B879" s="7"/>
      <c r="C879" s="32"/>
      <c r="D879" s="32"/>
      <c r="E879" s="32"/>
      <c r="F879" s="32"/>
    </row>
    <row r="880" customFormat="false" ht="12.8" hidden="false" customHeight="false" outlineLevel="0" collapsed="false">
      <c r="A880" s="7"/>
      <c r="B880" s="7"/>
      <c r="C880" s="32"/>
      <c r="D880" s="32"/>
      <c r="E880" s="32"/>
      <c r="F880" s="32"/>
    </row>
    <row r="972" customFormat="false" ht="12.8" hidden="false" customHeight="false" outlineLevel="0" collapsed="false">
      <c r="A972" s="5" t="s">
        <v>139</v>
      </c>
      <c r="B972" s="24" t="s">
        <v>41</v>
      </c>
      <c r="C972" s="27" t="s">
        <v>140</v>
      </c>
    </row>
    <row r="973" customFormat="false" ht="34.4" hidden="false" customHeight="false" outlineLevel="0" collapsed="false">
      <c r="A973" s="5" t="s">
        <v>24</v>
      </c>
      <c r="B973" s="5" t="str">
        <f aca="false">_xlfn.CONCAT(B2, ": ", C2)</f>
        <v>Industry: Role</v>
      </c>
      <c r="C973" s="32" t="str">
        <f aca="false">AZ2</f>
        <v>Payroll Tax Revenue ($)</v>
      </c>
      <c r="D973" s="32" t="str">
        <f aca="false">BA2</f>
        <v>Authorized Immigrant Payroll Tax Revenue ($)</v>
      </c>
      <c r="E973" s="32" t="str">
        <f aca="false">BB2</f>
        <v>Unauthorized Immigrant Payroll Tax Revenue ($)</v>
      </c>
      <c r="F973" s="32" t="str">
        <f aca="false">BC2</f>
        <v>American Payroll Tax Revenue ($)</v>
      </c>
    </row>
    <row r="974" customFormat="false" ht="12.8" hidden="false" customHeight="false" outlineLevel="0" collapsed="false">
      <c r="A974" s="7" t="str">
        <f aca="false">_xlfn.CONCAT($A$854, ".", A3)</f>
        <v>AL.7.0</v>
      </c>
      <c r="B974" s="7" t="str">
        <f aca="false">_xlfn.CONCAT(B3, ": ", C3)</f>
        <v>All Industries: All Roles</v>
      </c>
      <c r="C974" s="32" t="n">
        <f aca="false">AZ3</f>
        <v>430000000</v>
      </c>
      <c r="D974" s="32" t="n">
        <f aca="false">BA3</f>
        <v>14000000</v>
      </c>
      <c r="E974" s="32" t="n">
        <f aca="false">BB3</f>
        <v>43000000</v>
      </c>
      <c r="F974" s="32" t="n">
        <f aca="false">BC3</f>
        <v>383000000</v>
      </c>
    </row>
    <row r="975" customFormat="false" ht="12.8" hidden="false" customHeight="false" outlineLevel="0" collapsed="false">
      <c r="A975" s="7" t="str">
        <f aca="false">_xlfn.CONCAT($A$854, ".", A4)</f>
        <v>AL.7.1</v>
      </c>
      <c r="B975" s="7" t="str">
        <f aca="false">_xlfn.CONCAT(B4, ": ", C4)</f>
        <v>Agriculture: Worker</v>
      </c>
      <c r="C975" s="32" t="n">
        <f aca="false">AZ4</f>
        <v>600000</v>
      </c>
      <c r="D975" s="32" t="n">
        <f aca="false">BA4</f>
        <v>20000</v>
      </c>
      <c r="E975" s="32" t="n">
        <f aca="false">BB4</f>
        <v>60000</v>
      </c>
      <c r="F975" s="32" t="n">
        <f aca="false">BC4</f>
        <v>520000</v>
      </c>
    </row>
    <row r="976" customFormat="false" ht="12.8" hidden="false" customHeight="false" outlineLevel="0" collapsed="false">
      <c r="A976" s="7" t="str">
        <f aca="false">_xlfn.CONCAT($A$854, ".", A5)</f>
        <v>AL.7.2</v>
      </c>
      <c r="B976" s="7" t="str">
        <f aca="false">_xlfn.CONCAT(B5, ": ", C5)</f>
        <v>Agriculture: Support</v>
      </c>
      <c r="C976" s="32" t="n">
        <f aca="false">AZ5</f>
        <v>300000</v>
      </c>
      <c r="D976" s="32" t="n">
        <f aca="false">BA5</f>
        <v>10000</v>
      </c>
      <c r="E976" s="32" t="n">
        <f aca="false">BB5</f>
        <v>30000</v>
      </c>
      <c r="F976" s="32" t="n">
        <f aca="false">BC5</f>
        <v>260000</v>
      </c>
    </row>
    <row r="977" customFormat="false" ht="12.8" hidden="false" customHeight="false" outlineLevel="0" collapsed="false">
      <c r="A977" s="7" t="str">
        <f aca="false">_xlfn.CONCAT($A$854, ".", A6)</f>
        <v>AL.7.3</v>
      </c>
      <c r="B977" s="7" t="str">
        <f aca="false">_xlfn.CONCAT(B6, ": ", C6)</f>
        <v>Construction: Worker</v>
      </c>
      <c r="C977" s="32" t="n">
        <f aca="false">AZ6</f>
        <v>7500000</v>
      </c>
      <c r="D977" s="32" t="n">
        <f aca="false">BA6</f>
        <v>250000</v>
      </c>
      <c r="E977" s="32" t="n">
        <f aca="false">BB6</f>
        <v>750000</v>
      </c>
      <c r="F977" s="32" t="n">
        <f aca="false">BC6</f>
        <v>6500000</v>
      </c>
    </row>
    <row r="978" customFormat="false" ht="12.8" hidden="false" customHeight="false" outlineLevel="0" collapsed="false">
      <c r="A978" s="7" t="str">
        <f aca="false">_xlfn.CONCAT($A$854, ".", A7)</f>
        <v>AL.7.4</v>
      </c>
      <c r="B978" s="7" t="str">
        <f aca="false">_xlfn.CONCAT(B7, ": ", C7)</f>
        <v>Construction: Support</v>
      </c>
      <c r="C978" s="32" t="n">
        <f aca="false">AZ7</f>
        <v>3000000</v>
      </c>
      <c r="D978" s="32" t="n">
        <f aca="false">BA7</f>
        <v>100000</v>
      </c>
      <c r="E978" s="32" t="n">
        <f aca="false">BB7</f>
        <v>300000</v>
      </c>
      <c r="F978" s="32" t="n">
        <f aca="false">BC7</f>
        <v>2600000</v>
      </c>
    </row>
    <row r="979" customFormat="false" ht="12.8" hidden="false" customHeight="false" outlineLevel="0" collapsed="false">
      <c r="A979" s="7" t="str">
        <f aca="false">_xlfn.CONCAT($A$854, ".", A8)</f>
        <v>AL.7.5</v>
      </c>
      <c r="B979" s="7" t="str">
        <f aca="false">_xlfn.CONCAT(B8, ": ", C8)</f>
        <v>Hospitality: Worker</v>
      </c>
      <c r="C979" s="32" t="n">
        <f aca="false">AZ8</f>
        <v>9000000</v>
      </c>
      <c r="D979" s="32" t="n">
        <f aca="false">BA8</f>
        <v>300000</v>
      </c>
      <c r="E979" s="32" t="n">
        <f aca="false">BB8</f>
        <v>900000</v>
      </c>
      <c r="F979" s="32" t="n">
        <f aca="false">BC8</f>
        <v>7800000</v>
      </c>
    </row>
    <row r="980" customFormat="false" ht="12.8" hidden="false" customHeight="false" outlineLevel="0" collapsed="false">
      <c r="A980" s="7" t="str">
        <f aca="false">_xlfn.CONCAT($A$854, ".", A9)</f>
        <v>AL.7.6</v>
      </c>
      <c r="B980" s="7" t="str">
        <f aca="false">_xlfn.CONCAT(B9, ": ", C9)</f>
        <v>Hospitality: Support</v>
      </c>
      <c r="C980" s="32" t="n">
        <f aca="false">AZ9</f>
        <v>4500000</v>
      </c>
      <c r="D980" s="32" t="n">
        <f aca="false">BA9</f>
        <v>150000</v>
      </c>
      <c r="E980" s="32" t="n">
        <f aca="false">BB9</f>
        <v>450000</v>
      </c>
      <c r="F980" s="32" t="n">
        <f aca="false">BC9</f>
        <v>3900000</v>
      </c>
    </row>
    <row r="981" customFormat="false" ht="12.8" hidden="false" customHeight="false" outlineLevel="0" collapsed="false">
      <c r="A981" s="7" t="str">
        <f aca="false">_xlfn.CONCAT($A$854, ".", A10)</f>
        <v>AL.7.7</v>
      </c>
      <c r="B981" s="7" t="str">
        <f aca="false">_xlfn.CONCAT(B10, ": ", C10)</f>
        <v>Cleaning &amp; Maintenance: Worker</v>
      </c>
      <c r="C981" s="32" t="n">
        <f aca="false">AZ10</f>
        <v>1800000</v>
      </c>
      <c r="D981" s="32" t="n">
        <f aca="false">BA10</f>
        <v>60000</v>
      </c>
      <c r="E981" s="32" t="n">
        <f aca="false">BB10</f>
        <v>180000</v>
      </c>
      <c r="F981" s="32" t="n">
        <f aca="false">BC10</f>
        <v>1560000</v>
      </c>
    </row>
    <row r="982" customFormat="false" ht="12.8" hidden="false" customHeight="false" outlineLevel="0" collapsed="false">
      <c r="A982" s="7" t="str">
        <f aca="false">_xlfn.CONCAT($A$854, ".", A11)</f>
        <v>AL.7.8</v>
      </c>
      <c r="B982" s="7" t="str">
        <f aca="false">_xlfn.CONCAT(B11, ": ", C11)</f>
        <v>Cleaning &amp; Maintenance: Support</v>
      </c>
      <c r="C982" s="32" t="n">
        <f aca="false">AZ11</f>
        <v>900000</v>
      </c>
      <c r="D982" s="32" t="n">
        <f aca="false">BA11</f>
        <v>30000</v>
      </c>
      <c r="E982" s="32" t="n">
        <f aca="false">BB11</f>
        <v>90000</v>
      </c>
      <c r="F982" s="32" t="n">
        <f aca="false">BC11</f>
        <v>780000</v>
      </c>
    </row>
    <row r="983" customFormat="false" ht="12.8" hidden="false" customHeight="false" outlineLevel="0" collapsed="false">
      <c r="A983" s="7" t="str">
        <f aca="false">_xlfn.CONCAT($A$854, ".", A12)</f>
        <v>AL.7.9</v>
      </c>
      <c r="B983" s="7" t="str">
        <f aca="false">_xlfn.CONCAT(B12, ": ", C12)</f>
        <v>Manufacturing: Worker</v>
      </c>
      <c r="C983" s="32" t="n">
        <f aca="false">AZ12</f>
        <v>22000000</v>
      </c>
      <c r="D983" s="32" t="n">
        <f aca="false">BA12</f>
        <v>750000</v>
      </c>
      <c r="E983" s="32" t="n">
        <f aca="false">BB12</f>
        <v>2250000</v>
      </c>
      <c r="F983" s="32" t="n">
        <f aca="false">BC12</f>
        <v>19000000</v>
      </c>
    </row>
    <row r="984" customFormat="false" ht="12.8" hidden="false" customHeight="false" outlineLevel="0" collapsed="false">
      <c r="A984" s="7" t="str">
        <f aca="false">_xlfn.CONCAT($A$854, ".", A13)</f>
        <v>AL.7.10</v>
      </c>
      <c r="B984" s="7" t="str">
        <f aca="false">_xlfn.CONCAT(B13, ": ", C13)</f>
        <v>Manufacturing: Support</v>
      </c>
      <c r="C984" s="32" t="n">
        <f aca="false">AZ13</f>
        <v>9500000</v>
      </c>
      <c r="D984" s="32" t="n">
        <f aca="false">BA13</f>
        <v>325000</v>
      </c>
      <c r="E984" s="32" t="n">
        <f aca="false">BB13</f>
        <v>950000</v>
      </c>
      <c r="F984" s="32" t="n">
        <f aca="false">BC13</f>
        <v>8225000</v>
      </c>
    </row>
    <row r="985" customFormat="false" ht="12.8" hidden="false" customHeight="false" outlineLevel="0" collapsed="false">
      <c r="A985" s="7" t="str">
        <f aca="false">_xlfn.CONCAT($A$854, ".", A14)</f>
        <v>AL.7.11</v>
      </c>
      <c r="B985" s="7" t="str">
        <f aca="false">_xlfn.CONCAT(B14, ": ", C14)</f>
        <v>Transportation &amp; Warehousing: Worker</v>
      </c>
      <c r="C985" s="32" t="n">
        <f aca="false">AZ14</f>
        <v>19000000</v>
      </c>
      <c r="D985" s="32" t="n">
        <f aca="false">BA14</f>
        <v>650000</v>
      </c>
      <c r="E985" s="32" t="n">
        <f aca="false">BB14</f>
        <v>1900000</v>
      </c>
      <c r="F985" s="32" t="n">
        <f aca="false">BC14</f>
        <v>16350000</v>
      </c>
    </row>
    <row r="986" customFormat="false" ht="12.8" hidden="false" customHeight="false" outlineLevel="0" collapsed="false">
      <c r="A986" s="7" t="str">
        <f aca="false">_xlfn.CONCAT($A$854, ".", A15)</f>
        <v>AL.7.12</v>
      </c>
      <c r="B986" s="7" t="str">
        <f aca="false">_xlfn.CONCAT(B15, ": ", C15)</f>
        <v>Transportation &amp; Warehousing: Support</v>
      </c>
      <c r="C986" s="32" t="n">
        <f aca="false">AZ15</f>
        <v>7500000</v>
      </c>
      <c r="D986" s="32" t="n">
        <f aca="false">BA15</f>
        <v>250000</v>
      </c>
      <c r="E986" s="32" t="n">
        <f aca="false">BB15</f>
        <v>750000</v>
      </c>
      <c r="F986" s="32" t="n">
        <f aca="false">BC15</f>
        <v>6500000</v>
      </c>
    </row>
    <row r="987" customFormat="false" ht="12.8" hidden="false" customHeight="false" outlineLevel="0" collapsed="false">
      <c r="A987" s="7" t="str">
        <f aca="false">_xlfn.CONCAT($A$854, ".", A16)</f>
        <v>AL.7.13</v>
      </c>
      <c r="B987" s="7" t="str">
        <f aca="false">_xlfn.CONCAT(B16, ": ", C16)</f>
        <v>Retail Trade: Worker</v>
      </c>
      <c r="C987" s="32" t="n">
        <f aca="false">AZ16</f>
        <v>12500000</v>
      </c>
      <c r="D987" s="32" t="n">
        <f aca="false">BA16</f>
        <v>425000</v>
      </c>
      <c r="E987" s="32" t="n">
        <f aca="false">BB16</f>
        <v>1250000</v>
      </c>
      <c r="F987" s="32" t="n">
        <f aca="false">BC16</f>
        <v>10825000</v>
      </c>
    </row>
    <row r="988" customFormat="false" ht="12.8" hidden="false" customHeight="false" outlineLevel="0" collapsed="false">
      <c r="A988" s="7" t="str">
        <f aca="false">_xlfn.CONCAT($A$854, ".", A17)</f>
        <v>AL.7.14</v>
      </c>
      <c r="B988" s="7" t="str">
        <f aca="false">_xlfn.CONCAT(B17, ": ", C17)</f>
        <v>Retail Trade: Support</v>
      </c>
      <c r="C988" s="32" t="n">
        <f aca="false">AZ17</f>
        <v>6000000</v>
      </c>
      <c r="D988" s="32" t="n">
        <f aca="false">BA17</f>
        <v>200000</v>
      </c>
      <c r="E988" s="32" t="n">
        <f aca="false">BB17</f>
        <v>600000</v>
      </c>
      <c r="F988" s="32" t="n">
        <f aca="false">BC17</f>
        <v>5200000</v>
      </c>
    </row>
    <row r="989" customFormat="false" ht="12.8" hidden="false" customHeight="false" outlineLevel="0" collapsed="false">
      <c r="A989" s="7" t="str">
        <f aca="false">_xlfn.CONCAT($A$854, ".", A18)</f>
        <v>AL.7.15</v>
      </c>
      <c r="B989" s="7" t="str">
        <f aca="false">_xlfn.CONCAT(B18, ": ", C18)</f>
        <v>Landscaping / Groundskeeping: Worker</v>
      </c>
      <c r="C989" s="32" t="n">
        <f aca="false">AZ18</f>
        <v>1250000</v>
      </c>
      <c r="D989" s="32" t="n">
        <f aca="false">BA18</f>
        <v>42500</v>
      </c>
      <c r="E989" s="32" t="n">
        <f aca="false">BB18</f>
        <v>125000</v>
      </c>
      <c r="F989" s="32" t="n">
        <f aca="false">BC18</f>
        <v>1082500</v>
      </c>
    </row>
    <row r="990" customFormat="false" ht="12.8" hidden="false" customHeight="false" outlineLevel="0" collapsed="false">
      <c r="A990" s="7" t="str">
        <f aca="false">_xlfn.CONCAT($A$854, ".", A19)</f>
        <v>AL.7.16</v>
      </c>
      <c r="B990" s="7" t="str">
        <f aca="false">_xlfn.CONCAT(B19, ": ", C19)</f>
        <v>Landscaping / Groundskeeping: Support</v>
      </c>
      <c r="C990" s="32" t="n">
        <f aca="false">AZ19</f>
        <v>650000</v>
      </c>
      <c r="D990" s="32" t="n">
        <f aca="false">BA19</f>
        <v>22500</v>
      </c>
      <c r="E990" s="32" t="n">
        <f aca="false">BB19</f>
        <v>65000</v>
      </c>
      <c r="F990" s="32" t="n">
        <f aca="false">BC19</f>
        <v>562500</v>
      </c>
    </row>
    <row r="991" customFormat="false" ht="12.8" hidden="false" customHeight="false" outlineLevel="0" collapsed="false">
      <c r="A991" s="7" t="str">
        <f aca="false">_xlfn.CONCAT($A$854, ".", A20)</f>
        <v>AL.7.17</v>
      </c>
      <c r="B991" s="7" t="str">
        <f aca="false">_xlfn.CONCAT(B20, ": ", C20)</f>
        <v>Automotive &amp; Repair: Worker</v>
      </c>
      <c r="C991" s="32" t="n">
        <f aca="false">AZ20</f>
        <v>1000000</v>
      </c>
      <c r="D991" s="32" t="n">
        <f aca="false">BA20</f>
        <v>35000</v>
      </c>
      <c r="E991" s="32" t="n">
        <f aca="false">BB20</f>
        <v>100000</v>
      </c>
      <c r="F991" s="32" t="n">
        <f aca="false">BC20</f>
        <v>865000</v>
      </c>
    </row>
    <row r="992" customFormat="false" ht="12.8" hidden="false" customHeight="false" outlineLevel="0" collapsed="false">
      <c r="A992" s="7" t="str">
        <f aca="false">_xlfn.CONCAT($A$854, ".", A21)</f>
        <v>AL.7.18</v>
      </c>
      <c r="B992" s="7" t="str">
        <f aca="false">_xlfn.CONCAT(B21, ": ", C21)</f>
        <v>Automotive &amp; Repair: Support</v>
      </c>
      <c r="C992" s="32" t="n">
        <f aca="false">AZ21</f>
        <v>500000</v>
      </c>
      <c r="D992" s="32" t="n">
        <f aca="false">BA21</f>
        <v>17500</v>
      </c>
      <c r="E992" s="32" t="n">
        <f aca="false">BB21</f>
        <v>50000</v>
      </c>
      <c r="F992" s="32" t="n">
        <f aca="false">BC21</f>
        <v>432500</v>
      </c>
    </row>
    <row r="993" customFormat="false" ht="12.8" hidden="false" customHeight="false" outlineLevel="0" collapsed="false">
      <c r="A993" s="7" t="str">
        <f aca="false">_xlfn.CONCAT($A$854, ".", A22)</f>
        <v>AL.7.19</v>
      </c>
      <c r="B993" s="7" t="str">
        <f aca="false">_xlfn.CONCAT(B22, ": ", C22)</f>
        <v>Other Services: Worker</v>
      </c>
      <c r="C993" s="32" t="n">
        <f aca="false">AZ22</f>
        <v>5000000</v>
      </c>
      <c r="D993" s="32" t="n">
        <f aca="false">BA22</f>
        <v>175000</v>
      </c>
      <c r="E993" s="32" t="n">
        <f aca="false">BB22</f>
        <v>500000</v>
      </c>
      <c r="F993" s="32" t="n">
        <f aca="false">BC22</f>
        <v>4325000</v>
      </c>
    </row>
    <row r="994" customFormat="false" ht="12.8" hidden="false" customHeight="false" outlineLevel="0" collapsed="false">
      <c r="A994" s="7" t="str">
        <f aca="false">_xlfn.CONCAT($A$854, ".", A23)</f>
        <v>AL.7.20</v>
      </c>
      <c r="B994" s="7" t="str">
        <f aca="false">_xlfn.CONCAT(B23, ": ", C23)</f>
        <v>Other Services: Support</v>
      </c>
      <c r="C994" s="32" t="n">
        <f aca="false">AZ23</f>
        <v>3000000</v>
      </c>
      <c r="D994" s="32" t="n">
        <f aca="false">BA23</f>
        <v>105000</v>
      </c>
      <c r="E994" s="32" t="n">
        <f aca="false">BB23</f>
        <v>300000</v>
      </c>
      <c r="F994" s="32" t="n">
        <f aca="false">BC23</f>
        <v>2595000</v>
      </c>
    </row>
    <row r="995" customFormat="false" ht="12.8" hidden="false" customHeight="false" outlineLevel="0" collapsed="false">
      <c r="A995" s="7"/>
      <c r="B995" s="7"/>
      <c r="C995" s="32"/>
      <c r="D995" s="32"/>
      <c r="E995" s="32"/>
      <c r="F995" s="32"/>
    </row>
    <row r="1089" customFormat="false" ht="12.8" hidden="false" customHeight="false" outlineLevel="0" collapsed="false">
      <c r="A1089" s="5" t="s">
        <v>141</v>
      </c>
      <c r="B1089" s="24" t="s">
        <v>41</v>
      </c>
      <c r="C1089" s="27" t="s">
        <v>142</v>
      </c>
    </row>
    <row r="1090" customFormat="false" ht="45.9" hidden="false" customHeight="false" outlineLevel="0" collapsed="false">
      <c r="A1090" s="5" t="s">
        <v>24</v>
      </c>
      <c r="B1090" s="5" t="str">
        <f aca="false">_xlfn.CONCAT(B2, ": ", C2)</f>
        <v>Industry: Role</v>
      </c>
      <c r="C1090" s="32" t="str">
        <f aca="false">BD2</f>
        <v>EITC Credit Refund</v>
      </c>
      <c r="D1090" s="32" t="str">
        <f aca="false">BE2</f>
        <v>Authorized Immigrant EITC Credit Refund</v>
      </c>
      <c r="E1090" s="32" t="str">
        <f aca="false">BF2</f>
        <v>Unauthorized Immigrant EITC Credit Refund</v>
      </c>
      <c r="F1090" s="32" t="str">
        <f aca="false">BG2</f>
        <v>American Effective Tax EITC Credit Refund</v>
      </c>
    </row>
    <row r="1091" customFormat="false" ht="12.8" hidden="false" customHeight="false" outlineLevel="0" collapsed="false">
      <c r="A1091" s="7" t="str">
        <f aca="false">_xlfn.CONCAT($A$854, ".", A3)</f>
        <v>AL.7.0</v>
      </c>
      <c r="B1091" s="7" t="str">
        <f aca="false">_xlfn.CONCAT(B3, ": ", C3)</f>
        <v>All Industries: All Roles</v>
      </c>
      <c r="C1091" s="32" t="n">
        <f aca="false">BD3</f>
        <v>219000000</v>
      </c>
      <c r="D1091" s="32" t="n">
        <f aca="false">BE3</f>
        <v>56000000</v>
      </c>
      <c r="E1091" s="32" t="n">
        <f aca="false">BF3</f>
        <v>0</v>
      </c>
      <c r="F1091" s="32" t="n">
        <f aca="false">BG3</f>
        <v>163000000</v>
      </c>
    </row>
    <row r="1092" customFormat="false" ht="12.8" hidden="false" customHeight="false" outlineLevel="0" collapsed="false">
      <c r="A1092" s="7" t="str">
        <f aca="false">_xlfn.CONCAT($A$854, ".", A4)</f>
        <v>AL.7.1</v>
      </c>
      <c r="B1092" s="7" t="str">
        <f aca="false">_xlfn.CONCAT(B4, ": ", C4)</f>
        <v>Agriculture: Worker</v>
      </c>
      <c r="C1092" s="32" t="n">
        <f aca="false">BD4</f>
        <v>75000</v>
      </c>
      <c r="D1092" s="32" t="n">
        <f aca="false">BE4</f>
        <v>15000</v>
      </c>
      <c r="E1092" s="32" t="n">
        <f aca="false">BF4</f>
        <v>0</v>
      </c>
      <c r="F1092" s="32" t="n">
        <f aca="false">BG4</f>
        <v>60000</v>
      </c>
    </row>
    <row r="1093" customFormat="false" ht="12.8" hidden="false" customHeight="false" outlineLevel="0" collapsed="false">
      <c r="A1093" s="7" t="str">
        <f aca="false">_xlfn.CONCAT($A$854, ".", A5)</f>
        <v>AL.7.2</v>
      </c>
      <c r="B1093" s="7" t="str">
        <f aca="false">_xlfn.CONCAT(B5, ": ", C5)</f>
        <v>Agriculture: Support</v>
      </c>
      <c r="C1093" s="32" t="n">
        <f aca="false">BD5</f>
        <v>37500</v>
      </c>
      <c r="D1093" s="32" t="n">
        <f aca="false">BE5</f>
        <v>7500</v>
      </c>
      <c r="E1093" s="32" t="n">
        <f aca="false">BF5</f>
        <v>0</v>
      </c>
      <c r="F1093" s="32" t="n">
        <f aca="false">BG5</f>
        <v>30000</v>
      </c>
    </row>
    <row r="1094" customFormat="false" ht="12.8" hidden="false" customHeight="false" outlineLevel="0" collapsed="false">
      <c r="A1094" s="7" t="str">
        <f aca="false">_xlfn.CONCAT($A$854, ".", A6)</f>
        <v>AL.7.3</v>
      </c>
      <c r="B1094" s="7" t="str">
        <f aca="false">_xlfn.CONCAT(B6, ": ", C6)</f>
        <v>Construction: Worker</v>
      </c>
      <c r="C1094" s="32" t="n">
        <f aca="false">BD6</f>
        <v>2000000</v>
      </c>
      <c r="D1094" s="32" t="n">
        <f aca="false">BE6</f>
        <v>400000</v>
      </c>
      <c r="E1094" s="32" t="n">
        <f aca="false">BF6</f>
        <v>0</v>
      </c>
      <c r="F1094" s="32" t="n">
        <f aca="false">BG6</f>
        <v>1600000</v>
      </c>
    </row>
    <row r="1095" customFormat="false" ht="12.8" hidden="false" customHeight="false" outlineLevel="0" collapsed="false">
      <c r="A1095" s="7" t="str">
        <f aca="false">_xlfn.CONCAT($A$854, ".", A7)</f>
        <v>AL.7.4</v>
      </c>
      <c r="B1095" s="7" t="str">
        <f aca="false">_xlfn.CONCAT(B7, ": ", C7)</f>
        <v>Construction: Support</v>
      </c>
      <c r="C1095" s="32" t="n">
        <f aca="false">BD7</f>
        <v>800000</v>
      </c>
      <c r="D1095" s="32" t="n">
        <f aca="false">BE7</f>
        <v>160000</v>
      </c>
      <c r="E1095" s="32" t="n">
        <f aca="false">BF7</f>
        <v>0</v>
      </c>
      <c r="F1095" s="32" t="n">
        <f aca="false">BG7</f>
        <v>640000</v>
      </c>
    </row>
    <row r="1096" customFormat="false" ht="12.8" hidden="false" customHeight="false" outlineLevel="0" collapsed="false">
      <c r="A1096" s="7" t="str">
        <f aca="false">_xlfn.CONCAT($A$854, ".", A8)</f>
        <v>AL.7.5</v>
      </c>
      <c r="B1096" s="7" t="str">
        <f aca="false">_xlfn.CONCAT(B8, ": ", C8)</f>
        <v>Hospitality: Worker</v>
      </c>
      <c r="C1096" s="32" t="n">
        <f aca="false">BD8</f>
        <v>3500000</v>
      </c>
      <c r="D1096" s="32" t="n">
        <f aca="false">BE8</f>
        <v>700000</v>
      </c>
      <c r="E1096" s="32" t="n">
        <f aca="false">BF8</f>
        <v>0</v>
      </c>
      <c r="F1096" s="32" t="n">
        <f aca="false">BG8</f>
        <v>2800000</v>
      </c>
    </row>
    <row r="1097" customFormat="false" ht="12.8" hidden="false" customHeight="false" outlineLevel="0" collapsed="false">
      <c r="A1097" s="7" t="str">
        <f aca="false">_xlfn.CONCAT($A$854, ".", A9)</f>
        <v>AL.7.6</v>
      </c>
      <c r="B1097" s="7" t="str">
        <f aca="false">_xlfn.CONCAT(B9, ": ", C9)</f>
        <v>Hospitality: Support</v>
      </c>
      <c r="C1097" s="32" t="n">
        <f aca="false">BD9</f>
        <v>1750000</v>
      </c>
      <c r="D1097" s="32" t="n">
        <f aca="false">BE9</f>
        <v>350000</v>
      </c>
      <c r="E1097" s="32" t="n">
        <f aca="false">BF9</f>
        <v>0</v>
      </c>
      <c r="F1097" s="32" t="n">
        <f aca="false">BG9</f>
        <v>1400000</v>
      </c>
    </row>
    <row r="1098" customFormat="false" ht="12.8" hidden="false" customHeight="false" outlineLevel="0" collapsed="false">
      <c r="A1098" s="7" t="str">
        <f aca="false">_xlfn.CONCAT($A$854, ".", A10)</f>
        <v>AL.7.7</v>
      </c>
      <c r="B1098" s="7" t="str">
        <f aca="false">_xlfn.CONCAT(B10, ": ", C10)</f>
        <v>Cleaning &amp; Maintenance: Worker</v>
      </c>
      <c r="C1098" s="32" t="n">
        <f aca="false">BD10</f>
        <v>750000</v>
      </c>
      <c r="D1098" s="32" t="n">
        <f aca="false">BE10</f>
        <v>150000</v>
      </c>
      <c r="E1098" s="32" t="n">
        <f aca="false">BF10</f>
        <v>0</v>
      </c>
      <c r="F1098" s="32" t="n">
        <f aca="false">BG10</f>
        <v>600000</v>
      </c>
    </row>
    <row r="1099" customFormat="false" ht="12.8" hidden="false" customHeight="false" outlineLevel="0" collapsed="false">
      <c r="A1099" s="7" t="str">
        <f aca="false">_xlfn.CONCAT($A$854, ".", A11)</f>
        <v>AL.7.8</v>
      </c>
      <c r="B1099" s="7" t="str">
        <f aca="false">_xlfn.CONCAT(B11, ": ", C11)</f>
        <v>Cleaning &amp; Maintenance: Support</v>
      </c>
      <c r="C1099" s="32" t="n">
        <f aca="false">BD11</f>
        <v>375000</v>
      </c>
      <c r="D1099" s="32" t="n">
        <f aca="false">BE11</f>
        <v>75000</v>
      </c>
      <c r="E1099" s="32" t="n">
        <f aca="false">BF11</f>
        <v>0</v>
      </c>
      <c r="F1099" s="32" t="n">
        <f aca="false">BG11</f>
        <v>300000</v>
      </c>
    </row>
    <row r="1100" customFormat="false" ht="12.8" hidden="false" customHeight="false" outlineLevel="0" collapsed="false">
      <c r="A1100" s="7" t="str">
        <f aca="false">_xlfn.CONCAT($A$854, ".", A12)</f>
        <v>AL.7.9</v>
      </c>
      <c r="B1100" s="7" t="str">
        <f aca="false">_xlfn.CONCAT(B12, ": ", C12)</f>
        <v>Manufacturing: Worker</v>
      </c>
      <c r="C1100" s="32" t="n">
        <f aca="false">BD12</f>
        <v>5000000</v>
      </c>
      <c r="D1100" s="32" t="n">
        <f aca="false">BE12</f>
        <v>1000000</v>
      </c>
      <c r="E1100" s="32" t="n">
        <f aca="false">BF12</f>
        <v>0</v>
      </c>
      <c r="F1100" s="32" t="n">
        <f aca="false">BG12</f>
        <v>4000000</v>
      </c>
    </row>
    <row r="1101" customFormat="false" ht="12.8" hidden="false" customHeight="false" outlineLevel="0" collapsed="false">
      <c r="A1101" s="7" t="str">
        <f aca="false">_xlfn.CONCAT($A$854, ".", A13)</f>
        <v>AL.7.10</v>
      </c>
      <c r="B1101" s="7" t="str">
        <f aca="false">_xlfn.CONCAT(B13, ": ", C13)</f>
        <v>Manufacturing: Support</v>
      </c>
      <c r="C1101" s="32" t="n">
        <f aca="false">BD13</f>
        <v>2100000</v>
      </c>
      <c r="D1101" s="32" t="n">
        <f aca="false">BE13</f>
        <v>420000</v>
      </c>
      <c r="E1101" s="32" t="n">
        <f aca="false">BF13</f>
        <v>0</v>
      </c>
      <c r="F1101" s="32" t="n">
        <f aca="false">BG13</f>
        <v>1680000</v>
      </c>
    </row>
    <row r="1102" customFormat="false" ht="12.8" hidden="false" customHeight="false" outlineLevel="0" collapsed="false">
      <c r="A1102" s="7" t="str">
        <f aca="false">_xlfn.CONCAT($A$854, ".", A14)</f>
        <v>AL.7.11</v>
      </c>
      <c r="B1102" s="7" t="str">
        <f aca="false">_xlfn.CONCAT(B14, ": ", C14)</f>
        <v>Transportation &amp; Warehousing: Worker</v>
      </c>
      <c r="C1102" s="32" t="n">
        <f aca="false">BD14</f>
        <v>4500000</v>
      </c>
      <c r="D1102" s="32" t="n">
        <f aca="false">BE14</f>
        <v>900000</v>
      </c>
      <c r="E1102" s="32" t="n">
        <f aca="false">BF14</f>
        <v>0</v>
      </c>
      <c r="F1102" s="32" t="n">
        <f aca="false">BG14</f>
        <v>3600000</v>
      </c>
    </row>
    <row r="1103" customFormat="false" ht="12.8" hidden="false" customHeight="false" outlineLevel="0" collapsed="false">
      <c r="A1103" s="7" t="str">
        <f aca="false">_xlfn.CONCAT($A$854, ".", A15)</f>
        <v>AL.7.12</v>
      </c>
      <c r="B1103" s="7" t="str">
        <f aca="false">_xlfn.CONCAT(B15, ": ", C15)</f>
        <v>Transportation &amp; Warehousing: Support</v>
      </c>
      <c r="C1103" s="32" t="n">
        <f aca="false">BD15</f>
        <v>1750000</v>
      </c>
      <c r="D1103" s="32" t="n">
        <f aca="false">BE15</f>
        <v>350000</v>
      </c>
      <c r="E1103" s="32" t="n">
        <f aca="false">BF15</f>
        <v>0</v>
      </c>
      <c r="F1103" s="32" t="n">
        <f aca="false">BG15</f>
        <v>1400000</v>
      </c>
    </row>
    <row r="1104" customFormat="false" ht="12.8" hidden="false" customHeight="false" outlineLevel="0" collapsed="false">
      <c r="A1104" s="7" t="str">
        <f aca="false">_xlfn.CONCAT($A$854, ".", A16)</f>
        <v>AL.7.13</v>
      </c>
      <c r="B1104" s="7" t="str">
        <f aca="false">_xlfn.CONCAT(B16, ": ", C16)</f>
        <v>Retail Trade: Worker</v>
      </c>
      <c r="C1104" s="32" t="n">
        <f aca="false">BD16</f>
        <v>3750000</v>
      </c>
      <c r="D1104" s="32" t="n">
        <f aca="false">BE16</f>
        <v>750000</v>
      </c>
      <c r="E1104" s="32" t="n">
        <f aca="false">BF16</f>
        <v>0</v>
      </c>
      <c r="F1104" s="32" t="n">
        <f aca="false">BG16</f>
        <v>3000000</v>
      </c>
    </row>
    <row r="1105" customFormat="false" ht="12.8" hidden="false" customHeight="false" outlineLevel="0" collapsed="false">
      <c r="A1105" s="7" t="str">
        <f aca="false">_xlfn.CONCAT($A$854, ".", A17)</f>
        <v>AL.7.14</v>
      </c>
      <c r="B1105" s="7" t="str">
        <f aca="false">_xlfn.CONCAT(B17, ": ", C17)</f>
        <v>Retail Trade: Support</v>
      </c>
      <c r="C1105" s="32" t="n">
        <f aca="false">BD17</f>
        <v>1800000</v>
      </c>
      <c r="D1105" s="32" t="n">
        <f aca="false">BE17</f>
        <v>360000</v>
      </c>
      <c r="E1105" s="32" t="n">
        <f aca="false">BF17</f>
        <v>0</v>
      </c>
      <c r="F1105" s="32" t="n">
        <f aca="false">BG17</f>
        <v>1440000</v>
      </c>
    </row>
    <row r="1106" customFormat="false" ht="12.8" hidden="false" customHeight="false" outlineLevel="0" collapsed="false">
      <c r="A1106" s="7" t="str">
        <f aca="false">_xlfn.CONCAT($A$854, ".", A18)</f>
        <v>AL.7.15</v>
      </c>
      <c r="B1106" s="7" t="str">
        <f aca="false">_xlfn.CONCAT(B18, ": ", C18)</f>
        <v>Landscaping / Groundskeeping: Worker</v>
      </c>
      <c r="C1106" s="32" t="n">
        <f aca="false">BD18</f>
        <v>375000</v>
      </c>
      <c r="D1106" s="32" t="n">
        <f aca="false">BE18</f>
        <v>75000</v>
      </c>
      <c r="E1106" s="32" t="n">
        <f aca="false">BF18</f>
        <v>0</v>
      </c>
      <c r="F1106" s="32" t="n">
        <f aca="false">BG18</f>
        <v>300000</v>
      </c>
    </row>
    <row r="1107" customFormat="false" ht="12.8" hidden="false" customHeight="false" outlineLevel="0" collapsed="false">
      <c r="A1107" s="7" t="str">
        <f aca="false">_xlfn.CONCAT($A$854, ".", A19)</f>
        <v>AL.7.16</v>
      </c>
      <c r="B1107" s="7" t="str">
        <f aca="false">_xlfn.CONCAT(B19, ": ", C19)</f>
        <v>Landscaping / Groundskeeping: Support</v>
      </c>
      <c r="C1107" s="32" t="n">
        <f aca="false">BD19</f>
        <v>195000</v>
      </c>
      <c r="D1107" s="32" t="n">
        <f aca="false">BE19</f>
        <v>39000</v>
      </c>
      <c r="E1107" s="32" t="n">
        <f aca="false">BF19</f>
        <v>0</v>
      </c>
      <c r="F1107" s="32" t="n">
        <f aca="false">BG19</f>
        <v>156000</v>
      </c>
    </row>
    <row r="1108" customFormat="false" ht="12.8" hidden="false" customHeight="false" outlineLevel="0" collapsed="false">
      <c r="A1108" s="7" t="str">
        <f aca="false">_xlfn.CONCAT($A$854, ".", A20)</f>
        <v>AL.7.17</v>
      </c>
      <c r="B1108" s="7" t="str">
        <f aca="false">_xlfn.CONCAT(B20, ": ", C20)</f>
        <v>Automotive &amp; Repair: Worker</v>
      </c>
      <c r="C1108" s="32" t="n">
        <f aca="false">BD20</f>
        <v>250000</v>
      </c>
      <c r="D1108" s="32" t="n">
        <f aca="false">BE20</f>
        <v>50000</v>
      </c>
      <c r="E1108" s="32" t="n">
        <f aca="false">BF20</f>
        <v>0</v>
      </c>
      <c r="F1108" s="32" t="n">
        <f aca="false">BG20</f>
        <v>200000</v>
      </c>
    </row>
    <row r="1109" customFormat="false" ht="12.8" hidden="false" customHeight="false" outlineLevel="0" collapsed="false">
      <c r="A1109" s="7" t="str">
        <f aca="false">_xlfn.CONCAT($A$854, ".", A21)</f>
        <v>AL.7.18</v>
      </c>
      <c r="B1109" s="7" t="str">
        <f aca="false">_xlfn.CONCAT(B21, ": ", C21)</f>
        <v>Automotive &amp; Repair: Support</v>
      </c>
      <c r="C1109" s="32" t="n">
        <f aca="false">BD21</f>
        <v>125000</v>
      </c>
      <c r="D1109" s="32" t="n">
        <f aca="false">BE21</f>
        <v>25000</v>
      </c>
      <c r="E1109" s="32" t="n">
        <f aca="false">BF21</f>
        <v>0</v>
      </c>
      <c r="F1109" s="32" t="n">
        <f aca="false">BG21</f>
        <v>100000</v>
      </c>
    </row>
    <row r="1110" customFormat="false" ht="12.8" hidden="false" customHeight="false" outlineLevel="0" collapsed="false">
      <c r="A1110" s="7" t="str">
        <f aca="false">_xlfn.CONCAT($A$854, ".", A22)</f>
        <v>AL.7.19</v>
      </c>
      <c r="B1110" s="7" t="str">
        <f aca="false">_xlfn.CONCAT(B22, ": ", C22)</f>
        <v>Other Services: Worker</v>
      </c>
      <c r="C1110" s="32" t="n">
        <f aca="false">BD22</f>
        <v>900000</v>
      </c>
      <c r="D1110" s="32" t="n">
        <f aca="false">BE22</f>
        <v>180000</v>
      </c>
      <c r="E1110" s="32" t="n">
        <f aca="false">BF22</f>
        <v>0</v>
      </c>
      <c r="F1110" s="32" t="n">
        <f aca="false">BG22</f>
        <v>720000</v>
      </c>
    </row>
    <row r="1111" customFormat="false" ht="12.8" hidden="false" customHeight="false" outlineLevel="0" collapsed="false">
      <c r="A1111" s="7" t="str">
        <f aca="false">_xlfn.CONCAT($A$854, ".", A23)</f>
        <v>AL.7.20</v>
      </c>
      <c r="B1111" s="7" t="str">
        <f aca="false">_xlfn.CONCAT(B23, ": ", C23)</f>
        <v>Other Services: Support</v>
      </c>
      <c r="C1111" s="32" t="n">
        <f aca="false">BD23</f>
        <v>540000</v>
      </c>
      <c r="D1111" s="32" t="n">
        <f aca="false">BE23</f>
        <v>108000</v>
      </c>
      <c r="E1111" s="32" t="n">
        <f aca="false">BF23</f>
        <v>0</v>
      </c>
      <c r="F1111" s="32" t="n">
        <f aca="false">BG23</f>
        <v>432000</v>
      </c>
    </row>
    <row r="1206" customFormat="false" ht="12.8" hidden="false" customHeight="false" outlineLevel="0" collapsed="false">
      <c r="A1206" s="5" t="s">
        <v>143</v>
      </c>
      <c r="B1206" s="24" t="s">
        <v>41</v>
      </c>
      <c r="C1206" s="27" t="s">
        <v>144</v>
      </c>
    </row>
    <row r="1207" customFormat="false" ht="45.9" hidden="false" customHeight="false" outlineLevel="0" collapsed="false">
      <c r="A1207" s="5" t="s">
        <v>24</v>
      </c>
      <c r="B1207" s="5" t="str">
        <f aca="false">_xlfn.CONCAT(B2, ": ", C2)</f>
        <v>Industry: Role</v>
      </c>
      <c r="C1207" s="32" t="str">
        <f aca="false">BH2</f>
        <v>ACTC Credit Refund</v>
      </c>
      <c r="D1207" s="32" t="str">
        <f aca="false">BI2</f>
        <v>Authorized Immigrant ACTC Credit Refund</v>
      </c>
      <c r="E1207" s="32" t="str">
        <f aca="false">BJ2</f>
        <v>Unauthorized Immigrant ACTC Credit Refund</v>
      </c>
      <c r="F1207" s="32" t="str">
        <f aca="false">BK2</f>
        <v>American Effective Tax ACTC Credit Refund</v>
      </c>
    </row>
    <row r="1208" customFormat="false" ht="12.8" hidden="false" customHeight="false" outlineLevel="0" collapsed="false">
      <c r="A1208" s="7" t="str">
        <f aca="false">_xlfn.CONCAT($A$854, ".", A3)</f>
        <v>AL.7.0</v>
      </c>
      <c r="B1208" s="7" t="str">
        <f aca="false">_xlfn.CONCAT(B3, ": ", C3)</f>
        <v>All Industries: All Roles</v>
      </c>
      <c r="C1208" s="32" t="n">
        <f aca="false">BH3</f>
        <v>102000000</v>
      </c>
      <c r="D1208" s="32" t="n">
        <f aca="false">BI3</f>
        <v>25500000</v>
      </c>
      <c r="E1208" s="32" t="n">
        <f aca="false">BJ3</f>
        <v>10200000</v>
      </c>
      <c r="F1208" s="32" t="n">
        <f aca="false">BK3</f>
        <v>76500000</v>
      </c>
    </row>
    <row r="1209" customFormat="false" ht="12.8" hidden="false" customHeight="false" outlineLevel="0" collapsed="false">
      <c r="A1209" s="7" t="str">
        <f aca="false">_xlfn.CONCAT($A$854, ".", A4)</f>
        <v>AL.7.1</v>
      </c>
      <c r="B1209" s="7" t="str">
        <f aca="false">_xlfn.CONCAT(B4, ": ", C4)</f>
        <v>Agriculture: Worker</v>
      </c>
      <c r="C1209" s="32" t="n">
        <f aca="false">BH4</f>
        <v>30000</v>
      </c>
      <c r="D1209" s="32" t="n">
        <f aca="false">BI4</f>
        <v>7500</v>
      </c>
      <c r="E1209" s="32" t="n">
        <f aca="false">BJ4</f>
        <v>3000</v>
      </c>
      <c r="F1209" s="32" t="n">
        <f aca="false">BK4</f>
        <v>22500</v>
      </c>
    </row>
    <row r="1210" customFormat="false" ht="12.8" hidden="false" customHeight="false" outlineLevel="0" collapsed="false">
      <c r="A1210" s="7" t="str">
        <f aca="false">_xlfn.CONCAT($A$854, ".", A5)</f>
        <v>AL.7.2</v>
      </c>
      <c r="B1210" s="7" t="str">
        <f aca="false">_xlfn.CONCAT(B5, ": ", C5)</f>
        <v>Agriculture: Support</v>
      </c>
      <c r="C1210" s="32" t="n">
        <f aca="false">BH5</f>
        <v>15000</v>
      </c>
      <c r="D1210" s="32" t="n">
        <f aca="false">BI5</f>
        <v>3750</v>
      </c>
      <c r="E1210" s="32" t="n">
        <f aca="false">BJ5</f>
        <v>1500</v>
      </c>
      <c r="F1210" s="32" t="n">
        <f aca="false">BK5</f>
        <v>11250</v>
      </c>
    </row>
    <row r="1211" customFormat="false" ht="12.8" hidden="false" customHeight="false" outlineLevel="0" collapsed="false">
      <c r="A1211" s="7" t="str">
        <f aca="false">_xlfn.CONCAT($A$854, ".", A6)</f>
        <v>AL.7.3</v>
      </c>
      <c r="B1211" s="7" t="str">
        <f aca="false">_xlfn.CONCAT(B6, ": ", C6)</f>
        <v>Construction: Worker</v>
      </c>
      <c r="C1211" s="32" t="n">
        <f aca="false">BH6</f>
        <v>800000</v>
      </c>
      <c r="D1211" s="32" t="n">
        <f aca="false">BI6</f>
        <v>200000</v>
      </c>
      <c r="E1211" s="32" t="n">
        <f aca="false">BJ6</f>
        <v>80000</v>
      </c>
      <c r="F1211" s="32" t="n">
        <f aca="false">BK6</f>
        <v>600000</v>
      </c>
    </row>
    <row r="1212" customFormat="false" ht="12.8" hidden="false" customHeight="false" outlineLevel="0" collapsed="false">
      <c r="A1212" s="7" t="str">
        <f aca="false">_xlfn.CONCAT($A$854, ".", A7)</f>
        <v>AL.7.4</v>
      </c>
      <c r="B1212" s="7" t="str">
        <f aca="false">_xlfn.CONCAT(B7, ": ", C7)</f>
        <v>Construction: Support</v>
      </c>
      <c r="C1212" s="32" t="n">
        <f aca="false">BH7</f>
        <v>320000</v>
      </c>
      <c r="D1212" s="32" t="n">
        <f aca="false">BI7</f>
        <v>80000</v>
      </c>
      <c r="E1212" s="32" t="n">
        <f aca="false">BJ7</f>
        <v>32000</v>
      </c>
      <c r="F1212" s="32" t="n">
        <f aca="false">BK7</f>
        <v>240000</v>
      </c>
    </row>
    <row r="1213" customFormat="false" ht="12.8" hidden="false" customHeight="false" outlineLevel="0" collapsed="false">
      <c r="A1213" s="7" t="str">
        <f aca="false">_xlfn.CONCAT($A$854, ".", A8)</f>
        <v>AL.7.5</v>
      </c>
      <c r="B1213" s="7" t="str">
        <f aca="false">_xlfn.CONCAT(B8, ": ", C8)</f>
        <v>Hospitality: Worker</v>
      </c>
      <c r="C1213" s="32" t="n">
        <f aca="false">BH8</f>
        <v>1400000</v>
      </c>
      <c r="D1213" s="32" t="n">
        <f aca="false">BI8</f>
        <v>350000</v>
      </c>
      <c r="E1213" s="32" t="n">
        <f aca="false">BJ8</f>
        <v>140000</v>
      </c>
      <c r="F1213" s="32" t="n">
        <f aca="false">BK8</f>
        <v>1050000</v>
      </c>
    </row>
    <row r="1214" customFormat="false" ht="12.8" hidden="false" customHeight="false" outlineLevel="0" collapsed="false">
      <c r="A1214" s="7" t="str">
        <f aca="false">_xlfn.CONCAT($A$854, ".", A9)</f>
        <v>AL.7.6</v>
      </c>
      <c r="B1214" s="7" t="str">
        <f aca="false">_xlfn.CONCAT(B9, ": ", C9)</f>
        <v>Hospitality: Support</v>
      </c>
      <c r="C1214" s="32" t="n">
        <f aca="false">BH9</f>
        <v>700000</v>
      </c>
      <c r="D1214" s="32" t="n">
        <f aca="false">BI9</f>
        <v>175000</v>
      </c>
      <c r="E1214" s="32" t="n">
        <f aca="false">BJ9</f>
        <v>70000</v>
      </c>
      <c r="F1214" s="32" t="n">
        <f aca="false">BK9</f>
        <v>525000</v>
      </c>
    </row>
    <row r="1215" customFormat="false" ht="12.8" hidden="false" customHeight="false" outlineLevel="0" collapsed="false">
      <c r="A1215" s="7" t="str">
        <f aca="false">_xlfn.CONCAT($A$854, ".", A10)</f>
        <v>AL.7.7</v>
      </c>
      <c r="B1215" s="7" t="str">
        <f aca="false">_xlfn.CONCAT(B10, ": ", C10)</f>
        <v>Cleaning &amp; Maintenance: Worker</v>
      </c>
      <c r="C1215" s="32" t="n">
        <f aca="false">BH10</f>
        <v>300000</v>
      </c>
      <c r="D1215" s="32" t="n">
        <f aca="false">BI10</f>
        <v>75000</v>
      </c>
      <c r="E1215" s="32" t="n">
        <f aca="false">BJ10</f>
        <v>30000</v>
      </c>
      <c r="F1215" s="32" t="n">
        <f aca="false">BK10</f>
        <v>225000</v>
      </c>
    </row>
    <row r="1216" customFormat="false" ht="12.8" hidden="false" customHeight="false" outlineLevel="0" collapsed="false">
      <c r="A1216" s="7" t="str">
        <f aca="false">_xlfn.CONCAT($A$854, ".", A11)</f>
        <v>AL.7.8</v>
      </c>
      <c r="B1216" s="7" t="str">
        <f aca="false">_xlfn.CONCAT(B11, ": ", C11)</f>
        <v>Cleaning &amp; Maintenance: Support</v>
      </c>
      <c r="C1216" s="32" t="n">
        <f aca="false">BH11</f>
        <v>150000</v>
      </c>
      <c r="D1216" s="32" t="n">
        <f aca="false">BI11</f>
        <v>37500</v>
      </c>
      <c r="E1216" s="32" t="n">
        <f aca="false">BJ11</f>
        <v>15000</v>
      </c>
      <c r="F1216" s="32" t="n">
        <f aca="false">BK11</f>
        <v>112500</v>
      </c>
    </row>
    <row r="1217" customFormat="false" ht="12.8" hidden="false" customHeight="false" outlineLevel="0" collapsed="false">
      <c r="A1217" s="7" t="str">
        <f aca="false">_xlfn.CONCAT($A$854, ".", A12)</f>
        <v>AL.7.9</v>
      </c>
      <c r="B1217" s="7" t="str">
        <f aca="false">_xlfn.CONCAT(B12, ": ", C12)</f>
        <v>Manufacturing: Worker</v>
      </c>
      <c r="C1217" s="32" t="n">
        <f aca="false">BH12</f>
        <v>2000000</v>
      </c>
      <c r="D1217" s="32" t="n">
        <f aca="false">BI12</f>
        <v>500000</v>
      </c>
      <c r="E1217" s="32" t="n">
        <f aca="false">BJ12</f>
        <v>200000</v>
      </c>
      <c r="F1217" s="32" t="n">
        <f aca="false">BK12</f>
        <v>1500000</v>
      </c>
    </row>
    <row r="1218" customFormat="false" ht="12.8" hidden="false" customHeight="false" outlineLevel="0" collapsed="false">
      <c r="A1218" s="7" t="str">
        <f aca="false">_xlfn.CONCAT($A$854, ".", A13)</f>
        <v>AL.7.10</v>
      </c>
      <c r="B1218" s="7" t="str">
        <f aca="false">_xlfn.CONCAT(B13, ": ", C13)</f>
        <v>Manufacturing: Support</v>
      </c>
      <c r="C1218" s="32" t="n">
        <f aca="false">BH13</f>
        <v>840000</v>
      </c>
      <c r="D1218" s="32" t="n">
        <f aca="false">BI13</f>
        <v>210000</v>
      </c>
      <c r="E1218" s="32" t="n">
        <f aca="false">BJ13</f>
        <v>84000</v>
      </c>
      <c r="F1218" s="32" t="n">
        <f aca="false">BK13</f>
        <v>630000</v>
      </c>
    </row>
    <row r="1219" customFormat="false" ht="12.8" hidden="false" customHeight="false" outlineLevel="0" collapsed="false">
      <c r="A1219" s="7" t="str">
        <f aca="false">_xlfn.CONCAT($A$854, ".", A14)</f>
        <v>AL.7.11</v>
      </c>
      <c r="B1219" s="7" t="str">
        <f aca="false">_xlfn.CONCAT(B14, ": ", C14)</f>
        <v>Transportation &amp; Warehousing: Worker</v>
      </c>
      <c r="C1219" s="32" t="n">
        <f aca="false">BH14</f>
        <v>1800000</v>
      </c>
      <c r="D1219" s="32" t="n">
        <f aca="false">BI14</f>
        <v>450000</v>
      </c>
      <c r="E1219" s="32" t="n">
        <f aca="false">BJ14</f>
        <v>180000</v>
      </c>
      <c r="F1219" s="32" t="n">
        <f aca="false">BK14</f>
        <v>1350000</v>
      </c>
    </row>
    <row r="1220" customFormat="false" ht="12.8" hidden="false" customHeight="false" outlineLevel="0" collapsed="false">
      <c r="A1220" s="7" t="str">
        <f aca="false">_xlfn.CONCAT($A$854, ".", A15)</f>
        <v>AL.7.12</v>
      </c>
      <c r="B1220" s="7" t="str">
        <f aca="false">_xlfn.CONCAT(B15, ": ", C15)</f>
        <v>Transportation &amp; Warehousing: Support</v>
      </c>
      <c r="C1220" s="32" t="n">
        <f aca="false">BH15</f>
        <v>700000</v>
      </c>
      <c r="D1220" s="32" t="n">
        <f aca="false">BI15</f>
        <v>175000</v>
      </c>
      <c r="E1220" s="32" t="n">
        <f aca="false">BJ15</f>
        <v>70000</v>
      </c>
      <c r="F1220" s="32" t="n">
        <f aca="false">BK15</f>
        <v>525000</v>
      </c>
    </row>
    <row r="1221" customFormat="false" ht="12.8" hidden="false" customHeight="false" outlineLevel="0" collapsed="false">
      <c r="A1221" s="7" t="str">
        <f aca="false">_xlfn.CONCAT($A$854, ".", A16)</f>
        <v>AL.7.13</v>
      </c>
      <c r="B1221" s="7" t="str">
        <f aca="false">_xlfn.CONCAT(B16, ": ", C16)</f>
        <v>Retail Trade: Worker</v>
      </c>
      <c r="C1221" s="32" t="n">
        <f aca="false">BH16</f>
        <v>1500000</v>
      </c>
      <c r="D1221" s="32" t="n">
        <f aca="false">BI16</f>
        <v>375000</v>
      </c>
      <c r="E1221" s="32" t="n">
        <f aca="false">BJ16</f>
        <v>150000</v>
      </c>
      <c r="F1221" s="32" t="n">
        <f aca="false">BK16</f>
        <v>1125000</v>
      </c>
    </row>
    <row r="1222" customFormat="false" ht="12.8" hidden="false" customHeight="false" outlineLevel="0" collapsed="false">
      <c r="A1222" s="7" t="str">
        <f aca="false">_xlfn.CONCAT($A$854, ".", A17)</f>
        <v>AL.7.14</v>
      </c>
      <c r="B1222" s="7" t="str">
        <f aca="false">_xlfn.CONCAT(B17, ": ", C17)</f>
        <v>Retail Trade: Support</v>
      </c>
      <c r="C1222" s="32" t="n">
        <f aca="false">BH17</f>
        <v>720000</v>
      </c>
      <c r="D1222" s="32" t="n">
        <f aca="false">BI17</f>
        <v>180000</v>
      </c>
      <c r="E1222" s="32" t="n">
        <f aca="false">BJ17</f>
        <v>72000</v>
      </c>
      <c r="F1222" s="32" t="n">
        <f aca="false">BK17</f>
        <v>540000</v>
      </c>
    </row>
    <row r="1223" customFormat="false" ht="12.8" hidden="false" customHeight="false" outlineLevel="0" collapsed="false">
      <c r="A1223" s="7" t="str">
        <f aca="false">_xlfn.CONCAT($A$854, ".", A18)</f>
        <v>AL.7.15</v>
      </c>
      <c r="B1223" s="7" t="str">
        <f aca="false">_xlfn.CONCAT(B18, ": ", C18)</f>
        <v>Landscaping / Groundskeeping: Worker</v>
      </c>
      <c r="C1223" s="32" t="n">
        <f aca="false">BH18</f>
        <v>150000</v>
      </c>
      <c r="D1223" s="32" t="n">
        <f aca="false">BI18</f>
        <v>37500</v>
      </c>
      <c r="E1223" s="32" t="n">
        <f aca="false">BJ18</f>
        <v>15000</v>
      </c>
      <c r="F1223" s="32" t="n">
        <f aca="false">BK18</f>
        <v>112500</v>
      </c>
    </row>
    <row r="1224" customFormat="false" ht="12.8" hidden="false" customHeight="false" outlineLevel="0" collapsed="false">
      <c r="A1224" s="7" t="str">
        <f aca="false">_xlfn.CONCAT($A$854, ".", A19)</f>
        <v>AL.7.16</v>
      </c>
      <c r="B1224" s="7" t="str">
        <f aca="false">_xlfn.CONCAT(B19, ": ", C19)</f>
        <v>Landscaping / Groundskeeping: Support</v>
      </c>
      <c r="C1224" s="32" t="n">
        <f aca="false">BH19</f>
        <v>78000</v>
      </c>
      <c r="D1224" s="32" t="n">
        <f aca="false">BI19</f>
        <v>19500</v>
      </c>
      <c r="E1224" s="32" t="n">
        <f aca="false">BJ19</f>
        <v>7800</v>
      </c>
      <c r="F1224" s="32" t="n">
        <f aca="false">BK19</f>
        <v>58500</v>
      </c>
    </row>
    <row r="1225" customFormat="false" ht="12.8" hidden="false" customHeight="false" outlineLevel="0" collapsed="false">
      <c r="A1225" s="7" t="str">
        <f aca="false">_xlfn.CONCAT($A$854, ".", A20)</f>
        <v>AL.7.17</v>
      </c>
      <c r="B1225" s="7" t="str">
        <f aca="false">_xlfn.CONCAT(B20, ": ", C20)</f>
        <v>Automotive &amp; Repair: Worker</v>
      </c>
      <c r="C1225" s="32" t="n">
        <f aca="false">BH20</f>
        <v>100000</v>
      </c>
      <c r="D1225" s="32" t="n">
        <f aca="false">BI20</f>
        <v>25000</v>
      </c>
      <c r="E1225" s="32" t="n">
        <f aca="false">BJ20</f>
        <v>10000</v>
      </c>
      <c r="F1225" s="32" t="n">
        <f aca="false">BK20</f>
        <v>75000</v>
      </c>
    </row>
    <row r="1226" customFormat="false" ht="12.8" hidden="false" customHeight="false" outlineLevel="0" collapsed="false">
      <c r="A1226" s="7" t="str">
        <f aca="false">_xlfn.CONCAT($A$854, ".", A21)</f>
        <v>AL.7.18</v>
      </c>
      <c r="B1226" s="7" t="str">
        <f aca="false">_xlfn.CONCAT(B21, ": ", C21)</f>
        <v>Automotive &amp; Repair: Support</v>
      </c>
      <c r="C1226" s="32" t="n">
        <f aca="false">BH21</f>
        <v>50000</v>
      </c>
      <c r="D1226" s="32" t="n">
        <f aca="false">BI21</f>
        <v>12500</v>
      </c>
      <c r="E1226" s="32" t="n">
        <f aca="false">BJ21</f>
        <v>5000</v>
      </c>
      <c r="F1226" s="32" t="n">
        <f aca="false">BK21</f>
        <v>37500</v>
      </c>
    </row>
    <row r="1227" customFormat="false" ht="12.8" hidden="false" customHeight="false" outlineLevel="0" collapsed="false">
      <c r="A1227" s="7" t="str">
        <f aca="false">_xlfn.CONCAT($A$854, ".", A22)</f>
        <v>AL.7.19</v>
      </c>
      <c r="B1227" s="7" t="str">
        <f aca="false">_xlfn.CONCAT(B22, ": ", C22)</f>
        <v>Other Services: Worker</v>
      </c>
      <c r="C1227" s="32" t="n">
        <f aca="false">BH22</f>
        <v>360000</v>
      </c>
      <c r="D1227" s="32" t="n">
        <f aca="false">BI22</f>
        <v>90000</v>
      </c>
      <c r="E1227" s="32" t="n">
        <f aca="false">BJ22</f>
        <v>36000</v>
      </c>
      <c r="F1227" s="32" t="n">
        <f aca="false">BK22</f>
        <v>270000</v>
      </c>
    </row>
    <row r="1228" customFormat="false" ht="12.8" hidden="false" customHeight="false" outlineLevel="0" collapsed="false">
      <c r="A1228" s="7" t="str">
        <f aca="false">_xlfn.CONCAT($A$854, ".", A23)</f>
        <v>AL.7.20</v>
      </c>
      <c r="B1228" s="7" t="str">
        <f aca="false">_xlfn.CONCAT(B23, ": ", C23)</f>
        <v>Other Services: Support</v>
      </c>
      <c r="C1228" s="32" t="n">
        <f aca="false">BH23</f>
        <v>216000</v>
      </c>
      <c r="D1228" s="32" t="n">
        <f aca="false">BI23</f>
        <v>54000</v>
      </c>
      <c r="E1228" s="32" t="n">
        <f aca="false">BJ23</f>
        <v>21600</v>
      </c>
      <c r="F1228" s="32" t="n">
        <f aca="false">BK23</f>
        <v>162000</v>
      </c>
    </row>
    <row r="1324" customFormat="false" ht="12.8" hidden="false" customHeight="false" outlineLevel="0" collapsed="false">
      <c r="A1324" s="5" t="s">
        <v>143</v>
      </c>
      <c r="B1324" s="24" t="s">
        <v>41</v>
      </c>
      <c r="C1324" s="7" t="s">
        <v>145</v>
      </c>
    </row>
    <row r="1325" customFormat="false" ht="45.9" hidden="false" customHeight="false" outlineLevel="0" collapsed="false">
      <c r="A1325" s="5" t="s">
        <v>24</v>
      </c>
      <c r="B1325" s="5" t="str">
        <f aca="false">_xlfn.CONCAT(B2, ": ", C2)</f>
        <v>Industry: Role</v>
      </c>
      <c r="C1325" s="32" t="str">
        <f aca="false">BL2</f>
        <v>AOTC Credit Refund</v>
      </c>
      <c r="D1325" s="32" t="str">
        <f aca="false">BM2</f>
        <v>Authorized Immigrant AOTC Credit Refund</v>
      </c>
      <c r="E1325" s="32" t="str">
        <f aca="false">BN2</f>
        <v>Unauthorized Immigrant AOTC Credit Refund</v>
      </c>
      <c r="F1325" s="32" t="str">
        <f aca="false">BO2</f>
        <v>American Effective Tax AOTC Credit Refund</v>
      </c>
    </row>
    <row r="1326" customFormat="false" ht="12.8" hidden="false" customHeight="false" outlineLevel="0" collapsed="false">
      <c r="A1326" s="7" t="str">
        <f aca="false">_xlfn.CONCAT($A$854, ".", A3)</f>
        <v>AL.7.0</v>
      </c>
      <c r="B1326" s="7" t="str">
        <f aca="false">_xlfn.CONCAT(B3, ": ", C3)</f>
        <v>All Industries: All Roles</v>
      </c>
      <c r="C1326" s="32" t="n">
        <f aca="false">BL3</f>
        <v>109000000</v>
      </c>
      <c r="D1326" s="32" t="n">
        <f aca="false">BM3</f>
        <v>28000000</v>
      </c>
      <c r="E1326" s="32" t="n">
        <f aca="false">BN3</f>
        <v>14000000</v>
      </c>
      <c r="F1326" s="32" t="n">
        <f aca="false">BO3</f>
        <v>81000000</v>
      </c>
    </row>
    <row r="1327" customFormat="false" ht="12.8" hidden="false" customHeight="false" outlineLevel="0" collapsed="false">
      <c r="A1327" s="7" t="str">
        <f aca="false">_xlfn.CONCAT($A$854, ".", A4)</f>
        <v>AL.7.1</v>
      </c>
      <c r="B1327" s="7" t="str">
        <f aca="false">_xlfn.CONCAT(B4, ": ", C4)</f>
        <v>Agriculture: Worker</v>
      </c>
      <c r="C1327" s="32" t="n">
        <f aca="false">BL4</f>
        <v>15000</v>
      </c>
      <c r="D1327" s="32" t="n">
        <f aca="false">BM4</f>
        <v>3000</v>
      </c>
      <c r="E1327" s="32" t="n">
        <f aca="false">BN4</f>
        <v>1500</v>
      </c>
      <c r="F1327" s="32" t="n">
        <f aca="false">BO4</f>
        <v>10500</v>
      </c>
    </row>
    <row r="1328" customFormat="false" ht="12.8" hidden="false" customHeight="false" outlineLevel="0" collapsed="false">
      <c r="A1328" s="7" t="str">
        <f aca="false">_xlfn.CONCAT($A$854, ".", A5)</f>
        <v>AL.7.2</v>
      </c>
      <c r="B1328" s="7" t="str">
        <f aca="false">_xlfn.CONCAT(B5, ": ", C5)</f>
        <v>Agriculture: Support</v>
      </c>
      <c r="C1328" s="32" t="n">
        <f aca="false">BL5</f>
        <v>7500</v>
      </c>
      <c r="D1328" s="32" t="n">
        <f aca="false">BM5</f>
        <v>1500</v>
      </c>
      <c r="E1328" s="32" t="n">
        <f aca="false">BN5</f>
        <v>750</v>
      </c>
      <c r="F1328" s="32" t="n">
        <f aca="false">BO5</f>
        <v>5250</v>
      </c>
    </row>
    <row r="1329" customFormat="false" ht="12.8" hidden="false" customHeight="false" outlineLevel="0" collapsed="false">
      <c r="A1329" s="7" t="str">
        <f aca="false">_xlfn.CONCAT($A$854, ".", A6)</f>
        <v>AL.7.3</v>
      </c>
      <c r="B1329" s="7" t="str">
        <f aca="false">_xlfn.CONCAT(B6, ": ", C6)</f>
        <v>Construction: Worker</v>
      </c>
      <c r="C1329" s="32" t="n">
        <f aca="false">BL6</f>
        <v>400000</v>
      </c>
      <c r="D1329" s="32" t="n">
        <f aca="false">BM6</f>
        <v>80000</v>
      </c>
      <c r="E1329" s="32" t="n">
        <f aca="false">BN6</f>
        <v>40000</v>
      </c>
      <c r="F1329" s="32" t="n">
        <f aca="false">BO6</f>
        <v>280000</v>
      </c>
    </row>
    <row r="1330" customFormat="false" ht="12.8" hidden="false" customHeight="false" outlineLevel="0" collapsed="false">
      <c r="A1330" s="7" t="str">
        <f aca="false">_xlfn.CONCAT($A$854, ".", A7)</f>
        <v>AL.7.4</v>
      </c>
      <c r="B1330" s="7" t="str">
        <f aca="false">_xlfn.CONCAT(B7, ": ", C7)</f>
        <v>Construction: Support</v>
      </c>
      <c r="C1330" s="32" t="n">
        <f aca="false">BL7</f>
        <v>160000</v>
      </c>
      <c r="D1330" s="32" t="n">
        <f aca="false">BM7</f>
        <v>32000</v>
      </c>
      <c r="E1330" s="32" t="n">
        <f aca="false">BN7</f>
        <v>16000</v>
      </c>
      <c r="F1330" s="32" t="n">
        <f aca="false">BO7</f>
        <v>112000</v>
      </c>
    </row>
    <row r="1331" customFormat="false" ht="12.8" hidden="false" customHeight="false" outlineLevel="0" collapsed="false">
      <c r="A1331" s="7" t="str">
        <f aca="false">_xlfn.CONCAT($A$854, ".", A8)</f>
        <v>AL.7.5</v>
      </c>
      <c r="B1331" s="7" t="str">
        <f aca="false">_xlfn.CONCAT(B8, ": ", C8)</f>
        <v>Hospitality: Worker</v>
      </c>
      <c r="C1331" s="32" t="n">
        <f aca="false">BL8</f>
        <v>700000</v>
      </c>
      <c r="D1331" s="32" t="n">
        <f aca="false">BM8</f>
        <v>140000</v>
      </c>
      <c r="E1331" s="32" t="n">
        <f aca="false">BN8</f>
        <v>70000</v>
      </c>
      <c r="F1331" s="32" t="n">
        <f aca="false">BO8</f>
        <v>525000</v>
      </c>
    </row>
    <row r="1332" customFormat="false" ht="12.8" hidden="false" customHeight="false" outlineLevel="0" collapsed="false">
      <c r="A1332" s="7" t="str">
        <f aca="false">_xlfn.CONCAT($A$854, ".", A9)</f>
        <v>AL.7.6</v>
      </c>
      <c r="B1332" s="7" t="str">
        <f aca="false">_xlfn.CONCAT(B9, ": ", C9)</f>
        <v>Hospitality: Support</v>
      </c>
      <c r="C1332" s="32" t="n">
        <f aca="false">BL9</f>
        <v>350000</v>
      </c>
      <c r="D1332" s="32" t="n">
        <f aca="false">BM9</f>
        <v>70000</v>
      </c>
      <c r="E1332" s="32" t="n">
        <f aca="false">BN9</f>
        <v>35000</v>
      </c>
      <c r="F1332" s="32" t="n">
        <f aca="false">BO9</f>
        <v>262500</v>
      </c>
    </row>
    <row r="1333" customFormat="false" ht="12.8" hidden="false" customHeight="false" outlineLevel="0" collapsed="false">
      <c r="A1333" s="7" t="str">
        <f aca="false">_xlfn.CONCAT($A$854, ".", A10)</f>
        <v>AL.7.7</v>
      </c>
      <c r="B1333" s="7" t="str">
        <f aca="false">_xlfn.CONCAT(B10, ": ", C10)</f>
        <v>Cleaning &amp; Maintenance: Worker</v>
      </c>
      <c r="C1333" s="32" t="n">
        <f aca="false">BL10</f>
        <v>150000</v>
      </c>
      <c r="D1333" s="32" t="n">
        <f aca="false">BM10</f>
        <v>30000</v>
      </c>
      <c r="E1333" s="32" t="n">
        <f aca="false">BN10</f>
        <v>15000</v>
      </c>
      <c r="F1333" s="32" t="n">
        <f aca="false">BO10</f>
        <v>112500</v>
      </c>
    </row>
    <row r="1334" customFormat="false" ht="12.8" hidden="false" customHeight="false" outlineLevel="0" collapsed="false">
      <c r="A1334" s="7" t="str">
        <f aca="false">_xlfn.CONCAT($A$854, ".", A11)</f>
        <v>AL.7.8</v>
      </c>
      <c r="B1334" s="7" t="str">
        <f aca="false">_xlfn.CONCAT(B11, ": ", C11)</f>
        <v>Cleaning &amp; Maintenance: Support</v>
      </c>
      <c r="C1334" s="32" t="n">
        <f aca="false">BL11</f>
        <v>75000</v>
      </c>
      <c r="D1334" s="32" t="n">
        <f aca="false">BM11</f>
        <v>15000</v>
      </c>
      <c r="E1334" s="32" t="n">
        <f aca="false">BN11</f>
        <v>7500</v>
      </c>
      <c r="F1334" s="32" t="n">
        <f aca="false">BO11</f>
        <v>56250</v>
      </c>
    </row>
    <row r="1335" customFormat="false" ht="12.8" hidden="false" customHeight="false" outlineLevel="0" collapsed="false">
      <c r="A1335" s="7" t="str">
        <f aca="false">_xlfn.CONCAT($A$854, ".", A12)</f>
        <v>AL.7.9</v>
      </c>
      <c r="B1335" s="7" t="str">
        <f aca="false">_xlfn.CONCAT(B12, ": ", C12)</f>
        <v>Manufacturing: Worker</v>
      </c>
      <c r="C1335" s="32" t="n">
        <f aca="false">BL12</f>
        <v>1000000</v>
      </c>
      <c r="D1335" s="32" t="n">
        <f aca="false">BM12</f>
        <v>200000</v>
      </c>
      <c r="E1335" s="32" t="n">
        <f aca="false">BN12</f>
        <v>100000</v>
      </c>
      <c r="F1335" s="32" t="n">
        <f aca="false">BO12</f>
        <v>750000</v>
      </c>
    </row>
    <row r="1336" customFormat="false" ht="12.8" hidden="false" customHeight="false" outlineLevel="0" collapsed="false">
      <c r="A1336" s="7" t="str">
        <f aca="false">_xlfn.CONCAT($A$854, ".", A13)</f>
        <v>AL.7.10</v>
      </c>
      <c r="B1336" s="7" t="str">
        <f aca="false">_xlfn.CONCAT(B13, ": ", C13)</f>
        <v>Manufacturing: Support</v>
      </c>
      <c r="C1336" s="32" t="n">
        <f aca="false">BL13</f>
        <v>420000</v>
      </c>
      <c r="D1336" s="32" t="n">
        <f aca="false">BM13</f>
        <v>84000</v>
      </c>
      <c r="E1336" s="32" t="n">
        <f aca="false">BN13</f>
        <v>42000</v>
      </c>
      <c r="F1336" s="32" t="n">
        <f aca="false">BO13</f>
        <v>315000</v>
      </c>
    </row>
    <row r="1337" customFormat="false" ht="12.8" hidden="false" customHeight="false" outlineLevel="0" collapsed="false">
      <c r="A1337" s="7" t="str">
        <f aca="false">_xlfn.CONCAT($A$854, ".", A14)</f>
        <v>AL.7.11</v>
      </c>
      <c r="B1337" s="7" t="str">
        <f aca="false">_xlfn.CONCAT(B14, ": ", C14)</f>
        <v>Transportation &amp; Warehousing: Worker</v>
      </c>
      <c r="C1337" s="32" t="n">
        <f aca="false">BL14</f>
        <v>900000</v>
      </c>
      <c r="D1337" s="32" t="n">
        <f aca="false">BM14</f>
        <v>180000</v>
      </c>
      <c r="E1337" s="32" t="n">
        <f aca="false">BN14</f>
        <v>90000</v>
      </c>
      <c r="F1337" s="32" t="n">
        <f aca="false">BO14</f>
        <v>675000</v>
      </c>
    </row>
    <row r="1338" customFormat="false" ht="12.8" hidden="false" customHeight="false" outlineLevel="0" collapsed="false">
      <c r="A1338" s="7" t="str">
        <f aca="false">_xlfn.CONCAT($A$854, ".", A15)</f>
        <v>AL.7.12</v>
      </c>
      <c r="B1338" s="7" t="str">
        <f aca="false">_xlfn.CONCAT(B15, ": ", C15)</f>
        <v>Transportation &amp; Warehousing: Support</v>
      </c>
      <c r="C1338" s="32" t="n">
        <f aca="false">BL15</f>
        <v>350000</v>
      </c>
      <c r="D1338" s="32" t="n">
        <f aca="false">BM15</f>
        <v>70000</v>
      </c>
      <c r="E1338" s="32" t="n">
        <f aca="false">BN15</f>
        <v>35000</v>
      </c>
      <c r="F1338" s="32" t="n">
        <f aca="false">BO15</f>
        <v>262500</v>
      </c>
    </row>
    <row r="1339" customFormat="false" ht="12.8" hidden="false" customHeight="false" outlineLevel="0" collapsed="false">
      <c r="A1339" s="7" t="str">
        <f aca="false">_xlfn.CONCAT($A$854, ".", A16)</f>
        <v>AL.7.13</v>
      </c>
      <c r="B1339" s="7" t="str">
        <f aca="false">_xlfn.CONCAT(B16, ": ", C16)</f>
        <v>Retail Trade: Worker</v>
      </c>
      <c r="C1339" s="32" t="n">
        <f aca="false">BL16</f>
        <v>750000</v>
      </c>
      <c r="D1339" s="32" t="n">
        <f aca="false">BM16</f>
        <v>150000</v>
      </c>
      <c r="E1339" s="32" t="n">
        <f aca="false">BN16</f>
        <v>75000</v>
      </c>
      <c r="F1339" s="32" t="n">
        <f aca="false">BO16</f>
        <v>562500</v>
      </c>
    </row>
    <row r="1340" customFormat="false" ht="12.8" hidden="false" customHeight="false" outlineLevel="0" collapsed="false">
      <c r="A1340" s="7" t="str">
        <f aca="false">_xlfn.CONCAT($A$854, ".", A17)</f>
        <v>AL.7.14</v>
      </c>
      <c r="B1340" s="7" t="str">
        <f aca="false">_xlfn.CONCAT(B17, ": ", C17)</f>
        <v>Retail Trade: Support</v>
      </c>
      <c r="C1340" s="32" t="n">
        <f aca="false">BL17</f>
        <v>360000</v>
      </c>
      <c r="D1340" s="32" t="n">
        <f aca="false">BM17</f>
        <v>72000</v>
      </c>
      <c r="E1340" s="32" t="n">
        <f aca="false">BN17</f>
        <v>36000</v>
      </c>
      <c r="F1340" s="32" t="n">
        <f aca="false">BO17</f>
        <v>270000</v>
      </c>
    </row>
    <row r="1341" customFormat="false" ht="12.8" hidden="false" customHeight="false" outlineLevel="0" collapsed="false">
      <c r="A1341" s="7" t="str">
        <f aca="false">_xlfn.CONCAT($A$854, ".", A18)</f>
        <v>AL.7.15</v>
      </c>
      <c r="B1341" s="7" t="str">
        <f aca="false">_xlfn.CONCAT(B18, ": ", C18)</f>
        <v>Landscaping / Groundskeeping: Worker</v>
      </c>
      <c r="C1341" s="32" t="n">
        <f aca="false">BL18</f>
        <v>75000</v>
      </c>
      <c r="D1341" s="32" t="n">
        <f aca="false">BM18</f>
        <v>15000</v>
      </c>
      <c r="E1341" s="32" t="n">
        <f aca="false">BN18</f>
        <v>7500</v>
      </c>
      <c r="F1341" s="32" t="n">
        <f aca="false">BO18</f>
        <v>56250</v>
      </c>
    </row>
    <row r="1342" customFormat="false" ht="12.8" hidden="false" customHeight="false" outlineLevel="0" collapsed="false">
      <c r="A1342" s="7" t="str">
        <f aca="false">_xlfn.CONCAT($A$854, ".", A19)</f>
        <v>AL.7.16</v>
      </c>
      <c r="B1342" s="7" t="str">
        <f aca="false">_xlfn.CONCAT(B19, ": ", C19)</f>
        <v>Landscaping / Groundskeeping: Support</v>
      </c>
      <c r="C1342" s="32" t="n">
        <f aca="false">BL19</f>
        <v>39000</v>
      </c>
      <c r="D1342" s="32" t="n">
        <f aca="false">BM19</f>
        <v>7800</v>
      </c>
      <c r="E1342" s="32" t="n">
        <f aca="false">BN19</f>
        <v>3900</v>
      </c>
      <c r="F1342" s="32" t="n">
        <f aca="false">BO19</f>
        <v>29250</v>
      </c>
    </row>
    <row r="1343" customFormat="false" ht="12.8" hidden="false" customHeight="false" outlineLevel="0" collapsed="false">
      <c r="A1343" s="7" t="str">
        <f aca="false">_xlfn.CONCAT($A$854, ".", A20)</f>
        <v>AL.7.17</v>
      </c>
      <c r="B1343" s="7" t="str">
        <f aca="false">_xlfn.CONCAT(B20, ": ", C20)</f>
        <v>Automotive &amp; Repair: Worker</v>
      </c>
      <c r="C1343" s="32" t="n">
        <f aca="false">BL20</f>
        <v>50000</v>
      </c>
      <c r="D1343" s="32" t="n">
        <f aca="false">BM20</f>
        <v>10000</v>
      </c>
      <c r="E1343" s="32" t="n">
        <f aca="false">BN20</f>
        <v>5000</v>
      </c>
      <c r="F1343" s="32" t="n">
        <f aca="false">BO20</f>
        <v>37500</v>
      </c>
    </row>
    <row r="1344" customFormat="false" ht="12.8" hidden="false" customHeight="false" outlineLevel="0" collapsed="false">
      <c r="A1344" s="7" t="str">
        <f aca="false">_xlfn.CONCAT($A$854, ".", A21)</f>
        <v>AL.7.18</v>
      </c>
      <c r="B1344" s="7" t="str">
        <f aca="false">_xlfn.CONCAT(B21, ": ", C21)</f>
        <v>Automotive &amp; Repair: Support</v>
      </c>
      <c r="C1344" s="32" t="n">
        <f aca="false">BL21</f>
        <v>25000</v>
      </c>
      <c r="D1344" s="32" t="n">
        <f aca="false">BM21</f>
        <v>5000</v>
      </c>
      <c r="E1344" s="32" t="n">
        <f aca="false">BN21</f>
        <v>2500</v>
      </c>
      <c r="F1344" s="32" t="n">
        <f aca="false">BO21</f>
        <v>18750</v>
      </c>
    </row>
    <row r="1345" customFormat="false" ht="12.8" hidden="false" customHeight="false" outlineLevel="0" collapsed="false">
      <c r="A1345" s="7" t="str">
        <f aca="false">_xlfn.CONCAT($A$854, ".", A22)</f>
        <v>AL.7.19</v>
      </c>
      <c r="B1345" s="7" t="str">
        <f aca="false">_xlfn.CONCAT(B22, ": ", C22)</f>
        <v>Other Services: Worker</v>
      </c>
      <c r="C1345" s="32" t="n">
        <f aca="false">BL22</f>
        <v>180000</v>
      </c>
      <c r="D1345" s="32" t="n">
        <f aca="false">BM22</f>
        <v>36000</v>
      </c>
      <c r="E1345" s="32" t="n">
        <f aca="false">BN22</f>
        <v>18000</v>
      </c>
      <c r="F1345" s="32" t="n">
        <f aca="false">BO22</f>
        <v>135000</v>
      </c>
    </row>
    <row r="1346" customFormat="false" ht="12.8" hidden="false" customHeight="false" outlineLevel="0" collapsed="false">
      <c r="A1346" s="7" t="str">
        <f aca="false">_xlfn.CONCAT($A$854, ".", A23)</f>
        <v>AL.7.20</v>
      </c>
      <c r="B1346" s="7" t="str">
        <f aca="false">_xlfn.CONCAT(B23, ": ", C23)</f>
        <v>Other Services: Support</v>
      </c>
      <c r="C1346" s="32" t="n">
        <f aca="false">BL23</f>
        <v>108000</v>
      </c>
      <c r="D1346" s="32" t="n">
        <f aca="false">BM23</f>
        <v>21600</v>
      </c>
      <c r="E1346" s="32" t="n">
        <f aca="false">BN23</f>
        <v>10800</v>
      </c>
      <c r="F1346" s="32" t="n">
        <f aca="false">BO23</f>
        <v>81000</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0080"/>
    <pageSetUpPr fitToPage="false"/>
  </sheetPr>
  <dimension ref="A1:BO1346"/>
  <sheetViews>
    <sheetView showFormulas="false" showGridLines="true" showRowColHeaders="true" showZeros="true" rightToLeft="false" tabSelected="false" showOutlineSymbols="true" defaultGridColor="true" view="normal" topLeftCell="A1315" colorId="64" zoomScale="90" zoomScaleNormal="90" zoomScalePageLayoutView="100" workbookViewId="0">
      <selection pane="topLeft" activeCell="A1353" activeCellId="0" sqref="A1353"/>
    </sheetView>
  </sheetViews>
  <sheetFormatPr defaultColWidth="11.53515625" defaultRowHeight="12.8" customHeight="false" zeroHeight="false" outlineLevelRow="1" outlineLevelCol="0"/>
  <cols>
    <col collapsed="false" customWidth="true" hidden="false" outlineLevel="0" max="2" min="2" style="1" width="36.9"/>
    <col collapsed="false" customWidth="true" hidden="false" outlineLevel="0" max="3" min="3" style="1" width="21.47"/>
    <col collapsed="false" customWidth="true" hidden="false" outlineLevel="0" max="34" min="4" style="1" width="16.84"/>
    <col collapsed="false" customWidth="true" hidden="false" outlineLevel="0" max="48" min="35" style="1" width="17.78"/>
    <col collapsed="false" customWidth="true" hidden="false" outlineLevel="0" max="51" min="49" style="1" width="15.48"/>
    <col collapsed="false" customWidth="true" hidden="false" outlineLevel="0" max="56" min="56" style="1" width="18.45"/>
    <col collapsed="false" customWidth="true" hidden="false" outlineLevel="0" max="59" min="57" style="1" width="16.14"/>
    <col collapsed="false" customWidth="true" hidden="false" outlineLevel="0" max="67" min="60" style="1" width="13.84"/>
  </cols>
  <sheetData>
    <row r="1" customFormat="false" ht="12.8" hidden="false" customHeight="false" outlineLevel="0" collapsed="false">
      <c r="A1" s="10" t="s">
        <v>7</v>
      </c>
      <c r="B1" s="11" t="s">
        <v>146</v>
      </c>
    </row>
    <row r="2" customFormat="false" ht="45.75" hidden="false" customHeight="false" outlineLevel="0" collapsed="false">
      <c r="A2" s="12" t="s">
        <v>22</v>
      </c>
      <c r="B2" s="12" t="s">
        <v>42</v>
      </c>
      <c r="C2" s="12" t="s">
        <v>43</v>
      </c>
      <c r="D2" s="13" t="s">
        <v>44</v>
      </c>
      <c r="E2" s="13" t="s">
        <v>45</v>
      </c>
      <c r="F2" s="13" t="s">
        <v>46</v>
      </c>
      <c r="G2" s="13" t="s">
        <v>47</v>
      </c>
      <c r="H2" s="14" t="s">
        <v>48</v>
      </c>
      <c r="I2" s="15" t="s">
        <v>49</v>
      </c>
      <c r="J2" s="15" t="s">
        <v>50</v>
      </c>
      <c r="K2" s="15" t="s">
        <v>51</v>
      </c>
      <c r="L2" s="11" t="s">
        <v>52</v>
      </c>
      <c r="M2" s="11" t="s">
        <v>53</v>
      </c>
      <c r="N2" s="11" t="s">
        <v>54</v>
      </c>
      <c r="O2" s="11" t="s">
        <v>55</v>
      </c>
      <c r="P2" s="16" t="s">
        <v>56</v>
      </c>
      <c r="Q2" s="16" t="s">
        <v>57</v>
      </c>
      <c r="R2" s="16" t="s">
        <v>58</v>
      </c>
      <c r="S2" s="16" t="s">
        <v>59</v>
      </c>
      <c r="T2" s="16" t="s">
        <v>60</v>
      </c>
      <c r="U2" s="16" t="s">
        <v>61</v>
      </c>
      <c r="V2" s="16" t="s">
        <v>62</v>
      </c>
      <c r="W2" s="16" t="s">
        <v>63</v>
      </c>
      <c r="X2" s="16" t="s">
        <v>64</v>
      </c>
      <c r="Y2" s="16" t="s">
        <v>65</v>
      </c>
      <c r="Z2" s="16" t="s">
        <v>66</v>
      </c>
      <c r="AA2" s="17" t="s">
        <v>67</v>
      </c>
      <c r="AB2" s="17" t="s">
        <v>68</v>
      </c>
      <c r="AC2" s="17" t="s">
        <v>69</v>
      </c>
      <c r="AD2" s="18" t="s">
        <v>70</v>
      </c>
      <c r="AE2" s="18" t="s">
        <v>71</v>
      </c>
      <c r="AF2" s="18" t="s">
        <v>72</v>
      </c>
      <c r="AG2" s="17" t="s">
        <v>73</v>
      </c>
      <c r="AH2" s="17" t="s">
        <v>74</v>
      </c>
      <c r="AI2" s="17" t="s">
        <v>75</v>
      </c>
      <c r="AJ2" s="18" t="s">
        <v>76</v>
      </c>
      <c r="AK2" s="18" t="s">
        <v>77</v>
      </c>
      <c r="AL2" s="18" t="s">
        <v>66</v>
      </c>
      <c r="AM2" s="17" t="s">
        <v>79</v>
      </c>
      <c r="AN2" s="17" t="s">
        <v>80</v>
      </c>
      <c r="AO2" s="17" t="s">
        <v>81</v>
      </c>
      <c r="AP2" s="18" t="s">
        <v>82</v>
      </c>
      <c r="AQ2" s="18" t="s">
        <v>83</v>
      </c>
      <c r="AR2" s="18" t="s">
        <v>84</v>
      </c>
      <c r="AS2" s="17" t="s">
        <v>85</v>
      </c>
      <c r="AT2" s="17" t="s">
        <v>86</v>
      </c>
      <c r="AU2" s="17" t="s">
        <v>87</v>
      </c>
      <c r="AV2" s="17" t="s">
        <v>88</v>
      </c>
      <c r="AW2" s="17" t="s">
        <v>89</v>
      </c>
      <c r="AX2" s="17" t="s">
        <v>90</v>
      </c>
      <c r="AY2" s="17" t="s">
        <v>91</v>
      </c>
      <c r="AZ2" s="17" t="s">
        <v>92</v>
      </c>
      <c r="BA2" s="17" t="s">
        <v>93</v>
      </c>
      <c r="BB2" s="17" t="s">
        <v>94</v>
      </c>
      <c r="BC2" s="17" t="s">
        <v>95</v>
      </c>
      <c r="BD2" s="11" t="s">
        <v>96</v>
      </c>
      <c r="BE2" s="11" t="s">
        <v>97</v>
      </c>
      <c r="BF2" s="11" t="s">
        <v>98</v>
      </c>
      <c r="BG2" s="11" t="s">
        <v>99</v>
      </c>
      <c r="BH2" s="11" t="s">
        <v>100</v>
      </c>
      <c r="BI2" s="11" t="s">
        <v>101</v>
      </c>
      <c r="BJ2" s="11" t="s">
        <v>102</v>
      </c>
      <c r="BK2" s="11" t="s">
        <v>103</v>
      </c>
      <c r="BL2" s="11" t="s">
        <v>104</v>
      </c>
      <c r="BM2" s="11" t="s">
        <v>105</v>
      </c>
      <c r="BN2" s="11" t="s">
        <v>106</v>
      </c>
      <c r="BO2" s="11" t="s">
        <v>107</v>
      </c>
    </row>
    <row r="3" customFormat="false" ht="23.85" hidden="false" customHeight="false" outlineLevel="0" collapsed="false">
      <c r="A3" s="11" t="n">
        <v>0</v>
      </c>
      <c r="B3" s="11" t="s">
        <v>108</v>
      </c>
      <c r="C3" s="11" t="s">
        <v>109</v>
      </c>
      <c r="D3" s="19" t="n">
        <v>1392900</v>
      </c>
      <c r="E3" s="19" t="n">
        <v>55716</v>
      </c>
      <c r="F3" s="19" t="n">
        <v>50144</v>
      </c>
      <c r="G3" s="19" t="n">
        <v>1287040</v>
      </c>
      <c r="H3" s="14" t="n">
        <v>0.958</v>
      </c>
      <c r="I3" s="14" t="n">
        <v>0.95</v>
      </c>
      <c r="J3" s="14" t="n">
        <v>0.94</v>
      </c>
      <c r="K3" s="14" t="n">
        <v>0.959</v>
      </c>
      <c r="L3" s="14" t="n">
        <v>0.584</v>
      </c>
      <c r="M3" s="14" t="n">
        <v>0.65</v>
      </c>
      <c r="N3" s="14" t="n">
        <v>0.72</v>
      </c>
      <c r="O3" s="14" t="n">
        <v>0.577</v>
      </c>
      <c r="P3" s="14" t="n">
        <v>0.042</v>
      </c>
      <c r="Q3" s="14" t="n">
        <v>0.05</v>
      </c>
      <c r="R3" s="14" t="n">
        <v>0.06</v>
      </c>
      <c r="S3" s="14" t="n">
        <v>0.041</v>
      </c>
      <c r="T3" s="14" t="n">
        <v>0.079</v>
      </c>
      <c r="U3" s="14" t="n">
        <v>0.092</v>
      </c>
      <c r="V3" s="14" t="n">
        <v>0.115</v>
      </c>
      <c r="W3" s="14" t="n">
        <v>0.077</v>
      </c>
      <c r="X3" s="20" t="n">
        <v>29.6</v>
      </c>
      <c r="Y3" s="20" t="n">
        <v>19.7</v>
      </c>
      <c r="Z3" s="20" t="n">
        <v>46</v>
      </c>
      <c r="AA3" s="21" t="n">
        <v>61350</v>
      </c>
      <c r="AB3" s="21" t="n">
        <v>40976</v>
      </c>
      <c r="AC3" s="21" t="n">
        <v>95680</v>
      </c>
      <c r="AD3" s="22" t="n">
        <v>28.6</v>
      </c>
      <c r="AE3" s="22" t="n">
        <v>19.1</v>
      </c>
      <c r="AF3" s="22" t="n">
        <v>44.5</v>
      </c>
      <c r="AG3" s="21" t="n">
        <v>58236</v>
      </c>
      <c r="AH3" s="21" t="n">
        <v>38933</v>
      </c>
      <c r="AI3" s="21" t="n">
        <v>90709</v>
      </c>
      <c r="AJ3" s="22" t="n">
        <v>26.2</v>
      </c>
      <c r="AK3" s="22" t="n">
        <v>17.5</v>
      </c>
      <c r="AL3" s="22" t="n">
        <v>40.7</v>
      </c>
      <c r="AM3" s="21" t="n">
        <v>50660</v>
      </c>
      <c r="AN3" s="21" t="n">
        <v>33852</v>
      </c>
      <c r="AO3" s="21" t="n">
        <v>78730</v>
      </c>
      <c r="AP3" s="22" t="n">
        <v>29.8</v>
      </c>
      <c r="AQ3" s="22" t="n">
        <v>19.8</v>
      </c>
      <c r="AR3" s="22" t="n">
        <v>46.3</v>
      </c>
      <c r="AS3" s="21" t="n">
        <v>61901</v>
      </c>
      <c r="AT3" s="21" t="n">
        <v>41184</v>
      </c>
      <c r="AU3" s="21" t="n">
        <v>96304</v>
      </c>
      <c r="AV3" s="21" t="n">
        <v>731767331</v>
      </c>
      <c r="AW3" s="21" t="n">
        <v>27579754</v>
      </c>
      <c r="AX3" s="21" t="n">
        <v>113043129</v>
      </c>
      <c r="AY3" s="21" t="n">
        <v>591144448</v>
      </c>
      <c r="AZ3" s="21" t="n">
        <v>378404205</v>
      </c>
      <c r="BA3" s="21" t="n">
        <v>13724984</v>
      </c>
      <c r="BB3" s="21" t="n">
        <v>57156638</v>
      </c>
      <c r="BC3" s="21" t="n">
        <v>307522583</v>
      </c>
      <c r="BD3" s="23" t="n">
        <v>1059200480</v>
      </c>
      <c r="BE3" s="23" t="n">
        <v>33429600</v>
      </c>
      <c r="BF3" s="23" t="n">
        <v>0</v>
      </c>
      <c r="BG3" s="23" t="n">
        <v>1025770880</v>
      </c>
      <c r="BH3" s="23" t="n">
        <v>750907004</v>
      </c>
      <c r="BI3" s="23" t="n">
        <v>25350780</v>
      </c>
      <c r="BJ3" s="23" t="n">
        <v>4813824</v>
      </c>
      <c r="BK3" s="23" t="n">
        <v>720742400</v>
      </c>
      <c r="BL3" s="23" t="n">
        <v>301952928</v>
      </c>
      <c r="BM3" s="23" t="n">
        <v>9360288</v>
      </c>
      <c r="BN3" s="23" t="n">
        <v>3008640</v>
      </c>
      <c r="BO3" s="23" t="n">
        <v>289584000</v>
      </c>
    </row>
    <row r="4" customFormat="false" ht="12.8" hidden="false" customHeight="false" outlineLevel="0" collapsed="false">
      <c r="A4" s="11" t="n">
        <v>1</v>
      </c>
      <c r="B4" s="11" t="s">
        <v>110</v>
      </c>
      <c r="C4" s="11" t="s">
        <v>111</v>
      </c>
      <c r="D4" s="19" t="n">
        <v>6670</v>
      </c>
      <c r="E4" s="19" t="n">
        <v>267</v>
      </c>
      <c r="F4" s="19" t="n">
        <v>240</v>
      </c>
      <c r="G4" s="19" t="n">
        <v>6163</v>
      </c>
      <c r="H4" s="14" t="n">
        <v>0.944</v>
      </c>
      <c r="I4" s="14" t="n">
        <v>0.93</v>
      </c>
      <c r="J4" s="14" t="n">
        <v>0.92</v>
      </c>
      <c r="K4" s="14" t="n">
        <v>0.945</v>
      </c>
      <c r="L4" s="14" t="n">
        <v>0.644</v>
      </c>
      <c r="M4" s="14" t="n">
        <v>0.717</v>
      </c>
      <c r="N4" s="14" t="n">
        <v>0.794</v>
      </c>
      <c r="O4" s="14" t="n">
        <v>0.636</v>
      </c>
      <c r="P4" s="14" t="n">
        <v>0.056</v>
      </c>
      <c r="Q4" s="14" t="n">
        <v>0.066</v>
      </c>
      <c r="R4" s="14" t="n">
        <v>0.082</v>
      </c>
      <c r="S4" s="14" t="n">
        <v>0.055</v>
      </c>
      <c r="T4" s="14" t="n">
        <v>0.105</v>
      </c>
      <c r="U4" s="14" t="n">
        <v>0.123</v>
      </c>
      <c r="V4" s="14" t="n">
        <v>0.154</v>
      </c>
      <c r="W4" s="14" t="n">
        <v>0.103</v>
      </c>
      <c r="X4" s="20" t="n">
        <v>18.9</v>
      </c>
      <c r="Y4" s="20" t="n">
        <v>12.6</v>
      </c>
      <c r="Z4" s="20" t="n">
        <v>29.4</v>
      </c>
      <c r="AA4" s="21" t="n">
        <v>39128</v>
      </c>
      <c r="AB4" s="21" t="n">
        <v>26208</v>
      </c>
      <c r="AC4" s="21" t="n">
        <v>61152</v>
      </c>
      <c r="AD4" s="22" t="n">
        <v>18.2</v>
      </c>
      <c r="AE4" s="22" t="n">
        <v>12.2</v>
      </c>
      <c r="AF4" s="22" t="n">
        <v>28.4</v>
      </c>
      <c r="AG4" s="21" t="n">
        <v>37180</v>
      </c>
      <c r="AH4" s="21" t="n">
        <v>24868</v>
      </c>
      <c r="AI4" s="21" t="n">
        <v>57891</v>
      </c>
      <c r="AJ4" s="22" t="n">
        <v>16.1</v>
      </c>
      <c r="AK4" s="22" t="n">
        <v>10.8</v>
      </c>
      <c r="AL4" s="22" t="n">
        <v>25.1</v>
      </c>
      <c r="AM4" s="21" t="n">
        <v>31241</v>
      </c>
      <c r="AN4" s="21" t="n">
        <v>20892</v>
      </c>
      <c r="AO4" s="21" t="n">
        <v>48553</v>
      </c>
      <c r="AP4" s="22" t="n">
        <v>19</v>
      </c>
      <c r="AQ4" s="22" t="n">
        <v>12.7</v>
      </c>
      <c r="AR4" s="22" t="n">
        <v>29.6</v>
      </c>
      <c r="AS4" s="21" t="n">
        <v>39520</v>
      </c>
      <c r="AT4" s="21" t="n">
        <v>26416</v>
      </c>
      <c r="AU4" s="21" t="n">
        <v>61568</v>
      </c>
      <c r="AV4" s="21" t="n">
        <v>2225262</v>
      </c>
      <c r="AW4" s="21" t="n">
        <v>84380</v>
      </c>
      <c r="AX4" s="21" t="n">
        <v>333654</v>
      </c>
      <c r="AY4" s="21" t="n">
        <v>1807228</v>
      </c>
      <c r="AZ4" s="21" t="n">
        <v>1150840</v>
      </c>
      <c r="BA4" s="21" t="n">
        <v>41991</v>
      </c>
      <c r="BB4" s="21" t="n">
        <v>168701</v>
      </c>
      <c r="BC4" s="21" t="n">
        <v>940148</v>
      </c>
      <c r="BD4" s="23" t="n">
        <v>5072111</v>
      </c>
      <c r="BE4" s="23" t="n">
        <v>160200</v>
      </c>
      <c r="BF4" s="23" t="n">
        <v>0</v>
      </c>
      <c r="BG4" s="23" t="n">
        <v>4911911</v>
      </c>
      <c r="BH4" s="23" t="n">
        <v>3595805</v>
      </c>
      <c r="BI4" s="23" t="n">
        <v>121485</v>
      </c>
      <c r="BJ4" s="23" t="n">
        <v>23040</v>
      </c>
      <c r="BK4" s="23" t="n">
        <v>3451280</v>
      </c>
      <c r="BL4" s="23" t="n">
        <v>1445931</v>
      </c>
      <c r="BM4" s="23" t="n">
        <v>44856</v>
      </c>
      <c r="BN4" s="23" t="n">
        <v>14400</v>
      </c>
      <c r="BO4" s="23" t="n">
        <v>1386675</v>
      </c>
    </row>
    <row r="5" customFormat="false" ht="12.8" hidden="false" customHeight="false" outlineLevel="0" collapsed="false">
      <c r="A5" s="11" t="n">
        <v>2</v>
      </c>
      <c r="B5" s="11" t="s">
        <v>110</v>
      </c>
      <c r="C5" s="11" t="s">
        <v>112</v>
      </c>
      <c r="D5" s="19" t="n">
        <v>3330</v>
      </c>
      <c r="E5" s="19" t="n">
        <v>133</v>
      </c>
      <c r="F5" s="19" t="n">
        <v>120</v>
      </c>
      <c r="G5" s="19" t="n">
        <v>3077</v>
      </c>
      <c r="H5" s="14" t="n">
        <v>0.944</v>
      </c>
      <c r="I5" s="14" t="n">
        <v>0.93</v>
      </c>
      <c r="J5" s="14" t="n">
        <v>0.92</v>
      </c>
      <c r="K5" s="14" t="n">
        <v>0.945</v>
      </c>
      <c r="L5" s="14" t="n">
        <v>0.582</v>
      </c>
      <c r="M5" s="14" t="n">
        <v>0.648</v>
      </c>
      <c r="N5" s="14" t="n">
        <v>0.718</v>
      </c>
      <c r="O5" s="14" t="n">
        <v>0.576</v>
      </c>
      <c r="P5" s="14" t="n">
        <v>0.056</v>
      </c>
      <c r="Q5" s="14" t="n">
        <v>0.066</v>
      </c>
      <c r="R5" s="14" t="n">
        <v>0.082</v>
      </c>
      <c r="S5" s="14" t="n">
        <v>0.055</v>
      </c>
      <c r="T5" s="14" t="n">
        <v>0.105</v>
      </c>
      <c r="U5" s="14" t="n">
        <v>0.123</v>
      </c>
      <c r="V5" s="14" t="n">
        <v>0.154</v>
      </c>
      <c r="W5" s="14" t="n">
        <v>0.103</v>
      </c>
      <c r="X5" s="20" t="n">
        <v>16</v>
      </c>
      <c r="Y5" s="20" t="n">
        <v>10.7</v>
      </c>
      <c r="Z5" s="20" t="n">
        <v>25</v>
      </c>
      <c r="AA5" s="21" t="n">
        <v>33259</v>
      </c>
      <c r="AB5" s="21" t="n">
        <v>22256</v>
      </c>
      <c r="AC5" s="21" t="n">
        <v>52000</v>
      </c>
      <c r="AD5" s="22" t="n">
        <v>15.5</v>
      </c>
      <c r="AE5" s="22" t="n">
        <v>10.3</v>
      </c>
      <c r="AF5" s="22" t="n">
        <v>24.1</v>
      </c>
      <c r="AG5" s="21" t="n">
        <v>31603</v>
      </c>
      <c r="AH5" s="21" t="n">
        <v>20996</v>
      </c>
      <c r="AI5" s="21" t="n">
        <v>49125</v>
      </c>
      <c r="AJ5" s="22" t="n">
        <v>13.7</v>
      </c>
      <c r="AK5" s="22" t="n">
        <v>9.2</v>
      </c>
      <c r="AL5" s="22" t="n">
        <v>21.4</v>
      </c>
      <c r="AM5" s="21" t="n">
        <v>26554</v>
      </c>
      <c r="AN5" s="21" t="n">
        <v>17796</v>
      </c>
      <c r="AO5" s="21" t="n">
        <v>41396</v>
      </c>
      <c r="AP5" s="22" t="n">
        <v>16.1</v>
      </c>
      <c r="AQ5" s="22" t="n">
        <v>10.8</v>
      </c>
      <c r="AR5" s="22" t="n">
        <v>25.1</v>
      </c>
      <c r="AS5" s="21" t="n">
        <v>33592</v>
      </c>
      <c r="AT5" s="21" t="n">
        <v>22464</v>
      </c>
      <c r="AU5" s="21" t="n">
        <v>52208</v>
      </c>
      <c r="AV5" s="21" t="n">
        <v>944475</v>
      </c>
      <c r="AW5" s="21" t="n">
        <v>35727</v>
      </c>
      <c r="AX5" s="21" t="n">
        <v>141798</v>
      </c>
      <c r="AY5" s="21" t="n">
        <v>766950</v>
      </c>
      <c r="AZ5" s="21" t="n">
        <v>488456</v>
      </c>
      <c r="BA5" s="21" t="n">
        <v>17780</v>
      </c>
      <c r="BB5" s="21" t="n">
        <v>71696</v>
      </c>
      <c r="BC5" s="21" t="n">
        <v>398980</v>
      </c>
      <c r="BD5" s="23" t="n">
        <v>2532169</v>
      </c>
      <c r="BE5" s="23" t="n">
        <v>79800</v>
      </c>
      <c r="BF5" s="23" t="n">
        <v>0</v>
      </c>
      <c r="BG5" s="23" t="n">
        <v>2452369</v>
      </c>
      <c r="BH5" s="23" t="n">
        <v>1795155</v>
      </c>
      <c r="BI5" s="23" t="n">
        <v>60515</v>
      </c>
      <c r="BJ5" s="23" t="n">
        <v>11520</v>
      </c>
      <c r="BK5" s="23" t="n">
        <v>1723120</v>
      </c>
      <c r="BL5" s="23" t="n">
        <v>721869</v>
      </c>
      <c r="BM5" s="23" t="n">
        <v>22344</v>
      </c>
      <c r="BN5" s="23" t="n">
        <v>7200</v>
      </c>
      <c r="BO5" s="23" t="n">
        <v>692325</v>
      </c>
    </row>
    <row r="6" customFormat="false" ht="12.8" hidden="false" customHeight="false" outlineLevel="0" collapsed="false">
      <c r="A6" s="11" t="n">
        <v>3</v>
      </c>
      <c r="B6" s="11" t="s">
        <v>113</v>
      </c>
      <c r="C6" s="11" t="s">
        <v>111</v>
      </c>
      <c r="D6" s="19" t="n">
        <v>46345</v>
      </c>
      <c r="E6" s="19" t="n">
        <v>1854</v>
      </c>
      <c r="F6" s="19" t="n">
        <v>1668</v>
      </c>
      <c r="G6" s="19" t="n">
        <v>42823</v>
      </c>
      <c r="H6" s="14" t="n">
        <v>0.953</v>
      </c>
      <c r="I6" s="14" t="n">
        <v>0.94</v>
      </c>
      <c r="J6" s="14" t="n">
        <v>0.93</v>
      </c>
      <c r="K6" s="14" t="n">
        <v>0.954</v>
      </c>
      <c r="L6" s="14" t="n">
        <v>0.632</v>
      </c>
      <c r="M6" s="14" t="n">
        <v>0.703</v>
      </c>
      <c r="N6" s="14" t="n">
        <v>0.779</v>
      </c>
      <c r="O6" s="14" t="n">
        <v>0.624</v>
      </c>
      <c r="P6" s="14" t="n">
        <v>0.047</v>
      </c>
      <c r="Q6" s="14" t="n">
        <v>0.055</v>
      </c>
      <c r="R6" s="14" t="n">
        <v>0.069</v>
      </c>
      <c r="S6" s="14" t="n">
        <v>0.046</v>
      </c>
      <c r="T6" s="14" t="n">
        <v>0.089</v>
      </c>
      <c r="U6" s="14" t="n">
        <v>0.104</v>
      </c>
      <c r="V6" s="14" t="n">
        <v>0.13</v>
      </c>
      <c r="W6" s="14" t="n">
        <v>0.087</v>
      </c>
      <c r="X6" s="20" t="n">
        <v>23.8</v>
      </c>
      <c r="Y6" s="20" t="n">
        <v>15.9</v>
      </c>
      <c r="Z6" s="20" t="n">
        <v>37.1</v>
      </c>
      <c r="AA6" s="21" t="n">
        <v>49459</v>
      </c>
      <c r="AB6" s="21" t="n">
        <v>33072</v>
      </c>
      <c r="AC6" s="21" t="n">
        <v>77168</v>
      </c>
      <c r="AD6" s="22" t="n">
        <v>23</v>
      </c>
      <c r="AE6" s="22" t="n">
        <v>15.4</v>
      </c>
      <c r="AF6" s="22" t="n">
        <v>35.9</v>
      </c>
      <c r="AG6" s="21" t="n">
        <v>46965</v>
      </c>
      <c r="AH6" s="21" t="n">
        <v>31391</v>
      </c>
      <c r="AI6" s="21" t="n">
        <v>73179</v>
      </c>
      <c r="AJ6" s="22" t="n">
        <v>20.9</v>
      </c>
      <c r="AK6" s="22" t="n">
        <v>13.9</v>
      </c>
      <c r="AL6" s="22" t="n">
        <v>32.5</v>
      </c>
      <c r="AM6" s="21" t="n">
        <v>40390</v>
      </c>
      <c r="AN6" s="21" t="n">
        <v>26888</v>
      </c>
      <c r="AO6" s="21" t="n">
        <v>62868</v>
      </c>
      <c r="AP6" s="22" t="n">
        <v>24</v>
      </c>
      <c r="AQ6" s="22" t="n">
        <v>16</v>
      </c>
      <c r="AR6" s="22" t="n">
        <v>37.3</v>
      </c>
      <c r="AS6" s="21" t="n">
        <v>49920</v>
      </c>
      <c r="AT6" s="21" t="n">
        <v>33280</v>
      </c>
      <c r="AU6" s="21" t="n">
        <v>77584</v>
      </c>
      <c r="AV6" s="21" t="n">
        <v>19600022</v>
      </c>
      <c r="AW6" s="21" t="n">
        <v>740121</v>
      </c>
      <c r="AX6" s="21" t="n">
        <v>2997988</v>
      </c>
      <c r="AY6" s="21" t="n">
        <v>15861913</v>
      </c>
      <c r="AZ6" s="21" t="n">
        <v>10135771</v>
      </c>
      <c r="BA6" s="21" t="n">
        <v>368319</v>
      </c>
      <c r="BB6" s="21" t="n">
        <v>1515837</v>
      </c>
      <c r="BC6" s="21" t="n">
        <v>8251615</v>
      </c>
      <c r="BD6" s="23" t="n">
        <v>35242331</v>
      </c>
      <c r="BE6" s="23" t="n">
        <v>1112400</v>
      </c>
      <c r="BF6" s="23" t="n">
        <v>0</v>
      </c>
      <c r="BG6" s="23" t="n">
        <v>34129931</v>
      </c>
      <c r="BH6" s="23" t="n">
        <v>24984578</v>
      </c>
      <c r="BI6" s="23" t="n">
        <v>843570</v>
      </c>
      <c r="BJ6" s="23" t="n">
        <v>160128</v>
      </c>
      <c r="BK6" s="23" t="n">
        <v>23980880</v>
      </c>
      <c r="BL6" s="23" t="n">
        <v>10046727</v>
      </c>
      <c r="BM6" s="23" t="n">
        <v>311472</v>
      </c>
      <c r="BN6" s="23" t="n">
        <v>100080</v>
      </c>
      <c r="BO6" s="23" t="n">
        <v>9635175</v>
      </c>
    </row>
    <row r="7" customFormat="false" ht="12.8" hidden="false" customHeight="false" outlineLevel="0" collapsed="false">
      <c r="A7" s="11" t="n">
        <v>4</v>
      </c>
      <c r="B7" s="11" t="s">
        <v>113</v>
      </c>
      <c r="C7" s="11" t="s">
        <v>112</v>
      </c>
      <c r="D7" s="19" t="n">
        <v>18655</v>
      </c>
      <c r="E7" s="19" t="n">
        <v>746</v>
      </c>
      <c r="F7" s="19" t="n">
        <v>672</v>
      </c>
      <c r="G7" s="19" t="n">
        <v>17237</v>
      </c>
      <c r="H7" s="14" t="n">
        <v>0.953</v>
      </c>
      <c r="I7" s="14" t="n">
        <v>0.94</v>
      </c>
      <c r="J7" s="14" t="n">
        <v>0.93</v>
      </c>
      <c r="K7" s="14" t="n">
        <v>0.954</v>
      </c>
      <c r="L7" s="14" t="n">
        <v>0.571</v>
      </c>
      <c r="M7" s="14" t="n">
        <v>0.636</v>
      </c>
      <c r="N7" s="14" t="n">
        <v>0.705</v>
      </c>
      <c r="O7" s="14" t="n">
        <v>0.565</v>
      </c>
      <c r="P7" s="14" t="n">
        <v>0.047</v>
      </c>
      <c r="Q7" s="14" t="n">
        <v>0.055</v>
      </c>
      <c r="R7" s="14" t="n">
        <v>0.069</v>
      </c>
      <c r="S7" s="14" t="n">
        <v>0.046</v>
      </c>
      <c r="T7" s="14" t="n">
        <v>0.089</v>
      </c>
      <c r="U7" s="14" t="n">
        <v>0.104</v>
      </c>
      <c r="V7" s="14" t="n">
        <v>0.13</v>
      </c>
      <c r="W7" s="14" t="n">
        <v>0.087</v>
      </c>
      <c r="X7" s="20" t="n">
        <v>19.1</v>
      </c>
      <c r="Y7" s="20" t="n">
        <v>12.7</v>
      </c>
      <c r="Z7" s="20" t="n">
        <v>29.7</v>
      </c>
      <c r="AA7" s="21" t="n">
        <v>39567</v>
      </c>
      <c r="AB7" s="21" t="n">
        <v>26416</v>
      </c>
      <c r="AC7" s="21" t="n">
        <v>61776</v>
      </c>
      <c r="AD7" s="22" t="n">
        <v>18.4</v>
      </c>
      <c r="AE7" s="22" t="n">
        <v>12.3</v>
      </c>
      <c r="AF7" s="22" t="n">
        <v>28.7</v>
      </c>
      <c r="AG7" s="21" t="n">
        <v>37572</v>
      </c>
      <c r="AH7" s="21" t="n">
        <v>25072</v>
      </c>
      <c r="AI7" s="21" t="n">
        <v>58502</v>
      </c>
      <c r="AJ7" s="22" t="n">
        <v>16.7</v>
      </c>
      <c r="AK7" s="22" t="n">
        <v>11.1</v>
      </c>
      <c r="AL7" s="22" t="n">
        <v>26</v>
      </c>
      <c r="AM7" s="21" t="n">
        <v>32312</v>
      </c>
      <c r="AN7" s="21" t="n">
        <v>21472</v>
      </c>
      <c r="AO7" s="21" t="n">
        <v>50294</v>
      </c>
      <c r="AP7" s="22" t="n">
        <v>19.2</v>
      </c>
      <c r="AQ7" s="22" t="n">
        <v>12.8</v>
      </c>
      <c r="AR7" s="22" t="n">
        <v>29.9</v>
      </c>
      <c r="AS7" s="21" t="n">
        <v>39936</v>
      </c>
      <c r="AT7" s="21" t="n">
        <v>26624</v>
      </c>
      <c r="AU7" s="21" t="n">
        <v>62192</v>
      </c>
      <c r="AV7" s="21" t="n">
        <v>6312258</v>
      </c>
      <c r="AW7" s="21" t="n">
        <v>238244</v>
      </c>
      <c r="AX7" s="21" t="n">
        <v>966258</v>
      </c>
      <c r="AY7" s="21" t="n">
        <v>5107756</v>
      </c>
      <c r="AZ7" s="21" t="n">
        <v>3264253</v>
      </c>
      <c r="BA7" s="21" t="n">
        <v>118561</v>
      </c>
      <c r="BB7" s="21" t="n">
        <v>488557</v>
      </c>
      <c r="BC7" s="21" t="n">
        <v>2657135</v>
      </c>
      <c r="BD7" s="23" t="n">
        <v>14185489</v>
      </c>
      <c r="BE7" s="23" t="n">
        <v>447600</v>
      </c>
      <c r="BF7" s="23" t="n">
        <v>0</v>
      </c>
      <c r="BG7" s="23" t="n">
        <v>13737889</v>
      </c>
      <c r="BH7" s="23" t="n">
        <v>10056662</v>
      </c>
      <c r="BI7" s="23" t="n">
        <v>339430</v>
      </c>
      <c r="BJ7" s="23" t="n">
        <v>64512</v>
      </c>
      <c r="BK7" s="23" t="n">
        <v>9652720</v>
      </c>
      <c r="BL7" s="23" t="n">
        <v>4043973</v>
      </c>
      <c r="BM7" s="23" t="n">
        <v>125328</v>
      </c>
      <c r="BN7" s="23" t="n">
        <v>40320</v>
      </c>
      <c r="BO7" s="23" t="n">
        <v>3878325</v>
      </c>
    </row>
    <row r="8" customFormat="false" ht="12.8" hidden="false" customHeight="false" outlineLevel="0" collapsed="false">
      <c r="A8" s="11" t="n">
        <v>5</v>
      </c>
      <c r="B8" s="11" t="s">
        <v>114</v>
      </c>
      <c r="C8" s="11" t="s">
        <v>111</v>
      </c>
      <c r="D8" s="19" t="n">
        <v>88228</v>
      </c>
      <c r="E8" s="19" t="n">
        <v>3529</v>
      </c>
      <c r="F8" s="19" t="n">
        <v>3176</v>
      </c>
      <c r="G8" s="19" t="n">
        <v>81523</v>
      </c>
      <c r="H8" s="14" t="n">
        <v>0.94</v>
      </c>
      <c r="I8" s="14" t="n">
        <v>0.93</v>
      </c>
      <c r="J8" s="14" t="n">
        <v>0.91</v>
      </c>
      <c r="K8" s="14" t="n">
        <v>0.941</v>
      </c>
      <c r="L8" s="14" t="n">
        <v>0.601</v>
      </c>
      <c r="M8" s="14" t="n">
        <v>0.669</v>
      </c>
      <c r="N8" s="14" t="n">
        <v>0.741</v>
      </c>
      <c r="O8" s="14" t="n">
        <v>0.594</v>
      </c>
      <c r="P8" s="14" t="n">
        <v>0.06</v>
      </c>
      <c r="Q8" s="14" t="n">
        <v>0.071</v>
      </c>
      <c r="R8" s="14" t="n">
        <v>0.088</v>
      </c>
      <c r="S8" s="14" t="n">
        <v>0.059</v>
      </c>
      <c r="T8" s="14" t="n">
        <v>0.113</v>
      </c>
      <c r="U8" s="14" t="n">
        <v>0.133</v>
      </c>
      <c r="V8" s="14" t="n">
        <v>0.166</v>
      </c>
      <c r="W8" s="14" t="n">
        <v>0.111</v>
      </c>
      <c r="X8" s="20" t="n">
        <v>13.9</v>
      </c>
      <c r="Y8" s="20" t="n">
        <v>9.3</v>
      </c>
      <c r="Z8" s="20" t="n">
        <v>21.7</v>
      </c>
      <c r="AA8" s="21" t="n">
        <v>28880</v>
      </c>
      <c r="AB8" s="21" t="n">
        <v>19344</v>
      </c>
      <c r="AC8" s="21" t="n">
        <v>45136</v>
      </c>
      <c r="AD8" s="22" t="n">
        <v>13.4</v>
      </c>
      <c r="AE8" s="22" t="n">
        <v>9</v>
      </c>
      <c r="AF8" s="22" t="n">
        <v>20.9</v>
      </c>
      <c r="AG8" s="21" t="n">
        <v>27396</v>
      </c>
      <c r="AH8" s="21" t="n">
        <v>18346</v>
      </c>
      <c r="AI8" s="21" t="n">
        <v>42603</v>
      </c>
      <c r="AJ8" s="22" t="n">
        <v>12.6</v>
      </c>
      <c r="AK8" s="22" t="n">
        <v>8.4</v>
      </c>
      <c r="AL8" s="22" t="n">
        <v>19.6</v>
      </c>
      <c r="AM8" s="21" t="n">
        <v>24373</v>
      </c>
      <c r="AN8" s="21" t="n">
        <v>16249</v>
      </c>
      <c r="AO8" s="21" t="n">
        <v>37914</v>
      </c>
      <c r="AP8" s="22" t="n">
        <v>14</v>
      </c>
      <c r="AQ8" s="22" t="n">
        <v>9.3</v>
      </c>
      <c r="AR8" s="22" t="n">
        <v>21.8</v>
      </c>
      <c r="AS8" s="21" t="n">
        <v>29120</v>
      </c>
      <c r="AT8" s="21" t="n">
        <v>19344</v>
      </c>
      <c r="AU8" s="21" t="n">
        <v>45344</v>
      </c>
      <c r="AV8" s="21" t="n">
        <v>21881176</v>
      </c>
      <c r="AW8" s="21" t="n">
        <v>821784</v>
      </c>
      <c r="AX8" s="21" t="n">
        <v>3444685</v>
      </c>
      <c r="AY8" s="21" t="n">
        <v>17614707</v>
      </c>
      <c r="AZ8" s="21" t="n">
        <v>11314099</v>
      </c>
      <c r="BA8" s="21" t="n">
        <v>408958</v>
      </c>
      <c r="BB8" s="21" t="n">
        <v>1741695</v>
      </c>
      <c r="BC8" s="21" t="n">
        <v>9163446</v>
      </c>
      <c r="BD8" s="23" t="n">
        <v>67091231</v>
      </c>
      <c r="BE8" s="23" t="n">
        <v>2117400</v>
      </c>
      <c r="BF8" s="23" t="n">
        <v>0</v>
      </c>
      <c r="BG8" s="23" t="n">
        <v>64973831</v>
      </c>
      <c r="BH8" s="23" t="n">
        <v>47563471</v>
      </c>
      <c r="BI8" s="23" t="n">
        <v>1605695</v>
      </c>
      <c r="BJ8" s="23" t="n">
        <v>304896</v>
      </c>
      <c r="BK8" s="23" t="n">
        <v>45652880</v>
      </c>
      <c r="BL8" s="23" t="n">
        <v>19126107</v>
      </c>
      <c r="BM8" s="23" t="n">
        <v>592872</v>
      </c>
      <c r="BN8" s="23" t="n">
        <v>190560</v>
      </c>
      <c r="BO8" s="23" t="n">
        <v>18342675</v>
      </c>
    </row>
    <row r="9" customFormat="false" ht="12.8" hidden="false" customHeight="false" outlineLevel="0" collapsed="false">
      <c r="A9" s="11" t="n">
        <v>6</v>
      </c>
      <c r="B9" s="11" t="s">
        <v>114</v>
      </c>
      <c r="C9" s="11" t="s">
        <v>112</v>
      </c>
      <c r="D9" s="19" t="n">
        <v>48772</v>
      </c>
      <c r="E9" s="19" t="n">
        <v>1951</v>
      </c>
      <c r="F9" s="19" t="n">
        <v>1756</v>
      </c>
      <c r="G9" s="19" t="n">
        <v>45065</v>
      </c>
      <c r="H9" s="14" t="n">
        <v>0.94</v>
      </c>
      <c r="I9" s="14" t="n">
        <v>0.93</v>
      </c>
      <c r="J9" s="14" t="n">
        <v>0.91</v>
      </c>
      <c r="K9" s="14" t="n">
        <v>0.941</v>
      </c>
      <c r="L9" s="14" t="n">
        <v>0.544</v>
      </c>
      <c r="M9" s="14" t="n">
        <v>0.605</v>
      </c>
      <c r="N9" s="14" t="n">
        <v>0.67</v>
      </c>
      <c r="O9" s="14" t="n">
        <v>0.537</v>
      </c>
      <c r="P9" s="14" t="n">
        <v>0.06</v>
      </c>
      <c r="Q9" s="14" t="n">
        <v>0.071</v>
      </c>
      <c r="R9" s="14" t="n">
        <v>0.088</v>
      </c>
      <c r="S9" s="14" t="n">
        <v>0.059</v>
      </c>
      <c r="T9" s="14" t="n">
        <v>0.113</v>
      </c>
      <c r="U9" s="14" t="n">
        <v>0.133</v>
      </c>
      <c r="V9" s="14" t="n">
        <v>0.166</v>
      </c>
      <c r="W9" s="14" t="n">
        <v>0.111</v>
      </c>
      <c r="X9" s="20" t="n">
        <v>11.1</v>
      </c>
      <c r="Y9" s="20" t="n">
        <v>7.4</v>
      </c>
      <c r="Z9" s="20" t="n">
        <v>17.3</v>
      </c>
      <c r="AA9" s="21" t="n">
        <v>23104</v>
      </c>
      <c r="AB9" s="21" t="n">
        <v>15392</v>
      </c>
      <c r="AC9" s="21" t="n">
        <v>35984</v>
      </c>
      <c r="AD9" s="22" t="n">
        <v>10.8</v>
      </c>
      <c r="AE9" s="22" t="n">
        <v>7.2</v>
      </c>
      <c r="AF9" s="22" t="n">
        <v>16.7</v>
      </c>
      <c r="AG9" s="21" t="n">
        <v>21917</v>
      </c>
      <c r="AH9" s="21" t="n">
        <v>14676</v>
      </c>
      <c r="AI9" s="21" t="n">
        <v>34041</v>
      </c>
      <c r="AJ9" s="22" t="n">
        <v>10.1</v>
      </c>
      <c r="AK9" s="22" t="n">
        <v>6.7</v>
      </c>
      <c r="AL9" s="22" t="n">
        <v>15.7</v>
      </c>
      <c r="AM9" s="21" t="n">
        <v>19499</v>
      </c>
      <c r="AN9" s="21" t="n">
        <v>12960</v>
      </c>
      <c r="AO9" s="21" t="n">
        <v>30370</v>
      </c>
      <c r="AP9" s="22" t="n">
        <v>11.2</v>
      </c>
      <c r="AQ9" s="22" t="n">
        <v>7.5</v>
      </c>
      <c r="AR9" s="22" t="n">
        <v>17.4</v>
      </c>
      <c r="AS9" s="21" t="n">
        <v>23296</v>
      </c>
      <c r="AT9" s="21" t="n">
        <v>15600</v>
      </c>
      <c r="AU9" s="21" t="n">
        <v>36192</v>
      </c>
      <c r="AV9" s="21" t="n">
        <v>9676922</v>
      </c>
      <c r="AW9" s="21" t="n">
        <v>363461</v>
      </c>
      <c r="AX9" s="21" t="n">
        <v>1523691</v>
      </c>
      <c r="AY9" s="21" t="n">
        <v>7789770</v>
      </c>
      <c r="AZ9" s="21" t="n">
        <v>5003640</v>
      </c>
      <c r="BA9" s="21" t="n">
        <v>180875</v>
      </c>
      <c r="BB9" s="21" t="n">
        <v>770405</v>
      </c>
      <c r="BC9" s="21" t="n">
        <v>4052360</v>
      </c>
      <c r="BD9" s="23" t="n">
        <v>37087405</v>
      </c>
      <c r="BE9" s="23" t="n">
        <v>1170600</v>
      </c>
      <c r="BF9" s="23" t="n">
        <v>0</v>
      </c>
      <c r="BG9" s="23" t="n">
        <v>35916805</v>
      </c>
      <c r="BH9" s="23" t="n">
        <v>26292681</v>
      </c>
      <c r="BI9" s="23" t="n">
        <v>887705</v>
      </c>
      <c r="BJ9" s="23" t="n">
        <v>168576</v>
      </c>
      <c r="BK9" s="23" t="n">
        <v>25236400</v>
      </c>
      <c r="BL9" s="23" t="n">
        <v>10572753</v>
      </c>
      <c r="BM9" s="23" t="n">
        <v>327768</v>
      </c>
      <c r="BN9" s="23" t="n">
        <v>105360</v>
      </c>
      <c r="BO9" s="23" t="n">
        <v>10139625</v>
      </c>
    </row>
    <row r="10" customFormat="false" ht="12.8" hidden="false" customHeight="false" outlineLevel="0" collapsed="false">
      <c r="A10" s="11" t="n">
        <v>7</v>
      </c>
      <c r="B10" s="11" t="s">
        <v>115</v>
      </c>
      <c r="C10" s="11" t="s">
        <v>111</v>
      </c>
      <c r="D10" s="19" t="n">
        <v>18676</v>
      </c>
      <c r="E10" s="19" t="n">
        <v>747</v>
      </c>
      <c r="F10" s="19" t="n">
        <v>672</v>
      </c>
      <c r="G10" s="19" t="n">
        <v>17257</v>
      </c>
      <c r="H10" s="14" t="n">
        <v>0.938</v>
      </c>
      <c r="I10" s="14" t="n">
        <v>0.93</v>
      </c>
      <c r="J10" s="14" t="n">
        <v>0.91</v>
      </c>
      <c r="K10" s="14" t="n">
        <v>0.939</v>
      </c>
      <c r="L10" s="14" t="n">
        <v>0.644</v>
      </c>
      <c r="M10" s="14" t="n">
        <v>0.717</v>
      </c>
      <c r="N10" s="14" t="n">
        <v>0.794</v>
      </c>
      <c r="O10" s="14" t="n">
        <v>0.636</v>
      </c>
      <c r="P10" s="14" t="n">
        <v>0.062</v>
      </c>
      <c r="Q10" s="14" t="n">
        <v>0.073</v>
      </c>
      <c r="R10" s="14" t="n">
        <v>0.091</v>
      </c>
      <c r="S10" s="14" t="n">
        <v>0.061</v>
      </c>
      <c r="T10" s="14" t="n">
        <v>0.118</v>
      </c>
      <c r="U10" s="14" t="n">
        <v>0.137</v>
      </c>
      <c r="V10" s="14" t="n">
        <v>0.172</v>
      </c>
      <c r="W10" s="14" t="n">
        <v>0.115</v>
      </c>
      <c r="X10" s="20" t="n">
        <v>12.9</v>
      </c>
      <c r="Y10" s="20" t="n">
        <v>8.6</v>
      </c>
      <c r="Z10" s="20" t="n">
        <v>20.1</v>
      </c>
      <c r="AA10" s="21" t="n">
        <v>26799</v>
      </c>
      <c r="AB10" s="21" t="n">
        <v>17888</v>
      </c>
      <c r="AC10" s="21" t="n">
        <v>41808</v>
      </c>
      <c r="AD10" s="22" t="n">
        <v>12.5</v>
      </c>
      <c r="AE10" s="22" t="n">
        <v>8.3</v>
      </c>
      <c r="AF10" s="22" t="n">
        <v>19.4</v>
      </c>
      <c r="AG10" s="21" t="n">
        <v>25439</v>
      </c>
      <c r="AH10" s="21" t="n">
        <v>16919</v>
      </c>
      <c r="AI10" s="21" t="n">
        <v>39545</v>
      </c>
      <c r="AJ10" s="22" t="n">
        <v>11.4</v>
      </c>
      <c r="AK10" s="22" t="n">
        <v>7.6</v>
      </c>
      <c r="AL10" s="22" t="n">
        <v>17.8</v>
      </c>
      <c r="AM10" s="21" t="n">
        <v>22130</v>
      </c>
      <c r="AN10" s="21" t="n">
        <v>14701</v>
      </c>
      <c r="AO10" s="21" t="n">
        <v>34432</v>
      </c>
      <c r="AP10" s="22" t="n">
        <v>13</v>
      </c>
      <c r="AQ10" s="22" t="n">
        <v>8.7</v>
      </c>
      <c r="AR10" s="22" t="n">
        <v>20.2</v>
      </c>
      <c r="AS10" s="21" t="n">
        <v>27040</v>
      </c>
      <c r="AT10" s="21" t="n">
        <v>18096</v>
      </c>
      <c r="AU10" s="21" t="n">
        <v>42016</v>
      </c>
      <c r="AV10" s="21" t="n">
        <v>4285690</v>
      </c>
      <c r="AW10" s="21" t="n">
        <v>161525</v>
      </c>
      <c r="AX10" s="21" t="n">
        <v>661776</v>
      </c>
      <c r="AY10" s="21" t="n">
        <v>3462389</v>
      </c>
      <c r="AZ10" s="21" t="n">
        <v>2216177</v>
      </c>
      <c r="BA10" s="21" t="n">
        <v>80382</v>
      </c>
      <c r="BB10" s="21" t="n">
        <v>334606</v>
      </c>
      <c r="BC10" s="21" t="n">
        <v>1801189</v>
      </c>
      <c r="BD10" s="23" t="n">
        <v>14202029</v>
      </c>
      <c r="BE10" s="23" t="n">
        <v>448200</v>
      </c>
      <c r="BF10" s="23" t="n">
        <v>0</v>
      </c>
      <c r="BG10" s="23" t="n">
        <v>13753829</v>
      </c>
      <c r="BH10" s="23" t="n">
        <v>10068317</v>
      </c>
      <c r="BI10" s="23" t="n">
        <v>339885</v>
      </c>
      <c r="BJ10" s="23" t="n">
        <v>64512</v>
      </c>
      <c r="BK10" s="23" t="n">
        <v>9663920</v>
      </c>
      <c r="BL10" s="23" t="n">
        <v>4048641</v>
      </c>
      <c r="BM10" s="23" t="n">
        <v>125496</v>
      </c>
      <c r="BN10" s="23" t="n">
        <v>40320</v>
      </c>
      <c r="BO10" s="23" t="n">
        <v>3882825</v>
      </c>
    </row>
    <row r="11" customFormat="false" ht="12.8" hidden="false" customHeight="false" outlineLevel="0" collapsed="false">
      <c r="A11" s="11" t="n">
        <v>8</v>
      </c>
      <c r="B11" s="11" t="s">
        <v>115</v>
      </c>
      <c r="C11" s="11" t="s">
        <v>112</v>
      </c>
      <c r="D11" s="19" t="n">
        <v>9324</v>
      </c>
      <c r="E11" s="19" t="n">
        <v>373</v>
      </c>
      <c r="F11" s="19" t="n">
        <v>336</v>
      </c>
      <c r="G11" s="19" t="n">
        <v>8615</v>
      </c>
      <c r="H11" s="14" t="n">
        <v>0.938</v>
      </c>
      <c r="I11" s="14" t="n">
        <v>0.93</v>
      </c>
      <c r="J11" s="14" t="n">
        <v>0.91</v>
      </c>
      <c r="K11" s="14" t="n">
        <v>0.939</v>
      </c>
      <c r="L11" s="14" t="n">
        <v>0.583</v>
      </c>
      <c r="M11" s="14" t="n">
        <v>0.648</v>
      </c>
      <c r="N11" s="14" t="n">
        <v>0.718</v>
      </c>
      <c r="O11" s="14" t="n">
        <v>0.576</v>
      </c>
      <c r="P11" s="14" t="n">
        <v>0.062</v>
      </c>
      <c r="Q11" s="14" t="n">
        <v>0.073</v>
      </c>
      <c r="R11" s="14" t="n">
        <v>0.091</v>
      </c>
      <c r="S11" s="14" t="n">
        <v>0.061</v>
      </c>
      <c r="T11" s="14" t="n">
        <v>0.118</v>
      </c>
      <c r="U11" s="14" t="n">
        <v>0.137</v>
      </c>
      <c r="V11" s="14" t="n">
        <v>0.172</v>
      </c>
      <c r="W11" s="14" t="n">
        <v>0.115</v>
      </c>
      <c r="X11" s="20" t="n">
        <v>10.1</v>
      </c>
      <c r="Y11" s="20" t="n">
        <v>6.7</v>
      </c>
      <c r="Z11" s="20" t="n">
        <v>15.7</v>
      </c>
      <c r="AA11" s="21" t="n">
        <v>20903</v>
      </c>
      <c r="AB11" s="21" t="n">
        <v>13936</v>
      </c>
      <c r="AC11" s="21" t="n">
        <v>32656</v>
      </c>
      <c r="AD11" s="22" t="n">
        <v>9.7</v>
      </c>
      <c r="AE11" s="22" t="n">
        <v>6.5</v>
      </c>
      <c r="AF11" s="22" t="n">
        <v>15.1</v>
      </c>
      <c r="AG11" s="21" t="n">
        <v>19843</v>
      </c>
      <c r="AH11" s="21" t="n">
        <v>13250</v>
      </c>
      <c r="AI11" s="21" t="n">
        <v>30780</v>
      </c>
      <c r="AJ11" s="22" t="n">
        <v>8.9</v>
      </c>
      <c r="AK11" s="22" t="n">
        <v>6</v>
      </c>
      <c r="AL11" s="22" t="n">
        <v>13.9</v>
      </c>
      <c r="AM11" s="21" t="n">
        <v>17261</v>
      </c>
      <c r="AN11" s="21" t="n">
        <v>11606</v>
      </c>
      <c r="AO11" s="21" t="n">
        <v>26888</v>
      </c>
      <c r="AP11" s="22" t="n">
        <v>10.1</v>
      </c>
      <c r="AQ11" s="22" t="n">
        <v>6.8</v>
      </c>
      <c r="AR11" s="22" t="n">
        <v>15.8</v>
      </c>
      <c r="AS11" s="21" t="n">
        <v>21091</v>
      </c>
      <c r="AT11" s="21" t="n">
        <v>14144</v>
      </c>
      <c r="AU11" s="21" t="n">
        <v>32864</v>
      </c>
      <c r="AV11" s="21" t="n">
        <v>1669204</v>
      </c>
      <c r="AW11" s="21" t="n">
        <v>62912</v>
      </c>
      <c r="AX11" s="21" t="n">
        <v>258086</v>
      </c>
      <c r="AY11" s="21" t="n">
        <v>1348206</v>
      </c>
      <c r="AZ11" s="21" t="n">
        <v>863159</v>
      </c>
      <c r="BA11" s="21" t="n">
        <v>31308</v>
      </c>
      <c r="BB11" s="21" t="n">
        <v>130493</v>
      </c>
      <c r="BC11" s="21" t="n">
        <v>701358</v>
      </c>
      <c r="BD11" s="23" t="n">
        <v>7089955</v>
      </c>
      <c r="BE11" s="23" t="n">
        <v>223800</v>
      </c>
      <c r="BF11" s="23" t="n">
        <v>0</v>
      </c>
      <c r="BG11" s="23" t="n">
        <v>6866155</v>
      </c>
      <c r="BH11" s="23" t="n">
        <v>5026371</v>
      </c>
      <c r="BI11" s="23" t="n">
        <v>169715</v>
      </c>
      <c r="BJ11" s="23" t="n">
        <v>32256</v>
      </c>
      <c r="BK11" s="23" t="n">
        <v>4824400</v>
      </c>
      <c r="BL11" s="23" t="n">
        <v>2021199</v>
      </c>
      <c r="BM11" s="23" t="n">
        <v>62664</v>
      </c>
      <c r="BN11" s="23" t="n">
        <v>20160</v>
      </c>
      <c r="BO11" s="23" t="n">
        <v>1938375</v>
      </c>
    </row>
    <row r="12" customFormat="false" ht="12.8" hidden="false" customHeight="false" outlineLevel="0" collapsed="false">
      <c r="A12" s="11" t="n">
        <v>9</v>
      </c>
      <c r="B12" s="11" t="s">
        <v>116</v>
      </c>
      <c r="C12" s="11" t="s">
        <v>111</v>
      </c>
      <c r="D12" s="19" t="n">
        <v>115005</v>
      </c>
      <c r="E12" s="19" t="n">
        <v>4600</v>
      </c>
      <c r="F12" s="19" t="n">
        <v>4140</v>
      </c>
      <c r="G12" s="19" t="n">
        <v>106265</v>
      </c>
      <c r="H12" s="14" t="n">
        <v>0.966</v>
      </c>
      <c r="I12" s="14" t="n">
        <v>0.96</v>
      </c>
      <c r="J12" s="14" t="n">
        <v>0.95</v>
      </c>
      <c r="K12" s="14" t="n">
        <v>0.966</v>
      </c>
      <c r="L12" s="14" t="n">
        <v>0.625</v>
      </c>
      <c r="M12" s="14" t="n">
        <v>0.696</v>
      </c>
      <c r="N12" s="14" t="n">
        <v>0.771</v>
      </c>
      <c r="O12" s="14" t="n">
        <v>0.618</v>
      </c>
      <c r="P12" s="14" t="n">
        <v>0.034</v>
      </c>
      <c r="Q12" s="14" t="n">
        <v>0.04</v>
      </c>
      <c r="R12" s="14" t="n">
        <v>0.05</v>
      </c>
      <c r="S12" s="14" t="n">
        <v>0.034</v>
      </c>
      <c r="T12" s="14" t="n">
        <v>0.065</v>
      </c>
      <c r="U12" s="14" t="n">
        <v>0.076</v>
      </c>
      <c r="V12" s="14" t="n">
        <v>0.095</v>
      </c>
      <c r="W12" s="14" t="n">
        <v>0.063</v>
      </c>
      <c r="X12" s="20" t="n">
        <v>20.9</v>
      </c>
      <c r="Y12" s="20" t="n">
        <v>13.9</v>
      </c>
      <c r="Z12" s="20" t="n">
        <v>32.5</v>
      </c>
      <c r="AA12" s="21" t="n">
        <v>43350</v>
      </c>
      <c r="AB12" s="21" t="n">
        <v>28912</v>
      </c>
      <c r="AC12" s="21" t="n">
        <v>67600</v>
      </c>
      <c r="AD12" s="22" t="n">
        <v>20.2</v>
      </c>
      <c r="AE12" s="22" t="n">
        <v>13.4</v>
      </c>
      <c r="AF12" s="22" t="n">
        <v>31.4</v>
      </c>
      <c r="AG12" s="21" t="n">
        <v>41094</v>
      </c>
      <c r="AH12" s="21" t="n">
        <v>27315</v>
      </c>
      <c r="AI12" s="21" t="n">
        <v>64006</v>
      </c>
      <c r="AJ12" s="22" t="n">
        <v>19.3</v>
      </c>
      <c r="AK12" s="22" t="n">
        <v>12.9</v>
      </c>
      <c r="AL12" s="22" t="n">
        <v>30.1</v>
      </c>
      <c r="AM12" s="21" t="n">
        <v>37373</v>
      </c>
      <c r="AN12" s="21" t="n">
        <v>24954</v>
      </c>
      <c r="AO12" s="21" t="n">
        <v>58225</v>
      </c>
      <c r="AP12" s="22" t="n">
        <v>21</v>
      </c>
      <c r="AQ12" s="22" t="n">
        <v>14</v>
      </c>
      <c r="AR12" s="22" t="n">
        <v>32.7</v>
      </c>
      <c r="AS12" s="21" t="n">
        <v>43680</v>
      </c>
      <c r="AT12" s="21" t="n">
        <v>29120</v>
      </c>
      <c r="AU12" s="21" t="n">
        <v>68016</v>
      </c>
      <c r="AV12" s="21" t="n">
        <v>42933085</v>
      </c>
      <c r="AW12" s="21" t="n">
        <v>1606775</v>
      </c>
      <c r="AX12" s="21" t="n">
        <v>6885228</v>
      </c>
      <c r="AY12" s="21" t="n">
        <v>34441082</v>
      </c>
      <c r="AZ12" s="21" t="n">
        <v>22197691</v>
      </c>
      <c r="BA12" s="21" t="n">
        <v>799607</v>
      </c>
      <c r="BB12" s="21" t="n">
        <v>3481295</v>
      </c>
      <c r="BC12" s="21" t="n">
        <v>17916789</v>
      </c>
      <c r="BD12" s="23" t="n">
        <v>87453205</v>
      </c>
      <c r="BE12" s="23" t="n">
        <v>2760000</v>
      </c>
      <c r="BF12" s="23" t="n">
        <v>0</v>
      </c>
      <c r="BG12" s="23" t="n">
        <v>84693205</v>
      </c>
      <c r="BH12" s="23" t="n">
        <v>61998840</v>
      </c>
      <c r="BI12" s="23" t="n">
        <v>2093000</v>
      </c>
      <c r="BJ12" s="23" t="n">
        <v>397440</v>
      </c>
      <c r="BK12" s="23" t="n">
        <v>59508400</v>
      </c>
      <c r="BL12" s="23" t="n">
        <v>24930825</v>
      </c>
      <c r="BM12" s="23" t="n">
        <v>772800</v>
      </c>
      <c r="BN12" s="23" t="n">
        <v>248400</v>
      </c>
      <c r="BO12" s="23" t="n">
        <v>23909625</v>
      </c>
    </row>
    <row r="13" customFormat="false" ht="12.8" hidden="false" customHeight="false" outlineLevel="0" collapsed="false">
      <c r="A13" s="11" t="n">
        <v>10</v>
      </c>
      <c r="B13" s="11" t="s">
        <v>116</v>
      </c>
      <c r="C13" s="11" t="s">
        <v>112</v>
      </c>
      <c r="D13" s="19" t="n">
        <v>49995</v>
      </c>
      <c r="E13" s="19" t="n">
        <v>2000</v>
      </c>
      <c r="F13" s="19" t="n">
        <v>1800</v>
      </c>
      <c r="G13" s="19" t="n">
        <v>46195</v>
      </c>
      <c r="H13" s="14" t="n">
        <v>0.966</v>
      </c>
      <c r="I13" s="14" t="n">
        <v>0.96</v>
      </c>
      <c r="J13" s="14" t="n">
        <v>0.95</v>
      </c>
      <c r="K13" s="14" t="n">
        <v>0.966</v>
      </c>
      <c r="L13" s="14" t="n">
        <v>0.566</v>
      </c>
      <c r="M13" s="14" t="n">
        <v>0.63</v>
      </c>
      <c r="N13" s="14" t="n">
        <v>0.698</v>
      </c>
      <c r="O13" s="14" t="n">
        <v>0.559</v>
      </c>
      <c r="P13" s="14" t="n">
        <v>0.034</v>
      </c>
      <c r="Q13" s="14" t="n">
        <v>0.04</v>
      </c>
      <c r="R13" s="14" t="n">
        <v>0.05</v>
      </c>
      <c r="S13" s="14" t="n">
        <v>0.034</v>
      </c>
      <c r="T13" s="14" t="n">
        <v>0.065</v>
      </c>
      <c r="U13" s="14" t="n">
        <v>0.076</v>
      </c>
      <c r="V13" s="14" t="n">
        <v>0.095</v>
      </c>
      <c r="W13" s="14" t="n">
        <v>0.063</v>
      </c>
      <c r="X13" s="20" t="n">
        <v>19.2</v>
      </c>
      <c r="Y13" s="20" t="n">
        <v>12.8</v>
      </c>
      <c r="Z13" s="20" t="n">
        <v>29.9</v>
      </c>
      <c r="AA13" s="21" t="n">
        <v>39882</v>
      </c>
      <c r="AB13" s="21" t="n">
        <v>26624</v>
      </c>
      <c r="AC13" s="21" t="n">
        <v>62192</v>
      </c>
      <c r="AD13" s="22" t="n">
        <v>18.5</v>
      </c>
      <c r="AE13" s="22" t="n">
        <v>12.4</v>
      </c>
      <c r="AF13" s="22" t="n">
        <v>28.9</v>
      </c>
      <c r="AG13" s="21" t="n">
        <v>37807</v>
      </c>
      <c r="AH13" s="21" t="n">
        <v>25276</v>
      </c>
      <c r="AI13" s="21" t="n">
        <v>58910</v>
      </c>
      <c r="AJ13" s="22" t="n">
        <v>17.8</v>
      </c>
      <c r="AK13" s="22" t="n">
        <v>11.9</v>
      </c>
      <c r="AL13" s="22" t="n">
        <v>27.7</v>
      </c>
      <c r="AM13" s="21" t="n">
        <v>34383</v>
      </c>
      <c r="AN13" s="21" t="n">
        <v>23019</v>
      </c>
      <c r="AO13" s="21" t="n">
        <v>53583</v>
      </c>
      <c r="AP13" s="22" t="n">
        <v>19.3</v>
      </c>
      <c r="AQ13" s="22" t="n">
        <v>12.9</v>
      </c>
      <c r="AR13" s="22" t="n">
        <v>30.1</v>
      </c>
      <c r="AS13" s="21" t="n">
        <v>40186</v>
      </c>
      <c r="AT13" s="21" t="n">
        <v>26832</v>
      </c>
      <c r="AU13" s="21" t="n">
        <v>62608</v>
      </c>
      <c r="AV13" s="21" t="n">
        <v>17171228</v>
      </c>
      <c r="AW13" s="21" t="n">
        <v>642719</v>
      </c>
      <c r="AX13" s="21" t="n">
        <v>2754078</v>
      </c>
      <c r="AY13" s="21" t="n">
        <v>13774431</v>
      </c>
      <c r="AZ13" s="21" t="n">
        <v>8878033</v>
      </c>
      <c r="BA13" s="21" t="n">
        <v>319847</v>
      </c>
      <c r="BB13" s="21" t="n">
        <v>1392512</v>
      </c>
      <c r="BC13" s="21" t="n">
        <v>7165674</v>
      </c>
      <c r="BD13" s="23" t="n">
        <v>38017415</v>
      </c>
      <c r="BE13" s="23" t="n">
        <v>1200000</v>
      </c>
      <c r="BF13" s="23" t="n">
        <v>0</v>
      </c>
      <c r="BG13" s="23" t="n">
        <v>36817415</v>
      </c>
      <c r="BH13" s="23" t="n">
        <v>26952000</v>
      </c>
      <c r="BI13" s="23" t="n">
        <v>910000</v>
      </c>
      <c r="BJ13" s="23" t="n">
        <v>172800</v>
      </c>
      <c r="BK13" s="23" t="n">
        <v>25869200</v>
      </c>
      <c r="BL13" s="23" t="n">
        <v>10837875</v>
      </c>
      <c r="BM13" s="23" t="n">
        <v>336000</v>
      </c>
      <c r="BN13" s="23" t="n">
        <v>108000</v>
      </c>
      <c r="BO13" s="23" t="n">
        <v>10393875</v>
      </c>
    </row>
    <row r="14" customFormat="false" ht="12.8" hidden="false" customHeight="false" outlineLevel="0" collapsed="false">
      <c r="A14" s="11" t="n">
        <v>11</v>
      </c>
      <c r="B14" s="11" t="s">
        <v>117</v>
      </c>
      <c r="C14" s="11" t="s">
        <v>111</v>
      </c>
      <c r="D14" s="19" t="n">
        <v>42850</v>
      </c>
      <c r="E14" s="19" t="n">
        <v>1714</v>
      </c>
      <c r="F14" s="19" t="n">
        <v>1543</v>
      </c>
      <c r="G14" s="19" t="n">
        <v>39593</v>
      </c>
      <c r="H14" s="14" t="n">
        <v>0.961</v>
      </c>
      <c r="I14" s="14" t="n">
        <v>0.95</v>
      </c>
      <c r="J14" s="14" t="n">
        <v>0.94</v>
      </c>
      <c r="K14" s="14" t="n">
        <v>0.962</v>
      </c>
      <c r="L14" s="14" t="n">
        <v>0.638</v>
      </c>
      <c r="M14" s="14" t="n">
        <v>0.71</v>
      </c>
      <c r="N14" s="14" t="n">
        <v>0.786</v>
      </c>
      <c r="O14" s="14" t="n">
        <v>0.63</v>
      </c>
      <c r="P14" s="14" t="n">
        <v>0.039</v>
      </c>
      <c r="Q14" s="14" t="n">
        <v>0.045</v>
      </c>
      <c r="R14" s="14" t="n">
        <v>0.057</v>
      </c>
      <c r="S14" s="14" t="n">
        <v>0.038</v>
      </c>
      <c r="T14" s="14" t="n">
        <v>0.073</v>
      </c>
      <c r="U14" s="14" t="n">
        <v>0.085</v>
      </c>
      <c r="V14" s="14" t="n">
        <v>0.107</v>
      </c>
      <c r="W14" s="14" t="n">
        <v>0.071</v>
      </c>
      <c r="X14" s="20" t="n">
        <v>21.9</v>
      </c>
      <c r="Y14" s="20" t="n">
        <v>14.6</v>
      </c>
      <c r="Z14" s="20" t="n">
        <v>34.1</v>
      </c>
      <c r="AA14" s="21" t="n">
        <v>45429</v>
      </c>
      <c r="AB14" s="21" t="n">
        <v>30368</v>
      </c>
      <c r="AC14" s="21" t="n">
        <v>70928</v>
      </c>
      <c r="AD14" s="22" t="n">
        <v>21.1</v>
      </c>
      <c r="AE14" s="22" t="n">
        <v>14.1</v>
      </c>
      <c r="AF14" s="22" t="n">
        <v>32.9</v>
      </c>
      <c r="AG14" s="21" t="n">
        <v>43051</v>
      </c>
      <c r="AH14" s="21" t="n">
        <v>28741</v>
      </c>
      <c r="AI14" s="21" t="n">
        <v>67063</v>
      </c>
      <c r="AJ14" s="22" t="n">
        <v>20.5</v>
      </c>
      <c r="AK14" s="22" t="n">
        <v>13.6</v>
      </c>
      <c r="AL14" s="22" t="n">
        <v>31.8</v>
      </c>
      <c r="AM14" s="21" t="n">
        <v>39578</v>
      </c>
      <c r="AN14" s="21" t="n">
        <v>26308</v>
      </c>
      <c r="AO14" s="21" t="n">
        <v>61514</v>
      </c>
      <c r="AP14" s="22" t="n">
        <v>22</v>
      </c>
      <c r="AQ14" s="22" t="n">
        <v>14.7</v>
      </c>
      <c r="AR14" s="22" t="n">
        <v>34.2</v>
      </c>
      <c r="AS14" s="21" t="n">
        <v>45760</v>
      </c>
      <c r="AT14" s="21" t="n">
        <v>30576</v>
      </c>
      <c r="AU14" s="21" t="n">
        <v>71136</v>
      </c>
      <c r="AV14" s="21" t="n">
        <v>16788150</v>
      </c>
      <c r="AW14" s="21" t="n">
        <v>627210</v>
      </c>
      <c r="AX14" s="21" t="n">
        <v>2717564</v>
      </c>
      <c r="AY14" s="21" t="n">
        <v>13443376</v>
      </c>
      <c r="AZ14" s="21" t="n">
        <v>8679632</v>
      </c>
      <c r="BA14" s="21" t="n">
        <v>312129</v>
      </c>
      <c r="BB14" s="21" t="n">
        <v>1374049</v>
      </c>
      <c r="BC14" s="21" t="n">
        <v>6993454</v>
      </c>
      <c r="BD14" s="23" t="n">
        <v>32584021</v>
      </c>
      <c r="BE14" s="23" t="n">
        <v>1028400</v>
      </c>
      <c r="BF14" s="23" t="n">
        <v>0</v>
      </c>
      <c r="BG14" s="23" t="n">
        <v>31555621</v>
      </c>
      <c r="BH14" s="23" t="n">
        <v>23100078</v>
      </c>
      <c r="BI14" s="23" t="n">
        <v>779870</v>
      </c>
      <c r="BJ14" s="23" t="n">
        <v>148128</v>
      </c>
      <c r="BK14" s="23" t="n">
        <v>22172080</v>
      </c>
      <c r="BL14" s="23" t="n">
        <v>9288957</v>
      </c>
      <c r="BM14" s="23" t="n">
        <v>287952</v>
      </c>
      <c r="BN14" s="23" t="n">
        <v>92580</v>
      </c>
      <c r="BO14" s="23" t="n">
        <v>8908425</v>
      </c>
    </row>
    <row r="15" customFormat="false" ht="12.8" hidden="false" customHeight="false" outlineLevel="0" collapsed="false">
      <c r="A15" s="11" t="n">
        <v>12</v>
      </c>
      <c r="B15" s="11" t="s">
        <v>117</v>
      </c>
      <c r="C15" s="11" t="s">
        <v>112</v>
      </c>
      <c r="D15" s="19" t="n">
        <v>7150</v>
      </c>
      <c r="E15" s="19" t="n">
        <v>286</v>
      </c>
      <c r="F15" s="19" t="n">
        <v>257</v>
      </c>
      <c r="G15" s="19" t="n">
        <v>6607</v>
      </c>
      <c r="H15" s="14" t="n">
        <v>0.961</v>
      </c>
      <c r="I15" s="14" t="n">
        <v>0.95</v>
      </c>
      <c r="J15" s="14" t="n">
        <v>0.94</v>
      </c>
      <c r="K15" s="14" t="n">
        <v>0.962</v>
      </c>
      <c r="L15" s="14" t="n">
        <v>0.577</v>
      </c>
      <c r="M15" s="14" t="n">
        <v>0.642</v>
      </c>
      <c r="N15" s="14" t="n">
        <v>0.711</v>
      </c>
      <c r="O15" s="14" t="n">
        <v>0.57</v>
      </c>
      <c r="P15" s="14" t="n">
        <v>0.039</v>
      </c>
      <c r="Q15" s="14" t="n">
        <v>0.045</v>
      </c>
      <c r="R15" s="14" t="n">
        <v>0.057</v>
      </c>
      <c r="S15" s="14" t="n">
        <v>0.038</v>
      </c>
      <c r="T15" s="14" t="n">
        <v>0.073</v>
      </c>
      <c r="U15" s="14" t="n">
        <v>0.085</v>
      </c>
      <c r="V15" s="14" t="n">
        <v>0.107</v>
      </c>
      <c r="W15" s="14" t="n">
        <v>0.071</v>
      </c>
      <c r="X15" s="20" t="n">
        <v>19.7</v>
      </c>
      <c r="Y15" s="20" t="n">
        <v>13.2</v>
      </c>
      <c r="Z15" s="20" t="n">
        <v>30.7</v>
      </c>
      <c r="AA15" s="21" t="n">
        <v>40886</v>
      </c>
      <c r="AB15" s="21" t="n">
        <v>27456</v>
      </c>
      <c r="AC15" s="21" t="n">
        <v>63856</v>
      </c>
      <c r="AD15" s="22" t="n">
        <v>19</v>
      </c>
      <c r="AE15" s="22" t="n">
        <v>12.7</v>
      </c>
      <c r="AF15" s="22" t="n">
        <v>29.6</v>
      </c>
      <c r="AG15" s="21" t="n">
        <v>38746</v>
      </c>
      <c r="AH15" s="21" t="n">
        <v>25888</v>
      </c>
      <c r="AI15" s="21" t="n">
        <v>60337</v>
      </c>
      <c r="AJ15" s="22" t="n">
        <v>18.4</v>
      </c>
      <c r="AK15" s="22" t="n">
        <v>12.3</v>
      </c>
      <c r="AL15" s="22" t="n">
        <v>28.7</v>
      </c>
      <c r="AM15" s="21" t="n">
        <v>35620</v>
      </c>
      <c r="AN15" s="21" t="n">
        <v>23793</v>
      </c>
      <c r="AO15" s="21" t="n">
        <v>55517</v>
      </c>
      <c r="AP15" s="22" t="n">
        <v>19.8</v>
      </c>
      <c r="AQ15" s="22" t="n">
        <v>13.2</v>
      </c>
      <c r="AR15" s="22" t="n">
        <v>30.8</v>
      </c>
      <c r="AS15" s="21" t="n">
        <v>41184</v>
      </c>
      <c r="AT15" s="21" t="n">
        <v>27456</v>
      </c>
      <c r="AU15" s="21" t="n">
        <v>64064</v>
      </c>
      <c r="AV15" s="21" t="n">
        <v>2520562</v>
      </c>
      <c r="AW15" s="21" t="n">
        <v>94192</v>
      </c>
      <c r="AX15" s="21" t="n">
        <v>407368</v>
      </c>
      <c r="AY15" s="21" t="n">
        <v>2019002</v>
      </c>
      <c r="AZ15" s="21" t="n">
        <v>1303163</v>
      </c>
      <c r="BA15" s="21" t="n">
        <v>46874</v>
      </c>
      <c r="BB15" s="21" t="n">
        <v>205973</v>
      </c>
      <c r="BC15" s="21" t="n">
        <v>1050316</v>
      </c>
      <c r="BD15" s="23" t="n">
        <v>5437379</v>
      </c>
      <c r="BE15" s="23" t="n">
        <v>171600</v>
      </c>
      <c r="BF15" s="23" t="n">
        <v>0</v>
      </c>
      <c r="BG15" s="23" t="n">
        <v>5265779</v>
      </c>
      <c r="BH15" s="23" t="n">
        <v>3854722</v>
      </c>
      <c r="BI15" s="23" t="n">
        <v>130130</v>
      </c>
      <c r="BJ15" s="23" t="n">
        <v>24672</v>
      </c>
      <c r="BK15" s="23" t="n">
        <v>3699920</v>
      </c>
      <c r="BL15" s="23" t="n">
        <v>1550043</v>
      </c>
      <c r="BM15" s="23" t="n">
        <v>48048</v>
      </c>
      <c r="BN15" s="23" t="n">
        <v>15420</v>
      </c>
      <c r="BO15" s="23" t="n">
        <v>1486575</v>
      </c>
    </row>
    <row r="16" customFormat="false" ht="12.8" hidden="false" customHeight="false" outlineLevel="0" collapsed="false">
      <c r="A16" s="11" t="n">
        <v>13</v>
      </c>
      <c r="B16" s="11" t="s">
        <v>118</v>
      </c>
      <c r="C16" s="11" t="s">
        <v>111</v>
      </c>
      <c r="D16" s="19" t="n">
        <v>93380</v>
      </c>
      <c r="E16" s="19" t="n">
        <v>3735</v>
      </c>
      <c r="F16" s="19" t="n">
        <v>3362</v>
      </c>
      <c r="G16" s="19" t="n">
        <v>86283</v>
      </c>
      <c r="H16" s="14" t="n">
        <v>0.955</v>
      </c>
      <c r="I16" s="14" t="n">
        <v>0.95</v>
      </c>
      <c r="J16" s="14" t="n">
        <v>0.93</v>
      </c>
      <c r="K16" s="14" t="n">
        <v>0.956</v>
      </c>
      <c r="L16" s="14" t="n">
        <v>0.589</v>
      </c>
      <c r="M16" s="14" t="n">
        <v>0.655</v>
      </c>
      <c r="N16" s="14" t="n">
        <v>0.726</v>
      </c>
      <c r="O16" s="14" t="n">
        <v>0.582</v>
      </c>
      <c r="P16" s="14" t="n">
        <v>0.045</v>
      </c>
      <c r="Q16" s="14" t="n">
        <v>0.053</v>
      </c>
      <c r="R16" s="14" t="n">
        <v>0.066</v>
      </c>
      <c r="S16" s="14" t="n">
        <v>0.044</v>
      </c>
      <c r="T16" s="14" t="n">
        <v>0.085</v>
      </c>
      <c r="U16" s="14" t="n">
        <v>0.1</v>
      </c>
      <c r="V16" s="14" t="n">
        <v>0.125</v>
      </c>
      <c r="W16" s="14" t="n">
        <v>0.083</v>
      </c>
      <c r="X16" s="20" t="n">
        <v>15.9</v>
      </c>
      <c r="Y16" s="20" t="n">
        <v>10.6</v>
      </c>
      <c r="Z16" s="20" t="n">
        <v>24.8</v>
      </c>
      <c r="AA16" s="21" t="n">
        <v>33050</v>
      </c>
      <c r="AB16" s="21" t="n">
        <v>22048</v>
      </c>
      <c r="AC16" s="21" t="n">
        <v>51584</v>
      </c>
      <c r="AD16" s="22" t="n">
        <v>15.4</v>
      </c>
      <c r="AE16" s="22" t="n">
        <v>10.2</v>
      </c>
      <c r="AF16" s="22" t="n">
        <v>23.9</v>
      </c>
      <c r="AG16" s="21" t="n">
        <v>31310</v>
      </c>
      <c r="AH16" s="21" t="n">
        <v>20792</v>
      </c>
      <c r="AI16" s="21" t="n">
        <v>48718</v>
      </c>
      <c r="AJ16" s="22" t="n">
        <v>15</v>
      </c>
      <c r="AK16" s="22" t="n">
        <v>10</v>
      </c>
      <c r="AL16" s="22" t="n">
        <v>23.4</v>
      </c>
      <c r="AM16" s="21" t="n">
        <v>29093</v>
      </c>
      <c r="AN16" s="21" t="n">
        <v>19344</v>
      </c>
      <c r="AO16" s="21" t="n">
        <v>45265</v>
      </c>
      <c r="AP16" s="22" t="n">
        <v>16</v>
      </c>
      <c r="AQ16" s="22" t="n">
        <v>10.7</v>
      </c>
      <c r="AR16" s="22" t="n">
        <v>24.9</v>
      </c>
      <c r="AS16" s="21" t="n">
        <v>33280</v>
      </c>
      <c r="AT16" s="21" t="n">
        <v>22256</v>
      </c>
      <c r="AU16" s="21" t="n">
        <v>51792</v>
      </c>
      <c r="AV16" s="21" t="n">
        <v>26653106</v>
      </c>
      <c r="AW16" s="21" t="n">
        <v>994014</v>
      </c>
      <c r="AX16" s="21" t="n">
        <v>4352575</v>
      </c>
      <c r="AY16" s="21" t="n">
        <v>21306517</v>
      </c>
      <c r="AZ16" s="21" t="n">
        <v>13779391</v>
      </c>
      <c r="BA16" s="21" t="n">
        <v>494668</v>
      </c>
      <c r="BB16" s="21" t="n">
        <v>2200740</v>
      </c>
      <c r="BC16" s="21" t="n">
        <v>11083983</v>
      </c>
      <c r="BD16" s="23" t="n">
        <v>71008551</v>
      </c>
      <c r="BE16" s="23" t="n">
        <v>2241000</v>
      </c>
      <c r="BF16" s="23" t="n">
        <v>0</v>
      </c>
      <c r="BG16" s="23" t="n">
        <v>68767551</v>
      </c>
      <c r="BH16" s="23" t="n">
        <v>50340657</v>
      </c>
      <c r="BI16" s="23" t="n">
        <v>1699425</v>
      </c>
      <c r="BJ16" s="23" t="n">
        <v>322752</v>
      </c>
      <c r="BK16" s="23" t="n">
        <v>48318480</v>
      </c>
      <c r="BL16" s="23" t="n">
        <v>20242875</v>
      </c>
      <c r="BM16" s="23" t="n">
        <v>627480</v>
      </c>
      <c r="BN16" s="23" t="n">
        <v>201720</v>
      </c>
      <c r="BO16" s="23" t="n">
        <v>19413675</v>
      </c>
    </row>
    <row r="17" customFormat="false" ht="12.8" hidden="false" customHeight="false" outlineLevel="0" collapsed="false">
      <c r="A17" s="11" t="n">
        <v>14</v>
      </c>
      <c r="B17" s="11" t="s">
        <v>118</v>
      </c>
      <c r="C17" s="11" t="s">
        <v>112</v>
      </c>
      <c r="D17" s="19" t="n">
        <v>46620</v>
      </c>
      <c r="E17" s="19" t="n">
        <v>1865</v>
      </c>
      <c r="F17" s="19" t="n">
        <v>1678</v>
      </c>
      <c r="G17" s="19" t="n">
        <v>43077</v>
      </c>
      <c r="H17" s="14" t="n">
        <v>0.955</v>
      </c>
      <c r="I17" s="14" t="n">
        <v>0.95</v>
      </c>
      <c r="J17" s="14" t="n">
        <v>0.93</v>
      </c>
      <c r="K17" s="14" t="n">
        <v>0.956</v>
      </c>
      <c r="L17" s="14" t="n">
        <v>0.533</v>
      </c>
      <c r="M17" s="14" t="n">
        <v>0.593</v>
      </c>
      <c r="N17" s="14" t="n">
        <v>0.657</v>
      </c>
      <c r="O17" s="14" t="n">
        <v>0.526</v>
      </c>
      <c r="P17" s="14" t="n">
        <v>0.045</v>
      </c>
      <c r="Q17" s="14" t="n">
        <v>0.053</v>
      </c>
      <c r="R17" s="14" t="n">
        <v>0.066</v>
      </c>
      <c r="S17" s="14" t="n">
        <v>0.044</v>
      </c>
      <c r="T17" s="14" t="n">
        <v>0.085</v>
      </c>
      <c r="U17" s="14" t="n">
        <v>0.1</v>
      </c>
      <c r="V17" s="14" t="n">
        <v>0.125</v>
      </c>
      <c r="W17" s="14" t="n">
        <v>0.083</v>
      </c>
      <c r="X17" s="20" t="n">
        <v>13.5</v>
      </c>
      <c r="Y17" s="20" t="n">
        <v>9</v>
      </c>
      <c r="Z17" s="20" t="n">
        <v>21.1</v>
      </c>
      <c r="AA17" s="21" t="n">
        <v>28093</v>
      </c>
      <c r="AB17" s="21" t="n">
        <v>18720</v>
      </c>
      <c r="AC17" s="21" t="n">
        <v>43888</v>
      </c>
      <c r="AD17" s="22" t="n">
        <v>13.1</v>
      </c>
      <c r="AE17" s="22" t="n">
        <v>8.7</v>
      </c>
      <c r="AF17" s="22" t="n">
        <v>20.3</v>
      </c>
      <c r="AG17" s="21" t="n">
        <v>26613</v>
      </c>
      <c r="AH17" s="21" t="n">
        <v>17734</v>
      </c>
      <c r="AI17" s="21" t="n">
        <v>41380</v>
      </c>
      <c r="AJ17" s="22" t="n">
        <v>12.8</v>
      </c>
      <c r="AK17" s="22" t="n">
        <v>8.5</v>
      </c>
      <c r="AL17" s="22" t="n">
        <v>19.9</v>
      </c>
      <c r="AM17" s="21" t="n">
        <v>24729</v>
      </c>
      <c r="AN17" s="21" t="n">
        <v>16442</v>
      </c>
      <c r="AO17" s="21" t="n">
        <v>38495</v>
      </c>
      <c r="AP17" s="22" t="n">
        <v>13.6</v>
      </c>
      <c r="AQ17" s="22" t="n">
        <v>9.1</v>
      </c>
      <c r="AR17" s="22" t="n">
        <v>21.2</v>
      </c>
      <c r="AS17" s="21" t="n">
        <v>28288</v>
      </c>
      <c r="AT17" s="21" t="n">
        <v>18928</v>
      </c>
      <c r="AU17" s="21" t="n">
        <v>44096</v>
      </c>
      <c r="AV17" s="21" t="n">
        <v>11310153</v>
      </c>
      <c r="AW17" s="21" t="n">
        <v>421883</v>
      </c>
      <c r="AX17" s="21" t="n">
        <v>1846539</v>
      </c>
      <c r="AY17" s="21" t="n">
        <v>9041731</v>
      </c>
      <c r="AZ17" s="21" t="n">
        <v>5847242</v>
      </c>
      <c r="BA17" s="21" t="n">
        <v>209949</v>
      </c>
      <c r="BB17" s="21" t="n">
        <v>933643</v>
      </c>
      <c r="BC17" s="21" t="n">
        <v>4703650</v>
      </c>
      <c r="BD17" s="23" t="n">
        <v>35451369</v>
      </c>
      <c r="BE17" s="23" t="n">
        <v>1119000</v>
      </c>
      <c r="BF17" s="23" t="n">
        <v>0</v>
      </c>
      <c r="BG17" s="23" t="n">
        <v>34332369</v>
      </c>
      <c r="BH17" s="23" t="n">
        <v>25132783</v>
      </c>
      <c r="BI17" s="23" t="n">
        <v>848575</v>
      </c>
      <c r="BJ17" s="23" t="n">
        <v>161088</v>
      </c>
      <c r="BK17" s="23" t="n">
        <v>24123120</v>
      </c>
      <c r="BL17" s="23" t="n">
        <v>10106325</v>
      </c>
      <c r="BM17" s="23" t="n">
        <v>313320</v>
      </c>
      <c r="BN17" s="23" t="n">
        <v>100680</v>
      </c>
      <c r="BO17" s="23" t="n">
        <v>9692325</v>
      </c>
    </row>
    <row r="18" customFormat="false" ht="12.8" hidden="false" customHeight="false" outlineLevel="0" collapsed="false">
      <c r="A18" s="11" t="n">
        <v>15</v>
      </c>
      <c r="B18" s="11" t="s">
        <v>119</v>
      </c>
      <c r="C18" s="11" t="s">
        <v>111</v>
      </c>
      <c r="D18" s="19" t="n">
        <v>9780</v>
      </c>
      <c r="E18" s="19" t="n">
        <v>391</v>
      </c>
      <c r="F18" s="19" t="n">
        <v>352</v>
      </c>
      <c r="G18" s="19" t="n">
        <v>9037</v>
      </c>
      <c r="H18" s="14" t="n">
        <v>0.942</v>
      </c>
      <c r="I18" s="14" t="n">
        <v>0.93</v>
      </c>
      <c r="J18" s="14" t="n">
        <v>0.91</v>
      </c>
      <c r="K18" s="14" t="n">
        <v>0.943</v>
      </c>
      <c r="L18" s="14" t="n">
        <v>0.674</v>
      </c>
      <c r="M18" s="14" t="n">
        <v>0.751</v>
      </c>
      <c r="N18" s="14" t="n">
        <v>0.832</v>
      </c>
      <c r="O18" s="14" t="n">
        <v>0.666</v>
      </c>
      <c r="P18" s="14" t="n">
        <v>0.058</v>
      </c>
      <c r="Q18" s="14" t="n">
        <v>0.068</v>
      </c>
      <c r="R18" s="14" t="n">
        <v>0.085</v>
      </c>
      <c r="S18" s="14" t="n">
        <v>0.057</v>
      </c>
      <c r="T18" s="14" t="n">
        <v>0.109</v>
      </c>
      <c r="U18" s="14" t="n">
        <v>0.128</v>
      </c>
      <c r="V18" s="14" t="n">
        <v>0.16</v>
      </c>
      <c r="W18" s="14" t="n">
        <v>0.107</v>
      </c>
      <c r="X18" s="20" t="n">
        <v>16.9</v>
      </c>
      <c r="Y18" s="20" t="n">
        <v>11.3</v>
      </c>
      <c r="Z18" s="20" t="n">
        <v>26.3</v>
      </c>
      <c r="AA18" s="21" t="n">
        <v>35045</v>
      </c>
      <c r="AB18" s="21" t="n">
        <v>23504</v>
      </c>
      <c r="AC18" s="21" t="n">
        <v>54704</v>
      </c>
      <c r="AD18" s="22" t="n">
        <v>16.3</v>
      </c>
      <c r="AE18" s="22" t="n">
        <v>10.9</v>
      </c>
      <c r="AF18" s="22" t="n">
        <v>25.4</v>
      </c>
      <c r="AG18" s="21" t="n">
        <v>33267</v>
      </c>
      <c r="AH18" s="21" t="n">
        <v>22219</v>
      </c>
      <c r="AI18" s="21" t="n">
        <v>51775</v>
      </c>
      <c r="AJ18" s="22" t="n">
        <v>15</v>
      </c>
      <c r="AK18" s="22" t="n">
        <v>10</v>
      </c>
      <c r="AL18" s="22" t="n">
        <v>23.3</v>
      </c>
      <c r="AM18" s="21" t="n">
        <v>28939</v>
      </c>
      <c r="AN18" s="21" t="n">
        <v>19344</v>
      </c>
      <c r="AO18" s="21" t="n">
        <v>45072</v>
      </c>
      <c r="AP18" s="22" t="n">
        <v>17</v>
      </c>
      <c r="AQ18" s="22" t="n">
        <v>11.3</v>
      </c>
      <c r="AR18" s="22" t="n">
        <v>26.5</v>
      </c>
      <c r="AS18" s="21" t="n">
        <v>35360</v>
      </c>
      <c r="AT18" s="21" t="n">
        <v>23504</v>
      </c>
      <c r="AU18" s="21" t="n">
        <v>55120</v>
      </c>
      <c r="AV18" s="21" t="n">
        <v>2934912</v>
      </c>
      <c r="AW18" s="21" t="n">
        <v>110563</v>
      </c>
      <c r="AX18" s="21" t="n">
        <v>453300</v>
      </c>
      <c r="AY18" s="21" t="n">
        <v>2371049</v>
      </c>
      <c r="AZ18" s="21" t="n">
        <v>1517675</v>
      </c>
      <c r="BA18" s="21" t="n">
        <v>55021</v>
      </c>
      <c r="BB18" s="21" t="n">
        <v>229197</v>
      </c>
      <c r="BC18" s="21" t="n">
        <v>1233457</v>
      </c>
      <c r="BD18" s="23" t="n">
        <v>7437089</v>
      </c>
      <c r="BE18" s="23" t="n">
        <v>234600</v>
      </c>
      <c r="BF18" s="23" t="n">
        <v>0</v>
      </c>
      <c r="BG18" s="23" t="n">
        <v>7202489</v>
      </c>
      <c r="BH18" s="23" t="n">
        <v>5272417</v>
      </c>
      <c r="BI18" s="23" t="n">
        <v>177905</v>
      </c>
      <c r="BJ18" s="23" t="n">
        <v>33792</v>
      </c>
      <c r="BK18" s="23" t="n">
        <v>5060720</v>
      </c>
      <c r="BL18" s="23" t="n">
        <v>2120133</v>
      </c>
      <c r="BM18" s="23" t="n">
        <v>65688</v>
      </c>
      <c r="BN18" s="23" t="n">
        <v>21120</v>
      </c>
      <c r="BO18" s="23" t="n">
        <v>2033325</v>
      </c>
    </row>
    <row r="19" customFormat="false" ht="12.8" hidden="false" customHeight="false" outlineLevel="0" collapsed="false">
      <c r="A19" s="11" t="n">
        <v>16</v>
      </c>
      <c r="B19" s="11" t="s">
        <v>119</v>
      </c>
      <c r="C19" s="11" t="s">
        <v>112</v>
      </c>
      <c r="D19" s="19" t="n">
        <v>5220</v>
      </c>
      <c r="E19" s="19" t="n">
        <v>209</v>
      </c>
      <c r="F19" s="19" t="n">
        <v>188</v>
      </c>
      <c r="G19" s="19" t="n">
        <v>4823</v>
      </c>
      <c r="H19" s="14" t="n">
        <v>0.942</v>
      </c>
      <c r="I19" s="14" t="n">
        <v>0.93</v>
      </c>
      <c r="J19" s="14" t="n">
        <v>0.91</v>
      </c>
      <c r="K19" s="14" t="n">
        <v>0.943</v>
      </c>
      <c r="L19" s="14" t="n">
        <v>0.61</v>
      </c>
      <c r="M19" s="14" t="n">
        <v>0.679</v>
      </c>
      <c r="N19" s="14" t="n">
        <v>0.752</v>
      </c>
      <c r="O19" s="14" t="n">
        <v>0.603</v>
      </c>
      <c r="P19" s="14" t="n">
        <v>0.058</v>
      </c>
      <c r="Q19" s="14" t="n">
        <v>0.068</v>
      </c>
      <c r="R19" s="14" t="n">
        <v>0.085</v>
      </c>
      <c r="S19" s="14" t="n">
        <v>0.057</v>
      </c>
      <c r="T19" s="14" t="n">
        <v>0.109</v>
      </c>
      <c r="U19" s="14" t="n">
        <v>0.128</v>
      </c>
      <c r="V19" s="14" t="n">
        <v>0.16</v>
      </c>
      <c r="W19" s="14" t="n">
        <v>0.107</v>
      </c>
      <c r="X19" s="20" t="n">
        <v>13.5</v>
      </c>
      <c r="Y19" s="20" t="n">
        <v>9</v>
      </c>
      <c r="Z19" s="20" t="n">
        <v>21</v>
      </c>
      <c r="AA19" s="21" t="n">
        <v>28036</v>
      </c>
      <c r="AB19" s="21" t="n">
        <v>18720</v>
      </c>
      <c r="AC19" s="21" t="n">
        <v>43680</v>
      </c>
      <c r="AD19" s="22" t="n">
        <v>13.1</v>
      </c>
      <c r="AE19" s="22" t="n">
        <v>8.7</v>
      </c>
      <c r="AF19" s="22" t="n">
        <v>20.3</v>
      </c>
      <c r="AG19" s="21" t="n">
        <v>26613</v>
      </c>
      <c r="AH19" s="21" t="n">
        <v>17734</v>
      </c>
      <c r="AI19" s="21" t="n">
        <v>41380</v>
      </c>
      <c r="AJ19" s="22" t="n">
        <v>12</v>
      </c>
      <c r="AK19" s="22" t="n">
        <v>8</v>
      </c>
      <c r="AL19" s="22" t="n">
        <v>18.6</v>
      </c>
      <c r="AM19" s="21" t="n">
        <v>23151</v>
      </c>
      <c r="AN19" s="21" t="n">
        <v>15475</v>
      </c>
      <c r="AO19" s="21" t="n">
        <v>35980</v>
      </c>
      <c r="AP19" s="22" t="n">
        <v>13.6</v>
      </c>
      <c r="AQ19" s="22" t="n">
        <v>9.1</v>
      </c>
      <c r="AR19" s="22" t="n">
        <v>21.2</v>
      </c>
      <c r="AS19" s="21" t="n">
        <v>28288</v>
      </c>
      <c r="AT19" s="21" t="n">
        <v>18928</v>
      </c>
      <c r="AU19" s="21" t="n">
        <v>44096</v>
      </c>
      <c r="AV19" s="21" t="n">
        <v>1253292</v>
      </c>
      <c r="AW19" s="21" t="n">
        <v>47278</v>
      </c>
      <c r="AX19" s="21" t="n">
        <v>193681</v>
      </c>
      <c r="AY19" s="21" t="n">
        <v>1012333</v>
      </c>
      <c r="AZ19" s="21" t="n">
        <v>648088</v>
      </c>
      <c r="BA19" s="21" t="n">
        <v>23528</v>
      </c>
      <c r="BB19" s="21" t="n">
        <v>97929</v>
      </c>
      <c r="BC19" s="21" t="n">
        <v>526631</v>
      </c>
      <c r="BD19" s="23" t="n">
        <v>3969331</v>
      </c>
      <c r="BE19" s="23" t="n">
        <v>125400</v>
      </c>
      <c r="BF19" s="23" t="n">
        <v>0</v>
      </c>
      <c r="BG19" s="23" t="n">
        <v>3843931</v>
      </c>
      <c r="BH19" s="23" t="n">
        <v>2814023</v>
      </c>
      <c r="BI19" s="23" t="n">
        <v>95095</v>
      </c>
      <c r="BJ19" s="23" t="n">
        <v>18048</v>
      </c>
      <c r="BK19" s="23" t="n">
        <v>2700880</v>
      </c>
      <c r="BL19" s="23" t="n">
        <v>1131567</v>
      </c>
      <c r="BM19" s="23" t="n">
        <v>35112</v>
      </c>
      <c r="BN19" s="23" t="n">
        <v>11280</v>
      </c>
      <c r="BO19" s="23" t="n">
        <v>1085175</v>
      </c>
    </row>
    <row r="20" customFormat="false" ht="12.8" hidden="false" customHeight="false" outlineLevel="0" collapsed="false">
      <c r="A20" s="11" t="n">
        <v>17</v>
      </c>
      <c r="B20" s="11" t="s">
        <v>120</v>
      </c>
      <c r="C20" s="11" t="s">
        <v>111</v>
      </c>
      <c r="D20" s="19" t="n">
        <v>6670</v>
      </c>
      <c r="E20" s="19" t="n">
        <v>267</v>
      </c>
      <c r="F20" s="19" t="n">
        <v>240</v>
      </c>
      <c r="G20" s="19" t="n">
        <v>6163</v>
      </c>
      <c r="H20" s="14" t="n">
        <v>0.959</v>
      </c>
      <c r="I20" s="14" t="n">
        <v>0.95</v>
      </c>
      <c r="J20" s="14" t="n">
        <v>0.94</v>
      </c>
      <c r="K20" s="14" t="n">
        <v>0.96</v>
      </c>
      <c r="L20" s="14" t="n">
        <v>0.619</v>
      </c>
      <c r="M20" s="14" t="n">
        <v>0.689</v>
      </c>
      <c r="N20" s="14" t="n">
        <v>0.764</v>
      </c>
      <c r="O20" s="14" t="n">
        <v>0.612</v>
      </c>
      <c r="P20" s="14" t="n">
        <v>0.041</v>
      </c>
      <c r="Q20" s="14" t="n">
        <v>0.048</v>
      </c>
      <c r="R20" s="14" t="n">
        <v>0.06</v>
      </c>
      <c r="S20" s="14" t="n">
        <v>0.04</v>
      </c>
      <c r="T20" s="14" t="n">
        <v>0.077</v>
      </c>
      <c r="U20" s="14" t="n">
        <v>0.09</v>
      </c>
      <c r="V20" s="14" t="n">
        <v>0.113</v>
      </c>
      <c r="W20" s="14" t="n">
        <v>0.075</v>
      </c>
      <c r="X20" s="20" t="n">
        <v>22.9</v>
      </c>
      <c r="Y20" s="20" t="n">
        <v>15.3</v>
      </c>
      <c r="Z20" s="20" t="n">
        <v>35.6</v>
      </c>
      <c r="AA20" s="21" t="n">
        <v>47494</v>
      </c>
      <c r="AB20" s="21" t="n">
        <v>31824</v>
      </c>
      <c r="AC20" s="21" t="n">
        <v>74048</v>
      </c>
      <c r="AD20" s="22" t="n">
        <v>22.1</v>
      </c>
      <c r="AE20" s="22" t="n">
        <v>14.7</v>
      </c>
      <c r="AF20" s="22" t="n">
        <v>34.4</v>
      </c>
      <c r="AG20" s="21" t="n">
        <v>45008</v>
      </c>
      <c r="AH20" s="21" t="n">
        <v>29964</v>
      </c>
      <c r="AI20" s="21" t="n">
        <v>70121</v>
      </c>
      <c r="AJ20" s="22" t="n">
        <v>21.4</v>
      </c>
      <c r="AK20" s="22" t="n">
        <v>14.3</v>
      </c>
      <c r="AL20" s="22" t="n">
        <v>33.3</v>
      </c>
      <c r="AM20" s="21" t="n">
        <v>41377</v>
      </c>
      <c r="AN20" s="21" t="n">
        <v>27662</v>
      </c>
      <c r="AO20" s="21" t="n">
        <v>64416</v>
      </c>
      <c r="AP20" s="22" t="n">
        <v>23</v>
      </c>
      <c r="AQ20" s="22" t="n">
        <v>15.3</v>
      </c>
      <c r="AR20" s="22" t="n">
        <v>35.8</v>
      </c>
      <c r="AS20" s="21" t="n">
        <v>47840</v>
      </c>
      <c r="AT20" s="21" t="n">
        <v>31824</v>
      </c>
      <c r="AU20" s="21" t="n">
        <v>74464</v>
      </c>
      <c r="AV20" s="21" t="n">
        <v>2731749</v>
      </c>
      <c r="AW20" s="21" t="n">
        <v>102146</v>
      </c>
      <c r="AX20" s="21" t="n">
        <v>441906</v>
      </c>
      <c r="AY20" s="21" t="n">
        <v>2187697</v>
      </c>
      <c r="AZ20" s="21" t="n">
        <v>1412342</v>
      </c>
      <c r="BA20" s="21" t="n">
        <v>50832</v>
      </c>
      <c r="BB20" s="21" t="n">
        <v>223436</v>
      </c>
      <c r="BC20" s="21" t="n">
        <v>1141457</v>
      </c>
      <c r="BD20" s="23" t="n">
        <v>5072111</v>
      </c>
      <c r="BE20" s="23" t="n">
        <v>160200</v>
      </c>
      <c r="BF20" s="23" t="n">
        <v>0</v>
      </c>
      <c r="BG20" s="23" t="n">
        <v>4911911</v>
      </c>
      <c r="BH20" s="23" t="n">
        <v>3595805</v>
      </c>
      <c r="BI20" s="23" t="n">
        <v>121485</v>
      </c>
      <c r="BJ20" s="23" t="n">
        <v>23040</v>
      </c>
      <c r="BK20" s="23" t="n">
        <v>3451280</v>
      </c>
      <c r="BL20" s="23" t="n">
        <v>1445931</v>
      </c>
      <c r="BM20" s="23" t="n">
        <v>44856</v>
      </c>
      <c r="BN20" s="23" t="n">
        <v>14400</v>
      </c>
      <c r="BO20" s="23" t="n">
        <v>1386675</v>
      </c>
    </row>
    <row r="21" customFormat="false" ht="12.8" hidden="false" customHeight="false" outlineLevel="0" collapsed="false">
      <c r="A21" s="11" t="n">
        <v>18</v>
      </c>
      <c r="B21" s="11" t="s">
        <v>120</v>
      </c>
      <c r="C21" s="11" t="s">
        <v>112</v>
      </c>
      <c r="D21" s="19" t="n">
        <v>3330</v>
      </c>
      <c r="E21" s="19" t="n">
        <v>133</v>
      </c>
      <c r="F21" s="19" t="n">
        <v>120</v>
      </c>
      <c r="G21" s="19" t="n">
        <v>3077</v>
      </c>
      <c r="H21" s="14" t="n">
        <v>0.959</v>
      </c>
      <c r="I21" s="14" t="n">
        <v>0.95</v>
      </c>
      <c r="J21" s="14" t="n">
        <v>0.94</v>
      </c>
      <c r="K21" s="14" t="n">
        <v>0.96</v>
      </c>
      <c r="L21" s="14" t="n">
        <v>0.56</v>
      </c>
      <c r="M21" s="14" t="n">
        <v>0.624</v>
      </c>
      <c r="N21" s="14" t="n">
        <v>0.691</v>
      </c>
      <c r="O21" s="14" t="n">
        <v>0.554</v>
      </c>
      <c r="P21" s="14" t="n">
        <v>0.041</v>
      </c>
      <c r="Q21" s="14" t="n">
        <v>0.048</v>
      </c>
      <c r="R21" s="14" t="n">
        <v>0.06</v>
      </c>
      <c r="S21" s="14" t="n">
        <v>0.04</v>
      </c>
      <c r="T21" s="14" t="n">
        <v>0.077</v>
      </c>
      <c r="U21" s="14" t="n">
        <v>0.09</v>
      </c>
      <c r="V21" s="14" t="n">
        <v>0.113</v>
      </c>
      <c r="W21" s="14" t="n">
        <v>0.075</v>
      </c>
      <c r="X21" s="20" t="n">
        <v>20.2</v>
      </c>
      <c r="Y21" s="20" t="n">
        <v>13.4</v>
      </c>
      <c r="Z21" s="20" t="n">
        <v>31.4</v>
      </c>
      <c r="AA21" s="21" t="n">
        <v>41795</v>
      </c>
      <c r="AB21" s="21" t="n">
        <v>27872</v>
      </c>
      <c r="AC21" s="21" t="n">
        <v>65312</v>
      </c>
      <c r="AD21" s="22" t="n">
        <v>19.4</v>
      </c>
      <c r="AE21" s="22" t="n">
        <v>13</v>
      </c>
      <c r="AF21" s="22" t="n">
        <v>30.2</v>
      </c>
      <c r="AG21" s="21" t="n">
        <v>39607</v>
      </c>
      <c r="AH21" s="21" t="n">
        <v>26499</v>
      </c>
      <c r="AI21" s="21" t="n">
        <v>61560</v>
      </c>
      <c r="AJ21" s="22" t="n">
        <v>18.8</v>
      </c>
      <c r="AK21" s="22" t="n">
        <v>12.6</v>
      </c>
      <c r="AL21" s="22" t="n">
        <v>28.3</v>
      </c>
      <c r="AM21" s="21" t="n">
        <v>36412</v>
      </c>
      <c r="AN21" s="21" t="n">
        <v>24373</v>
      </c>
      <c r="AO21" s="21" t="n">
        <v>56678</v>
      </c>
      <c r="AP21" s="22" t="n">
        <v>20.2</v>
      </c>
      <c r="AQ21" s="22" t="n">
        <v>13.5</v>
      </c>
      <c r="AR21" s="22" t="n">
        <v>31.5</v>
      </c>
      <c r="AS21" s="21" t="n">
        <v>42099</v>
      </c>
      <c r="AT21" s="21" t="n">
        <v>28080</v>
      </c>
      <c r="AU21" s="21" t="n">
        <v>65520</v>
      </c>
      <c r="AV21" s="21" t="n">
        <v>1200393</v>
      </c>
      <c r="AW21" s="21" t="n">
        <v>44776</v>
      </c>
      <c r="AX21" s="21" t="n">
        <v>194440</v>
      </c>
      <c r="AY21" s="21" t="n">
        <v>961177</v>
      </c>
      <c r="AZ21" s="21" t="n">
        <v>620614</v>
      </c>
      <c r="BA21" s="21" t="n">
        <v>22283</v>
      </c>
      <c r="BB21" s="21" t="n">
        <v>98312</v>
      </c>
      <c r="BC21" s="21" t="n">
        <v>500019</v>
      </c>
      <c r="BD21" s="23" t="n">
        <v>2532169</v>
      </c>
      <c r="BE21" s="23" t="n">
        <v>79800</v>
      </c>
      <c r="BF21" s="23" t="n">
        <v>0</v>
      </c>
      <c r="BG21" s="23" t="n">
        <v>2452369</v>
      </c>
      <c r="BH21" s="23" t="n">
        <v>1795155</v>
      </c>
      <c r="BI21" s="23" t="n">
        <v>60515</v>
      </c>
      <c r="BJ21" s="23" t="n">
        <v>11520</v>
      </c>
      <c r="BK21" s="23" t="n">
        <v>1723120</v>
      </c>
      <c r="BL21" s="23" t="n">
        <v>721869</v>
      </c>
      <c r="BM21" s="23" t="n">
        <v>22344</v>
      </c>
      <c r="BN21" s="23" t="n">
        <v>7200</v>
      </c>
      <c r="BO21" s="23" t="n">
        <v>692325</v>
      </c>
    </row>
    <row r="22" customFormat="false" ht="12.8" hidden="false" customHeight="false" outlineLevel="0" collapsed="false">
      <c r="A22" s="11" t="n">
        <v>19</v>
      </c>
      <c r="B22" s="11" t="s">
        <v>121</v>
      </c>
      <c r="C22" s="11" t="s">
        <v>111</v>
      </c>
      <c r="D22" s="19" t="n">
        <v>39585</v>
      </c>
      <c r="E22" s="19" t="n">
        <v>1583</v>
      </c>
      <c r="F22" s="19" t="n">
        <v>1425</v>
      </c>
      <c r="G22" s="19" t="n">
        <v>36577</v>
      </c>
      <c r="H22" s="14" t="n">
        <v>0.957</v>
      </c>
      <c r="I22" s="14" t="n">
        <v>0.95</v>
      </c>
      <c r="J22" s="14" t="n">
        <v>0.94</v>
      </c>
      <c r="K22" s="14" t="n">
        <v>0.958</v>
      </c>
      <c r="L22" s="14" t="n">
        <v>0.601</v>
      </c>
      <c r="M22" s="14" t="n">
        <v>0.669</v>
      </c>
      <c r="N22" s="14" t="n">
        <v>0.741</v>
      </c>
      <c r="O22" s="14" t="n">
        <v>0.594</v>
      </c>
      <c r="P22" s="14" t="n">
        <v>0.043</v>
      </c>
      <c r="Q22" s="14" t="n">
        <v>0.05</v>
      </c>
      <c r="R22" s="14" t="n">
        <v>0.063</v>
      </c>
      <c r="S22" s="14" t="n">
        <v>0.042</v>
      </c>
      <c r="T22" s="14" t="n">
        <v>0.081</v>
      </c>
      <c r="U22" s="14" t="n">
        <v>0.095</v>
      </c>
      <c r="V22" s="14" t="n">
        <v>0.118</v>
      </c>
      <c r="W22" s="14" t="n">
        <v>0.079</v>
      </c>
      <c r="X22" s="20" t="n">
        <v>12.9</v>
      </c>
      <c r="Y22" s="20" t="n">
        <v>8.6</v>
      </c>
      <c r="Z22" s="20" t="n">
        <v>20.1</v>
      </c>
      <c r="AA22" s="21" t="n">
        <v>26826</v>
      </c>
      <c r="AB22" s="21" t="n">
        <v>17888</v>
      </c>
      <c r="AC22" s="21" t="n">
        <v>41808</v>
      </c>
      <c r="AD22" s="22" t="n">
        <v>12.5</v>
      </c>
      <c r="AE22" s="22" t="n">
        <v>8.3</v>
      </c>
      <c r="AF22" s="22" t="n">
        <v>19.4</v>
      </c>
      <c r="AG22" s="21" t="n">
        <v>25439</v>
      </c>
      <c r="AH22" s="21" t="n">
        <v>16919</v>
      </c>
      <c r="AI22" s="21" t="n">
        <v>39545</v>
      </c>
      <c r="AJ22" s="22" t="n">
        <v>11.8</v>
      </c>
      <c r="AK22" s="22" t="n">
        <v>7.9</v>
      </c>
      <c r="AL22" s="22" t="n">
        <v>18.4</v>
      </c>
      <c r="AM22" s="21" t="n">
        <v>22884</v>
      </c>
      <c r="AN22" s="21" t="n">
        <v>15282</v>
      </c>
      <c r="AO22" s="21" t="n">
        <v>35593</v>
      </c>
      <c r="AP22" s="22" t="n">
        <v>13</v>
      </c>
      <c r="AQ22" s="22" t="n">
        <v>8.7</v>
      </c>
      <c r="AR22" s="22" t="n">
        <v>20.2</v>
      </c>
      <c r="AS22" s="21" t="n">
        <v>27040</v>
      </c>
      <c r="AT22" s="21" t="n">
        <v>18096</v>
      </c>
      <c r="AU22" s="21" t="n">
        <v>42016</v>
      </c>
      <c r="AV22" s="21" t="n">
        <v>9132118</v>
      </c>
      <c r="AW22" s="21" t="n">
        <v>342294</v>
      </c>
      <c r="AX22" s="21" t="n">
        <v>1451132</v>
      </c>
      <c r="AY22" s="21" t="n">
        <v>7338692</v>
      </c>
      <c r="AZ22" s="21" t="n">
        <v>4721762</v>
      </c>
      <c r="BA22" s="21" t="n">
        <v>170342</v>
      </c>
      <c r="BB22" s="21" t="n">
        <v>733718</v>
      </c>
      <c r="BC22" s="21" t="n">
        <v>3817702</v>
      </c>
      <c r="BD22" s="23" t="n">
        <v>30101669</v>
      </c>
      <c r="BE22" s="23" t="n">
        <v>949800</v>
      </c>
      <c r="BF22" s="23" t="n">
        <v>0</v>
      </c>
      <c r="BG22" s="23" t="n">
        <v>29151869</v>
      </c>
      <c r="BH22" s="23" t="n">
        <v>21340185</v>
      </c>
      <c r="BI22" s="23" t="n">
        <v>720265</v>
      </c>
      <c r="BJ22" s="23" t="n">
        <v>136800</v>
      </c>
      <c r="BK22" s="23" t="n">
        <v>20483120</v>
      </c>
      <c r="BL22" s="23" t="n">
        <v>8581269</v>
      </c>
      <c r="BM22" s="23" t="n">
        <v>265944</v>
      </c>
      <c r="BN22" s="23" t="n">
        <v>85500</v>
      </c>
      <c r="BO22" s="23" t="n">
        <v>8229825</v>
      </c>
    </row>
    <row r="23" customFormat="false" ht="12.8" hidden="false" customHeight="false" outlineLevel="0" collapsed="false">
      <c r="A23" s="11" t="n">
        <v>20</v>
      </c>
      <c r="B23" s="11" t="s">
        <v>121</v>
      </c>
      <c r="C23" s="11" t="s">
        <v>112</v>
      </c>
      <c r="D23" s="19" t="n">
        <v>25415</v>
      </c>
      <c r="E23" s="19" t="n">
        <v>1017</v>
      </c>
      <c r="F23" s="19" t="n">
        <v>915</v>
      </c>
      <c r="G23" s="19" t="n">
        <v>23483</v>
      </c>
      <c r="H23" s="14" t="n">
        <v>0.957</v>
      </c>
      <c r="I23" s="14" t="n">
        <v>0.95</v>
      </c>
      <c r="J23" s="14" t="n">
        <v>0.94</v>
      </c>
      <c r="K23" s="14" t="n">
        <v>0.958</v>
      </c>
      <c r="L23" s="14" t="n">
        <v>0.544</v>
      </c>
      <c r="M23" s="14" t="n">
        <v>0.605</v>
      </c>
      <c r="N23" s="14" t="n">
        <v>0.67</v>
      </c>
      <c r="O23" s="14" t="n">
        <v>0.537</v>
      </c>
      <c r="P23" s="14" t="n">
        <v>0.043</v>
      </c>
      <c r="Q23" s="14" t="n">
        <v>0.05</v>
      </c>
      <c r="R23" s="14" t="n">
        <v>0.063</v>
      </c>
      <c r="S23" s="14" t="n">
        <v>0.042</v>
      </c>
      <c r="T23" s="14" t="n">
        <v>0.081</v>
      </c>
      <c r="U23" s="14" t="n">
        <v>0.095</v>
      </c>
      <c r="V23" s="14" t="n">
        <v>0.118</v>
      </c>
      <c r="W23" s="14" t="n">
        <v>0.079</v>
      </c>
      <c r="X23" s="20" t="n">
        <v>11.1</v>
      </c>
      <c r="Y23" s="20" t="n">
        <v>7.4</v>
      </c>
      <c r="Z23" s="20" t="n">
        <v>17.3</v>
      </c>
      <c r="AA23" s="21" t="n">
        <v>23070</v>
      </c>
      <c r="AB23" s="21" t="n">
        <v>15392</v>
      </c>
      <c r="AC23" s="21" t="n">
        <v>35984</v>
      </c>
      <c r="AD23" s="22" t="n">
        <v>10.7</v>
      </c>
      <c r="AE23" s="22" t="n">
        <v>7.2</v>
      </c>
      <c r="AF23" s="22" t="n">
        <v>16.7</v>
      </c>
      <c r="AG23" s="21" t="n">
        <v>21878</v>
      </c>
      <c r="AH23" s="21" t="n">
        <v>14676</v>
      </c>
      <c r="AI23" s="21" t="n">
        <v>34041</v>
      </c>
      <c r="AJ23" s="22" t="n">
        <v>10.2</v>
      </c>
      <c r="AK23" s="22" t="n">
        <v>6.8</v>
      </c>
      <c r="AL23" s="22" t="n">
        <v>15.8</v>
      </c>
      <c r="AM23" s="21" t="n">
        <v>19680</v>
      </c>
      <c r="AN23" s="21" t="n">
        <v>13154</v>
      </c>
      <c r="AO23" s="21" t="n">
        <v>30564</v>
      </c>
      <c r="AP23" s="22" t="n">
        <v>11.2</v>
      </c>
      <c r="AQ23" s="22" t="n">
        <v>7.5</v>
      </c>
      <c r="AR23" s="22" t="n">
        <v>17.4</v>
      </c>
      <c r="AS23" s="21" t="n">
        <v>23254</v>
      </c>
      <c r="AT23" s="21" t="n">
        <v>15600</v>
      </c>
      <c r="AU23" s="21" t="n">
        <v>36192</v>
      </c>
      <c r="AV23" s="21" t="n">
        <v>5042311</v>
      </c>
      <c r="AW23" s="21" t="n">
        <v>189124</v>
      </c>
      <c r="AX23" s="21" t="n">
        <v>801320</v>
      </c>
      <c r="AY23" s="21" t="n">
        <v>4051867</v>
      </c>
      <c r="AZ23" s="21" t="n">
        <v>2607123</v>
      </c>
      <c r="BA23" s="21" t="n">
        <v>94117</v>
      </c>
      <c r="BB23" s="21" t="n">
        <v>405162</v>
      </c>
      <c r="BC23" s="21" t="n">
        <v>2107844</v>
      </c>
      <c r="BD23" s="23" t="n">
        <v>19326151</v>
      </c>
      <c r="BE23" s="23" t="n">
        <v>610200</v>
      </c>
      <c r="BF23" s="23" t="n">
        <v>0</v>
      </c>
      <c r="BG23" s="23" t="n">
        <v>18715951</v>
      </c>
      <c r="BH23" s="23" t="n">
        <v>13701055</v>
      </c>
      <c r="BI23" s="23" t="n">
        <v>462735</v>
      </c>
      <c r="BJ23" s="23" t="n">
        <v>87840</v>
      </c>
      <c r="BK23" s="23" t="n">
        <v>13150480</v>
      </c>
      <c r="BL23" s="23" t="n">
        <v>5509431</v>
      </c>
      <c r="BM23" s="23" t="n">
        <v>170856</v>
      </c>
      <c r="BN23" s="23" t="n">
        <v>54900</v>
      </c>
      <c r="BO23" s="23" t="n">
        <v>5283675</v>
      </c>
    </row>
    <row r="24" customFormat="false" ht="12.8" hidden="false" customHeight="false" outlineLevel="0" collapsed="false">
      <c r="A24" s="11"/>
      <c r="B24" s="11"/>
      <c r="C24" s="11"/>
      <c r="D24" s="11"/>
      <c r="E24" s="11"/>
      <c r="F24" s="11"/>
      <c r="G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ustomFormat="false" ht="12.8" hidden="false" customHeight="false" outlineLevel="0" collapsed="false">
      <c r="A25" s="5" t="s">
        <v>147</v>
      </c>
      <c r="B25" s="24" t="s">
        <v>146</v>
      </c>
      <c r="C25" s="5" t="s">
        <v>123</v>
      </c>
    </row>
    <row r="26" customFormat="false" ht="23.85" hidden="false" customHeight="false" outlineLevel="0" collapsed="false">
      <c r="A26" s="5" t="s">
        <v>24</v>
      </c>
      <c r="B26" s="25" t="s">
        <v>124</v>
      </c>
      <c r="C26" s="25" t="str">
        <f aca="false">D2</f>
        <v>Total Population</v>
      </c>
      <c r="D26" s="25" t="str">
        <f aca="false">E2</f>
        <v>Authorized Population</v>
      </c>
      <c r="E26" s="25" t="str">
        <f aca="false">F2</f>
        <v>Unauthorized Population</v>
      </c>
      <c r="F26" s="25" t="str">
        <f aca="false">G2</f>
        <v>American Population</v>
      </c>
    </row>
    <row r="27" customFormat="false" ht="12.8" hidden="false" customHeight="false" outlineLevel="1" collapsed="false">
      <c r="A27" s="5" t="str">
        <f aca="false">_xlfn.CONCAT($A$25, ".", $A3)</f>
        <v>AR.0.0</v>
      </c>
      <c r="B27" s="5" t="str">
        <f aca="false">_xlfn.CONCAT(B3, ": ", C3)</f>
        <v>All Industries: All Roles</v>
      </c>
      <c r="C27" s="26" t="n">
        <f aca="false">D3</f>
        <v>1392900</v>
      </c>
      <c r="D27" s="26" t="n">
        <f aca="false">E3</f>
        <v>55716</v>
      </c>
      <c r="E27" s="26" t="n">
        <f aca="false">F3</f>
        <v>50144</v>
      </c>
      <c r="F27" s="26" t="n">
        <f aca="false">G3</f>
        <v>1287040</v>
      </c>
    </row>
    <row r="28" customFormat="false" ht="12.8" hidden="false" customHeight="false" outlineLevel="1" collapsed="false">
      <c r="A28" s="7" t="str">
        <f aca="false">_xlfn.CONCAT($A$25, ".", $A4)</f>
        <v>AR.0.1</v>
      </c>
      <c r="B28" s="7" t="str">
        <f aca="false">_xlfn.CONCAT(B4, ": ", C4)</f>
        <v>Agriculture: Worker</v>
      </c>
      <c r="C28" s="19" t="n">
        <f aca="false">D4</f>
        <v>6670</v>
      </c>
      <c r="D28" s="19" t="n">
        <f aca="false">E4</f>
        <v>267</v>
      </c>
      <c r="E28" s="19" t="n">
        <f aca="false">F4</f>
        <v>240</v>
      </c>
      <c r="F28" s="19" t="n">
        <f aca="false">G4</f>
        <v>6163</v>
      </c>
    </row>
    <row r="29" customFormat="false" ht="12.8" hidden="false" customHeight="false" outlineLevel="1" collapsed="false">
      <c r="A29" s="7" t="str">
        <f aca="false">_xlfn.CONCAT($A$25, ".", $A5)</f>
        <v>AR.0.2</v>
      </c>
      <c r="B29" s="7" t="str">
        <f aca="false">_xlfn.CONCAT(B5, ": ", C5)</f>
        <v>Agriculture: Support</v>
      </c>
      <c r="C29" s="19" t="n">
        <f aca="false">D5</f>
        <v>3330</v>
      </c>
      <c r="D29" s="19" t="n">
        <f aca="false">E5</f>
        <v>133</v>
      </c>
      <c r="E29" s="19" t="n">
        <f aca="false">F5</f>
        <v>120</v>
      </c>
      <c r="F29" s="19" t="n">
        <f aca="false">G5</f>
        <v>3077</v>
      </c>
    </row>
    <row r="30" customFormat="false" ht="12.8" hidden="false" customHeight="false" outlineLevel="1" collapsed="false">
      <c r="A30" s="7" t="str">
        <f aca="false">_xlfn.CONCAT($A$25, ".", $A6)</f>
        <v>AR.0.3</v>
      </c>
      <c r="B30" s="7" t="str">
        <f aca="false">_xlfn.CONCAT(B6, ": ", C6)</f>
        <v>Construction: Worker</v>
      </c>
      <c r="C30" s="19" t="n">
        <f aca="false">D6</f>
        <v>46345</v>
      </c>
      <c r="D30" s="19" t="n">
        <f aca="false">E6</f>
        <v>1854</v>
      </c>
      <c r="E30" s="19" t="n">
        <f aca="false">F6</f>
        <v>1668</v>
      </c>
      <c r="F30" s="19" t="n">
        <f aca="false">G6</f>
        <v>42823</v>
      </c>
    </row>
    <row r="31" customFormat="false" ht="12.8" hidden="false" customHeight="false" outlineLevel="1" collapsed="false">
      <c r="A31" s="7" t="str">
        <f aca="false">_xlfn.CONCAT($A$25, ".", $A7)</f>
        <v>AR.0.4</v>
      </c>
      <c r="B31" s="7" t="str">
        <f aca="false">_xlfn.CONCAT(B7, ": ", C7)</f>
        <v>Construction: Support</v>
      </c>
      <c r="C31" s="19" t="n">
        <f aca="false">D7</f>
        <v>18655</v>
      </c>
      <c r="D31" s="19" t="n">
        <f aca="false">E7</f>
        <v>746</v>
      </c>
      <c r="E31" s="19" t="n">
        <f aca="false">F7</f>
        <v>672</v>
      </c>
      <c r="F31" s="19" t="n">
        <f aca="false">G7</f>
        <v>17237</v>
      </c>
    </row>
    <row r="32" customFormat="false" ht="12.8" hidden="false" customHeight="false" outlineLevel="1" collapsed="false">
      <c r="A32" s="7" t="str">
        <f aca="false">_xlfn.CONCAT($A$25, ".", $A8)</f>
        <v>AR.0.5</v>
      </c>
      <c r="B32" s="7" t="str">
        <f aca="false">_xlfn.CONCAT(B8, ": ", C8)</f>
        <v>Hospitality: Worker</v>
      </c>
      <c r="C32" s="19" t="n">
        <f aca="false">D8</f>
        <v>88228</v>
      </c>
      <c r="D32" s="19" t="n">
        <f aca="false">E8</f>
        <v>3529</v>
      </c>
      <c r="E32" s="19" t="n">
        <f aca="false">F8</f>
        <v>3176</v>
      </c>
      <c r="F32" s="19" t="n">
        <f aca="false">G8</f>
        <v>81523</v>
      </c>
    </row>
    <row r="33" customFormat="false" ht="12.8" hidden="false" customHeight="false" outlineLevel="1" collapsed="false">
      <c r="A33" s="7" t="str">
        <f aca="false">_xlfn.CONCAT($A$25, ".", $A9)</f>
        <v>AR.0.6</v>
      </c>
      <c r="B33" s="7" t="str">
        <f aca="false">_xlfn.CONCAT(B9, ": ", C9)</f>
        <v>Hospitality: Support</v>
      </c>
      <c r="C33" s="19" t="n">
        <f aca="false">D9</f>
        <v>48772</v>
      </c>
      <c r="D33" s="19" t="n">
        <f aca="false">E9</f>
        <v>1951</v>
      </c>
      <c r="E33" s="19" t="n">
        <f aca="false">F9</f>
        <v>1756</v>
      </c>
      <c r="F33" s="19" t="n">
        <f aca="false">G9</f>
        <v>45065</v>
      </c>
    </row>
    <row r="34" customFormat="false" ht="12.8" hidden="false" customHeight="false" outlineLevel="1" collapsed="false">
      <c r="A34" s="7" t="str">
        <f aca="false">_xlfn.CONCAT($A$25, ".", $A10)</f>
        <v>AR.0.7</v>
      </c>
      <c r="B34" s="7" t="str">
        <f aca="false">_xlfn.CONCAT(B10, ": ", C10)</f>
        <v>Cleaning &amp; Maintenance: Worker</v>
      </c>
      <c r="C34" s="19" t="n">
        <f aca="false">D10</f>
        <v>18676</v>
      </c>
      <c r="D34" s="19" t="n">
        <f aca="false">E10</f>
        <v>747</v>
      </c>
      <c r="E34" s="19" t="n">
        <f aca="false">F10</f>
        <v>672</v>
      </c>
      <c r="F34" s="19" t="n">
        <f aca="false">G10</f>
        <v>17257</v>
      </c>
    </row>
    <row r="35" customFormat="false" ht="12.8" hidden="false" customHeight="false" outlineLevel="1" collapsed="false">
      <c r="A35" s="7" t="str">
        <f aca="false">_xlfn.CONCAT($A$25, ".", $A11)</f>
        <v>AR.0.8</v>
      </c>
      <c r="B35" s="7" t="str">
        <f aca="false">_xlfn.CONCAT(B11, ": ", C11)</f>
        <v>Cleaning &amp; Maintenance: Support</v>
      </c>
      <c r="C35" s="19" t="n">
        <f aca="false">D11</f>
        <v>9324</v>
      </c>
      <c r="D35" s="19" t="n">
        <f aca="false">E11</f>
        <v>373</v>
      </c>
      <c r="E35" s="19" t="n">
        <f aca="false">F11</f>
        <v>336</v>
      </c>
      <c r="F35" s="19" t="n">
        <f aca="false">G11</f>
        <v>8615</v>
      </c>
    </row>
    <row r="36" customFormat="false" ht="12.8" hidden="false" customHeight="false" outlineLevel="1" collapsed="false">
      <c r="A36" s="7" t="str">
        <f aca="false">_xlfn.CONCAT($A$25, ".", $A12)</f>
        <v>AR.0.9</v>
      </c>
      <c r="B36" s="7" t="str">
        <f aca="false">_xlfn.CONCAT(B12, ": ", C12)</f>
        <v>Manufacturing: Worker</v>
      </c>
      <c r="C36" s="19" t="n">
        <f aca="false">D12</f>
        <v>115005</v>
      </c>
      <c r="D36" s="19" t="n">
        <f aca="false">E12</f>
        <v>4600</v>
      </c>
      <c r="E36" s="19" t="n">
        <f aca="false">F12</f>
        <v>4140</v>
      </c>
      <c r="F36" s="19" t="n">
        <f aca="false">G12</f>
        <v>106265</v>
      </c>
    </row>
    <row r="37" customFormat="false" ht="12.8" hidden="false" customHeight="false" outlineLevel="1" collapsed="false">
      <c r="A37" s="7" t="str">
        <f aca="false">_xlfn.CONCAT($A$25, ".", $A13)</f>
        <v>AR.0.10</v>
      </c>
      <c r="B37" s="7" t="str">
        <f aca="false">_xlfn.CONCAT(B13, ": ", C13)</f>
        <v>Manufacturing: Support</v>
      </c>
      <c r="C37" s="19" t="n">
        <f aca="false">D13</f>
        <v>49995</v>
      </c>
      <c r="D37" s="19" t="n">
        <f aca="false">E13</f>
        <v>2000</v>
      </c>
      <c r="E37" s="19" t="n">
        <f aca="false">F13</f>
        <v>1800</v>
      </c>
      <c r="F37" s="19" t="n">
        <f aca="false">G13</f>
        <v>46195</v>
      </c>
    </row>
    <row r="38" customFormat="false" ht="12.8" hidden="false" customHeight="false" outlineLevel="1" collapsed="false">
      <c r="A38" s="7" t="str">
        <f aca="false">_xlfn.CONCAT($A$25, ".", $A14)</f>
        <v>AR.0.11</v>
      </c>
      <c r="B38" s="7" t="str">
        <f aca="false">_xlfn.CONCAT(B14, ": ", C14)</f>
        <v>Transportation &amp; Warehousing: Worker</v>
      </c>
      <c r="C38" s="19" t="n">
        <f aca="false">D14</f>
        <v>42850</v>
      </c>
      <c r="D38" s="19" t="n">
        <f aca="false">E14</f>
        <v>1714</v>
      </c>
      <c r="E38" s="19" t="n">
        <f aca="false">F14</f>
        <v>1543</v>
      </c>
      <c r="F38" s="19" t="n">
        <f aca="false">G14</f>
        <v>39593</v>
      </c>
    </row>
    <row r="39" customFormat="false" ht="12.8" hidden="false" customHeight="false" outlineLevel="1" collapsed="false">
      <c r="A39" s="7" t="str">
        <f aca="false">_xlfn.CONCAT($A$25, ".", $A15)</f>
        <v>AR.0.12</v>
      </c>
      <c r="B39" s="7" t="str">
        <f aca="false">_xlfn.CONCAT(B15, ": ", C15)</f>
        <v>Transportation &amp; Warehousing: Support</v>
      </c>
      <c r="C39" s="19" t="n">
        <f aca="false">D15</f>
        <v>7150</v>
      </c>
      <c r="D39" s="19" t="n">
        <f aca="false">E15</f>
        <v>286</v>
      </c>
      <c r="E39" s="19" t="n">
        <f aca="false">F15</f>
        <v>257</v>
      </c>
      <c r="F39" s="19" t="n">
        <f aca="false">G15</f>
        <v>6607</v>
      </c>
    </row>
    <row r="40" customFormat="false" ht="12.8" hidden="false" customHeight="false" outlineLevel="1" collapsed="false">
      <c r="A40" s="7" t="str">
        <f aca="false">_xlfn.CONCAT($A$25, ".", $A16)</f>
        <v>AR.0.13</v>
      </c>
      <c r="B40" s="7" t="str">
        <f aca="false">_xlfn.CONCAT(B16, ": ", C16)</f>
        <v>Retail Trade: Worker</v>
      </c>
      <c r="C40" s="19" t="n">
        <f aca="false">D16</f>
        <v>93380</v>
      </c>
      <c r="D40" s="19" t="n">
        <f aca="false">E16</f>
        <v>3735</v>
      </c>
      <c r="E40" s="19" t="n">
        <f aca="false">F16</f>
        <v>3362</v>
      </c>
      <c r="F40" s="19" t="n">
        <f aca="false">G16</f>
        <v>86283</v>
      </c>
    </row>
    <row r="41" customFormat="false" ht="12.8" hidden="false" customHeight="false" outlineLevel="1" collapsed="false">
      <c r="A41" s="7" t="str">
        <f aca="false">_xlfn.CONCAT($A$25, ".", $A17)</f>
        <v>AR.0.14</v>
      </c>
      <c r="B41" s="7" t="str">
        <f aca="false">_xlfn.CONCAT(B17, ": ", C17)</f>
        <v>Retail Trade: Support</v>
      </c>
      <c r="C41" s="19" t="n">
        <f aca="false">D17</f>
        <v>46620</v>
      </c>
      <c r="D41" s="19" t="n">
        <f aca="false">E17</f>
        <v>1865</v>
      </c>
      <c r="E41" s="19" t="n">
        <f aca="false">F17</f>
        <v>1678</v>
      </c>
      <c r="F41" s="19" t="n">
        <f aca="false">G17</f>
        <v>43077</v>
      </c>
    </row>
    <row r="42" customFormat="false" ht="12.8" hidden="false" customHeight="false" outlineLevel="1" collapsed="false">
      <c r="A42" s="7" t="str">
        <f aca="false">_xlfn.CONCAT($A$25, ".", $A18)</f>
        <v>AR.0.15</v>
      </c>
      <c r="B42" s="7" t="str">
        <f aca="false">_xlfn.CONCAT(B18, ": ", C18)</f>
        <v>Landscaping / Groundskeeping: Worker</v>
      </c>
      <c r="C42" s="19" t="n">
        <f aca="false">D18</f>
        <v>9780</v>
      </c>
      <c r="D42" s="19" t="n">
        <f aca="false">E18</f>
        <v>391</v>
      </c>
      <c r="E42" s="19" t="n">
        <f aca="false">F18</f>
        <v>352</v>
      </c>
      <c r="F42" s="19" t="n">
        <f aca="false">G18</f>
        <v>9037</v>
      </c>
    </row>
    <row r="43" customFormat="false" ht="12.8" hidden="false" customHeight="false" outlineLevel="1" collapsed="false">
      <c r="A43" s="7" t="str">
        <f aca="false">_xlfn.CONCAT($A$25, ".", $A19)</f>
        <v>AR.0.16</v>
      </c>
      <c r="B43" s="7" t="str">
        <f aca="false">_xlfn.CONCAT(B19, ": ", C19)</f>
        <v>Landscaping / Groundskeeping: Support</v>
      </c>
      <c r="C43" s="19" t="n">
        <f aca="false">D19</f>
        <v>5220</v>
      </c>
      <c r="D43" s="19" t="n">
        <f aca="false">E19</f>
        <v>209</v>
      </c>
      <c r="E43" s="19" t="n">
        <f aca="false">F19</f>
        <v>188</v>
      </c>
      <c r="F43" s="19" t="n">
        <f aca="false">G19</f>
        <v>4823</v>
      </c>
    </row>
    <row r="44" customFormat="false" ht="12.8" hidden="false" customHeight="false" outlineLevel="1" collapsed="false">
      <c r="A44" s="7" t="str">
        <f aca="false">_xlfn.CONCAT($A$25, ".", $A20)</f>
        <v>AR.0.17</v>
      </c>
      <c r="B44" s="7" t="str">
        <f aca="false">_xlfn.CONCAT(B20, ": ", C20)</f>
        <v>Automotive &amp; Repair: Worker</v>
      </c>
      <c r="C44" s="19" t="n">
        <f aca="false">D20</f>
        <v>6670</v>
      </c>
      <c r="D44" s="19" t="n">
        <f aca="false">E20</f>
        <v>267</v>
      </c>
      <c r="E44" s="19" t="n">
        <f aca="false">F20</f>
        <v>240</v>
      </c>
      <c r="F44" s="19" t="n">
        <f aca="false">G20</f>
        <v>6163</v>
      </c>
    </row>
    <row r="45" customFormat="false" ht="12.8" hidden="false" customHeight="false" outlineLevel="1" collapsed="false">
      <c r="A45" s="7" t="str">
        <f aca="false">_xlfn.CONCAT($A$25, ".", $A21)</f>
        <v>AR.0.18</v>
      </c>
      <c r="B45" s="7" t="str">
        <f aca="false">_xlfn.CONCAT(B21, ": ", C21)</f>
        <v>Automotive &amp; Repair: Support</v>
      </c>
      <c r="C45" s="19" t="n">
        <f aca="false">D21</f>
        <v>3330</v>
      </c>
      <c r="D45" s="19" t="n">
        <f aca="false">E21</f>
        <v>133</v>
      </c>
      <c r="E45" s="19" t="n">
        <f aca="false">F21</f>
        <v>120</v>
      </c>
      <c r="F45" s="19" t="n">
        <f aca="false">G21</f>
        <v>3077</v>
      </c>
    </row>
    <row r="46" customFormat="false" ht="12.8" hidden="false" customHeight="false" outlineLevel="1" collapsed="false">
      <c r="A46" s="7" t="str">
        <f aca="false">_xlfn.CONCAT($A$25, ".", $A22)</f>
        <v>AR.0.19</v>
      </c>
      <c r="B46" s="7" t="str">
        <f aca="false">_xlfn.CONCAT(B22, ": ", C22)</f>
        <v>Other Services: Worker</v>
      </c>
      <c r="C46" s="19" t="n">
        <f aca="false">D22</f>
        <v>39585</v>
      </c>
      <c r="D46" s="19" t="n">
        <f aca="false">E22</f>
        <v>1583</v>
      </c>
      <c r="E46" s="19" t="n">
        <f aca="false">F22</f>
        <v>1425</v>
      </c>
      <c r="F46" s="19" t="n">
        <f aca="false">G22</f>
        <v>36577</v>
      </c>
    </row>
    <row r="47" customFormat="false" ht="12.8" hidden="false" customHeight="false" outlineLevel="1" collapsed="false">
      <c r="A47" s="7" t="str">
        <f aca="false">_xlfn.CONCAT($A$25, ".", $A23)</f>
        <v>AR.0.20</v>
      </c>
      <c r="B47" s="7" t="str">
        <f aca="false">_xlfn.CONCAT(B23, ": ", C23)</f>
        <v>Other Services: Support</v>
      </c>
      <c r="C47" s="19" t="n">
        <f aca="false">D23</f>
        <v>25415</v>
      </c>
      <c r="D47" s="19" t="n">
        <f aca="false">E23</f>
        <v>1017</v>
      </c>
      <c r="E47" s="19" t="n">
        <f aca="false">F23</f>
        <v>915</v>
      </c>
      <c r="F47" s="19" t="n">
        <f aca="false">G23</f>
        <v>23483</v>
      </c>
    </row>
    <row r="141" customFormat="false" ht="12.8" hidden="false" customHeight="false" outlineLevel="0" collapsed="false">
      <c r="A141" s="5" t="s">
        <v>148</v>
      </c>
      <c r="B141" s="24" t="s">
        <v>146</v>
      </c>
      <c r="C141" s="27" t="s">
        <v>126</v>
      </c>
    </row>
    <row r="142" customFormat="false" ht="45.75" hidden="false" customHeight="false" outlineLevel="0" collapsed="false">
      <c r="A142" s="5" t="s">
        <v>24</v>
      </c>
      <c r="B142" s="25" t="s">
        <v>124</v>
      </c>
      <c r="C142" s="28" t="str">
        <f aca="false">H2</f>
        <v>Employment-to-Population Ratio</v>
      </c>
      <c r="D142" s="28" t="str">
        <f aca="false">I2</f>
        <v>Authorized Immigrant Employment-to-Population Ratio</v>
      </c>
      <c r="E142" s="28" t="str">
        <f aca="false">J2</f>
        <v>Unauthorized Immigrant Employment-to-Population Ratio</v>
      </c>
      <c r="F142" s="28" t="str">
        <f aca="false">K2</f>
        <v>American Employment-to-Population Ratio</v>
      </c>
    </row>
    <row r="143" customFormat="false" ht="12.8" hidden="false" customHeight="false" outlineLevel="0" collapsed="false">
      <c r="A143" s="1" t="str">
        <f aca="false">_xlfn.CONCAT($A$141, ".", A3)</f>
        <v>AR.1.0</v>
      </c>
      <c r="B143" s="5" t="str">
        <f aca="false">_xlfn.CONCAT(B3, ": ", C3)</f>
        <v>All Industries: All Roles</v>
      </c>
      <c r="C143" s="28" t="n">
        <f aca="false">H3</f>
        <v>0.958</v>
      </c>
      <c r="D143" s="28" t="n">
        <f aca="false">I3</f>
        <v>0.95</v>
      </c>
      <c r="E143" s="28" t="n">
        <f aca="false">J3</f>
        <v>0.94</v>
      </c>
      <c r="F143" s="28" t="n">
        <f aca="false">K3</f>
        <v>0.959</v>
      </c>
    </row>
    <row r="144" customFormat="false" ht="12.8" hidden="false" customHeight="false" outlineLevel="0" collapsed="false">
      <c r="A144" s="1" t="str">
        <f aca="false">_xlfn.CONCAT($A$141, ".", A4)</f>
        <v>AR.1.1</v>
      </c>
      <c r="B144" s="7" t="str">
        <f aca="false">_xlfn.CONCAT(B4, ": ", C4)</f>
        <v>Agriculture: Worker</v>
      </c>
      <c r="C144" s="28" t="n">
        <f aca="false">H4</f>
        <v>0.944</v>
      </c>
      <c r="D144" s="28" t="n">
        <f aca="false">I4</f>
        <v>0.93</v>
      </c>
      <c r="E144" s="28" t="n">
        <f aca="false">J4</f>
        <v>0.92</v>
      </c>
      <c r="F144" s="28" t="n">
        <f aca="false">K4</f>
        <v>0.945</v>
      </c>
    </row>
    <row r="145" customFormat="false" ht="12.8" hidden="false" customHeight="false" outlineLevel="0" collapsed="false">
      <c r="A145" s="1" t="str">
        <f aca="false">_xlfn.CONCAT($A$141, ".", A5)</f>
        <v>AR.1.2</v>
      </c>
      <c r="B145" s="7" t="str">
        <f aca="false">_xlfn.CONCAT(B5, ": ", C5)</f>
        <v>Agriculture: Support</v>
      </c>
      <c r="C145" s="28" t="n">
        <f aca="false">H5</f>
        <v>0.944</v>
      </c>
      <c r="D145" s="28" t="n">
        <f aca="false">I5</f>
        <v>0.93</v>
      </c>
      <c r="E145" s="28" t="n">
        <f aca="false">J5</f>
        <v>0.92</v>
      </c>
      <c r="F145" s="28" t="n">
        <f aca="false">K5</f>
        <v>0.945</v>
      </c>
    </row>
    <row r="146" customFormat="false" ht="12.8" hidden="false" customHeight="false" outlineLevel="0" collapsed="false">
      <c r="A146" s="1" t="str">
        <f aca="false">_xlfn.CONCAT($A$141, ".", A6)</f>
        <v>AR.1.3</v>
      </c>
      <c r="B146" s="7" t="str">
        <f aca="false">_xlfn.CONCAT(B6, ": ", C6)</f>
        <v>Construction: Worker</v>
      </c>
      <c r="C146" s="28" t="n">
        <f aca="false">H6</f>
        <v>0.953</v>
      </c>
      <c r="D146" s="28" t="n">
        <f aca="false">I6</f>
        <v>0.94</v>
      </c>
      <c r="E146" s="28" t="n">
        <f aca="false">J6</f>
        <v>0.93</v>
      </c>
      <c r="F146" s="28" t="n">
        <f aca="false">K6</f>
        <v>0.954</v>
      </c>
    </row>
    <row r="147" customFormat="false" ht="12.8" hidden="false" customHeight="false" outlineLevel="0" collapsed="false">
      <c r="A147" s="1" t="str">
        <f aca="false">_xlfn.CONCAT($A$141, ".", A7)</f>
        <v>AR.1.4</v>
      </c>
      <c r="B147" s="7" t="str">
        <f aca="false">_xlfn.CONCAT(B7, ": ", C7)</f>
        <v>Construction: Support</v>
      </c>
      <c r="C147" s="28" t="n">
        <f aca="false">H7</f>
        <v>0.953</v>
      </c>
      <c r="D147" s="28" t="n">
        <f aca="false">I7</f>
        <v>0.94</v>
      </c>
      <c r="E147" s="28" t="n">
        <f aca="false">J7</f>
        <v>0.93</v>
      </c>
      <c r="F147" s="28" t="n">
        <f aca="false">K7</f>
        <v>0.954</v>
      </c>
    </row>
    <row r="148" customFormat="false" ht="12.8" hidden="false" customHeight="false" outlineLevel="0" collapsed="false">
      <c r="A148" s="1" t="str">
        <f aca="false">_xlfn.CONCAT($A$141, ".", A8)</f>
        <v>AR.1.5</v>
      </c>
      <c r="B148" s="7" t="str">
        <f aca="false">_xlfn.CONCAT(B8, ": ", C8)</f>
        <v>Hospitality: Worker</v>
      </c>
      <c r="C148" s="28" t="n">
        <f aca="false">H8</f>
        <v>0.94</v>
      </c>
      <c r="D148" s="28" t="n">
        <f aca="false">I8</f>
        <v>0.93</v>
      </c>
      <c r="E148" s="28" t="n">
        <f aca="false">J8</f>
        <v>0.91</v>
      </c>
      <c r="F148" s="28" t="n">
        <f aca="false">K8</f>
        <v>0.941</v>
      </c>
    </row>
    <row r="149" customFormat="false" ht="12.8" hidden="false" customHeight="false" outlineLevel="0" collapsed="false">
      <c r="A149" s="1" t="str">
        <f aca="false">_xlfn.CONCAT($A$141, ".", A9)</f>
        <v>AR.1.6</v>
      </c>
      <c r="B149" s="7" t="str">
        <f aca="false">_xlfn.CONCAT(B9, ": ", C9)</f>
        <v>Hospitality: Support</v>
      </c>
      <c r="C149" s="28" t="n">
        <f aca="false">H9</f>
        <v>0.94</v>
      </c>
      <c r="D149" s="28" t="n">
        <f aca="false">I9</f>
        <v>0.93</v>
      </c>
      <c r="E149" s="28" t="n">
        <f aca="false">J9</f>
        <v>0.91</v>
      </c>
      <c r="F149" s="28" t="n">
        <f aca="false">K9</f>
        <v>0.941</v>
      </c>
    </row>
    <row r="150" customFormat="false" ht="12.8" hidden="false" customHeight="false" outlineLevel="0" collapsed="false">
      <c r="A150" s="1" t="str">
        <f aca="false">_xlfn.CONCAT($A$141, ".", A10)</f>
        <v>AR.1.7</v>
      </c>
      <c r="B150" s="7" t="str">
        <f aca="false">_xlfn.CONCAT(B10, ": ", C10)</f>
        <v>Cleaning &amp; Maintenance: Worker</v>
      </c>
      <c r="C150" s="28" t="n">
        <f aca="false">H10</f>
        <v>0.938</v>
      </c>
      <c r="D150" s="28" t="n">
        <f aca="false">I10</f>
        <v>0.93</v>
      </c>
      <c r="E150" s="28" t="n">
        <f aca="false">J10</f>
        <v>0.91</v>
      </c>
      <c r="F150" s="28" t="n">
        <f aca="false">K10</f>
        <v>0.939</v>
      </c>
    </row>
    <row r="151" customFormat="false" ht="12.8" hidden="false" customHeight="false" outlineLevel="0" collapsed="false">
      <c r="A151" s="1" t="str">
        <f aca="false">_xlfn.CONCAT($A$141, ".", A11)</f>
        <v>AR.1.8</v>
      </c>
      <c r="B151" s="7" t="str">
        <f aca="false">_xlfn.CONCAT(B11, ": ", C11)</f>
        <v>Cleaning &amp; Maintenance: Support</v>
      </c>
      <c r="C151" s="28" t="n">
        <f aca="false">H11</f>
        <v>0.938</v>
      </c>
      <c r="D151" s="28" t="n">
        <f aca="false">I11</f>
        <v>0.93</v>
      </c>
      <c r="E151" s="28" t="n">
        <f aca="false">J11</f>
        <v>0.91</v>
      </c>
      <c r="F151" s="28" t="n">
        <f aca="false">K11</f>
        <v>0.939</v>
      </c>
    </row>
    <row r="152" customFormat="false" ht="12.8" hidden="false" customHeight="false" outlineLevel="0" collapsed="false">
      <c r="A152" s="1" t="str">
        <f aca="false">_xlfn.CONCAT($A$141, ".", A12)</f>
        <v>AR.1.9</v>
      </c>
      <c r="B152" s="7" t="str">
        <f aca="false">_xlfn.CONCAT(B12, ": ", C12)</f>
        <v>Manufacturing: Worker</v>
      </c>
      <c r="C152" s="28" t="n">
        <f aca="false">H12</f>
        <v>0.966</v>
      </c>
      <c r="D152" s="28" t="n">
        <f aca="false">I12</f>
        <v>0.96</v>
      </c>
      <c r="E152" s="28" t="n">
        <f aca="false">J12</f>
        <v>0.95</v>
      </c>
      <c r="F152" s="28" t="n">
        <f aca="false">K12</f>
        <v>0.966</v>
      </c>
    </row>
    <row r="153" customFormat="false" ht="12.8" hidden="false" customHeight="false" outlineLevel="0" collapsed="false">
      <c r="A153" s="1" t="str">
        <f aca="false">_xlfn.CONCAT($A$141, ".", A13)</f>
        <v>AR.1.10</v>
      </c>
      <c r="B153" s="7" t="str">
        <f aca="false">_xlfn.CONCAT(B13, ": ", C13)</f>
        <v>Manufacturing: Support</v>
      </c>
      <c r="C153" s="28" t="n">
        <f aca="false">H13</f>
        <v>0.966</v>
      </c>
      <c r="D153" s="28" t="n">
        <f aca="false">I13</f>
        <v>0.96</v>
      </c>
      <c r="E153" s="28" t="n">
        <f aca="false">J13</f>
        <v>0.95</v>
      </c>
      <c r="F153" s="28" t="n">
        <f aca="false">K13</f>
        <v>0.966</v>
      </c>
    </row>
    <row r="154" customFormat="false" ht="12.8" hidden="false" customHeight="false" outlineLevel="0" collapsed="false">
      <c r="A154" s="1" t="str">
        <f aca="false">_xlfn.CONCAT($A$141, ".", A14)</f>
        <v>AR.1.11</v>
      </c>
      <c r="B154" s="7" t="str">
        <f aca="false">_xlfn.CONCAT(B14, ": ", C14)</f>
        <v>Transportation &amp; Warehousing: Worker</v>
      </c>
      <c r="C154" s="28" t="n">
        <f aca="false">H14</f>
        <v>0.961</v>
      </c>
      <c r="D154" s="28" t="n">
        <f aca="false">I14</f>
        <v>0.95</v>
      </c>
      <c r="E154" s="28" t="n">
        <f aca="false">J14</f>
        <v>0.94</v>
      </c>
      <c r="F154" s="28" t="n">
        <f aca="false">K14</f>
        <v>0.962</v>
      </c>
    </row>
    <row r="155" customFormat="false" ht="12.8" hidden="false" customHeight="false" outlineLevel="0" collapsed="false">
      <c r="A155" s="1" t="str">
        <f aca="false">_xlfn.CONCAT($A$141, ".", A15)</f>
        <v>AR.1.12</v>
      </c>
      <c r="B155" s="7" t="str">
        <f aca="false">_xlfn.CONCAT(B15, ": ", C15)</f>
        <v>Transportation &amp; Warehousing: Support</v>
      </c>
      <c r="C155" s="28" t="n">
        <f aca="false">H15</f>
        <v>0.961</v>
      </c>
      <c r="D155" s="28" t="n">
        <f aca="false">I15</f>
        <v>0.95</v>
      </c>
      <c r="E155" s="28" t="n">
        <f aca="false">J15</f>
        <v>0.94</v>
      </c>
      <c r="F155" s="28" t="n">
        <f aca="false">K15</f>
        <v>0.962</v>
      </c>
    </row>
    <row r="156" customFormat="false" ht="12.8" hidden="false" customHeight="false" outlineLevel="0" collapsed="false">
      <c r="A156" s="1" t="str">
        <f aca="false">_xlfn.CONCAT($A$141, ".", A16)</f>
        <v>AR.1.13</v>
      </c>
      <c r="B156" s="7" t="str">
        <f aca="false">_xlfn.CONCAT(B16, ": ", C16)</f>
        <v>Retail Trade: Worker</v>
      </c>
      <c r="C156" s="28" t="n">
        <f aca="false">H16</f>
        <v>0.955</v>
      </c>
      <c r="D156" s="28" t="n">
        <f aca="false">I16</f>
        <v>0.95</v>
      </c>
      <c r="E156" s="28" t="n">
        <f aca="false">J16</f>
        <v>0.93</v>
      </c>
      <c r="F156" s="28" t="n">
        <f aca="false">K16</f>
        <v>0.956</v>
      </c>
    </row>
    <row r="157" customFormat="false" ht="12.8" hidden="false" customHeight="false" outlineLevel="0" collapsed="false">
      <c r="A157" s="1" t="str">
        <f aca="false">_xlfn.CONCAT($A$141, ".", A17)</f>
        <v>AR.1.14</v>
      </c>
      <c r="B157" s="7" t="str">
        <f aca="false">_xlfn.CONCAT(B17, ": ", C17)</f>
        <v>Retail Trade: Support</v>
      </c>
      <c r="C157" s="28" t="n">
        <f aca="false">H17</f>
        <v>0.955</v>
      </c>
      <c r="D157" s="28" t="n">
        <f aca="false">I17</f>
        <v>0.95</v>
      </c>
      <c r="E157" s="28" t="n">
        <f aca="false">J17</f>
        <v>0.93</v>
      </c>
      <c r="F157" s="28" t="n">
        <f aca="false">K17</f>
        <v>0.956</v>
      </c>
    </row>
    <row r="158" customFormat="false" ht="12.8" hidden="false" customHeight="false" outlineLevel="0" collapsed="false">
      <c r="A158" s="1" t="str">
        <f aca="false">_xlfn.CONCAT($A$141, ".", A18)</f>
        <v>AR.1.15</v>
      </c>
      <c r="B158" s="7" t="str">
        <f aca="false">_xlfn.CONCAT(B18, ": ", C18)</f>
        <v>Landscaping / Groundskeeping: Worker</v>
      </c>
      <c r="C158" s="28" t="n">
        <f aca="false">H18</f>
        <v>0.942</v>
      </c>
      <c r="D158" s="28" t="n">
        <f aca="false">I18</f>
        <v>0.93</v>
      </c>
      <c r="E158" s="28" t="n">
        <f aca="false">J18</f>
        <v>0.91</v>
      </c>
      <c r="F158" s="28" t="n">
        <f aca="false">K18</f>
        <v>0.943</v>
      </c>
    </row>
    <row r="159" customFormat="false" ht="12.8" hidden="false" customHeight="false" outlineLevel="0" collapsed="false">
      <c r="A159" s="1" t="str">
        <f aca="false">_xlfn.CONCAT($A$141, ".", A19)</f>
        <v>AR.1.16</v>
      </c>
      <c r="B159" s="7" t="str">
        <f aca="false">_xlfn.CONCAT(B19, ": ", C19)</f>
        <v>Landscaping / Groundskeeping: Support</v>
      </c>
      <c r="C159" s="28" t="n">
        <f aca="false">H19</f>
        <v>0.942</v>
      </c>
      <c r="D159" s="28" t="n">
        <f aca="false">I19</f>
        <v>0.93</v>
      </c>
      <c r="E159" s="28" t="n">
        <f aca="false">J19</f>
        <v>0.91</v>
      </c>
      <c r="F159" s="28" t="n">
        <f aca="false">K19</f>
        <v>0.943</v>
      </c>
    </row>
    <row r="160" customFormat="false" ht="12.8" hidden="false" customHeight="false" outlineLevel="0" collapsed="false">
      <c r="A160" s="1" t="str">
        <f aca="false">_xlfn.CONCAT($A$141, ".", A20)</f>
        <v>AR.1.17</v>
      </c>
      <c r="B160" s="7" t="str">
        <f aca="false">_xlfn.CONCAT(B20, ": ", C20)</f>
        <v>Automotive &amp; Repair: Worker</v>
      </c>
      <c r="C160" s="28" t="n">
        <f aca="false">H20</f>
        <v>0.959</v>
      </c>
      <c r="D160" s="28" t="n">
        <f aca="false">I20</f>
        <v>0.95</v>
      </c>
      <c r="E160" s="28" t="n">
        <f aca="false">J20</f>
        <v>0.94</v>
      </c>
      <c r="F160" s="28" t="n">
        <f aca="false">K20</f>
        <v>0.96</v>
      </c>
    </row>
    <row r="161" customFormat="false" ht="12.8" hidden="false" customHeight="false" outlineLevel="0" collapsed="false">
      <c r="A161" s="1" t="str">
        <f aca="false">_xlfn.CONCAT($A$141, ".", A21)</f>
        <v>AR.1.18</v>
      </c>
      <c r="B161" s="7" t="str">
        <f aca="false">_xlfn.CONCAT(B21, ": ", C21)</f>
        <v>Automotive &amp; Repair: Support</v>
      </c>
      <c r="C161" s="28" t="n">
        <f aca="false">H21</f>
        <v>0.959</v>
      </c>
      <c r="D161" s="28" t="n">
        <f aca="false">I21</f>
        <v>0.95</v>
      </c>
      <c r="E161" s="28" t="n">
        <f aca="false">J21</f>
        <v>0.94</v>
      </c>
      <c r="F161" s="28" t="n">
        <f aca="false">K21</f>
        <v>0.96</v>
      </c>
    </row>
    <row r="162" customFormat="false" ht="12.8" hidden="false" customHeight="false" outlineLevel="0" collapsed="false">
      <c r="A162" s="1" t="str">
        <f aca="false">_xlfn.CONCAT($A$141, ".", A22)</f>
        <v>AR.1.19</v>
      </c>
      <c r="B162" s="7" t="str">
        <f aca="false">_xlfn.CONCAT(B22, ": ", C22)</f>
        <v>Other Services: Worker</v>
      </c>
      <c r="C162" s="28" t="n">
        <f aca="false">H22</f>
        <v>0.957</v>
      </c>
      <c r="D162" s="28" t="n">
        <f aca="false">I22</f>
        <v>0.95</v>
      </c>
      <c r="E162" s="28" t="n">
        <f aca="false">J22</f>
        <v>0.94</v>
      </c>
      <c r="F162" s="28" t="n">
        <f aca="false">K22</f>
        <v>0.958</v>
      </c>
    </row>
    <row r="163" customFormat="false" ht="12.8" hidden="false" customHeight="false" outlineLevel="0" collapsed="false">
      <c r="A163" s="1" t="str">
        <f aca="false">_xlfn.CONCAT($A$141, ".", A23)</f>
        <v>AR.1.20</v>
      </c>
      <c r="B163" s="7" t="str">
        <f aca="false">_xlfn.CONCAT(B23, ": ", C23)</f>
        <v>Other Services: Support</v>
      </c>
      <c r="C163" s="28" t="n">
        <f aca="false">H23</f>
        <v>0.957</v>
      </c>
      <c r="D163" s="28" t="n">
        <f aca="false">I23</f>
        <v>0.95</v>
      </c>
      <c r="E163" s="28" t="n">
        <f aca="false">J23</f>
        <v>0.94</v>
      </c>
      <c r="F163" s="28" t="n">
        <f aca="false">K23</f>
        <v>0.958</v>
      </c>
    </row>
    <row r="259" customFormat="false" ht="12.8" hidden="false" customHeight="false" outlineLevel="0" collapsed="false">
      <c r="A259" s="5" t="s">
        <v>149</v>
      </c>
      <c r="B259" s="24" t="s">
        <v>146</v>
      </c>
      <c r="C259" s="27" t="s">
        <v>128</v>
      </c>
    </row>
    <row r="260" customFormat="false" ht="46.25" hidden="false" customHeight="false" outlineLevel="0" collapsed="false">
      <c r="A260" s="5" t="s">
        <v>24</v>
      </c>
      <c r="B260" s="25" t="s">
        <v>124</v>
      </c>
      <c r="C260" s="28" t="str">
        <f aca="false">L2</f>
        <v>Labor Force Participation Rate (LFPR)</v>
      </c>
      <c r="D260" s="28" t="str">
        <f aca="false">M2</f>
        <v>Authorized Immigrant Labor Force Participation Rate (LFPR)</v>
      </c>
      <c r="E260" s="28" t="str">
        <f aca="false">N2</f>
        <v>Unauthorized Immigrant Labor Force Participation Rate (LFPR)</v>
      </c>
      <c r="F260" s="28" t="str">
        <f aca="false">O2</f>
        <v>American Labor Force Participation Rate (LFPR)</v>
      </c>
    </row>
    <row r="261" customFormat="false" ht="12.8" hidden="false" customHeight="false" outlineLevel="0" collapsed="false">
      <c r="A261" s="1" t="str">
        <f aca="false">_xlfn.CONCAT($A$259, ".", A3)</f>
        <v>AR.2.0</v>
      </c>
      <c r="B261" s="5" t="str">
        <f aca="false">_xlfn.CONCAT(B3, ": ", C3)</f>
        <v>All Industries: All Roles</v>
      </c>
      <c r="C261" s="28" t="n">
        <f aca="false">L3</f>
        <v>0.584</v>
      </c>
      <c r="D261" s="28" t="n">
        <f aca="false">M3</f>
        <v>0.65</v>
      </c>
      <c r="E261" s="28" t="n">
        <f aca="false">N3</f>
        <v>0.72</v>
      </c>
      <c r="F261" s="28" t="n">
        <f aca="false">O3</f>
        <v>0.577</v>
      </c>
    </row>
    <row r="262" customFormat="false" ht="12.8" hidden="false" customHeight="false" outlineLevel="0" collapsed="false">
      <c r="A262" s="1" t="str">
        <f aca="false">_xlfn.CONCAT($A$259, ".", A4)</f>
        <v>AR.2.1</v>
      </c>
      <c r="B262" s="7" t="str">
        <f aca="false">_xlfn.CONCAT(B4, ": ", C4)</f>
        <v>Agriculture: Worker</v>
      </c>
      <c r="C262" s="28" t="n">
        <f aca="false">L4</f>
        <v>0.644</v>
      </c>
      <c r="D262" s="28" t="n">
        <f aca="false">M4</f>
        <v>0.717</v>
      </c>
      <c r="E262" s="28" t="n">
        <f aca="false">N4</f>
        <v>0.794</v>
      </c>
      <c r="F262" s="28" t="n">
        <f aca="false">O4</f>
        <v>0.636</v>
      </c>
    </row>
    <row r="263" customFormat="false" ht="12.8" hidden="false" customHeight="false" outlineLevel="0" collapsed="false">
      <c r="A263" s="1" t="str">
        <f aca="false">_xlfn.CONCAT($A$259, ".", A5)</f>
        <v>AR.2.2</v>
      </c>
      <c r="B263" s="7" t="str">
        <f aca="false">_xlfn.CONCAT(B5, ": ", C5)</f>
        <v>Agriculture: Support</v>
      </c>
      <c r="C263" s="28" t="n">
        <f aca="false">L5</f>
        <v>0.582</v>
      </c>
      <c r="D263" s="28" t="n">
        <f aca="false">M5</f>
        <v>0.648</v>
      </c>
      <c r="E263" s="28" t="n">
        <f aca="false">N5</f>
        <v>0.718</v>
      </c>
      <c r="F263" s="28" t="n">
        <f aca="false">O5</f>
        <v>0.576</v>
      </c>
    </row>
    <row r="264" customFormat="false" ht="12.8" hidden="false" customHeight="false" outlineLevel="0" collapsed="false">
      <c r="A264" s="1" t="str">
        <f aca="false">_xlfn.CONCAT($A$259, ".", A6)</f>
        <v>AR.2.3</v>
      </c>
      <c r="B264" s="7" t="str">
        <f aca="false">_xlfn.CONCAT(B6, ": ", C6)</f>
        <v>Construction: Worker</v>
      </c>
      <c r="C264" s="28" t="n">
        <f aca="false">L6</f>
        <v>0.632</v>
      </c>
      <c r="D264" s="28" t="n">
        <f aca="false">M6</f>
        <v>0.703</v>
      </c>
      <c r="E264" s="28" t="n">
        <f aca="false">N6</f>
        <v>0.779</v>
      </c>
      <c r="F264" s="28" t="n">
        <f aca="false">O6</f>
        <v>0.624</v>
      </c>
    </row>
    <row r="265" customFormat="false" ht="12.8" hidden="false" customHeight="false" outlineLevel="0" collapsed="false">
      <c r="A265" s="1" t="str">
        <f aca="false">_xlfn.CONCAT($A$259, ".", A7)</f>
        <v>AR.2.4</v>
      </c>
      <c r="B265" s="7" t="str">
        <f aca="false">_xlfn.CONCAT(B7, ": ", C7)</f>
        <v>Construction: Support</v>
      </c>
      <c r="C265" s="28" t="n">
        <f aca="false">L7</f>
        <v>0.571</v>
      </c>
      <c r="D265" s="28" t="n">
        <f aca="false">M7</f>
        <v>0.636</v>
      </c>
      <c r="E265" s="28" t="n">
        <f aca="false">N7</f>
        <v>0.705</v>
      </c>
      <c r="F265" s="28" t="n">
        <f aca="false">O7</f>
        <v>0.565</v>
      </c>
    </row>
    <row r="266" customFormat="false" ht="12.8" hidden="false" customHeight="false" outlineLevel="0" collapsed="false">
      <c r="A266" s="1" t="str">
        <f aca="false">_xlfn.CONCAT($A$259, ".", A8)</f>
        <v>AR.2.5</v>
      </c>
      <c r="B266" s="7" t="str">
        <f aca="false">_xlfn.CONCAT(B8, ": ", C8)</f>
        <v>Hospitality: Worker</v>
      </c>
      <c r="C266" s="28" t="n">
        <f aca="false">L8</f>
        <v>0.601</v>
      </c>
      <c r="D266" s="28" t="n">
        <f aca="false">M8</f>
        <v>0.669</v>
      </c>
      <c r="E266" s="28" t="n">
        <f aca="false">N8</f>
        <v>0.741</v>
      </c>
      <c r="F266" s="28" t="n">
        <f aca="false">O8</f>
        <v>0.594</v>
      </c>
    </row>
    <row r="267" customFormat="false" ht="12.8" hidden="false" customHeight="false" outlineLevel="0" collapsed="false">
      <c r="A267" s="1" t="str">
        <f aca="false">_xlfn.CONCAT($A$259, ".", A9)</f>
        <v>AR.2.6</v>
      </c>
      <c r="B267" s="7" t="str">
        <f aca="false">_xlfn.CONCAT(B9, ": ", C9)</f>
        <v>Hospitality: Support</v>
      </c>
      <c r="C267" s="28" t="n">
        <f aca="false">L9</f>
        <v>0.544</v>
      </c>
      <c r="D267" s="28" t="n">
        <f aca="false">M9</f>
        <v>0.605</v>
      </c>
      <c r="E267" s="28" t="n">
        <f aca="false">N9</f>
        <v>0.67</v>
      </c>
      <c r="F267" s="28" t="n">
        <f aca="false">O9</f>
        <v>0.537</v>
      </c>
    </row>
    <row r="268" customFormat="false" ht="12.8" hidden="false" customHeight="false" outlineLevel="0" collapsed="false">
      <c r="A268" s="1" t="str">
        <f aca="false">_xlfn.CONCAT($A$259, ".", A10)</f>
        <v>AR.2.7</v>
      </c>
      <c r="B268" s="7" t="str">
        <f aca="false">_xlfn.CONCAT(B10, ": ", C10)</f>
        <v>Cleaning &amp; Maintenance: Worker</v>
      </c>
      <c r="C268" s="28" t="n">
        <f aca="false">L10</f>
        <v>0.644</v>
      </c>
      <c r="D268" s="28" t="n">
        <f aca="false">M10</f>
        <v>0.717</v>
      </c>
      <c r="E268" s="28" t="n">
        <f aca="false">N10</f>
        <v>0.794</v>
      </c>
      <c r="F268" s="28" t="n">
        <f aca="false">O10</f>
        <v>0.636</v>
      </c>
    </row>
    <row r="269" customFormat="false" ht="12.8" hidden="false" customHeight="false" outlineLevel="0" collapsed="false">
      <c r="A269" s="1" t="str">
        <f aca="false">_xlfn.CONCAT($A$259, ".", A11)</f>
        <v>AR.2.8</v>
      </c>
      <c r="B269" s="7" t="str">
        <f aca="false">_xlfn.CONCAT(B11, ": ", C11)</f>
        <v>Cleaning &amp; Maintenance: Support</v>
      </c>
      <c r="C269" s="28" t="n">
        <f aca="false">L11</f>
        <v>0.583</v>
      </c>
      <c r="D269" s="28" t="n">
        <f aca="false">M11</f>
        <v>0.648</v>
      </c>
      <c r="E269" s="28" t="n">
        <f aca="false">N11</f>
        <v>0.718</v>
      </c>
      <c r="F269" s="28" t="n">
        <f aca="false">O11</f>
        <v>0.576</v>
      </c>
    </row>
    <row r="270" customFormat="false" ht="12.8" hidden="false" customHeight="false" outlineLevel="0" collapsed="false">
      <c r="A270" s="1" t="str">
        <f aca="false">_xlfn.CONCAT($A$259, ".", A12)</f>
        <v>AR.2.9</v>
      </c>
      <c r="B270" s="7" t="str">
        <f aca="false">_xlfn.CONCAT(B12, ": ", C12)</f>
        <v>Manufacturing: Worker</v>
      </c>
      <c r="C270" s="28" t="n">
        <f aca="false">L12</f>
        <v>0.625</v>
      </c>
      <c r="D270" s="28" t="n">
        <f aca="false">M12</f>
        <v>0.696</v>
      </c>
      <c r="E270" s="28" t="n">
        <f aca="false">N12</f>
        <v>0.771</v>
      </c>
      <c r="F270" s="28" t="n">
        <f aca="false">O12</f>
        <v>0.618</v>
      </c>
    </row>
    <row r="271" customFormat="false" ht="12.8" hidden="false" customHeight="false" outlineLevel="0" collapsed="false">
      <c r="A271" s="1" t="str">
        <f aca="false">_xlfn.CONCAT($A$259, ".", A13)</f>
        <v>AR.2.10</v>
      </c>
      <c r="B271" s="7" t="str">
        <f aca="false">_xlfn.CONCAT(B13, ": ", C13)</f>
        <v>Manufacturing: Support</v>
      </c>
      <c r="C271" s="28" t="n">
        <f aca="false">L13</f>
        <v>0.566</v>
      </c>
      <c r="D271" s="28" t="n">
        <f aca="false">M13</f>
        <v>0.63</v>
      </c>
      <c r="E271" s="28" t="n">
        <f aca="false">N13</f>
        <v>0.698</v>
      </c>
      <c r="F271" s="28" t="n">
        <f aca="false">O13</f>
        <v>0.559</v>
      </c>
    </row>
    <row r="272" customFormat="false" ht="12.8" hidden="false" customHeight="false" outlineLevel="0" collapsed="false">
      <c r="A272" s="1" t="str">
        <f aca="false">_xlfn.CONCAT($A$259, ".", A14)</f>
        <v>AR.2.11</v>
      </c>
      <c r="B272" s="7" t="str">
        <f aca="false">_xlfn.CONCAT(B14, ": ", C14)</f>
        <v>Transportation &amp; Warehousing: Worker</v>
      </c>
      <c r="C272" s="28" t="n">
        <f aca="false">L14</f>
        <v>0.638</v>
      </c>
      <c r="D272" s="28" t="n">
        <f aca="false">M14</f>
        <v>0.71</v>
      </c>
      <c r="E272" s="28" t="n">
        <f aca="false">N14</f>
        <v>0.786</v>
      </c>
      <c r="F272" s="28" t="n">
        <f aca="false">O14</f>
        <v>0.63</v>
      </c>
    </row>
    <row r="273" customFormat="false" ht="12.8" hidden="false" customHeight="false" outlineLevel="0" collapsed="false">
      <c r="A273" s="1" t="str">
        <f aca="false">_xlfn.CONCAT($A$259, ".", A15)</f>
        <v>AR.2.12</v>
      </c>
      <c r="B273" s="7" t="str">
        <f aca="false">_xlfn.CONCAT(B15, ": ", C15)</f>
        <v>Transportation &amp; Warehousing: Support</v>
      </c>
      <c r="C273" s="28" t="n">
        <f aca="false">L15</f>
        <v>0.577</v>
      </c>
      <c r="D273" s="28" t="n">
        <f aca="false">M15</f>
        <v>0.642</v>
      </c>
      <c r="E273" s="28" t="n">
        <f aca="false">N15</f>
        <v>0.711</v>
      </c>
      <c r="F273" s="28" t="n">
        <f aca="false">O15</f>
        <v>0.57</v>
      </c>
    </row>
    <row r="274" customFormat="false" ht="12.8" hidden="false" customHeight="false" outlineLevel="0" collapsed="false">
      <c r="A274" s="1" t="str">
        <f aca="false">_xlfn.CONCAT($A$259, ".", A16)</f>
        <v>AR.2.13</v>
      </c>
      <c r="B274" s="7" t="str">
        <f aca="false">_xlfn.CONCAT(B16, ": ", C16)</f>
        <v>Retail Trade: Worker</v>
      </c>
      <c r="C274" s="28" t="n">
        <f aca="false">L16</f>
        <v>0.589</v>
      </c>
      <c r="D274" s="28" t="n">
        <f aca="false">M16</f>
        <v>0.655</v>
      </c>
      <c r="E274" s="28" t="n">
        <f aca="false">N16</f>
        <v>0.726</v>
      </c>
      <c r="F274" s="28" t="n">
        <f aca="false">O16</f>
        <v>0.582</v>
      </c>
    </row>
    <row r="275" customFormat="false" ht="12.8" hidden="false" customHeight="false" outlineLevel="0" collapsed="false">
      <c r="A275" s="1" t="str">
        <f aca="false">_xlfn.CONCAT($A$259, ".", A17)</f>
        <v>AR.2.14</v>
      </c>
      <c r="B275" s="7" t="str">
        <f aca="false">_xlfn.CONCAT(B17, ": ", C17)</f>
        <v>Retail Trade: Support</v>
      </c>
      <c r="C275" s="28" t="n">
        <f aca="false">L17</f>
        <v>0.533</v>
      </c>
      <c r="D275" s="28" t="n">
        <f aca="false">M17</f>
        <v>0.593</v>
      </c>
      <c r="E275" s="28" t="n">
        <f aca="false">N17</f>
        <v>0.657</v>
      </c>
      <c r="F275" s="28" t="n">
        <f aca="false">O17</f>
        <v>0.526</v>
      </c>
    </row>
    <row r="276" customFormat="false" ht="12.8" hidden="false" customHeight="false" outlineLevel="0" collapsed="false">
      <c r="A276" s="1" t="str">
        <f aca="false">_xlfn.CONCAT($A$259, ".", A18)</f>
        <v>AR.2.15</v>
      </c>
      <c r="B276" s="7" t="str">
        <f aca="false">_xlfn.CONCAT(B18, ": ", C18)</f>
        <v>Landscaping / Groundskeeping: Worker</v>
      </c>
      <c r="C276" s="28" t="n">
        <f aca="false">L18</f>
        <v>0.674</v>
      </c>
      <c r="D276" s="28" t="n">
        <f aca="false">M18</f>
        <v>0.751</v>
      </c>
      <c r="E276" s="28" t="n">
        <f aca="false">N18</f>
        <v>0.832</v>
      </c>
      <c r="F276" s="28" t="n">
        <f aca="false">O18</f>
        <v>0.666</v>
      </c>
    </row>
    <row r="277" customFormat="false" ht="12.8" hidden="false" customHeight="false" outlineLevel="0" collapsed="false">
      <c r="A277" s="1" t="str">
        <f aca="false">_xlfn.CONCAT($A$259, ".", A19)</f>
        <v>AR.2.16</v>
      </c>
      <c r="B277" s="7" t="str">
        <f aca="false">_xlfn.CONCAT(B19, ": ", C19)</f>
        <v>Landscaping / Groundskeeping: Support</v>
      </c>
      <c r="C277" s="28" t="n">
        <f aca="false">L19</f>
        <v>0.61</v>
      </c>
      <c r="D277" s="28" t="n">
        <f aca="false">M19</f>
        <v>0.679</v>
      </c>
      <c r="E277" s="28" t="n">
        <f aca="false">N19</f>
        <v>0.752</v>
      </c>
      <c r="F277" s="28" t="n">
        <f aca="false">O19</f>
        <v>0.603</v>
      </c>
    </row>
    <row r="278" customFormat="false" ht="12.8" hidden="false" customHeight="false" outlineLevel="0" collapsed="false">
      <c r="A278" s="1" t="str">
        <f aca="false">_xlfn.CONCAT($A$259, ".", A20)</f>
        <v>AR.2.17</v>
      </c>
      <c r="B278" s="7" t="str">
        <f aca="false">_xlfn.CONCAT(B20, ": ", C20)</f>
        <v>Automotive &amp; Repair: Worker</v>
      </c>
      <c r="C278" s="28" t="n">
        <f aca="false">L20</f>
        <v>0.619</v>
      </c>
      <c r="D278" s="28" t="n">
        <f aca="false">M20</f>
        <v>0.689</v>
      </c>
      <c r="E278" s="28" t="n">
        <f aca="false">N20</f>
        <v>0.764</v>
      </c>
      <c r="F278" s="28" t="n">
        <f aca="false">O20</f>
        <v>0.612</v>
      </c>
    </row>
    <row r="279" customFormat="false" ht="12.8" hidden="false" customHeight="false" outlineLevel="0" collapsed="false">
      <c r="A279" s="1" t="str">
        <f aca="false">_xlfn.CONCAT($A$259, ".", A21)</f>
        <v>AR.2.18</v>
      </c>
      <c r="B279" s="7" t="str">
        <f aca="false">_xlfn.CONCAT(B21, ": ", C21)</f>
        <v>Automotive &amp; Repair: Support</v>
      </c>
      <c r="C279" s="28" t="n">
        <f aca="false">L21</f>
        <v>0.56</v>
      </c>
      <c r="D279" s="28" t="n">
        <f aca="false">M21</f>
        <v>0.624</v>
      </c>
      <c r="E279" s="28" t="n">
        <f aca="false">N21</f>
        <v>0.691</v>
      </c>
      <c r="F279" s="28" t="n">
        <f aca="false">O21</f>
        <v>0.554</v>
      </c>
    </row>
    <row r="280" customFormat="false" ht="12.8" hidden="false" customHeight="false" outlineLevel="0" collapsed="false">
      <c r="A280" s="1" t="str">
        <f aca="false">_xlfn.CONCAT($A$259, ".", A22)</f>
        <v>AR.2.19</v>
      </c>
      <c r="B280" s="7" t="str">
        <f aca="false">_xlfn.CONCAT(B22, ": ", C22)</f>
        <v>Other Services: Worker</v>
      </c>
      <c r="C280" s="28" t="n">
        <f aca="false">L22</f>
        <v>0.601</v>
      </c>
      <c r="D280" s="28" t="n">
        <f aca="false">M22</f>
        <v>0.669</v>
      </c>
      <c r="E280" s="28" t="n">
        <f aca="false">N22</f>
        <v>0.741</v>
      </c>
      <c r="F280" s="28" t="n">
        <f aca="false">O22</f>
        <v>0.594</v>
      </c>
    </row>
    <row r="281" customFormat="false" ht="12.8" hidden="false" customHeight="false" outlineLevel="0" collapsed="false">
      <c r="A281" s="1" t="str">
        <f aca="false">_xlfn.CONCAT($A$259, ".", A23)</f>
        <v>AR.2.20</v>
      </c>
      <c r="B281" s="7" t="str">
        <f aca="false">_xlfn.CONCAT(B23, ": ", C23)</f>
        <v>Other Services: Support</v>
      </c>
      <c r="C281" s="28" t="n">
        <f aca="false">L23</f>
        <v>0.544</v>
      </c>
      <c r="D281" s="28" t="n">
        <f aca="false">M23</f>
        <v>0.605</v>
      </c>
      <c r="E281" s="28" t="n">
        <f aca="false">N23</f>
        <v>0.67</v>
      </c>
      <c r="F281" s="28" t="n">
        <f aca="false">O23</f>
        <v>0.537</v>
      </c>
    </row>
    <row r="282" customFormat="false" ht="12.8" hidden="false" customHeight="false" outlineLevel="0" collapsed="false">
      <c r="A282" s="1"/>
      <c r="B282" s="7"/>
      <c r="C282" s="14"/>
      <c r="D282" s="14"/>
      <c r="E282" s="14"/>
      <c r="F282" s="14"/>
    </row>
    <row r="283" customFormat="false" ht="12.8" hidden="false" customHeight="false" outlineLevel="0" collapsed="false">
      <c r="A283" s="1"/>
      <c r="B283" s="7"/>
      <c r="C283" s="14"/>
      <c r="D283" s="14"/>
      <c r="E283" s="14"/>
      <c r="F283" s="14"/>
    </row>
    <row r="284" customFormat="false" ht="12.8" hidden="false" customHeight="false" outlineLevel="0" collapsed="false">
      <c r="A284" s="1"/>
      <c r="B284" s="7"/>
      <c r="C284" s="14"/>
      <c r="D284" s="14"/>
      <c r="E284" s="14"/>
      <c r="F284" s="14"/>
    </row>
    <row r="285" customFormat="false" ht="12.8" hidden="false" customHeight="false" outlineLevel="0" collapsed="false">
      <c r="A285" s="1"/>
      <c r="B285" s="7"/>
      <c r="C285" s="14"/>
      <c r="D285" s="14"/>
      <c r="E285" s="14"/>
      <c r="F285" s="14"/>
    </row>
    <row r="376" customFormat="false" ht="12.8" hidden="false" customHeight="false" outlineLevel="0" collapsed="false">
      <c r="A376" s="5" t="s">
        <v>150</v>
      </c>
      <c r="B376" s="24" t="s">
        <v>146</v>
      </c>
      <c r="C376" s="27" t="s">
        <v>130</v>
      </c>
    </row>
    <row r="377" customFormat="false" ht="46.25" hidden="false" customHeight="false" outlineLevel="0" collapsed="false">
      <c r="A377" s="5" t="s">
        <v>24</v>
      </c>
      <c r="B377" s="25" t="s">
        <v>124</v>
      </c>
      <c r="C377" s="28" t="str">
        <f aca="false">P2</f>
        <v>Unemployment Rate</v>
      </c>
      <c r="D377" s="28" t="str">
        <f aca="false">Q2</f>
        <v>Authorized Immigrant Unemployment Rate</v>
      </c>
      <c r="E377" s="28" t="str">
        <f aca="false">R2</f>
        <v>Unauthorized Immigrant Unemployment Rate</v>
      </c>
      <c r="F377" s="28" t="str">
        <f aca="false">S2</f>
        <v>American Unemployment Rate</v>
      </c>
    </row>
    <row r="378" customFormat="false" ht="12.8" hidden="false" customHeight="false" outlineLevel="0" collapsed="false">
      <c r="A378" s="5" t="str">
        <f aca="false">_xlfn.CONCAT($A$376, ".", A3)</f>
        <v>AR.3.0</v>
      </c>
      <c r="B378" s="5" t="str">
        <f aca="false">_xlfn.CONCAT(B3, ": ", C3)</f>
        <v>All Industries: All Roles</v>
      </c>
      <c r="C378" s="28" t="n">
        <f aca="false">P3</f>
        <v>0.042</v>
      </c>
      <c r="D378" s="28" t="n">
        <f aca="false">Q3</f>
        <v>0.05</v>
      </c>
      <c r="E378" s="28" t="n">
        <f aca="false">R3</f>
        <v>0.06</v>
      </c>
      <c r="F378" s="28" t="n">
        <f aca="false">S3</f>
        <v>0.041</v>
      </c>
    </row>
    <row r="379" customFormat="false" ht="12.8" hidden="false" customHeight="false" outlineLevel="0" collapsed="false">
      <c r="A379" s="7" t="str">
        <f aca="false">_xlfn.CONCAT($A$376, ".", A4)</f>
        <v>AR.3.1</v>
      </c>
      <c r="B379" s="7" t="str">
        <f aca="false">_xlfn.CONCAT(B4, ": ", C4)</f>
        <v>Agriculture: Worker</v>
      </c>
      <c r="C379" s="16" t="n">
        <f aca="false">P4</f>
        <v>0.056</v>
      </c>
      <c r="D379" s="16" t="n">
        <f aca="false">Q4</f>
        <v>0.066</v>
      </c>
      <c r="E379" s="16" t="n">
        <f aca="false">R4</f>
        <v>0.082</v>
      </c>
      <c r="F379" s="16" t="n">
        <f aca="false">S4</f>
        <v>0.055</v>
      </c>
    </row>
    <row r="380" customFormat="false" ht="12.8" hidden="false" customHeight="false" outlineLevel="0" collapsed="false">
      <c r="A380" s="7" t="str">
        <f aca="false">_xlfn.CONCAT($A$376, ".", A5)</f>
        <v>AR.3.2</v>
      </c>
      <c r="B380" s="7" t="str">
        <f aca="false">_xlfn.CONCAT(B5, ": ", C5)</f>
        <v>Agriculture: Support</v>
      </c>
      <c r="C380" s="16" t="n">
        <f aca="false">P5</f>
        <v>0.056</v>
      </c>
      <c r="D380" s="16" t="n">
        <f aca="false">Q5</f>
        <v>0.066</v>
      </c>
      <c r="E380" s="16" t="n">
        <f aca="false">R5</f>
        <v>0.082</v>
      </c>
      <c r="F380" s="16" t="n">
        <f aca="false">S5</f>
        <v>0.055</v>
      </c>
    </row>
    <row r="381" customFormat="false" ht="12.8" hidden="false" customHeight="false" outlineLevel="0" collapsed="false">
      <c r="A381" s="7" t="str">
        <f aca="false">_xlfn.CONCAT($A$376, ".", A6)</f>
        <v>AR.3.3</v>
      </c>
      <c r="B381" s="7" t="str">
        <f aca="false">_xlfn.CONCAT(B6, ": ", C6)</f>
        <v>Construction: Worker</v>
      </c>
      <c r="C381" s="16" t="n">
        <f aca="false">P6</f>
        <v>0.047</v>
      </c>
      <c r="D381" s="16" t="n">
        <f aca="false">Q6</f>
        <v>0.055</v>
      </c>
      <c r="E381" s="16" t="n">
        <f aca="false">R6</f>
        <v>0.069</v>
      </c>
      <c r="F381" s="16" t="n">
        <f aca="false">S6</f>
        <v>0.046</v>
      </c>
    </row>
    <row r="382" customFormat="false" ht="12.8" hidden="false" customHeight="false" outlineLevel="0" collapsed="false">
      <c r="A382" s="7" t="str">
        <f aca="false">_xlfn.CONCAT($A$376, ".", A7)</f>
        <v>AR.3.4</v>
      </c>
      <c r="B382" s="7" t="str">
        <f aca="false">_xlfn.CONCAT(B7, ": ", C7)</f>
        <v>Construction: Support</v>
      </c>
      <c r="C382" s="16" t="n">
        <f aca="false">P7</f>
        <v>0.047</v>
      </c>
      <c r="D382" s="16" t="n">
        <f aca="false">Q7</f>
        <v>0.055</v>
      </c>
      <c r="E382" s="16" t="n">
        <f aca="false">R7</f>
        <v>0.069</v>
      </c>
      <c r="F382" s="16" t="n">
        <f aca="false">S7</f>
        <v>0.046</v>
      </c>
    </row>
    <row r="383" customFormat="false" ht="12.8" hidden="false" customHeight="false" outlineLevel="0" collapsed="false">
      <c r="A383" s="7" t="str">
        <f aca="false">_xlfn.CONCAT($A$376, ".", A8)</f>
        <v>AR.3.5</v>
      </c>
      <c r="B383" s="7" t="str">
        <f aca="false">_xlfn.CONCAT(B8, ": ", C8)</f>
        <v>Hospitality: Worker</v>
      </c>
      <c r="C383" s="16" t="n">
        <f aca="false">P8</f>
        <v>0.06</v>
      </c>
      <c r="D383" s="16" t="n">
        <f aca="false">Q8</f>
        <v>0.071</v>
      </c>
      <c r="E383" s="16" t="n">
        <f aca="false">R8</f>
        <v>0.088</v>
      </c>
      <c r="F383" s="16" t="n">
        <f aca="false">S8</f>
        <v>0.059</v>
      </c>
    </row>
    <row r="384" customFormat="false" ht="12.8" hidden="false" customHeight="false" outlineLevel="0" collapsed="false">
      <c r="A384" s="7" t="str">
        <f aca="false">_xlfn.CONCAT($A$376, ".", A9)</f>
        <v>AR.3.6</v>
      </c>
      <c r="B384" s="7" t="str">
        <f aca="false">_xlfn.CONCAT(B9, ": ", C9)</f>
        <v>Hospitality: Support</v>
      </c>
      <c r="C384" s="16" t="n">
        <f aca="false">P9</f>
        <v>0.06</v>
      </c>
      <c r="D384" s="16" t="n">
        <f aca="false">Q9</f>
        <v>0.071</v>
      </c>
      <c r="E384" s="16" t="n">
        <f aca="false">R9</f>
        <v>0.088</v>
      </c>
      <c r="F384" s="16" t="n">
        <f aca="false">S9</f>
        <v>0.059</v>
      </c>
    </row>
    <row r="385" customFormat="false" ht="12.8" hidden="false" customHeight="false" outlineLevel="0" collapsed="false">
      <c r="A385" s="7" t="str">
        <f aca="false">_xlfn.CONCAT($A$376, ".", A10)</f>
        <v>AR.3.7</v>
      </c>
      <c r="B385" s="7" t="str">
        <f aca="false">_xlfn.CONCAT(B10, ": ", C10)</f>
        <v>Cleaning &amp; Maintenance: Worker</v>
      </c>
      <c r="C385" s="16" t="n">
        <f aca="false">P10</f>
        <v>0.062</v>
      </c>
      <c r="D385" s="16" t="n">
        <f aca="false">Q10</f>
        <v>0.073</v>
      </c>
      <c r="E385" s="16" t="n">
        <f aca="false">R10</f>
        <v>0.091</v>
      </c>
      <c r="F385" s="16" t="n">
        <f aca="false">S10</f>
        <v>0.061</v>
      </c>
    </row>
    <row r="386" customFormat="false" ht="12.8" hidden="false" customHeight="false" outlineLevel="0" collapsed="false">
      <c r="A386" s="7" t="str">
        <f aca="false">_xlfn.CONCAT($A$376, ".", A11)</f>
        <v>AR.3.8</v>
      </c>
      <c r="B386" s="7" t="str">
        <f aca="false">_xlfn.CONCAT(B11, ": ", C11)</f>
        <v>Cleaning &amp; Maintenance: Support</v>
      </c>
      <c r="C386" s="16" t="n">
        <f aca="false">P11</f>
        <v>0.062</v>
      </c>
      <c r="D386" s="16" t="n">
        <f aca="false">Q11</f>
        <v>0.073</v>
      </c>
      <c r="E386" s="16" t="n">
        <f aca="false">R11</f>
        <v>0.091</v>
      </c>
      <c r="F386" s="16" t="n">
        <f aca="false">S11</f>
        <v>0.061</v>
      </c>
    </row>
    <row r="387" customFormat="false" ht="12.8" hidden="false" customHeight="false" outlineLevel="0" collapsed="false">
      <c r="A387" s="7" t="str">
        <f aca="false">_xlfn.CONCAT($A$376, ".", A12)</f>
        <v>AR.3.9</v>
      </c>
      <c r="B387" s="7" t="str">
        <f aca="false">_xlfn.CONCAT(B12, ": ", C12)</f>
        <v>Manufacturing: Worker</v>
      </c>
      <c r="C387" s="16" t="n">
        <f aca="false">P12</f>
        <v>0.034</v>
      </c>
      <c r="D387" s="16" t="n">
        <f aca="false">Q12</f>
        <v>0.04</v>
      </c>
      <c r="E387" s="16" t="n">
        <f aca="false">R12</f>
        <v>0.05</v>
      </c>
      <c r="F387" s="16" t="n">
        <f aca="false">S12</f>
        <v>0.034</v>
      </c>
    </row>
    <row r="388" customFormat="false" ht="12.8" hidden="false" customHeight="false" outlineLevel="0" collapsed="false">
      <c r="A388" s="7" t="str">
        <f aca="false">_xlfn.CONCAT($A$376, ".", A13)</f>
        <v>AR.3.10</v>
      </c>
      <c r="B388" s="7" t="str">
        <f aca="false">_xlfn.CONCAT(B13, ": ", C13)</f>
        <v>Manufacturing: Support</v>
      </c>
      <c r="C388" s="16" t="n">
        <f aca="false">P13</f>
        <v>0.034</v>
      </c>
      <c r="D388" s="16" t="n">
        <f aca="false">Q13</f>
        <v>0.04</v>
      </c>
      <c r="E388" s="16" t="n">
        <f aca="false">R13</f>
        <v>0.05</v>
      </c>
      <c r="F388" s="16" t="n">
        <f aca="false">S13</f>
        <v>0.034</v>
      </c>
    </row>
    <row r="389" customFormat="false" ht="12.8" hidden="false" customHeight="false" outlineLevel="0" collapsed="false">
      <c r="A389" s="7" t="str">
        <f aca="false">_xlfn.CONCAT($A$376, ".", A14)</f>
        <v>AR.3.11</v>
      </c>
      <c r="B389" s="7" t="str">
        <f aca="false">_xlfn.CONCAT(B14, ": ", C14)</f>
        <v>Transportation &amp; Warehousing: Worker</v>
      </c>
      <c r="C389" s="16" t="n">
        <f aca="false">P14</f>
        <v>0.039</v>
      </c>
      <c r="D389" s="16" t="n">
        <f aca="false">Q14</f>
        <v>0.045</v>
      </c>
      <c r="E389" s="16" t="n">
        <f aca="false">R14</f>
        <v>0.057</v>
      </c>
      <c r="F389" s="16" t="n">
        <f aca="false">S14</f>
        <v>0.038</v>
      </c>
    </row>
    <row r="390" customFormat="false" ht="12.8" hidden="false" customHeight="false" outlineLevel="0" collapsed="false">
      <c r="A390" s="7" t="str">
        <f aca="false">_xlfn.CONCAT($A$376, ".", A15)</f>
        <v>AR.3.12</v>
      </c>
      <c r="B390" s="7" t="str">
        <f aca="false">_xlfn.CONCAT(B15, ": ", C15)</f>
        <v>Transportation &amp; Warehousing: Support</v>
      </c>
      <c r="C390" s="16" t="n">
        <f aca="false">P15</f>
        <v>0.039</v>
      </c>
      <c r="D390" s="16" t="n">
        <f aca="false">Q15</f>
        <v>0.045</v>
      </c>
      <c r="E390" s="16" t="n">
        <f aca="false">R15</f>
        <v>0.057</v>
      </c>
      <c r="F390" s="16" t="n">
        <f aca="false">S15</f>
        <v>0.038</v>
      </c>
    </row>
    <row r="391" customFormat="false" ht="12.8" hidden="false" customHeight="false" outlineLevel="0" collapsed="false">
      <c r="A391" s="7" t="str">
        <f aca="false">_xlfn.CONCAT($A$376, ".", A16)</f>
        <v>AR.3.13</v>
      </c>
      <c r="B391" s="7" t="str">
        <f aca="false">_xlfn.CONCAT(B16, ": ", C16)</f>
        <v>Retail Trade: Worker</v>
      </c>
      <c r="C391" s="16" t="n">
        <f aca="false">P16</f>
        <v>0.045</v>
      </c>
      <c r="D391" s="16" t="n">
        <f aca="false">Q16</f>
        <v>0.053</v>
      </c>
      <c r="E391" s="16" t="n">
        <f aca="false">R16</f>
        <v>0.066</v>
      </c>
      <c r="F391" s="16" t="n">
        <f aca="false">S16</f>
        <v>0.044</v>
      </c>
    </row>
    <row r="392" customFormat="false" ht="12.8" hidden="false" customHeight="false" outlineLevel="0" collapsed="false">
      <c r="A392" s="7" t="str">
        <f aca="false">_xlfn.CONCAT($A$376, ".", A17)</f>
        <v>AR.3.14</v>
      </c>
      <c r="B392" s="7" t="str">
        <f aca="false">_xlfn.CONCAT(B17, ": ", C17)</f>
        <v>Retail Trade: Support</v>
      </c>
      <c r="C392" s="16" t="n">
        <f aca="false">P17</f>
        <v>0.045</v>
      </c>
      <c r="D392" s="16" t="n">
        <f aca="false">Q17</f>
        <v>0.053</v>
      </c>
      <c r="E392" s="16" t="n">
        <f aca="false">R17</f>
        <v>0.066</v>
      </c>
      <c r="F392" s="16" t="n">
        <f aca="false">S17</f>
        <v>0.044</v>
      </c>
    </row>
    <row r="393" customFormat="false" ht="12.8" hidden="false" customHeight="false" outlineLevel="0" collapsed="false">
      <c r="A393" s="7" t="str">
        <f aca="false">_xlfn.CONCAT($A$376, ".", A18)</f>
        <v>AR.3.15</v>
      </c>
      <c r="B393" s="7" t="str">
        <f aca="false">_xlfn.CONCAT(B18, ": ", C18)</f>
        <v>Landscaping / Groundskeeping: Worker</v>
      </c>
      <c r="C393" s="16" t="n">
        <f aca="false">P18</f>
        <v>0.058</v>
      </c>
      <c r="D393" s="16" t="n">
        <f aca="false">Q18</f>
        <v>0.068</v>
      </c>
      <c r="E393" s="16" t="n">
        <f aca="false">R18</f>
        <v>0.085</v>
      </c>
      <c r="F393" s="16" t="n">
        <f aca="false">S18</f>
        <v>0.057</v>
      </c>
    </row>
    <row r="394" customFormat="false" ht="12.8" hidden="false" customHeight="false" outlineLevel="0" collapsed="false">
      <c r="A394" s="7" t="str">
        <f aca="false">_xlfn.CONCAT($A$376, ".", A19)</f>
        <v>AR.3.16</v>
      </c>
      <c r="B394" s="7" t="str">
        <f aca="false">_xlfn.CONCAT(B19, ": ", C19)</f>
        <v>Landscaping / Groundskeeping: Support</v>
      </c>
      <c r="C394" s="16" t="n">
        <f aca="false">P19</f>
        <v>0.058</v>
      </c>
      <c r="D394" s="16" t="n">
        <f aca="false">Q19</f>
        <v>0.068</v>
      </c>
      <c r="E394" s="16" t="n">
        <f aca="false">R19</f>
        <v>0.085</v>
      </c>
      <c r="F394" s="16" t="n">
        <f aca="false">S19</f>
        <v>0.057</v>
      </c>
    </row>
    <row r="395" customFormat="false" ht="12.8" hidden="false" customHeight="false" outlineLevel="0" collapsed="false">
      <c r="A395" s="7" t="str">
        <f aca="false">_xlfn.CONCAT($A$376, ".", A20)</f>
        <v>AR.3.17</v>
      </c>
      <c r="B395" s="7" t="str">
        <f aca="false">_xlfn.CONCAT(B20, ": ", C20)</f>
        <v>Automotive &amp; Repair: Worker</v>
      </c>
      <c r="C395" s="16" t="n">
        <f aca="false">P20</f>
        <v>0.041</v>
      </c>
      <c r="D395" s="16" t="n">
        <f aca="false">Q20</f>
        <v>0.048</v>
      </c>
      <c r="E395" s="16" t="n">
        <f aca="false">R20</f>
        <v>0.06</v>
      </c>
      <c r="F395" s="16" t="n">
        <f aca="false">S20</f>
        <v>0.04</v>
      </c>
    </row>
    <row r="396" customFormat="false" ht="12.8" hidden="false" customHeight="false" outlineLevel="0" collapsed="false">
      <c r="A396" s="7" t="str">
        <f aca="false">_xlfn.CONCAT($A$376, ".", A21)</f>
        <v>AR.3.18</v>
      </c>
      <c r="B396" s="7" t="str">
        <f aca="false">_xlfn.CONCAT(B21, ": ", C21)</f>
        <v>Automotive &amp; Repair: Support</v>
      </c>
      <c r="C396" s="16" t="n">
        <f aca="false">P21</f>
        <v>0.041</v>
      </c>
      <c r="D396" s="16" t="n">
        <f aca="false">Q21</f>
        <v>0.048</v>
      </c>
      <c r="E396" s="16" t="n">
        <f aca="false">R21</f>
        <v>0.06</v>
      </c>
      <c r="F396" s="16" t="n">
        <f aca="false">S21</f>
        <v>0.04</v>
      </c>
    </row>
    <row r="397" customFormat="false" ht="12.8" hidden="false" customHeight="false" outlineLevel="0" collapsed="false">
      <c r="A397" s="7" t="str">
        <f aca="false">_xlfn.CONCAT($A$376, ".", A22)</f>
        <v>AR.3.19</v>
      </c>
      <c r="B397" s="7" t="str">
        <f aca="false">_xlfn.CONCAT(B22, ": ", C22)</f>
        <v>Other Services: Worker</v>
      </c>
      <c r="C397" s="16" t="n">
        <f aca="false">P22</f>
        <v>0.043</v>
      </c>
      <c r="D397" s="16" t="n">
        <f aca="false">Q22</f>
        <v>0.05</v>
      </c>
      <c r="E397" s="16" t="n">
        <f aca="false">R22</f>
        <v>0.063</v>
      </c>
      <c r="F397" s="16" t="n">
        <f aca="false">S22</f>
        <v>0.042</v>
      </c>
    </row>
    <row r="398" customFormat="false" ht="12.8" hidden="false" customHeight="false" outlineLevel="0" collapsed="false">
      <c r="A398" s="7" t="str">
        <f aca="false">_xlfn.CONCAT($A$376, ".", A23)</f>
        <v>AR.3.20</v>
      </c>
      <c r="B398" s="7" t="str">
        <f aca="false">_xlfn.CONCAT(B23, ": ", C23)</f>
        <v>Other Services: Support</v>
      </c>
      <c r="C398" s="16" t="n">
        <f aca="false">P23</f>
        <v>0.043</v>
      </c>
      <c r="D398" s="16" t="n">
        <f aca="false">Q23</f>
        <v>0.05</v>
      </c>
      <c r="E398" s="16" t="n">
        <f aca="false">R23</f>
        <v>0.063</v>
      </c>
      <c r="F398" s="16" t="n">
        <f aca="false">S23</f>
        <v>0.042</v>
      </c>
    </row>
    <row r="399" customFormat="false" ht="12.8" hidden="false" customHeight="false" outlineLevel="0" collapsed="false">
      <c r="A399" s="7"/>
      <c r="B399" s="7"/>
      <c r="C399" s="16"/>
      <c r="D399" s="16"/>
      <c r="E399" s="16"/>
      <c r="F399" s="16"/>
    </row>
    <row r="494" customFormat="false" ht="12.8" hidden="false" customHeight="false" outlineLevel="0" collapsed="false">
      <c r="A494" s="5" t="s">
        <v>151</v>
      </c>
      <c r="B494" s="24" t="s">
        <v>146</v>
      </c>
      <c r="C494" s="27" t="s">
        <v>132</v>
      </c>
    </row>
    <row r="495" customFormat="false" ht="46.25" hidden="false" customHeight="false" outlineLevel="0" collapsed="false">
      <c r="A495" s="5" t="s">
        <v>24</v>
      </c>
      <c r="B495" s="25" t="s">
        <v>124</v>
      </c>
      <c r="C495" s="28" t="str">
        <f aca="false">T2</f>
        <v>Underemployment Rate</v>
      </c>
      <c r="D495" s="28" t="str">
        <f aca="false">U2</f>
        <v>Authorized Immigrant Underemployment Rate</v>
      </c>
      <c r="E495" s="28" t="str">
        <f aca="false">V2</f>
        <v>Unauthorized Immigrant Underemployment Rate</v>
      </c>
      <c r="F495" s="28" t="str">
        <f aca="false">W2</f>
        <v>American Underemployment Rate</v>
      </c>
    </row>
    <row r="496" customFormat="false" ht="12.8" hidden="false" customHeight="false" outlineLevel="0" collapsed="false">
      <c r="A496" s="1" t="str">
        <f aca="false">_xlfn.CONCAT($A$494, ".", A3)</f>
        <v>AR.4.0</v>
      </c>
      <c r="B496" s="5" t="str">
        <f aca="false">_xlfn.CONCAT(B3, ": ", C3)</f>
        <v>All Industries: All Roles</v>
      </c>
      <c r="C496" s="16" t="n">
        <f aca="false">T3</f>
        <v>0.079</v>
      </c>
      <c r="D496" s="16" t="n">
        <f aca="false">U3</f>
        <v>0.092</v>
      </c>
      <c r="E496" s="16" t="n">
        <f aca="false">V3</f>
        <v>0.115</v>
      </c>
      <c r="F496" s="16" t="n">
        <f aca="false">W3</f>
        <v>0.077</v>
      </c>
    </row>
    <row r="497" customFormat="false" ht="12.8" hidden="false" customHeight="false" outlineLevel="0" collapsed="false">
      <c r="A497" s="1" t="str">
        <f aca="false">_xlfn.CONCAT($A$494, ".", A4)</f>
        <v>AR.4.1</v>
      </c>
      <c r="B497" s="7" t="str">
        <f aca="false">_xlfn.CONCAT(B4, ": ", C4)</f>
        <v>Agriculture: Worker</v>
      </c>
      <c r="C497" s="16" t="n">
        <f aca="false">T4</f>
        <v>0.105</v>
      </c>
      <c r="D497" s="16" t="n">
        <f aca="false">U4</f>
        <v>0.123</v>
      </c>
      <c r="E497" s="16" t="n">
        <f aca="false">V4</f>
        <v>0.154</v>
      </c>
      <c r="F497" s="16" t="n">
        <f aca="false">W4</f>
        <v>0.103</v>
      </c>
    </row>
    <row r="498" customFormat="false" ht="12.8" hidden="false" customHeight="false" outlineLevel="0" collapsed="false">
      <c r="A498" s="1" t="str">
        <f aca="false">_xlfn.CONCAT($A$494, ".", A5)</f>
        <v>AR.4.2</v>
      </c>
      <c r="B498" s="7" t="str">
        <f aca="false">_xlfn.CONCAT(B5, ": ", C5)</f>
        <v>Agriculture: Support</v>
      </c>
      <c r="C498" s="16" t="n">
        <f aca="false">T5</f>
        <v>0.105</v>
      </c>
      <c r="D498" s="16" t="n">
        <f aca="false">U5</f>
        <v>0.123</v>
      </c>
      <c r="E498" s="16" t="n">
        <f aca="false">V5</f>
        <v>0.154</v>
      </c>
      <c r="F498" s="16" t="n">
        <f aca="false">W5</f>
        <v>0.103</v>
      </c>
    </row>
    <row r="499" customFormat="false" ht="12.8" hidden="false" customHeight="false" outlineLevel="0" collapsed="false">
      <c r="A499" s="1" t="str">
        <f aca="false">_xlfn.CONCAT($A$494, ".", A6)</f>
        <v>AR.4.3</v>
      </c>
      <c r="B499" s="7" t="str">
        <f aca="false">_xlfn.CONCAT(B6, ": ", C6)</f>
        <v>Construction: Worker</v>
      </c>
      <c r="C499" s="16" t="n">
        <f aca="false">T6</f>
        <v>0.089</v>
      </c>
      <c r="D499" s="16" t="n">
        <f aca="false">U6</f>
        <v>0.104</v>
      </c>
      <c r="E499" s="16" t="n">
        <f aca="false">V6</f>
        <v>0.13</v>
      </c>
      <c r="F499" s="16" t="n">
        <f aca="false">W6</f>
        <v>0.087</v>
      </c>
    </row>
    <row r="500" customFormat="false" ht="12.8" hidden="false" customHeight="false" outlineLevel="0" collapsed="false">
      <c r="A500" s="1" t="str">
        <f aca="false">_xlfn.CONCAT($A$494, ".", A7)</f>
        <v>AR.4.4</v>
      </c>
      <c r="B500" s="7" t="str">
        <f aca="false">_xlfn.CONCAT(B7, ": ", C7)</f>
        <v>Construction: Support</v>
      </c>
      <c r="C500" s="16" t="n">
        <f aca="false">T7</f>
        <v>0.089</v>
      </c>
      <c r="D500" s="16" t="n">
        <f aca="false">U7</f>
        <v>0.104</v>
      </c>
      <c r="E500" s="16" t="n">
        <f aca="false">V7</f>
        <v>0.13</v>
      </c>
      <c r="F500" s="16" t="n">
        <f aca="false">W7</f>
        <v>0.087</v>
      </c>
    </row>
    <row r="501" customFormat="false" ht="12.8" hidden="false" customHeight="false" outlineLevel="0" collapsed="false">
      <c r="A501" s="1" t="str">
        <f aca="false">_xlfn.CONCAT($A$494, ".", A8)</f>
        <v>AR.4.5</v>
      </c>
      <c r="B501" s="7" t="str">
        <f aca="false">_xlfn.CONCAT(B8, ": ", C8)</f>
        <v>Hospitality: Worker</v>
      </c>
      <c r="C501" s="16" t="n">
        <f aca="false">T8</f>
        <v>0.113</v>
      </c>
      <c r="D501" s="16" t="n">
        <f aca="false">U8</f>
        <v>0.133</v>
      </c>
      <c r="E501" s="16" t="n">
        <f aca="false">V8</f>
        <v>0.166</v>
      </c>
      <c r="F501" s="16" t="n">
        <f aca="false">W8</f>
        <v>0.111</v>
      </c>
    </row>
    <row r="502" customFormat="false" ht="12.8" hidden="false" customHeight="false" outlineLevel="0" collapsed="false">
      <c r="A502" s="1" t="str">
        <f aca="false">_xlfn.CONCAT($A$494, ".", A9)</f>
        <v>AR.4.6</v>
      </c>
      <c r="B502" s="7" t="str">
        <f aca="false">_xlfn.CONCAT(B9, ": ", C9)</f>
        <v>Hospitality: Support</v>
      </c>
      <c r="C502" s="16" t="n">
        <f aca="false">T9</f>
        <v>0.113</v>
      </c>
      <c r="D502" s="16" t="n">
        <f aca="false">U9</f>
        <v>0.133</v>
      </c>
      <c r="E502" s="16" t="n">
        <f aca="false">V9</f>
        <v>0.166</v>
      </c>
      <c r="F502" s="16" t="n">
        <f aca="false">W9</f>
        <v>0.111</v>
      </c>
    </row>
    <row r="503" customFormat="false" ht="12.8" hidden="false" customHeight="false" outlineLevel="0" collapsed="false">
      <c r="A503" s="1" t="str">
        <f aca="false">_xlfn.CONCAT($A$494, ".", A10)</f>
        <v>AR.4.7</v>
      </c>
      <c r="B503" s="7" t="str">
        <f aca="false">_xlfn.CONCAT(B10, ": ", C10)</f>
        <v>Cleaning &amp; Maintenance: Worker</v>
      </c>
      <c r="C503" s="16" t="n">
        <f aca="false">T10</f>
        <v>0.118</v>
      </c>
      <c r="D503" s="16" t="n">
        <f aca="false">U10</f>
        <v>0.137</v>
      </c>
      <c r="E503" s="16" t="n">
        <f aca="false">V10</f>
        <v>0.172</v>
      </c>
      <c r="F503" s="16" t="n">
        <f aca="false">W10</f>
        <v>0.115</v>
      </c>
    </row>
    <row r="504" customFormat="false" ht="12.8" hidden="false" customHeight="false" outlineLevel="0" collapsed="false">
      <c r="A504" s="1" t="str">
        <f aca="false">_xlfn.CONCAT($A$494, ".", A11)</f>
        <v>AR.4.8</v>
      </c>
      <c r="B504" s="7" t="str">
        <f aca="false">_xlfn.CONCAT(B11, ": ", C11)</f>
        <v>Cleaning &amp; Maintenance: Support</v>
      </c>
      <c r="C504" s="16" t="n">
        <f aca="false">T11</f>
        <v>0.118</v>
      </c>
      <c r="D504" s="16" t="n">
        <f aca="false">U11</f>
        <v>0.137</v>
      </c>
      <c r="E504" s="16" t="n">
        <f aca="false">V11</f>
        <v>0.172</v>
      </c>
      <c r="F504" s="16" t="n">
        <f aca="false">W11</f>
        <v>0.115</v>
      </c>
    </row>
    <row r="505" customFormat="false" ht="12.8" hidden="false" customHeight="false" outlineLevel="0" collapsed="false">
      <c r="A505" s="1" t="str">
        <f aca="false">_xlfn.CONCAT($A$494, ".", A12)</f>
        <v>AR.4.9</v>
      </c>
      <c r="B505" s="7" t="str">
        <f aca="false">_xlfn.CONCAT(B12, ": ", C12)</f>
        <v>Manufacturing: Worker</v>
      </c>
      <c r="C505" s="16" t="n">
        <f aca="false">T12</f>
        <v>0.065</v>
      </c>
      <c r="D505" s="16" t="n">
        <f aca="false">U12</f>
        <v>0.076</v>
      </c>
      <c r="E505" s="16" t="n">
        <f aca="false">V12</f>
        <v>0.095</v>
      </c>
      <c r="F505" s="16" t="n">
        <f aca="false">W12</f>
        <v>0.063</v>
      </c>
    </row>
    <row r="506" customFormat="false" ht="12.8" hidden="false" customHeight="false" outlineLevel="0" collapsed="false">
      <c r="A506" s="1" t="str">
        <f aca="false">_xlfn.CONCAT($A$494, ".", A13)</f>
        <v>AR.4.10</v>
      </c>
      <c r="B506" s="7" t="str">
        <f aca="false">_xlfn.CONCAT(B13, ": ", C13)</f>
        <v>Manufacturing: Support</v>
      </c>
      <c r="C506" s="16" t="n">
        <f aca="false">T13</f>
        <v>0.065</v>
      </c>
      <c r="D506" s="16" t="n">
        <f aca="false">U13</f>
        <v>0.076</v>
      </c>
      <c r="E506" s="16" t="n">
        <f aca="false">V13</f>
        <v>0.095</v>
      </c>
      <c r="F506" s="16" t="n">
        <f aca="false">W13</f>
        <v>0.063</v>
      </c>
    </row>
    <row r="507" customFormat="false" ht="12.8" hidden="false" customHeight="false" outlineLevel="0" collapsed="false">
      <c r="A507" s="1" t="str">
        <f aca="false">_xlfn.CONCAT($A$494, ".", A14)</f>
        <v>AR.4.11</v>
      </c>
      <c r="B507" s="7" t="str">
        <f aca="false">_xlfn.CONCAT(B14, ": ", C14)</f>
        <v>Transportation &amp; Warehousing: Worker</v>
      </c>
      <c r="C507" s="16" t="n">
        <f aca="false">T14</f>
        <v>0.073</v>
      </c>
      <c r="D507" s="16" t="n">
        <f aca="false">U14</f>
        <v>0.085</v>
      </c>
      <c r="E507" s="16" t="n">
        <f aca="false">V14</f>
        <v>0.107</v>
      </c>
      <c r="F507" s="16" t="n">
        <f aca="false">W14</f>
        <v>0.071</v>
      </c>
    </row>
    <row r="508" customFormat="false" ht="12.8" hidden="false" customHeight="false" outlineLevel="0" collapsed="false">
      <c r="A508" s="1" t="str">
        <f aca="false">_xlfn.CONCAT($A$494, ".", A15)</f>
        <v>AR.4.12</v>
      </c>
      <c r="B508" s="7" t="str">
        <f aca="false">_xlfn.CONCAT(B15, ": ", C15)</f>
        <v>Transportation &amp; Warehousing: Support</v>
      </c>
      <c r="C508" s="16" t="n">
        <f aca="false">T15</f>
        <v>0.073</v>
      </c>
      <c r="D508" s="16" t="n">
        <f aca="false">U15</f>
        <v>0.085</v>
      </c>
      <c r="E508" s="16" t="n">
        <f aca="false">V15</f>
        <v>0.107</v>
      </c>
      <c r="F508" s="16" t="n">
        <f aca="false">W15</f>
        <v>0.071</v>
      </c>
    </row>
    <row r="509" customFormat="false" ht="12.8" hidden="false" customHeight="false" outlineLevel="0" collapsed="false">
      <c r="A509" s="1" t="str">
        <f aca="false">_xlfn.CONCAT($A$494, ".", A16)</f>
        <v>AR.4.13</v>
      </c>
      <c r="B509" s="7" t="str">
        <f aca="false">_xlfn.CONCAT(B16, ": ", C16)</f>
        <v>Retail Trade: Worker</v>
      </c>
      <c r="C509" s="16" t="n">
        <f aca="false">T16</f>
        <v>0.085</v>
      </c>
      <c r="D509" s="16" t="n">
        <f aca="false">U16</f>
        <v>0.1</v>
      </c>
      <c r="E509" s="16" t="n">
        <f aca="false">V16</f>
        <v>0.125</v>
      </c>
      <c r="F509" s="16" t="n">
        <f aca="false">W16</f>
        <v>0.083</v>
      </c>
    </row>
    <row r="510" customFormat="false" ht="12.8" hidden="false" customHeight="false" outlineLevel="0" collapsed="false">
      <c r="A510" s="1" t="str">
        <f aca="false">_xlfn.CONCAT($A$494, ".", A17)</f>
        <v>AR.4.14</v>
      </c>
      <c r="B510" s="7" t="str">
        <f aca="false">_xlfn.CONCAT(B17, ": ", C17)</f>
        <v>Retail Trade: Support</v>
      </c>
      <c r="C510" s="16" t="n">
        <f aca="false">T17</f>
        <v>0.085</v>
      </c>
      <c r="D510" s="16" t="n">
        <f aca="false">U17</f>
        <v>0.1</v>
      </c>
      <c r="E510" s="16" t="n">
        <f aca="false">V17</f>
        <v>0.125</v>
      </c>
      <c r="F510" s="16" t="n">
        <f aca="false">W17</f>
        <v>0.083</v>
      </c>
    </row>
    <row r="511" customFormat="false" ht="12.8" hidden="false" customHeight="false" outlineLevel="0" collapsed="false">
      <c r="A511" s="1" t="str">
        <f aca="false">_xlfn.CONCAT($A$494, ".", A18)</f>
        <v>AR.4.15</v>
      </c>
      <c r="B511" s="7" t="str">
        <f aca="false">_xlfn.CONCAT(B18, ": ", C18)</f>
        <v>Landscaping / Groundskeeping: Worker</v>
      </c>
      <c r="C511" s="16" t="n">
        <f aca="false">T18</f>
        <v>0.109</v>
      </c>
      <c r="D511" s="16" t="n">
        <f aca="false">U18</f>
        <v>0.128</v>
      </c>
      <c r="E511" s="16" t="n">
        <f aca="false">V18</f>
        <v>0.16</v>
      </c>
      <c r="F511" s="16" t="n">
        <f aca="false">W18</f>
        <v>0.107</v>
      </c>
    </row>
    <row r="512" customFormat="false" ht="12.8" hidden="false" customHeight="false" outlineLevel="0" collapsed="false">
      <c r="A512" s="1" t="str">
        <f aca="false">_xlfn.CONCAT($A$494, ".", A19)</f>
        <v>AR.4.16</v>
      </c>
      <c r="B512" s="7" t="str">
        <f aca="false">_xlfn.CONCAT(B19, ": ", C19)</f>
        <v>Landscaping / Groundskeeping: Support</v>
      </c>
      <c r="C512" s="16" t="n">
        <f aca="false">T19</f>
        <v>0.109</v>
      </c>
      <c r="D512" s="16" t="n">
        <f aca="false">U19</f>
        <v>0.128</v>
      </c>
      <c r="E512" s="16" t="n">
        <f aca="false">V19</f>
        <v>0.16</v>
      </c>
      <c r="F512" s="16" t="n">
        <f aca="false">W19</f>
        <v>0.107</v>
      </c>
    </row>
    <row r="513" customFormat="false" ht="12.8" hidden="false" customHeight="false" outlineLevel="0" collapsed="false">
      <c r="A513" s="1" t="str">
        <f aca="false">_xlfn.CONCAT($A$494, ".", A20)</f>
        <v>AR.4.17</v>
      </c>
      <c r="B513" s="7" t="str">
        <f aca="false">_xlfn.CONCAT(B20, ": ", C20)</f>
        <v>Automotive &amp; Repair: Worker</v>
      </c>
      <c r="C513" s="16" t="n">
        <f aca="false">T20</f>
        <v>0.077</v>
      </c>
      <c r="D513" s="16" t="n">
        <f aca="false">U20</f>
        <v>0.09</v>
      </c>
      <c r="E513" s="16" t="n">
        <f aca="false">V20</f>
        <v>0.113</v>
      </c>
      <c r="F513" s="16" t="n">
        <f aca="false">W20</f>
        <v>0.075</v>
      </c>
    </row>
    <row r="514" customFormat="false" ht="12.8" hidden="false" customHeight="false" outlineLevel="0" collapsed="false">
      <c r="A514" s="1" t="str">
        <f aca="false">_xlfn.CONCAT($A$494, ".", A21)</f>
        <v>AR.4.18</v>
      </c>
      <c r="B514" s="7" t="str">
        <f aca="false">_xlfn.CONCAT(B21, ": ", C21)</f>
        <v>Automotive &amp; Repair: Support</v>
      </c>
      <c r="C514" s="16" t="n">
        <f aca="false">T21</f>
        <v>0.077</v>
      </c>
      <c r="D514" s="16" t="n">
        <f aca="false">U21</f>
        <v>0.09</v>
      </c>
      <c r="E514" s="16" t="n">
        <f aca="false">V21</f>
        <v>0.113</v>
      </c>
      <c r="F514" s="16" t="n">
        <f aca="false">W21</f>
        <v>0.075</v>
      </c>
    </row>
    <row r="515" customFormat="false" ht="12.8" hidden="false" customHeight="false" outlineLevel="0" collapsed="false">
      <c r="A515" s="1" t="str">
        <f aca="false">_xlfn.CONCAT($A$494, ".", A22)</f>
        <v>AR.4.19</v>
      </c>
      <c r="B515" s="7" t="str">
        <f aca="false">_xlfn.CONCAT(B22, ": ", C22)</f>
        <v>Other Services: Worker</v>
      </c>
      <c r="C515" s="16" t="n">
        <f aca="false">T22</f>
        <v>0.081</v>
      </c>
      <c r="D515" s="16" t="n">
        <f aca="false">U22</f>
        <v>0.095</v>
      </c>
      <c r="E515" s="16" t="n">
        <f aca="false">V22</f>
        <v>0.118</v>
      </c>
      <c r="F515" s="16" t="n">
        <f aca="false">W22</f>
        <v>0.079</v>
      </c>
    </row>
    <row r="516" customFormat="false" ht="12.8" hidden="false" customHeight="false" outlineLevel="0" collapsed="false">
      <c r="A516" s="1" t="str">
        <f aca="false">_xlfn.CONCAT($A$494, ".", A23)</f>
        <v>AR.4.20</v>
      </c>
      <c r="B516" s="7" t="str">
        <f aca="false">_xlfn.CONCAT(B23, ": ", C23)</f>
        <v>Other Services: Support</v>
      </c>
      <c r="C516" s="16" t="n">
        <f aca="false">T23</f>
        <v>0.081</v>
      </c>
      <c r="D516" s="16" t="n">
        <f aca="false">U23</f>
        <v>0.095</v>
      </c>
      <c r="E516" s="16" t="n">
        <f aca="false">V23</f>
        <v>0.118</v>
      </c>
      <c r="F516" s="16" t="n">
        <f aca="false">W23</f>
        <v>0.079</v>
      </c>
    </row>
    <row r="613" customFormat="false" ht="12.8" hidden="false" customHeight="false" outlineLevel="0" collapsed="false">
      <c r="A613" s="5" t="s">
        <v>152</v>
      </c>
      <c r="B613" s="24" t="s">
        <v>146</v>
      </c>
      <c r="C613" s="27" t="s">
        <v>134</v>
      </c>
    </row>
    <row r="614" customFormat="false" ht="35.05" hidden="false" customHeight="false" outlineLevel="0" collapsed="false">
      <c r="A614" s="5" t="s">
        <v>24</v>
      </c>
      <c r="B614" s="5" t="str">
        <f aca="false">_xlfn.CONCAT(B2, ": ", C2)</f>
        <v>Industry: Role</v>
      </c>
      <c r="C614" s="25" t="str">
        <f aca="false">X2</f>
        <v>Wage Average ($/hr)</v>
      </c>
      <c r="D614" s="25" t="str">
        <f aca="false">AD2</f>
        <v>Authorized Immigrant Wage Average ($/hr)</v>
      </c>
      <c r="E614" s="25" t="str">
        <f aca="false">AJ2</f>
        <v>Unauthorized Immigrant Wage Average ($/hr)</v>
      </c>
      <c r="F614" s="25" t="str">
        <f aca="false">AP2</f>
        <v>American Wage Average ($/hr)</v>
      </c>
    </row>
    <row r="615" customFormat="false" ht="12.8" hidden="false" customHeight="false" outlineLevel="0" collapsed="false">
      <c r="A615" s="1" t="str">
        <f aca="false">_xlfn.CONCAT($A$613, ".", A3)</f>
        <v>AR.5.0</v>
      </c>
      <c r="B615" s="5" t="str">
        <f aca="false">_xlfn.CONCAT(B3, ": ", C3)</f>
        <v>All Industries: All Roles</v>
      </c>
      <c r="C615" s="29" t="n">
        <f aca="false">X3</f>
        <v>29.6</v>
      </c>
      <c r="D615" s="30" t="n">
        <f aca="false">AD3</f>
        <v>28.6</v>
      </c>
      <c r="E615" s="30" t="n">
        <f aca="false">AJ3</f>
        <v>26.2</v>
      </c>
      <c r="F615" s="30" t="n">
        <f aca="false">AP3</f>
        <v>29.8</v>
      </c>
    </row>
    <row r="616" customFormat="false" ht="12.8" hidden="false" customHeight="false" outlineLevel="0" collapsed="false">
      <c r="A616" s="1" t="str">
        <f aca="false">_xlfn.CONCAT($A$613, ".", A4)</f>
        <v>AR.5.1</v>
      </c>
      <c r="B616" s="7" t="str">
        <f aca="false">_xlfn.CONCAT(B4, ": ", C4)</f>
        <v>Agriculture: Worker</v>
      </c>
      <c r="C616" s="20" t="n">
        <f aca="false">X4</f>
        <v>18.9</v>
      </c>
      <c r="D616" s="20" t="n">
        <f aca="false">AD4</f>
        <v>18.2</v>
      </c>
      <c r="E616" s="20" t="n">
        <f aca="false">AJ4</f>
        <v>16.1</v>
      </c>
      <c r="F616" s="20" t="n">
        <f aca="false">AP4</f>
        <v>19</v>
      </c>
    </row>
    <row r="617" customFormat="false" ht="12.8" hidden="false" customHeight="false" outlineLevel="0" collapsed="false">
      <c r="A617" s="1" t="str">
        <f aca="false">_xlfn.CONCAT($A$613, ".", A5)</f>
        <v>AR.5.2</v>
      </c>
      <c r="B617" s="7" t="str">
        <f aca="false">_xlfn.CONCAT(B5, ": ", C5)</f>
        <v>Agriculture: Support</v>
      </c>
      <c r="C617" s="20" t="n">
        <f aca="false">X5</f>
        <v>16</v>
      </c>
      <c r="D617" s="20" t="n">
        <f aca="false">AD5</f>
        <v>15.5</v>
      </c>
      <c r="E617" s="20" t="n">
        <f aca="false">AJ5</f>
        <v>13.7</v>
      </c>
      <c r="F617" s="20" t="n">
        <f aca="false">AP5</f>
        <v>16.1</v>
      </c>
    </row>
    <row r="618" customFormat="false" ht="12.8" hidden="false" customHeight="false" outlineLevel="0" collapsed="false">
      <c r="A618" s="1" t="str">
        <f aca="false">_xlfn.CONCAT($A$613, ".", A6)</f>
        <v>AR.5.3</v>
      </c>
      <c r="B618" s="7" t="str">
        <f aca="false">_xlfn.CONCAT(B6, ": ", C6)</f>
        <v>Construction: Worker</v>
      </c>
      <c r="C618" s="20" t="n">
        <f aca="false">X6</f>
        <v>23.8</v>
      </c>
      <c r="D618" s="20" t="n">
        <f aca="false">AD6</f>
        <v>23</v>
      </c>
      <c r="E618" s="20" t="n">
        <f aca="false">AJ6</f>
        <v>20.9</v>
      </c>
      <c r="F618" s="20" t="n">
        <f aca="false">AP6</f>
        <v>24</v>
      </c>
    </row>
    <row r="619" customFormat="false" ht="12.8" hidden="false" customHeight="false" outlineLevel="0" collapsed="false">
      <c r="A619" s="1" t="str">
        <f aca="false">_xlfn.CONCAT($A$613, ".", A7)</f>
        <v>AR.5.4</v>
      </c>
      <c r="B619" s="7" t="str">
        <f aca="false">_xlfn.CONCAT(B7, ": ", C7)</f>
        <v>Construction: Support</v>
      </c>
      <c r="C619" s="20" t="n">
        <f aca="false">X7</f>
        <v>19.1</v>
      </c>
      <c r="D619" s="20" t="n">
        <f aca="false">AD7</f>
        <v>18.4</v>
      </c>
      <c r="E619" s="20" t="n">
        <f aca="false">AJ7</f>
        <v>16.7</v>
      </c>
      <c r="F619" s="20" t="n">
        <f aca="false">AP7</f>
        <v>19.2</v>
      </c>
    </row>
    <row r="620" customFormat="false" ht="12.8" hidden="false" customHeight="false" outlineLevel="0" collapsed="false">
      <c r="A620" s="1" t="str">
        <f aca="false">_xlfn.CONCAT($A$613, ".", A8)</f>
        <v>AR.5.5</v>
      </c>
      <c r="B620" s="7" t="str">
        <f aca="false">_xlfn.CONCAT(B8, ": ", C8)</f>
        <v>Hospitality: Worker</v>
      </c>
      <c r="C620" s="20" t="n">
        <f aca="false">X8</f>
        <v>13.9</v>
      </c>
      <c r="D620" s="20" t="n">
        <f aca="false">AD8</f>
        <v>13.4</v>
      </c>
      <c r="E620" s="20" t="n">
        <f aca="false">AJ8</f>
        <v>12.6</v>
      </c>
      <c r="F620" s="20" t="n">
        <f aca="false">AP8</f>
        <v>14</v>
      </c>
    </row>
    <row r="621" customFormat="false" ht="12.8" hidden="false" customHeight="false" outlineLevel="0" collapsed="false">
      <c r="A621" s="1" t="str">
        <f aca="false">_xlfn.CONCAT($A$613, ".", A9)</f>
        <v>AR.5.6</v>
      </c>
      <c r="B621" s="7" t="str">
        <f aca="false">_xlfn.CONCAT(B9, ": ", C9)</f>
        <v>Hospitality: Support</v>
      </c>
      <c r="C621" s="20" t="n">
        <f aca="false">X9</f>
        <v>11.1</v>
      </c>
      <c r="D621" s="20" t="n">
        <f aca="false">AD9</f>
        <v>10.8</v>
      </c>
      <c r="E621" s="20" t="n">
        <f aca="false">AJ9</f>
        <v>10.1</v>
      </c>
      <c r="F621" s="20" t="n">
        <f aca="false">AP9</f>
        <v>11.2</v>
      </c>
    </row>
    <row r="622" customFormat="false" ht="12.8" hidden="false" customHeight="false" outlineLevel="0" collapsed="false">
      <c r="A622" s="1" t="str">
        <f aca="false">_xlfn.CONCAT($A$613, ".", A10)</f>
        <v>AR.5.7</v>
      </c>
      <c r="B622" s="7" t="str">
        <f aca="false">_xlfn.CONCAT(B10, ": ", C10)</f>
        <v>Cleaning &amp; Maintenance: Worker</v>
      </c>
      <c r="C622" s="20" t="n">
        <f aca="false">X10</f>
        <v>12.9</v>
      </c>
      <c r="D622" s="20" t="n">
        <f aca="false">AD10</f>
        <v>12.5</v>
      </c>
      <c r="E622" s="20" t="n">
        <f aca="false">AJ10</f>
        <v>11.4</v>
      </c>
      <c r="F622" s="20" t="n">
        <f aca="false">AP10</f>
        <v>13</v>
      </c>
    </row>
    <row r="623" customFormat="false" ht="12.8" hidden="false" customHeight="false" outlineLevel="0" collapsed="false">
      <c r="A623" s="1" t="str">
        <f aca="false">_xlfn.CONCAT($A$613, ".", A11)</f>
        <v>AR.5.8</v>
      </c>
      <c r="B623" s="7" t="str">
        <f aca="false">_xlfn.CONCAT(B11, ": ", C11)</f>
        <v>Cleaning &amp; Maintenance: Support</v>
      </c>
      <c r="C623" s="20" t="n">
        <f aca="false">X11</f>
        <v>10.1</v>
      </c>
      <c r="D623" s="20" t="n">
        <f aca="false">AD11</f>
        <v>9.7</v>
      </c>
      <c r="E623" s="20" t="n">
        <f aca="false">AJ11</f>
        <v>8.9</v>
      </c>
      <c r="F623" s="20" t="n">
        <f aca="false">AP11</f>
        <v>10.1</v>
      </c>
    </row>
    <row r="624" customFormat="false" ht="12.8" hidden="false" customHeight="false" outlineLevel="0" collapsed="false">
      <c r="A624" s="1" t="str">
        <f aca="false">_xlfn.CONCAT($A$613, ".", A12)</f>
        <v>AR.5.9</v>
      </c>
      <c r="B624" s="7" t="str">
        <f aca="false">_xlfn.CONCAT(B12, ": ", C12)</f>
        <v>Manufacturing: Worker</v>
      </c>
      <c r="C624" s="20" t="n">
        <f aca="false">X12</f>
        <v>20.9</v>
      </c>
      <c r="D624" s="20" t="n">
        <f aca="false">AD12</f>
        <v>20.2</v>
      </c>
      <c r="E624" s="20" t="n">
        <f aca="false">AJ12</f>
        <v>19.3</v>
      </c>
      <c r="F624" s="20" t="n">
        <f aca="false">AP12</f>
        <v>21</v>
      </c>
    </row>
    <row r="625" customFormat="false" ht="12.8" hidden="false" customHeight="false" outlineLevel="0" collapsed="false">
      <c r="A625" s="1" t="str">
        <f aca="false">_xlfn.CONCAT($A$613, ".", A13)</f>
        <v>AR.5.10</v>
      </c>
      <c r="B625" s="7" t="str">
        <f aca="false">_xlfn.CONCAT(B13, ": ", C13)</f>
        <v>Manufacturing: Support</v>
      </c>
      <c r="C625" s="20" t="n">
        <f aca="false">X13</f>
        <v>19.2</v>
      </c>
      <c r="D625" s="20" t="n">
        <f aca="false">AD13</f>
        <v>18.5</v>
      </c>
      <c r="E625" s="20" t="n">
        <f aca="false">AJ13</f>
        <v>17.8</v>
      </c>
      <c r="F625" s="20" t="n">
        <f aca="false">AP13</f>
        <v>19.3</v>
      </c>
    </row>
    <row r="626" customFormat="false" ht="12.8" hidden="false" customHeight="false" outlineLevel="0" collapsed="false">
      <c r="A626" s="1" t="str">
        <f aca="false">_xlfn.CONCAT($A$613, ".", A14)</f>
        <v>AR.5.11</v>
      </c>
      <c r="B626" s="7" t="str">
        <f aca="false">_xlfn.CONCAT(B14, ": ", C14)</f>
        <v>Transportation &amp; Warehousing: Worker</v>
      </c>
      <c r="C626" s="20" t="n">
        <f aca="false">X14</f>
        <v>21.9</v>
      </c>
      <c r="D626" s="20" t="n">
        <f aca="false">AD14</f>
        <v>21.1</v>
      </c>
      <c r="E626" s="20" t="n">
        <f aca="false">AJ14</f>
        <v>20.5</v>
      </c>
      <c r="F626" s="20" t="n">
        <f aca="false">AP14</f>
        <v>22</v>
      </c>
    </row>
    <row r="627" customFormat="false" ht="12.8" hidden="false" customHeight="false" outlineLevel="0" collapsed="false">
      <c r="A627" s="1" t="str">
        <f aca="false">_xlfn.CONCAT($A$613, ".", A15)</f>
        <v>AR.5.12</v>
      </c>
      <c r="B627" s="7" t="str">
        <f aca="false">_xlfn.CONCAT(B15, ": ", C15)</f>
        <v>Transportation &amp; Warehousing: Support</v>
      </c>
      <c r="C627" s="20" t="n">
        <f aca="false">X15</f>
        <v>19.7</v>
      </c>
      <c r="D627" s="20" t="n">
        <f aca="false">AD15</f>
        <v>19</v>
      </c>
      <c r="E627" s="20" t="n">
        <f aca="false">AJ15</f>
        <v>18.4</v>
      </c>
      <c r="F627" s="20" t="n">
        <f aca="false">AP15</f>
        <v>19.8</v>
      </c>
    </row>
    <row r="628" customFormat="false" ht="12.8" hidden="false" customHeight="false" outlineLevel="0" collapsed="false">
      <c r="A628" s="1" t="str">
        <f aca="false">_xlfn.CONCAT($A$613, ".", A16)</f>
        <v>AR.5.13</v>
      </c>
      <c r="B628" s="7" t="str">
        <f aca="false">_xlfn.CONCAT(B16, ": ", C16)</f>
        <v>Retail Trade: Worker</v>
      </c>
      <c r="C628" s="20" t="n">
        <f aca="false">X16</f>
        <v>15.9</v>
      </c>
      <c r="D628" s="20" t="n">
        <f aca="false">AD16</f>
        <v>15.4</v>
      </c>
      <c r="E628" s="20" t="n">
        <f aca="false">AJ16</f>
        <v>15</v>
      </c>
      <c r="F628" s="20" t="n">
        <f aca="false">AP16</f>
        <v>16</v>
      </c>
    </row>
    <row r="629" customFormat="false" ht="12.8" hidden="false" customHeight="false" outlineLevel="0" collapsed="false">
      <c r="A629" s="1" t="str">
        <f aca="false">_xlfn.CONCAT($A$613, ".", A17)</f>
        <v>AR.5.14</v>
      </c>
      <c r="B629" s="7" t="str">
        <f aca="false">_xlfn.CONCAT(B17, ": ", C17)</f>
        <v>Retail Trade: Support</v>
      </c>
      <c r="C629" s="20" t="n">
        <f aca="false">X17</f>
        <v>13.5</v>
      </c>
      <c r="D629" s="20" t="n">
        <f aca="false">AD17</f>
        <v>13.1</v>
      </c>
      <c r="E629" s="20" t="n">
        <f aca="false">AJ17</f>
        <v>12.8</v>
      </c>
      <c r="F629" s="20" t="n">
        <f aca="false">AP17</f>
        <v>13.6</v>
      </c>
    </row>
    <row r="630" customFormat="false" ht="12.8" hidden="false" customHeight="false" outlineLevel="0" collapsed="false">
      <c r="A630" s="1" t="str">
        <f aca="false">_xlfn.CONCAT($A$613, ".", A18)</f>
        <v>AR.5.15</v>
      </c>
      <c r="B630" s="7" t="str">
        <f aca="false">_xlfn.CONCAT(B18, ": ", C18)</f>
        <v>Landscaping / Groundskeeping: Worker</v>
      </c>
      <c r="C630" s="20" t="n">
        <f aca="false">X18</f>
        <v>16.9</v>
      </c>
      <c r="D630" s="20" t="n">
        <f aca="false">AD18</f>
        <v>16.3</v>
      </c>
      <c r="E630" s="20" t="n">
        <f aca="false">AJ18</f>
        <v>15</v>
      </c>
      <c r="F630" s="20" t="n">
        <f aca="false">AP18</f>
        <v>17</v>
      </c>
    </row>
    <row r="631" customFormat="false" ht="12.8" hidden="false" customHeight="false" outlineLevel="0" collapsed="false">
      <c r="A631" s="1" t="str">
        <f aca="false">_xlfn.CONCAT($A$613, ".", A19)</f>
        <v>AR.5.16</v>
      </c>
      <c r="B631" s="7" t="str">
        <f aca="false">_xlfn.CONCAT(B19, ": ", C19)</f>
        <v>Landscaping / Groundskeeping: Support</v>
      </c>
      <c r="C631" s="20" t="n">
        <f aca="false">X19</f>
        <v>13.5</v>
      </c>
      <c r="D631" s="20" t="n">
        <f aca="false">AD19</f>
        <v>13.1</v>
      </c>
      <c r="E631" s="20" t="n">
        <f aca="false">AJ19</f>
        <v>12</v>
      </c>
      <c r="F631" s="20" t="n">
        <f aca="false">AP19</f>
        <v>13.6</v>
      </c>
    </row>
    <row r="632" customFormat="false" ht="12.8" hidden="false" customHeight="false" outlineLevel="0" collapsed="false">
      <c r="A632" s="1" t="str">
        <f aca="false">_xlfn.CONCAT($A$613, ".", A20)</f>
        <v>AR.5.17</v>
      </c>
      <c r="B632" s="7" t="str">
        <f aca="false">_xlfn.CONCAT(B20, ": ", C20)</f>
        <v>Automotive &amp; Repair: Worker</v>
      </c>
      <c r="C632" s="20" t="n">
        <f aca="false">X20</f>
        <v>22.9</v>
      </c>
      <c r="D632" s="20" t="n">
        <f aca="false">AD20</f>
        <v>22.1</v>
      </c>
      <c r="E632" s="20" t="n">
        <f aca="false">AJ20</f>
        <v>21.4</v>
      </c>
      <c r="F632" s="20" t="n">
        <f aca="false">AP20</f>
        <v>23</v>
      </c>
    </row>
    <row r="633" customFormat="false" ht="12.8" hidden="false" customHeight="false" outlineLevel="0" collapsed="false">
      <c r="A633" s="1" t="str">
        <f aca="false">_xlfn.CONCAT($A$613, ".", A21)</f>
        <v>AR.5.18</v>
      </c>
      <c r="B633" s="7" t="str">
        <f aca="false">_xlfn.CONCAT(B21, ": ", C21)</f>
        <v>Automotive &amp; Repair: Support</v>
      </c>
      <c r="C633" s="20" t="n">
        <f aca="false">X21</f>
        <v>20.2</v>
      </c>
      <c r="D633" s="20" t="n">
        <f aca="false">AD21</f>
        <v>19.4</v>
      </c>
      <c r="E633" s="20" t="n">
        <f aca="false">AJ21</f>
        <v>18.8</v>
      </c>
      <c r="F633" s="20" t="n">
        <f aca="false">AP21</f>
        <v>20.2</v>
      </c>
    </row>
    <row r="634" customFormat="false" ht="12.8" hidden="false" customHeight="false" outlineLevel="0" collapsed="false">
      <c r="A634" s="1" t="str">
        <f aca="false">_xlfn.CONCAT($A$613, ".", A22)</f>
        <v>AR.5.19</v>
      </c>
      <c r="B634" s="7" t="str">
        <f aca="false">_xlfn.CONCAT(B22, ": ", C22)</f>
        <v>Other Services: Worker</v>
      </c>
      <c r="C634" s="20" t="n">
        <f aca="false">X22</f>
        <v>12.9</v>
      </c>
      <c r="D634" s="20" t="n">
        <f aca="false">AD22</f>
        <v>12.5</v>
      </c>
      <c r="E634" s="20" t="n">
        <f aca="false">AJ22</f>
        <v>11.8</v>
      </c>
      <c r="F634" s="20" t="n">
        <f aca="false">AP22</f>
        <v>13</v>
      </c>
    </row>
    <row r="635" customFormat="false" ht="12.8" hidden="false" customHeight="false" outlineLevel="0" collapsed="false">
      <c r="A635" s="1" t="str">
        <f aca="false">_xlfn.CONCAT($A$613, ".", A23)</f>
        <v>AR.5.20</v>
      </c>
      <c r="B635" s="7" t="str">
        <f aca="false">_xlfn.CONCAT(B23, ": ", C23)</f>
        <v>Other Services: Support</v>
      </c>
      <c r="C635" s="20" t="n">
        <f aca="false">X23</f>
        <v>11.1</v>
      </c>
      <c r="D635" s="20" t="n">
        <f aca="false">AD23</f>
        <v>10.7</v>
      </c>
      <c r="E635" s="20" t="n">
        <f aca="false">AJ23</f>
        <v>10.2</v>
      </c>
      <c r="F635" s="20" t="n">
        <f aca="false">AP23</f>
        <v>11.2</v>
      </c>
    </row>
    <row r="636" customFormat="false" ht="12.8" hidden="false" customHeight="false" outlineLevel="0" collapsed="false">
      <c r="A636" s="1"/>
      <c r="B636" s="7"/>
      <c r="C636" s="20"/>
      <c r="D636" s="20"/>
      <c r="E636" s="20"/>
      <c r="F636" s="20"/>
    </row>
    <row r="637" customFormat="false" ht="12.8" hidden="false" customHeight="false" outlineLevel="0" collapsed="false">
      <c r="A637" s="1"/>
      <c r="B637" s="7"/>
      <c r="C637" s="20"/>
      <c r="D637" s="20"/>
      <c r="E637" s="20"/>
      <c r="F637" s="20"/>
    </row>
    <row r="638" customFormat="false" ht="12.8" hidden="false" customHeight="false" outlineLevel="0" collapsed="false">
      <c r="A638" s="1"/>
      <c r="B638" s="7"/>
      <c r="C638" s="20"/>
      <c r="D638" s="20"/>
      <c r="E638" s="20"/>
      <c r="F638" s="20"/>
    </row>
    <row r="733" customFormat="false" ht="12.8" hidden="false" customHeight="false" outlineLevel="0" collapsed="false">
      <c r="A733" s="5" t="s">
        <v>153</v>
      </c>
      <c r="B733" s="24" t="s">
        <v>146</v>
      </c>
      <c r="C733" s="27" t="s">
        <v>136</v>
      </c>
    </row>
    <row r="734" customFormat="false" ht="46.25" hidden="false" customHeight="false" outlineLevel="0" collapsed="false">
      <c r="A734" s="5" t="s">
        <v>24</v>
      </c>
      <c r="B734" s="5" t="str">
        <f aca="false">_xlfn.CONCAT(B2, ": ", C2)</f>
        <v>Industry: Role</v>
      </c>
      <c r="C734" s="31" t="str">
        <f aca="false">AA2</f>
        <v>Annual Income ($)</v>
      </c>
      <c r="D734" s="31" t="str">
        <f aca="false">AG2</f>
        <v>Authorized Immigrant Annual Income Average ($)</v>
      </c>
      <c r="E734" s="31" t="str">
        <f aca="false">AM2</f>
        <v>Unauthorized Immigrant Annual Income Average ($)</v>
      </c>
      <c r="F734" s="31" t="str">
        <f aca="false">AS2</f>
        <v>American Annual Income Average ($)</v>
      </c>
    </row>
    <row r="735" customFormat="false" ht="12.8" hidden="false" customHeight="false" outlineLevel="0" collapsed="false">
      <c r="A735" s="1" t="str">
        <f aca="false">_xlfn.CONCAT($A$733, ".", A3)</f>
        <v>AR.6.0</v>
      </c>
      <c r="B735" s="5" t="str">
        <f aca="false">_xlfn.CONCAT(B3, ": ", C3)</f>
        <v>All Industries: All Roles</v>
      </c>
      <c r="C735" s="31" t="n">
        <f aca="false">AA3</f>
        <v>61350</v>
      </c>
      <c r="D735" s="31" t="n">
        <f aca="false">AG3</f>
        <v>58236</v>
      </c>
      <c r="E735" s="31" t="n">
        <f aca="false">AM3</f>
        <v>50660</v>
      </c>
      <c r="F735" s="31" t="n">
        <f aca="false">AS3</f>
        <v>61901</v>
      </c>
    </row>
    <row r="736" customFormat="false" ht="12.8" hidden="false" customHeight="false" outlineLevel="0" collapsed="false">
      <c r="A736" s="1" t="str">
        <f aca="false">_xlfn.CONCAT($A$733, ".", A4)</f>
        <v>AR.6.1</v>
      </c>
      <c r="B736" s="7" t="str">
        <f aca="false">_xlfn.CONCAT(B4, ": ", C4)</f>
        <v>Agriculture: Worker</v>
      </c>
      <c r="C736" s="31" t="n">
        <f aca="false">AA4</f>
        <v>39128</v>
      </c>
      <c r="D736" s="31" t="n">
        <f aca="false">AG4</f>
        <v>37180</v>
      </c>
      <c r="E736" s="31" t="n">
        <f aca="false">AM4</f>
        <v>31241</v>
      </c>
      <c r="F736" s="31" t="n">
        <f aca="false">AS4</f>
        <v>39520</v>
      </c>
    </row>
    <row r="737" customFormat="false" ht="12.8" hidden="false" customHeight="false" outlineLevel="0" collapsed="false">
      <c r="A737" s="1" t="str">
        <f aca="false">_xlfn.CONCAT($A$733, ".", A5)</f>
        <v>AR.6.2</v>
      </c>
      <c r="B737" s="7" t="str">
        <f aca="false">_xlfn.CONCAT(B5, ": ", C5)</f>
        <v>Agriculture: Support</v>
      </c>
      <c r="C737" s="31" t="n">
        <f aca="false">AA5</f>
        <v>33259</v>
      </c>
      <c r="D737" s="31" t="n">
        <f aca="false">AG5</f>
        <v>31603</v>
      </c>
      <c r="E737" s="31" t="n">
        <f aca="false">AM5</f>
        <v>26554</v>
      </c>
      <c r="F737" s="31" t="n">
        <f aca="false">AS5</f>
        <v>33592</v>
      </c>
    </row>
    <row r="738" customFormat="false" ht="12.8" hidden="false" customHeight="false" outlineLevel="0" collapsed="false">
      <c r="A738" s="1" t="str">
        <f aca="false">_xlfn.CONCAT($A$733, ".", A6)</f>
        <v>AR.6.3</v>
      </c>
      <c r="B738" s="7" t="str">
        <f aca="false">_xlfn.CONCAT(B6, ": ", C6)</f>
        <v>Construction: Worker</v>
      </c>
      <c r="C738" s="31" t="n">
        <f aca="false">AA6</f>
        <v>49459</v>
      </c>
      <c r="D738" s="31" t="n">
        <f aca="false">AG6</f>
        <v>46965</v>
      </c>
      <c r="E738" s="31" t="n">
        <f aca="false">AM6</f>
        <v>40390</v>
      </c>
      <c r="F738" s="31" t="n">
        <f aca="false">AS6</f>
        <v>49920</v>
      </c>
    </row>
    <row r="739" customFormat="false" ht="12.8" hidden="false" customHeight="false" outlineLevel="0" collapsed="false">
      <c r="A739" s="1" t="str">
        <f aca="false">_xlfn.CONCAT($A$733, ".", A7)</f>
        <v>AR.6.4</v>
      </c>
      <c r="B739" s="7" t="str">
        <f aca="false">_xlfn.CONCAT(B7, ": ", C7)</f>
        <v>Construction: Support</v>
      </c>
      <c r="C739" s="31" t="n">
        <f aca="false">AA7</f>
        <v>39567</v>
      </c>
      <c r="D739" s="31" t="n">
        <f aca="false">AG7</f>
        <v>37572</v>
      </c>
      <c r="E739" s="31" t="n">
        <f aca="false">AM7</f>
        <v>32312</v>
      </c>
      <c r="F739" s="31" t="n">
        <f aca="false">AS7</f>
        <v>39936</v>
      </c>
    </row>
    <row r="740" customFormat="false" ht="12.8" hidden="false" customHeight="false" outlineLevel="0" collapsed="false">
      <c r="A740" s="1" t="str">
        <f aca="false">_xlfn.CONCAT($A$733, ".", A8)</f>
        <v>AR.6.5</v>
      </c>
      <c r="B740" s="7" t="str">
        <f aca="false">_xlfn.CONCAT(B8, ": ", C8)</f>
        <v>Hospitality: Worker</v>
      </c>
      <c r="C740" s="31" t="n">
        <f aca="false">AA8</f>
        <v>28880</v>
      </c>
      <c r="D740" s="31" t="n">
        <f aca="false">AG8</f>
        <v>27396</v>
      </c>
      <c r="E740" s="31" t="n">
        <f aca="false">AM8</f>
        <v>24373</v>
      </c>
      <c r="F740" s="31" t="n">
        <f aca="false">AS8</f>
        <v>29120</v>
      </c>
    </row>
    <row r="741" customFormat="false" ht="12.8" hidden="false" customHeight="false" outlineLevel="0" collapsed="false">
      <c r="A741" s="1" t="str">
        <f aca="false">_xlfn.CONCAT($A$733, ".", A9)</f>
        <v>AR.6.6</v>
      </c>
      <c r="B741" s="7" t="str">
        <f aca="false">_xlfn.CONCAT(B9, ": ", C9)</f>
        <v>Hospitality: Support</v>
      </c>
      <c r="C741" s="31" t="n">
        <f aca="false">AA9</f>
        <v>23104</v>
      </c>
      <c r="D741" s="31" t="n">
        <f aca="false">AG9</f>
        <v>21917</v>
      </c>
      <c r="E741" s="31" t="n">
        <f aca="false">AM9</f>
        <v>19499</v>
      </c>
      <c r="F741" s="31" t="n">
        <f aca="false">AS9</f>
        <v>23296</v>
      </c>
    </row>
    <row r="742" customFormat="false" ht="12.8" hidden="false" customHeight="false" outlineLevel="0" collapsed="false">
      <c r="A742" s="1" t="str">
        <f aca="false">_xlfn.CONCAT($A$733, ".", A10)</f>
        <v>AR.6.7</v>
      </c>
      <c r="B742" s="7" t="str">
        <f aca="false">_xlfn.CONCAT(B10, ": ", C10)</f>
        <v>Cleaning &amp; Maintenance: Worker</v>
      </c>
      <c r="C742" s="31" t="n">
        <f aca="false">AA10</f>
        <v>26799</v>
      </c>
      <c r="D742" s="31" t="n">
        <f aca="false">AG10</f>
        <v>25439</v>
      </c>
      <c r="E742" s="31" t="n">
        <f aca="false">AM10</f>
        <v>22130</v>
      </c>
      <c r="F742" s="31" t="n">
        <f aca="false">AS10</f>
        <v>27040</v>
      </c>
    </row>
    <row r="743" customFormat="false" ht="12.8" hidden="false" customHeight="false" outlineLevel="0" collapsed="false">
      <c r="A743" s="1" t="str">
        <f aca="false">_xlfn.CONCAT($A$733, ".", A11)</f>
        <v>AR.6.8</v>
      </c>
      <c r="B743" s="7" t="str">
        <f aca="false">_xlfn.CONCAT(B11, ": ", C11)</f>
        <v>Cleaning &amp; Maintenance: Support</v>
      </c>
      <c r="C743" s="31" t="n">
        <f aca="false">AA11</f>
        <v>20903</v>
      </c>
      <c r="D743" s="31" t="n">
        <f aca="false">AG11</f>
        <v>19843</v>
      </c>
      <c r="E743" s="31" t="n">
        <f aca="false">AM11</f>
        <v>17261</v>
      </c>
      <c r="F743" s="31" t="n">
        <f aca="false">AS11</f>
        <v>21091</v>
      </c>
    </row>
    <row r="744" customFormat="false" ht="12.8" hidden="false" customHeight="false" outlineLevel="0" collapsed="false">
      <c r="A744" s="1" t="str">
        <f aca="false">_xlfn.CONCAT($A$733, ".", A12)</f>
        <v>AR.6.9</v>
      </c>
      <c r="B744" s="7" t="str">
        <f aca="false">_xlfn.CONCAT(B12, ": ", C12)</f>
        <v>Manufacturing: Worker</v>
      </c>
      <c r="C744" s="31" t="n">
        <f aca="false">AA12</f>
        <v>43350</v>
      </c>
      <c r="D744" s="31" t="n">
        <f aca="false">AG12</f>
        <v>41094</v>
      </c>
      <c r="E744" s="31" t="n">
        <f aca="false">AM12</f>
        <v>37373</v>
      </c>
      <c r="F744" s="31" t="n">
        <f aca="false">AS12</f>
        <v>43680</v>
      </c>
    </row>
    <row r="745" customFormat="false" ht="12.8" hidden="false" customHeight="false" outlineLevel="0" collapsed="false">
      <c r="A745" s="1" t="str">
        <f aca="false">_xlfn.CONCAT($A$733, ".", A13)</f>
        <v>AR.6.10</v>
      </c>
      <c r="B745" s="7" t="str">
        <f aca="false">_xlfn.CONCAT(B13, ": ", C13)</f>
        <v>Manufacturing: Support</v>
      </c>
      <c r="C745" s="31" t="n">
        <f aca="false">AA13</f>
        <v>39882</v>
      </c>
      <c r="D745" s="31" t="n">
        <f aca="false">AG13</f>
        <v>37807</v>
      </c>
      <c r="E745" s="31" t="n">
        <f aca="false">AM13</f>
        <v>34383</v>
      </c>
      <c r="F745" s="31" t="n">
        <f aca="false">AS13</f>
        <v>40186</v>
      </c>
    </row>
    <row r="746" customFormat="false" ht="12.8" hidden="false" customHeight="false" outlineLevel="0" collapsed="false">
      <c r="A746" s="1" t="str">
        <f aca="false">_xlfn.CONCAT($A$733, ".", A14)</f>
        <v>AR.6.11</v>
      </c>
      <c r="B746" s="7" t="str">
        <f aca="false">_xlfn.CONCAT(B14, ": ", C14)</f>
        <v>Transportation &amp; Warehousing: Worker</v>
      </c>
      <c r="C746" s="31" t="n">
        <f aca="false">AA14</f>
        <v>45429</v>
      </c>
      <c r="D746" s="31" t="n">
        <f aca="false">AG14</f>
        <v>43051</v>
      </c>
      <c r="E746" s="31" t="n">
        <f aca="false">AM14</f>
        <v>39578</v>
      </c>
      <c r="F746" s="31" t="n">
        <f aca="false">AS14</f>
        <v>45760</v>
      </c>
    </row>
    <row r="747" customFormat="false" ht="12.8" hidden="false" customHeight="false" outlineLevel="0" collapsed="false">
      <c r="A747" s="1" t="str">
        <f aca="false">_xlfn.CONCAT($A$733, ".", A15)</f>
        <v>AR.6.12</v>
      </c>
      <c r="B747" s="7" t="str">
        <f aca="false">_xlfn.CONCAT(B15, ": ", C15)</f>
        <v>Transportation &amp; Warehousing: Support</v>
      </c>
      <c r="C747" s="31" t="n">
        <f aca="false">AA15</f>
        <v>40886</v>
      </c>
      <c r="D747" s="31" t="n">
        <f aca="false">AG15</f>
        <v>38746</v>
      </c>
      <c r="E747" s="31" t="n">
        <f aca="false">AM15</f>
        <v>35620</v>
      </c>
      <c r="F747" s="31" t="n">
        <f aca="false">AS15</f>
        <v>41184</v>
      </c>
    </row>
    <row r="748" customFormat="false" ht="12.8" hidden="false" customHeight="false" outlineLevel="0" collapsed="false">
      <c r="A748" s="1" t="str">
        <f aca="false">_xlfn.CONCAT($A$733, ".", A16)</f>
        <v>AR.6.13</v>
      </c>
      <c r="B748" s="7" t="str">
        <f aca="false">_xlfn.CONCAT(B16, ": ", C16)</f>
        <v>Retail Trade: Worker</v>
      </c>
      <c r="C748" s="31" t="n">
        <f aca="false">AA16</f>
        <v>33050</v>
      </c>
      <c r="D748" s="31" t="n">
        <f aca="false">AG16</f>
        <v>31310</v>
      </c>
      <c r="E748" s="31" t="n">
        <f aca="false">AM16</f>
        <v>29093</v>
      </c>
      <c r="F748" s="31" t="n">
        <f aca="false">AS16</f>
        <v>33280</v>
      </c>
    </row>
    <row r="749" customFormat="false" ht="12.8" hidden="false" customHeight="false" outlineLevel="0" collapsed="false">
      <c r="A749" s="1" t="str">
        <f aca="false">_xlfn.CONCAT($A$733, ".", A17)</f>
        <v>AR.6.14</v>
      </c>
      <c r="B749" s="7" t="str">
        <f aca="false">_xlfn.CONCAT(B17, ": ", C17)</f>
        <v>Retail Trade: Support</v>
      </c>
      <c r="C749" s="31" t="n">
        <f aca="false">AA17</f>
        <v>28093</v>
      </c>
      <c r="D749" s="31" t="n">
        <f aca="false">AG17</f>
        <v>26613</v>
      </c>
      <c r="E749" s="31" t="n">
        <f aca="false">AM17</f>
        <v>24729</v>
      </c>
      <c r="F749" s="31" t="n">
        <f aca="false">AS17</f>
        <v>28288</v>
      </c>
    </row>
    <row r="750" customFormat="false" ht="12.8" hidden="false" customHeight="false" outlineLevel="0" collapsed="false">
      <c r="A750" s="1" t="str">
        <f aca="false">_xlfn.CONCAT($A$733, ".", A18)</f>
        <v>AR.6.15</v>
      </c>
      <c r="B750" s="7" t="str">
        <f aca="false">_xlfn.CONCAT(B18, ": ", C18)</f>
        <v>Landscaping / Groundskeeping: Worker</v>
      </c>
      <c r="C750" s="31" t="n">
        <f aca="false">AA18</f>
        <v>35045</v>
      </c>
      <c r="D750" s="31" t="n">
        <f aca="false">AG18</f>
        <v>33267</v>
      </c>
      <c r="E750" s="31" t="n">
        <f aca="false">AM18</f>
        <v>28939</v>
      </c>
      <c r="F750" s="31" t="n">
        <f aca="false">AS18</f>
        <v>35360</v>
      </c>
    </row>
    <row r="751" customFormat="false" ht="12.8" hidden="false" customHeight="false" outlineLevel="0" collapsed="false">
      <c r="A751" s="1" t="str">
        <f aca="false">_xlfn.CONCAT($A$733, ".", A19)</f>
        <v>AR.6.16</v>
      </c>
      <c r="B751" s="7" t="str">
        <f aca="false">_xlfn.CONCAT(B19, ": ", C19)</f>
        <v>Landscaping / Groundskeeping: Support</v>
      </c>
      <c r="C751" s="31" t="n">
        <f aca="false">AA19</f>
        <v>28036</v>
      </c>
      <c r="D751" s="31" t="n">
        <f aca="false">AG19</f>
        <v>26613</v>
      </c>
      <c r="E751" s="31" t="n">
        <f aca="false">AM19</f>
        <v>23151</v>
      </c>
      <c r="F751" s="31" t="n">
        <f aca="false">AS19</f>
        <v>28288</v>
      </c>
    </row>
    <row r="752" customFormat="false" ht="12.8" hidden="false" customHeight="false" outlineLevel="0" collapsed="false">
      <c r="A752" s="1" t="str">
        <f aca="false">_xlfn.CONCAT($A$733, ".", A20)</f>
        <v>AR.6.17</v>
      </c>
      <c r="B752" s="7" t="str">
        <f aca="false">_xlfn.CONCAT(B20, ": ", C20)</f>
        <v>Automotive &amp; Repair: Worker</v>
      </c>
      <c r="C752" s="31" t="n">
        <f aca="false">AA20</f>
        <v>47494</v>
      </c>
      <c r="D752" s="31" t="n">
        <f aca="false">AG20</f>
        <v>45008</v>
      </c>
      <c r="E752" s="31" t="n">
        <f aca="false">AM20</f>
        <v>41377</v>
      </c>
      <c r="F752" s="31" t="n">
        <f aca="false">AS20</f>
        <v>47840</v>
      </c>
    </row>
    <row r="753" customFormat="false" ht="12.8" hidden="false" customHeight="false" outlineLevel="0" collapsed="false">
      <c r="A753" s="1" t="str">
        <f aca="false">_xlfn.CONCAT($A$733, ".", A21)</f>
        <v>AR.6.18</v>
      </c>
      <c r="B753" s="7" t="str">
        <f aca="false">_xlfn.CONCAT(B21, ": ", C21)</f>
        <v>Automotive &amp; Repair: Support</v>
      </c>
      <c r="C753" s="31" t="n">
        <f aca="false">AA21</f>
        <v>41795</v>
      </c>
      <c r="D753" s="31" t="n">
        <f aca="false">AG21</f>
        <v>39607</v>
      </c>
      <c r="E753" s="31" t="n">
        <f aca="false">AM21</f>
        <v>36412</v>
      </c>
      <c r="F753" s="31" t="n">
        <f aca="false">AS21</f>
        <v>42099</v>
      </c>
    </row>
    <row r="754" customFormat="false" ht="12.8" hidden="false" customHeight="false" outlineLevel="0" collapsed="false">
      <c r="A754" s="1" t="str">
        <f aca="false">_xlfn.CONCAT($A$733, ".", A22)</f>
        <v>AR.6.19</v>
      </c>
      <c r="B754" s="7" t="str">
        <f aca="false">_xlfn.CONCAT(B22, ": ", C22)</f>
        <v>Other Services: Worker</v>
      </c>
      <c r="C754" s="31" t="n">
        <f aca="false">AA22</f>
        <v>26826</v>
      </c>
      <c r="D754" s="31" t="n">
        <f aca="false">AG22</f>
        <v>25439</v>
      </c>
      <c r="E754" s="31" t="n">
        <f aca="false">AM22</f>
        <v>22884</v>
      </c>
      <c r="F754" s="31" t="n">
        <f aca="false">AS22</f>
        <v>27040</v>
      </c>
    </row>
    <row r="755" customFormat="false" ht="12.8" hidden="false" customHeight="false" outlineLevel="0" collapsed="false">
      <c r="A755" s="1" t="str">
        <f aca="false">_xlfn.CONCAT($A$733, ".", A23)</f>
        <v>AR.6.20</v>
      </c>
      <c r="B755" s="7" t="str">
        <f aca="false">_xlfn.CONCAT(B23, ": ", C23)</f>
        <v>Other Services: Support</v>
      </c>
      <c r="C755" s="31" t="n">
        <f aca="false">AA23</f>
        <v>23070</v>
      </c>
      <c r="D755" s="31" t="n">
        <f aca="false">AG23</f>
        <v>21878</v>
      </c>
      <c r="E755" s="31" t="n">
        <f aca="false">AM23</f>
        <v>19680</v>
      </c>
      <c r="F755" s="31" t="n">
        <f aca="false">AS23</f>
        <v>23254</v>
      </c>
    </row>
    <row r="756" customFormat="false" ht="12.8" hidden="false" customHeight="false" outlineLevel="0" collapsed="false">
      <c r="A756" s="1"/>
      <c r="B756" s="7"/>
      <c r="C756" s="31"/>
      <c r="D756" s="31"/>
      <c r="E756" s="31"/>
      <c r="F756" s="31"/>
    </row>
    <row r="757" customFormat="false" ht="12.8" hidden="false" customHeight="false" outlineLevel="0" collapsed="false">
      <c r="A757" s="1"/>
      <c r="B757" s="7"/>
      <c r="C757" s="31"/>
      <c r="D757" s="31"/>
      <c r="E757" s="31"/>
      <c r="F757" s="31"/>
    </row>
    <row r="758" customFormat="false" ht="12.8" hidden="false" customHeight="false" outlineLevel="0" collapsed="false">
      <c r="A758" s="1"/>
      <c r="B758" s="7"/>
      <c r="C758" s="31"/>
      <c r="D758" s="31"/>
      <c r="E758" s="31"/>
      <c r="F758" s="31"/>
    </row>
    <row r="854" customFormat="false" ht="12.8" hidden="false" customHeight="false" outlineLevel="0" collapsed="false">
      <c r="A854" s="5" t="s">
        <v>154</v>
      </c>
      <c r="B854" s="24" t="s">
        <v>146</v>
      </c>
      <c r="C854" s="27" t="s">
        <v>138</v>
      </c>
    </row>
    <row r="855" customFormat="false" ht="46.25" hidden="false" customHeight="false" outlineLevel="0" collapsed="false">
      <c r="A855" s="5" t="s">
        <v>24</v>
      </c>
      <c r="B855" s="5" t="str">
        <f aca="false">_xlfn.CONCAT(B2, ": ", C2)</f>
        <v>Industry: Role</v>
      </c>
      <c r="C855" s="32" t="str">
        <f aca="false">AV2</f>
        <v>Federal Personal Income Tax Revenue ($)</v>
      </c>
      <c r="D855" s="32" t="str">
        <f aca="false">AW2</f>
        <v>Authorized Immigrant Federal Personal Income Tax Revenue ($)</v>
      </c>
      <c r="E855" s="32" t="str">
        <f aca="false">AX2</f>
        <v>Unauthorized Immigrant Federal Personal Income Tax Revenue ($)</v>
      </c>
      <c r="F855" s="32" t="str">
        <f aca="false">AY2</f>
        <v>American Federal Personal Income Tax Revenue ($)</v>
      </c>
    </row>
    <row r="856" customFormat="false" ht="12.8" hidden="false" customHeight="false" outlineLevel="0" collapsed="false">
      <c r="A856" s="7" t="str">
        <f aca="false">_xlfn.CONCAT($A$854, ".", A3)</f>
        <v>AR.7.0</v>
      </c>
      <c r="B856" s="7" t="str">
        <f aca="false">_xlfn.CONCAT(B3, ": ", C3)</f>
        <v>All Industries: All Roles</v>
      </c>
      <c r="C856" s="32" t="n">
        <f aca="false">AV3</f>
        <v>731767331</v>
      </c>
      <c r="D856" s="32" t="n">
        <f aca="false">AW3</f>
        <v>27579754</v>
      </c>
      <c r="E856" s="32" t="n">
        <f aca="false">AX3</f>
        <v>113043129</v>
      </c>
      <c r="F856" s="32" t="n">
        <f aca="false">AY3</f>
        <v>591144448</v>
      </c>
    </row>
    <row r="857" customFormat="false" ht="12.8" hidden="false" customHeight="false" outlineLevel="0" collapsed="false">
      <c r="A857" s="7" t="str">
        <f aca="false">_xlfn.CONCAT($A$854, ".", A4)</f>
        <v>AR.7.1</v>
      </c>
      <c r="B857" s="7" t="str">
        <f aca="false">_xlfn.CONCAT(B4, ": ", C4)</f>
        <v>Agriculture: Worker</v>
      </c>
      <c r="C857" s="32" t="n">
        <f aca="false">AV4</f>
        <v>2225262</v>
      </c>
      <c r="D857" s="32" t="n">
        <f aca="false">AW4</f>
        <v>84380</v>
      </c>
      <c r="E857" s="32" t="n">
        <f aca="false">AX4</f>
        <v>333654</v>
      </c>
      <c r="F857" s="32" t="n">
        <f aca="false">AY4</f>
        <v>1807228</v>
      </c>
    </row>
    <row r="858" customFormat="false" ht="12.8" hidden="false" customHeight="false" outlineLevel="0" collapsed="false">
      <c r="A858" s="7" t="str">
        <f aca="false">_xlfn.CONCAT($A$854, ".", A5)</f>
        <v>AR.7.2</v>
      </c>
      <c r="B858" s="7" t="str">
        <f aca="false">_xlfn.CONCAT(B5, ": ", C5)</f>
        <v>Agriculture: Support</v>
      </c>
      <c r="C858" s="32" t="n">
        <f aca="false">AV5</f>
        <v>944475</v>
      </c>
      <c r="D858" s="32" t="n">
        <f aca="false">AW5</f>
        <v>35727</v>
      </c>
      <c r="E858" s="32" t="n">
        <f aca="false">AX5</f>
        <v>141798</v>
      </c>
      <c r="F858" s="32" t="n">
        <f aca="false">AY5</f>
        <v>766950</v>
      </c>
    </row>
    <row r="859" customFormat="false" ht="12.8" hidden="false" customHeight="false" outlineLevel="0" collapsed="false">
      <c r="A859" s="7" t="str">
        <f aca="false">_xlfn.CONCAT($A$854, ".", A6)</f>
        <v>AR.7.3</v>
      </c>
      <c r="B859" s="7" t="str">
        <f aca="false">_xlfn.CONCAT(B6, ": ", C6)</f>
        <v>Construction: Worker</v>
      </c>
      <c r="C859" s="32" t="n">
        <f aca="false">AV6</f>
        <v>19600022</v>
      </c>
      <c r="D859" s="32" t="n">
        <f aca="false">AW6</f>
        <v>740121</v>
      </c>
      <c r="E859" s="32" t="n">
        <f aca="false">AX6</f>
        <v>2997988</v>
      </c>
      <c r="F859" s="32" t="n">
        <f aca="false">AY6</f>
        <v>15861913</v>
      </c>
    </row>
    <row r="860" customFormat="false" ht="12.8" hidden="false" customHeight="false" outlineLevel="0" collapsed="false">
      <c r="A860" s="7" t="str">
        <f aca="false">_xlfn.CONCAT($A$854, ".", A7)</f>
        <v>AR.7.4</v>
      </c>
      <c r="B860" s="7" t="str">
        <f aca="false">_xlfn.CONCAT(B7, ": ", C7)</f>
        <v>Construction: Support</v>
      </c>
      <c r="C860" s="32" t="n">
        <f aca="false">AV7</f>
        <v>6312258</v>
      </c>
      <c r="D860" s="32" t="n">
        <f aca="false">AW7</f>
        <v>238244</v>
      </c>
      <c r="E860" s="32" t="n">
        <f aca="false">AX7</f>
        <v>966258</v>
      </c>
      <c r="F860" s="32" t="n">
        <f aca="false">AY7</f>
        <v>5107756</v>
      </c>
    </row>
    <row r="861" customFormat="false" ht="12.8" hidden="false" customHeight="false" outlineLevel="0" collapsed="false">
      <c r="A861" s="7" t="str">
        <f aca="false">_xlfn.CONCAT($A$854, ".", A8)</f>
        <v>AR.7.5</v>
      </c>
      <c r="B861" s="7" t="str">
        <f aca="false">_xlfn.CONCAT(B8, ": ", C8)</f>
        <v>Hospitality: Worker</v>
      </c>
      <c r="C861" s="32" t="n">
        <f aca="false">AV8</f>
        <v>21881176</v>
      </c>
      <c r="D861" s="32" t="n">
        <f aca="false">AW8</f>
        <v>821784</v>
      </c>
      <c r="E861" s="32" t="n">
        <f aca="false">AX8</f>
        <v>3444685</v>
      </c>
      <c r="F861" s="32" t="n">
        <f aca="false">AY8</f>
        <v>17614707</v>
      </c>
    </row>
    <row r="862" customFormat="false" ht="12.8" hidden="false" customHeight="false" outlineLevel="0" collapsed="false">
      <c r="A862" s="7" t="str">
        <f aca="false">_xlfn.CONCAT($A$854, ".", A9)</f>
        <v>AR.7.6</v>
      </c>
      <c r="B862" s="7" t="str">
        <f aca="false">_xlfn.CONCAT(B9, ": ", C9)</f>
        <v>Hospitality: Support</v>
      </c>
      <c r="C862" s="32" t="n">
        <f aca="false">AV9</f>
        <v>9676922</v>
      </c>
      <c r="D862" s="32" t="n">
        <f aca="false">AW9</f>
        <v>363461</v>
      </c>
      <c r="E862" s="32" t="n">
        <f aca="false">AX9</f>
        <v>1523691</v>
      </c>
      <c r="F862" s="32" t="n">
        <f aca="false">AY9</f>
        <v>7789770</v>
      </c>
    </row>
    <row r="863" customFormat="false" ht="12.8" hidden="false" customHeight="false" outlineLevel="0" collapsed="false">
      <c r="A863" s="7" t="str">
        <f aca="false">_xlfn.CONCAT($A$854, ".", A10)</f>
        <v>AR.7.7</v>
      </c>
      <c r="B863" s="7" t="str">
        <f aca="false">_xlfn.CONCAT(B10, ": ", C10)</f>
        <v>Cleaning &amp; Maintenance: Worker</v>
      </c>
      <c r="C863" s="32" t="n">
        <f aca="false">AV10</f>
        <v>4285690</v>
      </c>
      <c r="D863" s="32" t="n">
        <f aca="false">AW10</f>
        <v>161525</v>
      </c>
      <c r="E863" s="32" t="n">
        <f aca="false">AX10</f>
        <v>661776</v>
      </c>
      <c r="F863" s="32" t="n">
        <f aca="false">AY10</f>
        <v>3462389</v>
      </c>
    </row>
    <row r="864" customFormat="false" ht="12.8" hidden="false" customHeight="false" outlineLevel="0" collapsed="false">
      <c r="A864" s="7" t="str">
        <f aca="false">_xlfn.CONCAT($A$854, ".", A11)</f>
        <v>AR.7.8</v>
      </c>
      <c r="B864" s="7" t="str">
        <f aca="false">_xlfn.CONCAT(B11, ": ", C11)</f>
        <v>Cleaning &amp; Maintenance: Support</v>
      </c>
      <c r="C864" s="32" t="n">
        <f aca="false">AV11</f>
        <v>1669204</v>
      </c>
      <c r="D864" s="32" t="n">
        <f aca="false">AW11</f>
        <v>62912</v>
      </c>
      <c r="E864" s="32" t="n">
        <f aca="false">AX11</f>
        <v>258086</v>
      </c>
      <c r="F864" s="32" t="n">
        <f aca="false">AY11</f>
        <v>1348206</v>
      </c>
    </row>
    <row r="865" customFormat="false" ht="12.8" hidden="false" customHeight="false" outlineLevel="0" collapsed="false">
      <c r="A865" s="7" t="str">
        <f aca="false">_xlfn.CONCAT($A$854, ".", A12)</f>
        <v>AR.7.9</v>
      </c>
      <c r="B865" s="7" t="str">
        <f aca="false">_xlfn.CONCAT(B12, ": ", C12)</f>
        <v>Manufacturing: Worker</v>
      </c>
      <c r="C865" s="32" t="n">
        <f aca="false">AV12</f>
        <v>42933085</v>
      </c>
      <c r="D865" s="32" t="n">
        <f aca="false">AW12</f>
        <v>1606775</v>
      </c>
      <c r="E865" s="32" t="n">
        <f aca="false">AX12</f>
        <v>6885228</v>
      </c>
      <c r="F865" s="32" t="n">
        <f aca="false">AY12</f>
        <v>34441082</v>
      </c>
    </row>
    <row r="866" customFormat="false" ht="12.8" hidden="false" customHeight="false" outlineLevel="0" collapsed="false">
      <c r="A866" s="7" t="str">
        <f aca="false">_xlfn.CONCAT($A$854, ".", A13)</f>
        <v>AR.7.10</v>
      </c>
      <c r="B866" s="7" t="str">
        <f aca="false">_xlfn.CONCAT(B13, ": ", C13)</f>
        <v>Manufacturing: Support</v>
      </c>
      <c r="C866" s="32" t="n">
        <f aca="false">AV13</f>
        <v>17171228</v>
      </c>
      <c r="D866" s="32" t="n">
        <f aca="false">AW13</f>
        <v>642719</v>
      </c>
      <c r="E866" s="32" t="n">
        <f aca="false">AX13</f>
        <v>2754078</v>
      </c>
      <c r="F866" s="32" t="n">
        <f aca="false">AY13</f>
        <v>13774431</v>
      </c>
    </row>
    <row r="867" customFormat="false" ht="12.8" hidden="false" customHeight="false" outlineLevel="0" collapsed="false">
      <c r="A867" s="7" t="str">
        <f aca="false">_xlfn.CONCAT($A$854, ".", A14)</f>
        <v>AR.7.11</v>
      </c>
      <c r="B867" s="7" t="str">
        <f aca="false">_xlfn.CONCAT(B14, ": ", C14)</f>
        <v>Transportation &amp; Warehousing: Worker</v>
      </c>
      <c r="C867" s="32" t="n">
        <f aca="false">AV14</f>
        <v>16788150</v>
      </c>
      <c r="D867" s="32" t="n">
        <f aca="false">AW14</f>
        <v>627210</v>
      </c>
      <c r="E867" s="32" t="n">
        <f aca="false">AX14</f>
        <v>2717564</v>
      </c>
      <c r="F867" s="32" t="n">
        <f aca="false">AY14</f>
        <v>13443376</v>
      </c>
    </row>
    <row r="868" customFormat="false" ht="12.8" hidden="false" customHeight="false" outlineLevel="0" collapsed="false">
      <c r="A868" s="7" t="str">
        <f aca="false">_xlfn.CONCAT($A$854, ".", A15)</f>
        <v>AR.7.12</v>
      </c>
      <c r="B868" s="7" t="str">
        <f aca="false">_xlfn.CONCAT(B15, ": ", C15)</f>
        <v>Transportation &amp; Warehousing: Support</v>
      </c>
      <c r="C868" s="32" t="n">
        <f aca="false">AV15</f>
        <v>2520562</v>
      </c>
      <c r="D868" s="32" t="n">
        <f aca="false">AW15</f>
        <v>94192</v>
      </c>
      <c r="E868" s="32" t="n">
        <f aca="false">AX15</f>
        <v>407368</v>
      </c>
      <c r="F868" s="32" t="n">
        <f aca="false">AY15</f>
        <v>2019002</v>
      </c>
    </row>
    <row r="869" customFormat="false" ht="12.8" hidden="false" customHeight="false" outlineLevel="0" collapsed="false">
      <c r="A869" s="7" t="str">
        <f aca="false">_xlfn.CONCAT($A$854, ".", A16)</f>
        <v>AR.7.13</v>
      </c>
      <c r="B869" s="7" t="str">
        <f aca="false">_xlfn.CONCAT(B16, ": ", C16)</f>
        <v>Retail Trade: Worker</v>
      </c>
      <c r="C869" s="32" t="n">
        <f aca="false">AV16</f>
        <v>26653106</v>
      </c>
      <c r="D869" s="32" t="n">
        <f aca="false">AW16</f>
        <v>994014</v>
      </c>
      <c r="E869" s="32" t="n">
        <f aca="false">AX16</f>
        <v>4352575</v>
      </c>
      <c r="F869" s="32" t="n">
        <f aca="false">AY16</f>
        <v>21306517</v>
      </c>
    </row>
    <row r="870" customFormat="false" ht="12.8" hidden="false" customHeight="false" outlineLevel="0" collapsed="false">
      <c r="A870" s="7" t="str">
        <f aca="false">_xlfn.CONCAT($A$854, ".", A17)</f>
        <v>AR.7.14</v>
      </c>
      <c r="B870" s="7" t="str">
        <f aca="false">_xlfn.CONCAT(B17, ": ", C17)</f>
        <v>Retail Trade: Support</v>
      </c>
      <c r="C870" s="32" t="n">
        <f aca="false">AV17</f>
        <v>11310153</v>
      </c>
      <c r="D870" s="32" t="n">
        <f aca="false">AW17</f>
        <v>421883</v>
      </c>
      <c r="E870" s="32" t="n">
        <f aca="false">AX17</f>
        <v>1846539</v>
      </c>
      <c r="F870" s="32" t="n">
        <f aca="false">AY17</f>
        <v>9041731</v>
      </c>
    </row>
    <row r="871" customFormat="false" ht="12.8" hidden="false" customHeight="false" outlineLevel="0" collapsed="false">
      <c r="A871" s="7" t="str">
        <f aca="false">_xlfn.CONCAT($A$854, ".", A18)</f>
        <v>AR.7.15</v>
      </c>
      <c r="B871" s="7" t="str">
        <f aca="false">_xlfn.CONCAT(B18, ": ", C18)</f>
        <v>Landscaping / Groundskeeping: Worker</v>
      </c>
      <c r="C871" s="32" t="n">
        <f aca="false">AV18</f>
        <v>2934912</v>
      </c>
      <c r="D871" s="32" t="n">
        <f aca="false">AW18</f>
        <v>110563</v>
      </c>
      <c r="E871" s="32" t="n">
        <f aca="false">AX18</f>
        <v>453300</v>
      </c>
      <c r="F871" s="32" t="n">
        <f aca="false">AY18</f>
        <v>2371049</v>
      </c>
    </row>
    <row r="872" customFormat="false" ht="12.8" hidden="false" customHeight="false" outlineLevel="0" collapsed="false">
      <c r="A872" s="7" t="str">
        <f aca="false">_xlfn.CONCAT($A$854, ".", A19)</f>
        <v>AR.7.16</v>
      </c>
      <c r="B872" s="7" t="str">
        <f aca="false">_xlfn.CONCAT(B19, ": ", C19)</f>
        <v>Landscaping / Groundskeeping: Support</v>
      </c>
      <c r="C872" s="32" t="n">
        <f aca="false">AV19</f>
        <v>1253292</v>
      </c>
      <c r="D872" s="32" t="n">
        <f aca="false">AW19</f>
        <v>47278</v>
      </c>
      <c r="E872" s="32" t="n">
        <f aca="false">AX19</f>
        <v>193681</v>
      </c>
      <c r="F872" s="32" t="n">
        <f aca="false">AY19</f>
        <v>1012333</v>
      </c>
    </row>
    <row r="873" customFormat="false" ht="12.8" hidden="false" customHeight="false" outlineLevel="0" collapsed="false">
      <c r="A873" s="7" t="str">
        <f aca="false">_xlfn.CONCAT($A$854, ".", A20)</f>
        <v>AR.7.17</v>
      </c>
      <c r="B873" s="7" t="str">
        <f aca="false">_xlfn.CONCAT(B20, ": ", C20)</f>
        <v>Automotive &amp; Repair: Worker</v>
      </c>
      <c r="C873" s="32" t="n">
        <f aca="false">AV20</f>
        <v>2731749</v>
      </c>
      <c r="D873" s="32" t="n">
        <f aca="false">AW20</f>
        <v>102146</v>
      </c>
      <c r="E873" s="32" t="n">
        <f aca="false">AX20</f>
        <v>441906</v>
      </c>
      <c r="F873" s="32" t="n">
        <f aca="false">AY20</f>
        <v>2187697</v>
      </c>
    </row>
    <row r="874" customFormat="false" ht="12.8" hidden="false" customHeight="false" outlineLevel="0" collapsed="false">
      <c r="A874" s="7" t="str">
        <f aca="false">_xlfn.CONCAT($A$854, ".", A21)</f>
        <v>AR.7.18</v>
      </c>
      <c r="B874" s="7" t="str">
        <f aca="false">_xlfn.CONCAT(B21, ": ", C21)</f>
        <v>Automotive &amp; Repair: Support</v>
      </c>
      <c r="C874" s="32" t="n">
        <f aca="false">AV21</f>
        <v>1200393</v>
      </c>
      <c r="D874" s="32" t="n">
        <f aca="false">AW21</f>
        <v>44776</v>
      </c>
      <c r="E874" s="32" t="n">
        <f aca="false">AX21</f>
        <v>194440</v>
      </c>
      <c r="F874" s="32" t="n">
        <f aca="false">AY21</f>
        <v>961177</v>
      </c>
    </row>
    <row r="875" customFormat="false" ht="12.8" hidden="false" customHeight="false" outlineLevel="0" collapsed="false">
      <c r="A875" s="7" t="str">
        <f aca="false">_xlfn.CONCAT($A$854, ".", A22)</f>
        <v>AR.7.19</v>
      </c>
      <c r="B875" s="7" t="str">
        <f aca="false">_xlfn.CONCAT(B22, ": ", C22)</f>
        <v>Other Services: Worker</v>
      </c>
      <c r="C875" s="32" t="n">
        <f aca="false">AV22</f>
        <v>9132118</v>
      </c>
      <c r="D875" s="32" t="n">
        <f aca="false">AW22</f>
        <v>342294</v>
      </c>
      <c r="E875" s="32" t="n">
        <f aca="false">AX22</f>
        <v>1451132</v>
      </c>
      <c r="F875" s="32" t="n">
        <f aca="false">AY22</f>
        <v>7338692</v>
      </c>
    </row>
    <row r="876" customFormat="false" ht="12.8" hidden="false" customHeight="false" outlineLevel="0" collapsed="false">
      <c r="A876" s="7" t="str">
        <f aca="false">_xlfn.CONCAT($A$854, ".", A23)</f>
        <v>AR.7.20</v>
      </c>
      <c r="B876" s="7" t="str">
        <f aca="false">_xlfn.CONCAT(B23, ": ", C23)</f>
        <v>Other Services: Support</v>
      </c>
      <c r="C876" s="32" t="n">
        <f aca="false">AV23</f>
        <v>5042311</v>
      </c>
      <c r="D876" s="32" t="n">
        <f aca="false">AW23</f>
        <v>189124</v>
      </c>
      <c r="E876" s="32" t="n">
        <f aca="false">AX23</f>
        <v>801320</v>
      </c>
      <c r="F876" s="32" t="n">
        <f aca="false">AY23</f>
        <v>4051867</v>
      </c>
    </row>
    <row r="877" customFormat="false" ht="12.8" hidden="false" customHeight="false" outlineLevel="0" collapsed="false">
      <c r="A877" s="7"/>
      <c r="B877" s="7"/>
      <c r="C877" s="32"/>
      <c r="D877" s="32"/>
      <c r="E877" s="32"/>
      <c r="F877" s="32"/>
    </row>
    <row r="878" customFormat="false" ht="12.8" hidden="false" customHeight="false" outlineLevel="0" collapsed="false">
      <c r="A878" s="7"/>
      <c r="B878" s="7"/>
      <c r="C878" s="32"/>
      <c r="D878" s="32"/>
      <c r="E878" s="32"/>
      <c r="F878" s="32"/>
    </row>
    <row r="879" customFormat="false" ht="12.8" hidden="false" customHeight="false" outlineLevel="0" collapsed="false">
      <c r="A879" s="7"/>
      <c r="B879" s="7"/>
      <c r="C879" s="32"/>
      <c r="D879" s="32"/>
      <c r="E879" s="32"/>
      <c r="F879" s="32"/>
    </row>
    <row r="880" customFormat="false" ht="12.8" hidden="false" customHeight="false" outlineLevel="0" collapsed="false">
      <c r="A880" s="7"/>
      <c r="B880" s="7"/>
      <c r="C880" s="32"/>
      <c r="D880" s="32"/>
      <c r="E880" s="32"/>
      <c r="F880" s="32"/>
    </row>
    <row r="972" customFormat="false" ht="12.8" hidden="false" customHeight="false" outlineLevel="0" collapsed="false">
      <c r="A972" s="5" t="s">
        <v>155</v>
      </c>
      <c r="B972" s="24" t="s">
        <v>146</v>
      </c>
      <c r="C972" s="27" t="s">
        <v>140</v>
      </c>
    </row>
    <row r="973" customFormat="false" ht="34.4" hidden="false" customHeight="false" outlineLevel="0" collapsed="false">
      <c r="A973" s="5" t="s">
        <v>24</v>
      </c>
      <c r="B973" s="5" t="str">
        <f aca="false">_xlfn.CONCAT(B2, ": ", C2)</f>
        <v>Industry: Role</v>
      </c>
      <c r="C973" s="32" t="str">
        <f aca="false">AZ2</f>
        <v>Payroll Tax Revenue ($)</v>
      </c>
      <c r="D973" s="32" t="str">
        <f aca="false">BA2</f>
        <v>Authorized Immigrant Payroll Tax Revenue ($)</v>
      </c>
      <c r="E973" s="32" t="str">
        <f aca="false">BB2</f>
        <v>Unauthorized Immigrant Payroll Tax Revenue ($)</v>
      </c>
      <c r="F973" s="32" t="str">
        <f aca="false">BC2</f>
        <v>American Payroll Tax Revenue ($)</v>
      </c>
    </row>
    <row r="974" customFormat="false" ht="12.8" hidden="false" customHeight="false" outlineLevel="0" collapsed="false">
      <c r="A974" s="7" t="str">
        <f aca="false">_xlfn.CONCAT($A$854, ".", A3)</f>
        <v>AR.7.0</v>
      </c>
      <c r="B974" s="7" t="str">
        <f aca="false">_xlfn.CONCAT(B3, ": ", C3)</f>
        <v>All Industries: All Roles</v>
      </c>
      <c r="C974" s="32" t="n">
        <f aca="false">AZ3</f>
        <v>378404205</v>
      </c>
      <c r="D974" s="32" t="n">
        <f aca="false">BA3</f>
        <v>13724984</v>
      </c>
      <c r="E974" s="32" t="n">
        <f aca="false">BB3</f>
        <v>57156638</v>
      </c>
      <c r="F974" s="32" t="n">
        <f aca="false">BC3</f>
        <v>307522583</v>
      </c>
    </row>
    <row r="975" customFormat="false" ht="12.8" hidden="false" customHeight="false" outlineLevel="0" collapsed="false">
      <c r="A975" s="7" t="str">
        <f aca="false">_xlfn.CONCAT($A$854, ".", A4)</f>
        <v>AR.7.1</v>
      </c>
      <c r="B975" s="7" t="str">
        <f aca="false">_xlfn.CONCAT(B4, ": ", C4)</f>
        <v>Agriculture: Worker</v>
      </c>
      <c r="C975" s="32" t="n">
        <f aca="false">AZ4</f>
        <v>1150840</v>
      </c>
      <c r="D975" s="32" t="n">
        <f aca="false">BA4</f>
        <v>41991</v>
      </c>
      <c r="E975" s="32" t="n">
        <f aca="false">BB4</f>
        <v>168701</v>
      </c>
      <c r="F975" s="32" t="n">
        <f aca="false">BC4</f>
        <v>940148</v>
      </c>
    </row>
    <row r="976" customFormat="false" ht="12.8" hidden="false" customHeight="false" outlineLevel="0" collapsed="false">
      <c r="A976" s="7" t="str">
        <f aca="false">_xlfn.CONCAT($A$854, ".", A5)</f>
        <v>AR.7.2</v>
      </c>
      <c r="B976" s="7" t="str">
        <f aca="false">_xlfn.CONCAT(B5, ": ", C5)</f>
        <v>Agriculture: Support</v>
      </c>
      <c r="C976" s="32" t="n">
        <f aca="false">AZ5</f>
        <v>488456</v>
      </c>
      <c r="D976" s="32" t="n">
        <f aca="false">BA5</f>
        <v>17780</v>
      </c>
      <c r="E976" s="32" t="n">
        <f aca="false">BB5</f>
        <v>71696</v>
      </c>
      <c r="F976" s="32" t="n">
        <f aca="false">BC5</f>
        <v>398980</v>
      </c>
    </row>
    <row r="977" customFormat="false" ht="12.8" hidden="false" customHeight="false" outlineLevel="0" collapsed="false">
      <c r="A977" s="7" t="str">
        <f aca="false">_xlfn.CONCAT($A$854, ".", A6)</f>
        <v>AR.7.3</v>
      </c>
      <c r="B977" s="7" t="str">
        <f aca="false">_xlfn.CONCAT(B6, ": ", C6)</f>
        <v>Construction: Worker</v>
      </c>
      <c r="C977" s="32" t="n">
        <f aca="false">AZ6</f>
        <v>10135771</v>
      </c>
      <c r="D977" s="32" t="n">
        <f aca="false">BA6</f>
        <v>368319</v>
      </c>
      <c r="E977" s="32" t="n">
        <f aca="false">BB6</f>
        <v>1515837</v>
      </c>
      <c r="F977" s="32" t="n">
        <f aca="false">BC6</f>
        <v>8251615</v>
      </c>
    </row>
    <row r="978" customFormat="false" ht="12.8" hidden="false" customHeight="false" outlineLevel="0" collapsed="false">
      <c r="A978" s="7" t="str">
        <f aca="false">_xlfn.CONCAT($A$854, ".", A7)</f>
        <v>AR.7.4</v>
      </c>
      <c r="B978" s="7" t="str">
        <f aca="false">_xlfn.CONCAT(B7, ": ", C7)</f>
        <v>Construction: Support</v>
      </c>
      <c r="C978" s="32" t="n">
        <f aca="false">AZ7</f>
        <v>3264253</v>
      </c>
      <c r="D978" s="32" t="n">
        <f aca="false">BA7</f>
        <v>118561</v>
      </c>
      <c r="E978" s="32" t="n">
        <f aca="false">BB7</f>
        <v>488557</v>
      </c>
      <c r="F978" s="32" t="n">
        <f aca="false">BC7</f>
        <v>2657135</v>
      </c>
    </row>
    <row r="979" customFormat="false" ht="12.8" hidden="false" customHeight="false" outlineLevel="0" collapsed="false">
      <c r="A979" s="7" t="str">
        <f aca="false">_xlfn.CONCAT($A$854, ".", A8)</f>
        <v>AR.7.5</v>
      </c>
      <c r="B979" s="7" t="str">
        <f aca="false">_xlfn.CONCAT(B8, ": ", C8)</f>
        <v>Hospitality: Worker</v>
      </c>
      <c r="C979" s="32" t="n">
        <f aca="false">AZ8</f>
        <v>11314099</v>
      </c>
      <c r="D979" s="32" t="n">
        <f aca="false">BA8</f>
        <v>408958</v>
      </c>
      <c r="E979" s="32" t="n">
        <f aca="false">BB8</f>
        <v>1741695</v>
      </c>
      <c r="F979" s="32" t="n">
        <f aca="false">BC8</f>
        <v>9163446</v>
      </c>
    </row>
    <row r="980" customFormat="false" ht="12.8" hidden="false" customHeight="false" outlineLevel="0" collapsed="false">
      <c r="A980" s="7" t="str">
        <f aca="false">_xlfn.CONCAT($A$854, ".", A9)</f>
        <v>AR.7.6</v>
      </c>
      <c r="B980" s="7" t="str">
        <f aca="false">_xlfn.CONCAT(B9, ": ", C9)</f>
        <v>Hospitality: Support</v>
      </c>
      <c r="C980" s="32" t="n">
        <f aca="false">AZ9</f>
        <v>5003640</v>
      </c>
      <c r="D980" s="32" t="n">
        <f aca="false">BA9</f>
        <v>180875</v>
      </c>
      <c r="E980" s="32" t="n">
        <f aca="false">BB9</f>
        <v>770405</v>
      </c>
      <c r="F980" s="32" t="n">
        <f aca="false">BC9</f>
        <v>4052360</v>
      </c>
    </row>
    <row r="981" customFormat="false" ht="12.8" hidden="false" customHeight="false" outlineLevel="0" collapsed="false">
      <c r="A981" s="7" t="str">
        <f aca="false">_xlfn.CONCAT($A$854, ".", A10)</f>
        <v>AR.7.7</v>
      </c>
      <c r="B981" s="7" t="str">
        <f aca="false">_xlfn.CONCAT(B10, ": ", C10)</f>
        <v>Cleaning &amp; Maintenance: Worker</v>
      </c>
      <c r="C981" s="32" t="n">
        <f aca="false">AZ10</f>
        <v>2216177</v>
      </c>
      <c r="D981" s="32" t="n">
        <f aca="false">BA10</f>
        <v>80382</v>
      </c>
      <c r="E981" s="32" t="n">
        <f aca="false">BB10</f>
        <v>334606</v>
      </c>
      <c r="F981" s="32" t="n">
        <f aca="false">BC10</f>
        <v>1801189</v>
      </c>
    </row>
    <row r="982" customFormat="false" ht="12.8" hidden="false" customHeight="false" outlineLevel="0" collapsed="false">
      <c r="A982" s="7" t="str">
        <f aca="false">_xlfn.CONCAT($A$854, ".", A11)</f>
        <v>AR.7.8</v>
      </c>
      <c r="B982" s="7" t="str">
        <f aca="false">_xlfn.CONCAT(B11, ": ", C11)</f>
        <v>Cleaning &amp; Maintenance: Support</v>
      </c>
      <c r="C982" s="32" t="n">
        <f aca="false">AZ11</f>
        <v>863159</v>
      </c>
      <c r="D982" s="32" t="n">
        <f aca="false">BA11</f>
        <v>31308</v>
      </c>
      <c r="E982" s="32" t="n">
        <f aca="false">BB11</f>
        <v>130493</v>
      </c>
      <c r="F982" s="32" t="n">
        <f aca="false">BC11</f>
        <v>701358</v>
      </c>
    </row>
    <row r="983" customFormat="false" ht="12.8" hidden="false" customHeight="false" outlineLevel="0" collapsed="false">
      <c r="A983" s="7" t="str">
        <f aca="false">_xlfn.CONCAT($A$854, ".", A12)</f>
        <v>AR.7.9</v>
      </c>
      <c r="B983" s="7" t="str">
        <f aca="false">_xlfn.CONCAT(B12, ": ", C12)</f>
        <v>Manufacturing: Worker</v>
      </c>
      <c r="C983" s="32" t="n">
        <f aca="false">AZ12</f>
        <v>22197691</v>
      </c>
      <c r="D983" s="32" t="n">
        <f aca="false">BA12</f>
        <v>799607</v>
      </c>
      <c r="E983" s="32" t="n">
        <f aca="false">BB12</f>
        <v>3481295</v>
      </c>
      <c r="F983" s="32" t="n">
        <f aca="false">BC12</f>
        <v>17916789</v>
      </c>
    </row>
    <row r="984" customFormat="false" ht="12.8" hidden="false" customHeight="false" outlineLevel="0" collapsed="false">
      <c r="A984" s="7" t="str">
        <f aca="false">_xlfn.CONCAT($A$854, ".", A13)</f>
        <v>AR.7.10</v>
      </c>
      <c r="B984" s="7" t="str">
        <f aca="false">_xlfn.CONCAT(B13, ": ", C13)</f>
        <v>Manufacturing: Support</v>
      </c>
      <c r="C984" s="32" t="n">
        <f aca="false">AZ13</f>
        <v>8878033</v>
      </c>
      <c r="D984" s="32" t="n">
        <f aca="false">BA13</f>
        <v>319847</v>
      </c>
      <c r="E984" s="32" t="n">
        <f aca="false">BB13</f>
        <v>1392512</v>
      </c>
      <c r="F984" s="32" t="n">
        <f aca="false">BC13</f>
        <v>7165674</v>
      </c>
    </row>
    <row r="985" customFormat="false" ht="12.8" hidden="false" customHeight="false" outlineLevel="0" collapsed="false">
      <c r="A985" s="7" t="str">
        <f aca="false">_xlfn.CONCAT($A$854, ".", A14)</f>
        <v>AR.7.11</v>
      </c>
      <c r="B985" s="7" t="str">
        <f aca="false">_xlfn.CONCAT(B14, ": ", C14)</f>
        <v>Transportation &amp; Warehousing: Worker</v>
      </c>
      <c r="C985" s="32" t="n">
        <f aca="false">AZ14</f>
        <v>8679632</v>
      </c>
      <c r="D985" s="32" t="n">
        <f aca="false">BA14</f>
        <v>312129</v>
      </c>
      <c r="E985" s="32" t="n">
        <f aca="false">BB14</f>
        <v>1374049</v>
      </c>
      <c r="F985" s="32" t="n">
        <f aca="false">BC14</f>
        <v>6993454</v>
      </c>
    </row>
    <row r="986" customFormat="false" ht="12.8" hidden="false" customHeight="false" outlineLevel="0" collapsed="false">
      <c r="A986" s="7" t="str">
        <f aca="false">_xlfn.CONCAT($A$854, ".", A15)</f>
        <v>AR.7.12</v>
      </c>
      <c r="B986" s="7" t="str">
        <f aca="false">_xlfn.CONCAT(B15, ": ", C15)</f>
        <v>Transportation &amp; Warehousing: Support</v>
      </c>
      <c r="C986" s="32" t="n">
        <f aca="false">AZ15</f>
        <v>1303163</v>
      </c>
      <c r="D986" s="32" t="n">
        <f aca="false">BA15</f>
        <v>46874</v>
      </c>
      <c r="E986" s="32" t="n">
        <f aca="false">BB15</f>
        <v>205973</v>
      </c>
      <c r="F986" s="32" t="n">
        <f aca="false">BC15</f>
        <v>1050316</v>
      </c>
    </row>
    <row r="987" customFormat="false" ht="12.8" hidden="false" customHeight="false" outlineLevel="0" collapsed="false">
      <c r="A987" s="7" t="str">
        <f aca="false">_xlfn.CONCAT($A$854, ".", A16)</f>
        <v>AR.7.13</v>
      </c>
      <c r="B987" s="7" t="str">
        <f aca="false">_xlfn.CONCAT(B16, ": ", C16)</f>
        <v>Retail Trade: Worker</v>
      </c>
      <c r="C987" s="32" t="n">
        <f aca="false">AZ16</f>
        <v>13779391</v>
      </c>
      <c r="D987" s="32" t="n">
        <f aca="false">BA16</f>
        <v>494668</v>
      </c>
      <c r="E987" s="32" t="n">
        <f aca="false">BB16</f>
        <v>2200740</v>
      </c>
      <c r="F987" s="32" t="n">
        <f aca="false">BC16</f>
        <v>11083983</v>
      </c>
    </row>
    <row r="988" customFormat="false" ht="12.8" hidden="false" customHeight="false" outlineLevel="0" collapsed="false">
      <c r="A988" s="7" t="str">
        <f aca="false">_xlfn.CONCAT($A$854, ".", A17)</f>
        <v>AR.7.14</v>
      </c>
      <c r="B988" s="7" t="str">
        <f aca="false">_xlfn.CONCAT(B17, ": ", C17)</f>
        <v>Retail Trade: Support</v>
      </c>
      <c r="C988" s="32" t="n">
        <f aca="false">AZ17</f>
        <v>5847242</v>
      </c>
      <c r="D988" s="32" t="n">
        <f aca="false">BA17</f>
        <v>209949</v>
      </c>
      <c r="E988" s="32" t="n">
        <f aca="false">BB17</f>
        <v>933643</v>
      </c>
      <c r="F988" s="32" t="n">
        <f aca="false">BC17</f>
        <v>4703650</v>
      </c>
    </row>
    <row r="989" customFormat="false" ht="12.8" hidden="false" customHeight="false" outlineLevel="0" collapsed="false">
      <c r="A989" s="7" t="str">
        <f aca="false">_xlfn.CONCAT($A$854, ".", A18)</f>
        <v>AR.7.15</v>
      </c>
      <c r="B989" s="7" t="str">
        <f aca="false">_xlfn.CONCAT(B18, ": ", C18)</f>
        <v>Landscaping / Groundskeeping: Worker</v>
      </c>
      <c r="C989" s="32" t="n">
        <f aca="false">AZ18</f>
        <v>1517675</v>
      </c>
      <c r="D989" s="32" t="n">
        <f aca="false">BA18</f>
        <v>55021</v>
      </c>
      <c r="E989" s="32" t="n">
        <f aca="false">BB18</f>
        <v>229197</v>
      </c>
      <c r="F989" s="32" t="n">
        <f aca="false">BC18</f>
        <v>1233457</v>
      </c>
    </row>
    <row r="990" customFormat="false" ht="12.8" hidden="false" customHeight="false" outlineLevel="0" collapsed="false">
      <c r="A990" s="7" t="str">
        <f aca="false">_xlfn.CONCAT($A$854, ".", A19)</f>
        <v>AR.7.16</v>
      </c>
      <c r="B990" s="7" t="str">
        <f aca="false">_xlfn.CONCAT(B19, ": ", C19)</f>
        <v>Landscaping / Groundskeeping: Support</v>
      </c>
      <c r="C990" s="32" t="n">
        <f aca="false">AZ19</f>
        <v>648088</v>
      </c>
      <c r="D990" s="32" t="n">
        <f aca="false">BA19</f>
        <v>23528</v>
      </c>
      <c r="E990" s="32" t="n">
        <f aca="false">BB19</f>
        <v>97929</v>
      </c>
      <c r="F990" s="32" t="n">
        <f aca="false">BC19</f>
        <v>526631</v>
      </c>
    </row>
    <row r="991" customFormat="false" ht="12.8" hidden="false" customHeight="false" outlineLevel="0" collapsed="false">
      <c r="A991" s="7" t="str">
        <f aca="false">_xlfn.CONCAT($A$854, ".", A20)</f>
        <v>AR.7.17</v>
      </c>
      <c r="B991" s="7" t="str">
        <f aca="false">_xlfn.CONCAT(B20, ": ", C20)</f>
        <v>Automotive &amp; Repair: Worker</v>
      </c>
      <c r="C991" s="32" t="n">
        <f aca="false">AZ20</f>
        <v>1412342</v>
      </c>
      <c r="D991" s="32" t="n">
        <f aca="false">BA20</f>
        <v>50832</v>
      </c>
      <c r="E991" s="32" t="n">
        <f aca="false">BB20</f>
        <v>223436</v>
      </c>
      <c r="F991" s="32" t="n">
        <f aca="false">BC20</f>
        <v>1141457</v>
      </c>
    </row>
    <row r="992" customFormat="false" ht="12.8" hidden="false" customHeight="false" outlineLevel="0" collapsed="false">
      <c r="A992" s="7" t="str">
        <f aca="false">_xlfn.CONCAT($A$854, ".", A21)</f>
        <v>AR.7.18</v>
      </c>
      <c r="B992" s="7" t="str">
        <f aca="false">_xlfn.CONCAT(B21, ": ", C21)</f>
        <v>Automotive &amp; Repair: Support</v>
      </c>
      <c r="C992" s="32" t="n">
        <f aca="false">AZ21</f>
        <v>620614</v>
      </c>
      <c r="D992" s="32" t="n">
        <f aca="false">BA21</f>
        <v>22283</v>
      </c>
      <c r="E992" s="32" t="n">
        <f aca="false">BB21</f>
        <v>98312</v>
      </c>
      <c r="F992" s="32" t="n">
        <f aca="false">BC21</f>
        <v>500019</v>
      </c>
    </row>
    <row r="993" customFormat="false" ht="12.8" hidden="false" customHeight="false" outlineLevel="0" collapsed="false">
      <c r="A993" s="7" t="str">
        <f aca="false">_xlfn.CONCAT($A$854, ".", A22)</f>
        <v>AR.7.19</v>
      </c>
      <c r="B993" s="7" t="str">
        <f aca="false">_xlfn.CONCAT(B22, ": ", C22)</f>
        <v>Other Services: Worker</v>
      </c>
      <c r="C993" s="32" t="n">
        <f aca="false">AZ22</f>
        <v>4721762</v>
      </c>
      <c r="D993" s="32" t="n">
        <f aca="false">BA22</f>
        <v>170342</v>
      </c>
      <c r="E993" s="32" t="n">
        <f aca="false">BB22</f>
        <v>733718</v>
      </c>
      <c r="F993" s="32" t="n">
        <f aca="false">BC22</f>
        <v>3817702</v>
      </c>
    </row>
    <row r="994" customFormat="false" ht="12.8" hidden="false" customHeight="false" outlineLevel="0" collapsed="false">
      <c r="A994" s="7" t="str">
        <f aca="false">_xlfn.CONCAT($A$854, ".", A23)</f>
        <v>AR.7.20</v>
      </c>
      <c r="B994" s="7" t="str">
        <f aca="false">_xlfn.CONCAT(B23, ": ", C23)</f>
        <v>Other Services: Support</v>
      </c>
      <c r="C994" s="32" t="n">
        <f aca="false">AZ23</f>
        <v>2607123</v>
      </c>
      <c r="D994" s="32" t="n">
        <f aca="false">BA23</f>
        <v>94117</v>
      </c>
      <c r="E994" s="32" t="n">
        <f aca="false">BB23</f>
        <v>405162</v>
      </c>
      <c r="F994" s="32" t="n">
        <f aca="false">BC23</f>
        <v>2107844</v>
      </c>
    </row>
    <row r="995" customFormat="false" ht="12.8" hidden="false" customHeight="false" outlineLevel="0" collapsed="false">
      <c r="A995" s="7"/>
      <c r="B995" s="7"/>
      <c r="C995" s="32"/>
      <c r="D995" s="32"/>
      <c r="E995" s="32"/>
      <c r="F995" s="32"/>
    </row>
    <row r="1089" customFormat="false" ht="12.8" hidden="false" customHeight="false" outlineLevel="0" collapsed="false">
      <c r="A1089" s="5" t="s">
        <v>156</v>
      </c>
      <c r="B1089" s="24" t="s">
        <v>146</v>
      </c>
      <c r="C1089" s="27" t="s">
        <v>142</v>
      </c>
    </row>
    <row r="1090" customFormat="false" ht="45.9" hidden="false" customHeight="false" outlineLevel="0" collapsed="false">
      <c r="A1090" s="5" t="s">
        <v>24</v>
      </c>
      <c r="B1090" s="5" t="str">
        <f aca="false">_xlfn.CONCAT(B2, ": ", C2)</f>
        <v>Industry: Role</v>
      </c>
      <c r="C1090" s="32" t="str">
        <f aca="false">BD2</f>
        <v>EITC Credit Refund</v>
      </c>
      <c r="D1090" s="32" t="str">
        <f aca="false">BE2</f>
        <v>Authorized Immigrant EITC Credit Refund</v>
      </c>
      <c r="E1090" s="32" t="str">
        <f aca="false">BF2</f>
        <v>Unauthorized Immigrant EITC Credit Refund</v>
      </c>
      <c r="F1090" s="32" t="str">
        <f aca="false">BG2</f>
        <v>American Effective Tax EITC Credit Refund</v>
      </c>
    </row>
    <row r="1091" customFormat="false" ht="12.8" hidden="false" customHeight="false" outlineLevel="0" collapsed="false">
      <c r="A1091" s="7" t="str">
        <f aca="false">_xlfn.CONCAT($A$854, ".", A3)</f>
        <v>AR.7.0</v>
      </c>
      <c r="B1091" s="7" t="str">
        <f aca="false">_xlfn.CONCAT(B3, ": ", C3)</f>
        <v>All Industries: All Roles</v>
      </c>
      <c r="C1091" s="32" t="n">
        <f aca="false">BD3</f>
        <v>1059200480</v>
      </c>
      <c r="D1091" s="32" t="n">
        <f aca="false">BE3</f>
        <v>33429600</v>
      </c>
      <c r="E1091" s="32" t="n">
        <f aca="false">BF3</f>
        <v>0</v>
      </c>
      <c r="F1091" s="32" t="n">
        <f aca="false">BG3</f>
        <v>1025770880</v>
      </c>
    </row>
    <row r="1092" customFormat="false" ht="12.8" hidden="false" customHeight="false" outlineLevel="0" collapsed="false">
      <c r="A1092" s="7" t="str">
        <f aca="false">_xlfn.CONCAT($A$854, ".", A4)</f>
        <v>AR.7.1</v>
      </c>
      <c r="B1092" s="7" t="str">
        <f aca="false">_xlfn.CONCAT(B4, ": ", C4)</f>
        <v>Agriculture: Worker</v>
      </c>
      <c r="C1092" s="32" t="n">
        <f aca="false">BD4</f>
        <v>5072111</v>
      </c>
      <c r="D1092" s="32" t="n">
        <f aca="false">BE4</f>
        <v>160200</v>
      </c>
      <c r="E1092" s="32" t="n">
        <f aca="false">BF4</f>
        <v>0</v>
      </c>
      <c r="F1092" s="32" t="n">
        <f aca="false">BG4</f>
        <v>4911911</v>
      </c>
    </row>
    <row r="1093" customFormat="false" ht="12.8" hidden="false" customHeight="false" outlineLevel="0" collapsed="false">
      <c r="A1093" s="7" t="str">
        <f aca="false">_xlfn.CONCAT($A$854, ".", A5)</f>
        <v>AR.7.2</v>
      </c>
      <c r="B1093" s="7" t="str">
        <f aca="false">_xlfn.CONCAT(B5, ": ", C5)</f>
        <v>Agriculture: Support</v>
      </c>
      <c r="C1093" s="32" t="n">
        <f aca="false">BD5</f>
        <v>2532169</v>
      </c>
      <c r="D1093" s="32" t="n">
        <f aca="false">BE5</f>
        <v>79800</v>
      </c>
      <c r="E1093" s="32" t="n">
        <f aca="false">BF5</f>
        <v>0</v>
      </c>
      <c r="F1093" s="32" t="n">
        <f aca="false">BG5</f>
        <v>2452369</v>
      </c>
    </row>
    <row r="1094" customFormat="false" ht="12.8" hidden="false" customHeight="false" outlineLevel="0" collapsed="false">
      <c r="A1094" s="7" t="str">
        <f aca="false">_xlfn.CONCAT($A$854, ".", A6)</f>
        <v>AR.7.3</v>
      </c>
      <c r="B1094" s="7" t="str">
        <f aca="false">_xlfn.CONCAT(B6, ": ", C6)</f>
        <v>Construction: Worker</v>
      </c>
      <c r="C1094" s="32" t="n">
        <f aca="false">BD6</f>
        <v>35242331</v>
      </c>
      <c r="D1094" s="32" t="n">
        <f aca="false">BE6</f>
        <v>1112400</v>
      </c>
      <c r="E1094" s="32" t="n">
        <f aca="false">BF6</f>
        <v>0</v>
      </c>
      <c r="F1094" s="32" t="n">
        <f aca="false">BG6</f>
        <v>34129931</v>
      </c>
    </row>
    <row r="1095" customFormat="false" ht="12.8" hidden="false" customHeight="false" outlineLevel="0" collapsed="false">
      <c r="A1095" s="7" t="str">
        <f aca="false">_xlfn.CONCAT($A$854, ".", A7)</f>
        <v>AR.7.4</v>
      </c>
      <c r="B1095" s="7" t="str">
        <f aca="false">_xlfn.CONCAT(B7, ": ", C7)</f>
        <v>Construction: Support</v>
      </c>
      <c r="C1095" s="32" t="n">
        <f aca="false">BD7</f>
        <v>14185489</v>
      </c>
      <c r="D1095" s="32" t="n">
        <f aca="false">BE7</f>
        <v>447600</v>
      </c>
      <c r="E1095" s="32" t="n">
        <f aca="false">BF7</f>
        <v>0</v>
      </c>
      <c r="F1095" s="32" t="n">
        <f aca="false">BG7</f>
        <v>13737889</v>
      </c>
    </row>
    <row r="1096" customFormat="false" ht="12.8" hidden="false" customHeight="false" outlineLevel="0" collapsed="false">
      <c r="A1096" s="7" t="str">
        <f aca="false">_xlfn.CONCAT($A$854, ".", A8)</f>
        <v>AR.7.5</v>
      </c>
      <c r="B1096" s="7" t="str">
        <f aca="false">_xlfn.CONCAT(B8, ": ", C8)</f>
        <v>Hospitality: Worker</v>
      </c>
      <c r="C1096" s="32" t="n">
        <f aca="false">BD8</f>
        <v>67091231</v>
      </c>
      <c r="D1096" s="32" t="n">
        <f aca="false">BE8</f>
        <v>2117400</v>
      </c>
      <c r="E1096" s="32" t="n">
        <f aca="false">BF8</f>
        <v>0</v>
      </c>
      <c r="F1096" s="32" t="n">
        <f aca="false">BG8</f>
        <v>64973831</v>
      </c>
    </row>
    <row r="1097" customFormat="false" ht="12.8" hidden="false" customHeight="false" outlineLevel="0" collapsed="false">
      <c r="A1097" s="7" t="str">
        <f aca="false">_xlfn.CONCAT($A$854, ".", A9)</f>
        <v>AR.7.6</v>
      </c>
      <c r="B1097" s="7" t="str">
        <f aca="false">_xlfn.CONCAT(B9, ": ", C9)</f>
        <v>Hospitality: Support</v>
      </c>
      <c r="C1097" s="32" t="n">
        <f aca="false">BD9</f>
        <v>37087405</v>
      </c>
      <c r="D1097" s="32" t="n">
        <f aca="false">BE9</f>
        <v>1170600</v>
      </c>
      <c r="E1097" s="32" t="n">
        <f aca="false">BF9</f>
        <v>0</v>
      </c>
      <c r="F1097" s="32" t="n">
        <f aca="false">BG9</f>
        <v>35916805</v>
      </c>
    </row>
    <row r="1098" customFormat="false" ht="12.8" hidden="false" customHeight="false" outlineLevel="0" collapsed="false">
      <c r="A1098" s="7" t="str">
        <f aca="false">_xlfn.CONCAT($A$854, ".", A10)</f>
        <v>AR.7.7</v>
      </c>
      <c r="B1098" s="7" t="str">
        <f aca="false">_xlfn.CONCAT(B10, ": ", C10)</f>
        <v>Cleaning &amp; Maintenance: Worker</v>
      </c>
      <c r="C1098" s="32" t="n">
        <f aca="false">BD10</f>
        <v>14202029</v>
      </c>
      <c r="D1098" s="32" t="n">
        <f aca="false">BE10</f>
        <v>448200</v>
      </c>
      <c r="E1098" s="32" t="n">
        <f aca="false">BF10</f>
        <v>0</v>
      </c>
      <c r="F1098" s="32" t="n">
        <f aca="false">BG10</f>
        <v>13753829</v>
      </c>
    </row>
    <row r="1099" customFormat="false" ht="12.8" hidden="false" customHeight="false" outlineLevel="0" collapsed="false">
      <c r="A1099" s="7" t="str">
        <f aca="false">_xlfn.CONCAT($A$854, ".", A11)</f>
        <v>AR.7.8</v>
      </c>
      <c r="B1099" s="7" t="str">
        <f aca="false">_xlfn.CONCAT(B11, ": ", C11)</f>
        <v>Cleaning &amp; Maintenance: Support</v>
      </c>
      <c r="C1099" s="32" t="n">
        <f aca="false">BD11</f>
        <v>7089955</v>
      </c>
      <c r="D1099" s="32" t="n">
        <f aca="false">BE11</f>
        <v>223800</v>
      </c>
      <c r="E1099" s="32" t="n">
        <f aca="false">BF11</f>
        <v>0</v>
      </c>
      <c r="F1099" s="32" t="n">
        <f aca="false">BG11</f>
        <v>6866155</v>
      </c>
    </row>
    <row r="1100" customFormat="false" ht="12.8" hidden="false" customHeight="false" outlineLevel="0" collapsed="false">
      <c r="A1100" s="7" t="str">
        <f aca="false">_xlfn.CONCAT($A$854, ".", A12)</f>
        <v>AR.7.9</v>
      </c>
      <c r="B1100" s="7" t="str">
        <f aca="false">_xlfn.CONCAT(B12, ": ", C12)</f>
        <v>Manufacturing: Worker</v>
      </c>
      <c r="C1100" s="32" t="n">
        <f aca="false">BD12</f>
        <v>87453205</v>
      </c>
      <c r="D1100" s="32" t="n">
        <f aca="false">BE12</f>
        <v>2760000</v>
      </c>
      <c r="E1100" s="32" t="n">
        <f aca="false">BF12</f>
        <v>0</v>
      </c>
      <c r="F1100" s="32" t="n">
        <f aca="false">BG12</f>
        <v>84693205</v>
      </c>
    </row>
    <row r="1101" customFormat="false" ht="12.8" hidden="false" customHeight="false" outlineLevel="0" collapsed="false">
      <c r="A1101" s="7" t="str">
        <f aca="false">_xlfn.CONCAT($A$854, ".", A13)</f>
        <v>AR.7.10</v>
      </c>
      <c r="B1101" s="7" t="str">
        <f aca="false">_xlfn.CONCAT(B13, ": ", C13)</f>
        <v>Manufacturing: Support</v>
      </c>
      <c r="C1101" s="32" t="n">
        <f aca="false">BD13</f>
        <v>38017415</v>
      </c>
      <c r="D1101" s="32" t="n">
        <f aca="false">BE13</f>
        <v>1200000</v>
      </c>
      <c r="E1101" s="32" t="n">
        <f aca="false">BF13</f>
        <v>0</v>
      </c>
      <c r="F1101" s="32" t="n">
        <f aca="false">BG13</f>
        <v>36817415</v>
      </c>
    </row>
    <row r="1102" customFormat="false" ht="12.8" hidden="false" customHeight="false" outlineLevel="0" collapsed="false">
      <c r="A1102" s="7" t="str">
        <f aca="false">_xlfn.CONCAT($A$854, ".", A14)</f>
        <v>AR.7.11</v>
      </c>
      <c r="B1102" s="7" t="str">
        <f aca="false">_xlfn.CONCAT(B14, ": ", C14)</f>
        <v>Transportation &amp; Warehousing: Worker</v>
      </c>
      <c r="C1102" s="32" t="n">
        <f aca="false">BD14</f>
        <v>32584021</v>
      </c>
      <c r="D1102" s="32" t="n">
        <f aca="false">BE14</f>
        <v>1028400</v>
      </c>
      <c r="E1102" s="32" t="n">
        <f aca="false">BF14</f>
        <v>0</v>
      </c>
      <c r="F1102" s="32" t="n">
        <f aca="false">BG14</f>
        <v>31555621</v>
      </c>
    </row>
    <row r="1103" customFormat="false" ht="12.8" hidden="false" customHeight="false" outlineLevel="0" collapsed="false">
      <c r="A1103" s="7" t="str">
        <f aca="false">_xlfn.CONCAT($A$854, ".", A15)</f>
        <v>AR.7.12</v>
      </c>
      <c r="B1103" s="7" t="str">
        <f aca="false">_xlfn.CONCAT(B15, ": ", C15)</f>
        <v>Transportation &amp; Warehousing: Support</v>
      </c>
      <c r="C1103" s="32" t="n">
        <f aca="false">BD15</f>
        <v>5437379</v>
      </c>
      <c r="D1103" s="32" t="n">
        <f aca="false">BE15</f>
        <v>171600</v>
      </c>
      <c r="E1103" s="32" t="n">
        <f aca="false">BF15</f>
        <v>0</v>
      </c>
      <c r="F1103" s="32" t="n">
        <f aca="false">BG15</f>
        <v>5265779</v>
      </c>
    </row>
    <row r="1104" customFormat="false" ht="12.8" hidden="false" customHeight="false" outlineLevel="0" collapsed="false">
      <c r="A1104" s="7" t="str">
        <f aca="false">_xlfn.CONCAT($A$854, ".", A16)</f>
        <v>AR.7.13</v>
      </c>
      <c r="B1104" s="7" t="str">
        <f aca="false">_xlfn.CONCAT(B16, ": ", C16)</f>
        <v>Retail Trade: Worker</v>
      </c>
      <c r="C1104" s="32" t="n">
        <f aca="false">BD16</f>
        <v>71008551</v>
      </c>
      <c r="D1104" s="32" t="n">
        <f aca="false">BE16</f>
        <v>2241000</v>
      </c>
      <c r="E1104" s="32" t="n">
        <f aca="false">BF16</f>
        <v>0</v>
      </c>
      <c r="F1104" s="32" t="n">
        <f aca="false">BG16</f>
        <v>68767551</v>
      </c>
    </row>
    <row r="1105" customFormat="false" ht="12.8" hidden="false" customHeight="false" outlineLevel="0" collapsed="false">
      <c r="A1105" s="7" t="str">
        <f aca="false">_xlfn.CONCAT($A$854, ".", A17)</f>
        <v>AR.7.14</v>
      </c>
      <c r="B1105" s="7" t="str">
        <f aca="false">_xlfn.CONCAT(B17, ": ", C17)</f>
        <v>Retail Trade: Support</v>
      </c>
      <c r="C1105" s="32" t="n">
        <f aca="false">BD17</f>
        <v>35451369</v>
      </c>
      <c r="D1105" s="32" t="n">
        <f aca="false">BE17</f>
        <v>1119000</v>
      </c>
      <c r="E1105" s="32" t="n">
        <f aca="false">BF17</f>
        <v>0</v>
      </c>
      <c r="F1105" s="32" t="n">
        <f aca="false">BG17</f>
        <v>34332369</v>
      </c>
    </row>
    <row r="1106" customFormat="false" ht="12.8" hidden="false" customHeight="false" outlineLevel="0" collapsed="false">
      <c r="A1106" s="7" t="str">
        <f aca="false">_xlfn.CONCAT($A$854, ".", A18)</f>
        <v>AR.7.15</v>
      </c>
      <c r="B1106" s="7" t="str">
        <f aca="false">_xlfn.CONCAT(B18, ": ", C18)</f>
        <v>Landscaping / Groundskeeping: Worker</v>
      </c>
      <c r="C1106" s="32" t="n">
        <f aca="false">BD18</f>
        <v>7437089</v>
      </c>
      <c r="D1106" s="32" t="n">
        <f aca="false">BE18</f>
        <v>234600</v>
      </c>
      <c r="E1106" s="32" t="n">
        <f aca="false">BF18</f>
        <v>0</v>
      </c>
      <c r="F1106" s="32" t="n">
        <f aca="false">BG18</f>
        <v>7202489</v>
      </c>
    </row>
    <row r="1107" customFormat="false" ht="12.8" hidden="false" customHeight="false" outlineLevel="0" collapsed="false">
      <c r="A1107" s="7" t="str">
        <f aca="false">_xlfn.CONCAT($A$854, ".", A19)</f>
        <v>AR.7.16</v>
      </c>
      <c r="B1107" s="7" t="str">
        <f aca="false">_xlfn.CONCAT(B19, ": ", C19)</f>
        <v>Landscaping / Groundskeeping: Support</v>
      </c>
      <c r="C1107" s="32" t="n">
        <f aca="false">BD19</f>
        <v>3969331</v>
      </c>
      <c r="D1107" s="32" t="n">
        <f aca="false">BE19</f>
        <v>125400</v>
      </c>
      <c r="E1107" s="32" t="n">
        <f aca="false">BF19</f>
        <v>0</v>
      </c>
      <c r="F1107" s="32" t="n">
        <f aca="false">BG19</f>
        <v>3843931</v>
      </c>
    </row>
    <row r="1108" customFormat="false" ht="12.8" hidden="false" customHeight="false" outlineLevel="0" collapsed="false">
      <c r="A1108" s="7" t="str">
        <f aca="false">_xlfn.CONCAT($A$854, ".", A20)</f>
        <v>AR.7.17</v>
      </c>
      <c r="B1108" s="7" t="str">
        <f aca="false">_xlfn.CONCAT(B20, ": ", C20)</f>
        <v>Automotive &amp; Repair: Worker</v>
      </c>
      <c r="C1108" s="32" t="n">
        <f aca="false">BD20</f>
        <v>5072111</v>
      </c>
      <c r="D1108" s="32" t="n">
        <f aca="false">BE20</f>
        <v>160200</v>
      </c>
      <c r="E1108" s="32" t="n">
        <f aca="false">BF20</f>
        <v>0</v>
      </c>
      <c r="F1108" s="32" t="n">
        <f aca="false">BG20</f>
        <v>4911911</v>
      </c>
    </row>
    <row r="1109" customFormat="false" ht="12.8" hidden="false" customHeight="false" outlineLevel="0" collapsed="false">
      <c r="A1109" s="7" t="str">
        <f aca="false">_xlfn.CONCAT($A$854, ".", A21)</f>
        <v>AR.7.18</v>
      </c>
      <c r="B1109" s="7" t="str">
        <f aca="false">_xlfn.CONCAT(B21, ": ", C21)</f>
        <v>Automotive &amp; Repair: Support</v>
      </c>
      <c r="C1109" s="32" t="n">
        <f aca="false">BD21</f>
        <v>2532169</v>
      </c>
      <c r="D1109" s="32" t="n">
        <f aca="false">BE21</f>
        <v>79800</v>
      </c>
      <c r="E1109" s="32" t="n">
        <f aca="false">BF21</f>
        <v>0</v>
      </c>
      <c r="F1109" s="32" t="n">
        <f aca="false">BG21</f>
        <v>2452369</v>
      </c>
    </row>
    <row r="1110" customFormat="false" ht="12.8" hidden="false" customHeight="false" outlineLevel="0" collapsed="false">
      <c r="A1110" s="7" t="str">
        <f aca="false">_xlfn.CONCAT($A$854, ".", A22)</f>
        <v>AR.7.19</v>
      </c>
      <c r="B1110" s="7" t="str">
        <f aca="false">_xlfn.CONCAT(B22, ": ", C22)</f>
        <v>Other Services: Worker</v>
      </c>
      <c r="C1110" s="32" t="n">
        <f aca="false">BD22</f>
        <v>30101669</v>
      </c>
      <c r="D1110" s="32" t="n">
        <f aca="false">BE22</f>
        <v>949800</v>
      </c>
      <c r="E1110" s="32" t="n">
        <f aca="false">BF22</f>
        <v>0</v>
      </c>
      <c r="F1110" s="32" t="n">
        <f aca="false">BG22</f>
        <v>29151869</v>
      </c>
    </row>
    <row r="1111" customFormat="false" ht="12.8" hidden="false" customHeight="false" outlineLevel="0" collapsed="false">
      <c r="A1111" s="7" t="str">
        <f aca="false">_xlfn.CONCAT($A$854, ".", A23)</f>
        <v>AR.7.20</v>
      </c>
      <c r="B1111" s="7" t="str">
        <f aca="false">_xlfn.CONCAT(B23, ": ", C23)</f>
        <v>Other Services: Support</v>
      </c>
      <c r="C1111" s="32" t="n">
        <f aca="false">BD23</f>
        <v>19326151</v>
      </c>
      <c r="D1111" s="32" t="n">
        <f aca="false">BE23</f>
        <v>610200</v>
      </c>
      <c r="E1111" s="32" t="n">
        <f aca="false">BF23</f>
        <v>0</v>
      </c>
      <c r="F1111" s="32" t="n">
        <f aca="false">BG23</f>
        <v>18715951</v>
      </c>
    </row>
    <row r="1206" customFormat="false" ht="12.8" hidden="false" customHeight="false" outlineLevel="0" collapsed="false">
      <c r="A1206" s="5" t="s">
        <v>157</v>
      </c>
      <c r="B1206" s="24" t="s">
        <v>146</v>
      </c>
      <c r="C1206" s="27" t="s">
        <v>144</v>
      </c>
    </row>
    <row r="1207" customFormat="false" ht="45.9" hidden="false" customHeight="false" outlineLevel="0" collapsed="false">
      <c r="A1207" s="5" t="s">
        <v>24</v>
      </c>
      <c r="B1207" s="5" t="str">
        <f aca="false">_xlfn.CONCAT(B2, ": ", C2)</f>
        <v>Industry: Role</v>
      </c>
      <c r="C1207" s="32" t="str">
        <f aca="false">BH2</f>
        <v>ACTC Credit Refund</v>
      </c>
      <c r="D1207" s="32" t="str">
        <f aca="false">BI2</f>
        <v>Authorized Immigrant ACTC Credit Refund</v>
      </c>
      <c r="E1207" s="32" t="str">
        <f aca="false">BJ2</f>
        <v>Unauthorized Immigrant ACTC Credit Refund</v>
      </c>
      <c r="F1207" s="32" t="str">
        <f aca="false">BK2</f>
        <v>American Effective Tax ACTC Credit Refund</v>
      </c>
    </row>
    <row r="1208" customFormat="false" ht="12.8" hidden="false" customHeight="false" outlineLevel="0" collapsed="false">
      <c r="A1208" s="7" t="str">
        <f aca="false">_xlfn.CONCAT($A$854, ".", A3)</f>
        <v>AR.7.0</v>
      </c>
      <c r="B1208" s="7" t="str">
        <f aca="false">_xlfn.CONCAT(B3, ": ", C3)</f>
        <v>All Industries: All Roles</v>
      </c>
      <c r="C1208" s="32" t="n">
        <f aca="false">BH3</f>
        <v>750907004</v>
      </c>
      <c r="D1208" s="32" t="n">
        <f aca="false">BI3</f>
        <v>25350780</v>
      </c>
      <c r="E1208" s="32" t="n">
        <f aca="false">BJ3</f>
        <v>4813824</v>
      </c>
      <c r="F1208" s="32" t="n">
        <f aca="false">BK3</f>
        <v>720742400</v>
      </c>
    </row>
    <row r="1209" customFormat="false" ht="12.8" hidden="false" customHeight="false" outlineLevel="0" collapsed="false">
      <c r="A1209" s="7" t="str">
        <f aca="false">_xlfn.CONCAT($A$854, ".", A4)</f>
        <v>AR.7.1</v>
      </c>
      <c r="B1209" s="7" t="str">
        <f aca="false">_xlfn.CONCAT(B4, ": ", C4)</f>
        <v>Agriculture: Worker</v>
      </c>
      <c r="C1209" s="32" t="n">
        <f aca="false">BH4</f>
        <v>3595805</v>
      </c>
      <c r="D1209" s="32" t="n">
        <f aca="false">BI4</f>
        <v>121485</v>
      </c>
      <c r="E1209" s="32" t="n">
        <f aca="false">BJ4</f>
        <v>23040</v>
      </c>
      <c r="F1209" s="32" t="n">
        <f aca="false">BK4</f>
        <v>3451280</v>
      </c>
    </row>
    <row r="1210" customFormat="false" ht="12.8" hidden="false" customHeight="false" outlineLevel="0" collapsed="false">
      <c r="A1210" s="7" t="str">
        <f aca="false">_xlfn.CONCAT($A$854, ".", A5)</f>
        <v>AR.7.2</v>
      </c>
      <c r="B1210" s="7" t="str">
        <f aca="false">_xlfn.CONCAT(B5, ": ", C5)</f>
        <v>Agriculture: Support</v>
      </c>
      <c r="C1210" s="32" t="n">
        <f aca="false">BH5</f>
        <v>1795155</v>
      </c>
      <c r="D1210" s="32" t="n">
        <f aca="false">BI5</f>
        <v>60515</v>
      </c>
      <c r="E1210" s="32" t="n">
        <f aca="false">BJ5</f>
        <v>11520</v>
      </c>
      <c r="F1210" s="32" t="n">
        <f aca="false">BK5</f>
        <v>1723120</v>
      </c>
    </row>
    <row r="1211" customFormat="false" ht="12.8" hidden="false" customHeight="false" outlineLevel="0" collapsed="false">
      <c r="A1211" s="7" t="str">
        <f aca="false">_xlfn.CONCAT($A$854, ".", A6)</f>
        <v>AR.7.3</v>
      </c>
      <c r="B1211" s="7" t="str">
        <f aca="false">_xlfn.CONCAT(B6, ": ", C6)</f>
        <v>Construction: Worker</v>
      </c>
      <c r="C1211" s="32" t="n">
        <f aca="false">BH6</f>
        <v>24984578</v>
      </c>
      <c r="D1211" s="32" t="n">
        <f aca="false">BI6</f>
        <v>843570</v>
      </c>
      <c r="E1211" s="32" t="n">
        <f aca="false">BJ6</f>
        <v>160128</v>
      </c>
      <c r="F1211" s="32" t="n">
        <f aca="false">BK6</f>
        <v>23980880</v>
      </c>
    </row>
    <row r="1212" customFormat="false" ht="12.8" hidden="false" customHeight="false" outlineLevel="0" collapsed="false">
      <c r="A1212" s="7" t="str">
        <f aca="false">_xlfn.CONCAT($A$854, ".", A7)</f>
        <v>AR.7.4</v>
      </c>
      <c r="B1212" s="7" t="str">
        <f aca="false">_xlfn.CONCAT(B7, ": ", C7)</f>
        <v>Construction: Support</v>
      </c>
      <c r="C1212" s="32" t="n">
        <f aca="false">BH7</f>
        <v>10056662</v>
      </c>
      <c r="D1212" s="32" t="n">
        <f aca="false">BI7</f>
        <v>339430</v>
      </c>
      <c r="E1212" s="32" t="n">
        <f aca="false">BJ7</f>
        <v>64512</v>
      </c>
      <c r="F1212" s="32" t="n">
        <f aca="false">BK7</f>
        <v>9652720</v>
      </c>
    </row>
    <row r="1213" customFormat="false" ht="12.8" hidden="false" customHeight="false" outlineLevel="0" collapsed="false">
      <c r="A1213" s="7" t="str">
        <f aca="false">_xlfn.CONCAT($A$854, ".", A8)</f>
        <v>AR.7.5</v>
      </c>
      <c r="B1213" s="7" t="str">
        <f aca="false">_xlfn.CONCAT(B8, ": ", C8)</f>
        <v>Hospitality: Worker</v>
      </c>
      <c r="C1213" s="32" t="n">
        <f aca="false">BH8</f>
        <v>47563471</v>
      </c>
      <c r="D1213" s="32" t="n">
        <f aca="false">BI8</f>
        <v>1605695</v>
      </c>
      <c r="E1213" s="32" t="n">
        <f aca="false">BJ8</f>
        <v>304896</v>
      </c>
      <c r="F1213" s="32" t="n">
        <f aca="false">BK8</f>
        <v>45652880</v>
      </c>
    </row>
    <row r="1214" customFormat="false" ht="12.8" hidden="false" customHeight="false" outlineLevel="0" collapsed="false">
      <c r="A1214" s="7" t="str">
        <f aca="false">_xlfn.CONCAT($A$854, ".", A9)</f>
        <v>AR.7.6</v>
      </c>
      <c r="B1214" s="7" t="str">
        <f aca="false">_xlfn.CONCAT(B9, ": ", C9)</f>
        <v>Hospitality: Support</v>
      </c>
      <c r="C1214" s="32" t="n">
        <f aca="false">BH9</f>
        <v>26292681</v>
      </c>
      <c r="D1214" s="32" t="n">
        <f aca="false">BI9</f>
        <v>887705</v>
      </c>
      <c r="E1214" s="32" t="n">
        <f aca="false">BJ9</f>
        <v>168576</v>
      </c>
      <c r="F1214" s="32" t="n">
        <f aca="false">BK9</f>
        <v>25236400</v>
      </c>
    </row>
    <row r="1215" customFormat="false" ht="12.8" hidden="false" customHeight="false" outlineLevel="0" collapsed="false">
      <c r="A1215" s="7" t="str">
        <f aca="false">_xlfn.CONCAT($A$854, ".", A10)</f>
        <v>AR.7.7</v>
      </c>
      <c r="B1215" s="7" t="str">
        <f aca="false">_xlfn.CONCAT(B10, ": ", C10)</f>
        <v>Cleaning &amp; Maintenance: Worker</v>
      </c>
      <c r="C1215" s="32" t="n">
        <f aca="false">BH10</f>
        <v>10068317</v>
      </c>
      <c r="D1215" s="32" t="n">
        <f aca="false">BI10</f>
        <v>339885</v>
      </c>
      <c r="E1215" s="32" t="n">
        <f aca="false">BJ10</f>
        <v>64512</v>
      </c>
      <c r="F1215" s="32" t="n">
        <f aca="false">BK10</f>
        <v>9663920</v>
      </c>
    </row>
    <row r="1216" customFormat="false" ht="12.8" hidden="false" customHeight="false" outlineLevel="0" collapsed="false">
      <c r="A1216" s="7" t="str">
        <f aca="false">_xlfn.CONCAT($A$854, ".", A11)</f>
        <v>AR.7.8</v>
      </c>
      <c r="B1216" s="7" t="str">
        <f aca="false">_xlfn.CONCAT(B11, ": ", C11)</f>
        <v>Cleaning &amp; Maintenance: Support</v>
      </c>
      <c r="C1216" s="32" t="n">
        <f aca="false">BH11</f>
        <v>5026371</v>
      </c>
      <c r="D1216" s="32" t="n">
        <f aca="false">BI11</f>
        <v>169715</v>
      </c>
      <c r="E1216" s="32" t="n">
        <f aca="false">BJ11</f>
        <v>32256</v>
      </c>
      <c r="F1216" s="32" t="n">
        <f aca="false">BK11</f>
        <v>4824400</v>
      </c>
    </row>
    <row r="1217" customFormat="false" ht="12.8" hidden="false" customHeight="false" outlineLevel="0" collapsed="false">
      <c r="A1217" s="7" t="str">
        <f aca="false">_xlfn.CONCAT($A$854, ".", A12)</f>
        <v>AR.7.9</v>
      </c>
      <c r="B1217" s="7" t="str">
        <f aca="false">_xlfn.CONCAT(B12, ": ", C12)</f>
        <v>Manufacturing: Worker</v>
      </c>
      <c r="C1217" s="32" t="n">
        <f aca="false">BH12</f>
        <v>61998840</v>
      </c>
      <c r="D1217" s="32" t="n">
        <f aca="false">BI12</f>
        <v>2093000</v>
      </c>
      <c r="E1217" s="32" t="n">
        <f aca="false">BJ12</f>
        <v>397440</v>
      </c>
      <c r="F1217" s="32" t="n">
        <f aca="false">BK12</f>
        <v>59508400</v>
      </c>
    </row>
    <row r="1218" customFormat="false" ht="12.8" hidden="false" customHeight="false" outlineLevel="0" collapsed="false">
      <c r="A1218" s="7" t="str">
        <f aca="false">_xlfn.CONCAT($A$854, ".", A13)</f>
        <v>AR.7.10</v>
      </c>
      <c r="B1218" s="7" t="str">
        <f aca="false">_xlfn.CONCAT(B13, ": ", C13)</f>
        <v>Manufacturing: Support</v>
      </c>
      <c r="C1218" s="32" t="n">
        <f aca="false">BH13</f>
        <v>26952000</v>
      </c>
      <c r="D1218" s="32" t="n">
        <f aca="false">BI13</f>
        <v>910000</v>
      </c>
      <c r="E1218" s="32" t="n">
        <f aca="false">BJ13</f>
        <v>172800</v>
      </c>
      <c r="F1218" s="32" t="n">
        <f aca="false">BK13</f>
        <v>25869200</v>
      </c>
    </row>
    <row r="1219" customFormat="false" ht="12.8" hidden="false" customHeight="false" outlineLevel="0" collapsed="false">
      <c r="A1219" s="7" t="str">
        <f aca="false">_xlfn.CONCAT($A$854, ".", A14)</f>
        <v>AR.7.11</v>
      </c>
      <c r="B1219" s="7" t="str">
        <f aca="false">_xlfn.CONCAT(B14, ": ", C14)</f>
        <v>Transportation &amp; Warehousing: Worker</v>
      </c>
      <c r="C1219" s="32" t="n">
        <f aca="false">BH14</f>
        <v>23100078</v>
      </c>
      <c r="D1219" s="32" t="n">
        <f aca="false">BI14</f>
        <v>779870</v>
      </c>
      <c r="E1219" s="32" t="n">
        <f aca="false">BJ14</f>
        <v>148128</v>
      </c>
      <c r="F1219" s="32" t="n">
        <f aca="false">BK14</f>
        <v>22172080</v>
      </c>
    </row>
    <row r="1220" customFormat="false" ht="12.8" hidden="false" customHeight="false" outlineLevel="0" collapsed="false">
      <c r="A1220" s="7" t="str">
        <f aca="false">_xlfn.CONCAT($A$854, ".", A15)</f>
        <v>AR.7.12</v>
      </c>
      <c r="B1220" s="7" t="str">
        <f aca="false">_xlfn.CONCAT(B15, ": ", C15)</f>
        <v>Transportation &amp; Warehousing: Support</v>
      </c>
      <c r="C1220" s="32" t="n">
        <f aca="false">BH15</f>
        <v>3854722</v>
      </c>
      <c r="D1220" s="32" t="n">
        <f aca="false">BI15</f>
        <v>130130</v>
      </c>
      <c r="E1220" s="32" t="n">
        <f aca="false">BJ15</f>
        <v>24672</v>
      </c>
      <c r="F1220" s="32" t="n">
        <f aca="false">BK15</f>
        <v>3699920</v>
      </c>
    </row>
    <row r="1221" customFormat="false" ht="12.8" hidden="false" customHeight="false" outlineLevel="0" collapsed="false">
      <c r="A1221" s="7" t="str">
        <f aca="false">_xlfn.CONCAT($A$854, ".", A16)</f>
        <v>AR.7.13</v>
      </c>
      <c r="B1221" s="7" t="str">
        <f aca="false">_xlfn.CONCAT(B16, ": ", C16)</f>
        <v>Retail Trade: Worker</v>
      </c>
      <c r="C1221" s="32" t="n">
        <f aca="false">BH16</f>
        <v>50340657</v>
      </c>
      <c r="D1221" s="32" t="n">
        <f aca="false">BI16</f>
        <v>1699425</v>
      </c>
      <c r="E1221" s="32" t="n">
        <f aca="false">BJ16</f>
        <v>322752</v>
      </c>
      <c r="F1221" s="32" t="n">
        <f aca="false">BK16</f>
        <v>48318480</v>
      </c>
    </row>
    <row r="1222" customFormat="false" ht="12.8" hidden="false" customHeight="false" outlineLevel="0" collapsed="false">
      <c r="A1222" s="7" t="str">
        <f aca="false">_xlfn.CONCAT($A$854, ".", A17)</f>
        <v>AR.7.14</v>
      </c>
      <c r="B1222" s="7" t="str">
        <f aca="false">_xlfn.CONCAT(B17, ": ", C17)</f>
        <v>Retail Trade: Support</v>
      </c>
      <c r="C1222" s="32" t="n">
        <f aca="false">BH17</f>
        <v>25132783</v>
      </c>
      <c r="D1222" s="32" t="n">
        <f aca="false">BI17</f>
        <v>848575</v>
      </c>
      <c r="E1222" s="32" t="n">
        <f aca="false">BJ17</f>
        <v>161088</v>
      </c>
      <c r="F1222" s="32" t="n">
        <f aca="false">BK17</f>
        <v>24123120</v>
      </c>
    </row>
    <row r="1223" customFormat="false" ht="12.8" hidden="false" customHeight="false" outlineLevel="0" collapsed="false">
      <c r="A1223" s="7" t="str">
        <f aca="false">_xlfn.CONCAT($A$854, ".", A18)</f>
        <v>AR.7.15</v>
      </c>
      <c r="B1223" s="7" t="str">
        <f aca="false">_xlfn.CONCAT(B18, ": ", C18)</f>
        <v>Landscaping / Groundskeeping: Worker</v>
      </c>
      <c r="C1223" s="32" t="n">
        <f aca="false">BH18</f>
        <v>5272417</v>
      </c>
      <c r="D1223" s="32" t="n">
        <f aca="false">BI18</f>
        <v>177905</v>
      </c>
      <c r="E1223" s="32" t="n">
        <f aca="false">BJ18</f>
        <v>33792</v>
      </c>
      <c r="F1223" s="32" t="n">
        <f aca="false">BK18</f>
        <v>5060720</v>
      </c>
    </row>
    <row r="1224" customFormat="false" ht="12.8" hidden="false" customHeight="false" outlineLevel="0" collapsed="false">
      <c r="A1224" s="7" t="str">
        <f aca="false">_xlfn.CONCAT($A$854, ".", A19)</f>
        <v>AR.7.16</v>
      </c>
      <c r="B1224" s="7" t="str">
        <f aca="false">_xlfn.CONCAT(B19, ": ", C19)</f>
        <v>Landscaping / Groundskeeping: Support</v>
      </c>
      <c r="C1224" s="32" t="n">
        <f aca="false">BH19</f>
        <v>2814023</v>
      </c>
      <c r="D1224" s="32" t="n">
        <f aca="false">BI19</f>
        <v>95095</v>
      </c>
      <c r="E1224" s="32" t="n">
        <f aca="false">BJ19</f>
        <v>18048</v>
      </c>
      <c r="F1224" s="32" t="n">
        <f aca="false">BK19</f>
        <v>2700880</v>
      </c>
    </row>
    <row r="1225" customFormat="false" ht="12.8" hidden="false" customHeight="false" outlineLevel="0" collapsed="false">
      <c r="A1225" s="7" t="str">
        <f aca="false">_xlfn.CONCAT($A$854, ".", A20)</f>
        <v>AR.7.17</v>
      </c>
      <c r="B1225" s="7" t="str">
        <f aca="false">_xlfn.CONCAT(B20, ": ", C20)</f>
        <v>Automotive &amp; Repair: Worker</v>
      </c>
      <c r="C1225" s="32" t="n">
        <f aca="false">BH20</f>
        <v>3595805</v>
      </c>
      <c r="D1225" s="32" t="n">
        <f aca="false">BI20</f>
        <v>121485</v>
      </c>
      <c r="E1225" s="32" t="n">
        <f aca="false">BJ20</f>
        <v>23040</v>
      </c>
      <c r="F1225" s="32" t="n">
        <f aca="false">BK20</f>
        <v>3451280</v>
      </c>
    </row>
    <row r="1226" customFormat="false" ht="12.8" hidden="false" customHeight="false" outlineLevel="0" collapsed="false">
      <c r="A1226" s="7" t="str">
        <f aca="false">_xlfn.CONCAT($A$854, ".", A21)</f>
        <v>AR.7.18</v>
      </c>
      <c r="B1226" s="7" t="str">
        <f aca="false">_xlfn.CONCAT(B21, ": ", C21)</f>
        <v>Automotive &amp; Repair: Support</v>
      </c>
      <c r="C1226" s="32" t="n">
        <f aca="false">BH21</f>
        <v>1795155</v>
      </c>
      <c r="D1226" s="32" t="n">
        <f aca="false">BI21</f>
        <v>60515</v>
      </c>
      <c r="E1226" s="32" t="n">
        <f aca="false">BJ21</f>
        <v>11520</v>
      </c>
      <c r="F1226" s="32" t="n">
        <f aca="false">BK21</f>
        <v>1723120</v>
      </c>
    </row>
    <row r="1227" customFormat="false" ht="12.8" hidden="false" customHeight="false" outlineLevel="0" collapsed="false">
      <c r="A1227" s="7" t="str">
        <f aca="false">_xlfn.CONCAT($A$854, ".", A22)</f>
        <v>AR.7.19</v>
      </c>
      <c r="B1227" s="7" t="str">
        <f aca="false">_xlfn.CONCAT(B22, ": ", C22)</f>
        <v>Other Services: Worker</v>
      </c>
      <c r="C1227" s="32" t="n">
        <f aca="false">BH22</f>
        <v>21340185</v>
      </c>
      <c r="D1227" s="32" t="n">
        <f aca="false">BI22</f>
        <v>720265</v>
      </c>
      <c r="E1227" s="32" t="n">
        <f aca="false">BJ22</f>
        <v>136800</v>
      </c>
      <c r="F1227" s="32" t="n">
        <f aca="false">BK22</f>
        <v>20483120</v>
      </c>
    </row>
    <row r="1228" customFormat="false" ht="12.8" hidden="false" customHeight="false" outlineLevel="0" collapsed="false">
      <c r="A1228" s="7" t="str">
        <f aca="false">_xlfn.CONCAT($A$854, ".", A23)</f>
        <v>AR.7.20</v>
      </c>
      <c r="B1228" s="7" t="str">
        <f aca="false">_xlfn.CONCAT(B23, ": ", C23)</f>
        <v>Other Services: Support</v>
      </c>
      <c r="C1228" s="32" t="n">
        <f aca="false">BH23</f>
        <v>13701055</v>
      </c>
      <c r="D1228" s="32" t="n">
        <f aca="false">BI23</f>
        <v>462735</v>
      </c>
      <c r="E1228" s="32" t="n">
        <f aca="false">BJ23</f>
        <v>87840</v>
      </c>
      <c r="F1228" s="32" t="n">
        <f aca="false">BK23</f>
        <v>13150480</v>
      </c>
    </row>
    <row r="1324" customFormat="false" ht="12.8" hidden="false" customHeight="false" outlineLevel="0" collapsed="false">
      <c r="A1324" s="5" t="s">
        <v>157</v>
      </c>
      <c r="B1324" s="24" t="s">
        <v>146</v>
      </c>
      <c r="C1324" s="7" t="s">
        <v>145</v>
      </c>
    </row>
    <row r="1325" customFormat="false" ht="45.9" hidden="false" customHeight="false" outlineLevel="0" collapsed="false">
      <c r="A1325" s="5" t="s">
        <v>24</v>
      </c>
      <c r="B1325" s="5" t="str">
        <f aca="false">_xlfn.CONCAT(B2, ": ", C2)</f>
        <v>Industry: Role</v>
      </c>
      <c r="C1325" s="32" t="str">
        <f aca="false">BL2</f>
        <v>AOTC Credit Refund</v>
      </c>
      <c r="D1325" s="32" t="str">
        <f aca="false">BM2</f>
        <v>Authorized Immigrant AOTC Credit Refund</v>
      </c>
      <c r="E1325" s="32" t="str">
        <f aca="false">BN2</f>
        <v>Unauthorized Immigrant AOTC Credit Refund</v>
      </c>
      <c r="F1325" s="32" t="str">
        <f aca="false">BO2</f>
        <v>American Effective Tax AOTC Credit Refund</v>
      </c>
    </row>
    <row r="1326" customFormat="false" ht="12.8" hidden="false" customHeight="false" outlineLevel="0" collapsed="false">
      <c r="A1326" s="7" t="str">
        <f aca="false">_xlfn.CONCAT($A$854, ".", A3)</f>
        <v>AR.7.0</v>
      </c>
      <c r="B1326" s="7" t="str">
        <f aca="false">_xlfn.CONCAT(B3, ": ", C3)</f>
        <v>All Industries: All Roles</v>
      </c>
      <c r="C1326" s="32" t="n">
        <f aca="false">BL3</f>
        <v>301952928</v>
      </c>
      <c r="D1326" s="32" t="n">
        <f aca="false">BM3</f>
        <v>9360288</v>
      </c>
      <c r="E1326" s="32" t="n">
        <f aca="false">BN3</f>
        <v>3008640</v>
      </c>
      <c r="F1326" s="32" t="n">
        <f aca="false">BO3</f>
        <v>289584000</v>
      </c>
    </row>
    <row r="1327" customFormat="false" ht="12.8" hidden="false" customHeight="false" outlineLevel="0" collapsed="false">
      <c r="A1327" s="7" t="str">
        <f aca="false">_xlfn.CONCAT($A$854, ".", A4)</f>
        <v>AR.7.1</v>
      </c>
      <c r="B1327" s="7" t="str">
        <f aca="false">_xlfn.CONCAT(B4, ": ", C4)</f>
        <v>Agriculture: Worker</v>
      </c>
      <c r="C1327" s="32" t="n">
        <f aca="false">BL4</f>
        <v>1445931</v>
      </c>
      <c r="D1327" s="32" t="n">
        <f aca="false">BM4</f>
        <v>44856</v>
      </c>
      <c r="E1327" s="32" t="n">
        <f aca="false">BN4</f>
        <v>14400</v>
      </c>
      <c r="F1327" s="32" t="n">
        <f aca="false">BO4</f>
        <v>1386675</v>
      </c>
    </row>
    <row r="1328" customFormat="false" ht="12.8" hidden="false" customHeight="false" outlineLevel="0" collapsed="false">
      <c r="A1328" s="7" t="str">
        <f aca="false">_xlfn.CONCAT($A$854, ".", A5)</f>
        <v>AR.7.2</v>
      </c>
      <c r="B1328" s="7" t="str">
        <f aca="false">_xlfn.CONCAT(B5, ": ", C5)</f>
        <v>Agriculture: Support</v>
      </c>
      <c r="C1328" s="32" t="n">
        <f aca="false">BL5</f>
        <v>721869</v>
      </c>
      <c r="D1328" s="32" t="n">
        <f aca="false">BM5</f>
        <v>22344</v>
      </c>
      <c r="E1328" s="32" t="n">
        <f aca="false">BN5</f>
        <v>7200</v>
      </c>
      <c r="F1328" s="32" t="n">
        <f aca="false">BO5</f>
        <v>692325</v>
      </c>
    </row>
    <row r="1329" customFormat="false" ht="12.8" hidden="false" customHeight="false" outlineLevel="0" collapsed="false">
      <c r="A1329" s="7" t="str">
        <f aca="false">_xlfn.CONCAT($A$854, ".", A6)</f>
        <v>AR.7.3</v>
      </c>
      <c r="B1329" s="7" t="str">
        <f aca="false">_xlfn.CONCAT(B6, ": ", C6)</f>
        <v>Construction: Worker</v>
      </c>
      <c r="C1329" s="32" t="n">
        <f aca="false">BL6</f>
        <v>10046727</v>
      </c>
      <c r="D1329" s="32" t="n">
        <f aca="false">BM6</f>
        <v>311472</v>
      </c>
      <c r="E1329" s="32" t="n">
        <f aca="false">BN6</f>
        <v>100080</v>
      </c>
      <c r="F1329" s="32" t="n">
        <f aca="false">BO6</f>
        <v>9635175</v>
      </c>
    </row>
    <row r="1330" customFormat="false" ht="12.8" hidden="false" customHeight="false" outlineLevel="0" collapsed="false">
      <c r="A1330" s="7" t="str">
        <f aca="false">_xlfn.CONCAT($A$854, ".", A7)</f>
        <v>AR.7.4</v>
      </c>
      <c r="B1330" s="7" t="str">
        <f aca="false">_xlfn.CONCAT(B7, ": ", C7)</f>
        <v>Construction: Support</v>
      </c>
      <c r="C1330" s="32" t="n">
        <f aca="false">BL7</f>
        <v>4043973</v>
      </c>
      <c r="D1330" s="32" t="n">
        <f aca="false">BM7</f>
        <v>125328</v>
      </c>
      <c r="E1330" s="32" t="n">
        <f aca="false">BN7</f>
        <v>40320</v>
      </c>
      <c r="F1330" s="32" t="n">
        <f aca="false">BO7</f>
        <v>3878325</v>
      </c>
    </row>
    <row r="1331" customFormat="false" ht="12.8" hidden="false" customHeight="false" outlineLevel="0" collapsed="false">
      <c r="A1331" s="7" t="str">
        <f aca="false">_xlfn.CONCAT($A$854, ".", A8)</f>
        <v>AR.7.5</v>
      </c>
      <c r="B1331" s="7" t="str">
        <f aca="false">_xlfn.CONCAT(B8, ": ", C8)</f>
        <v>Hospitality: Worker</v>
      </c>
      <c r="C1331" s="32" t="n">
        <f aca="false">BL8</f>
        <v>19126107</v>
      </c>
      <c r="D1331" s="32" t="n">
        <f aca="false">BM8</f>
        <v>592872</v>
      </c>
      <c r="E1331" s="32" t="n">
        <f aca="false">BN8</f>
        <v>190560</v>
      </c>
      <c r="F1331" s="32" t="n">
        <f aca="false">BO8</f>
        <v>18342675</v>
      </c>
    </row>
    <row r="1332" customFormat="false" ht="12.8" hidden="false" customHeight="false" outlineLevel="0" collapsed="false">
      <c r="A1332" s="7" t="str">
        <f aca="false">_xlfn.CONCAT($A$854, ".", A9)</f>
        <v>AR.7.6</v>
      </c>
      <c r="B1332" s="7" t="str">
        <f aca="false">_xlfn.CONCAT(B9, ": ", C9)</f>
        <v>Hospitality: Support</v>
      </c>
      <c r="C1332" s="32" t="n">
        <f aca="false">BL9</f>
        <v>10572753</v>
      </c>
      <c r="D1332" s="32" t="n">
        <f aca="false">BM9</f>
        <v>327768</v>
      </c>
      <c r="E1332" s="32" t="n">
        <f aca="false">BN9</f>
        <v>105360</v>
      </c>
      <c r="F1332" s="32" t="n">
        <f aca="false">BO9</f>
        <v>10139625</v>
      </c>
    </row>
    <row r="1333" customFormat="false" ht="12.8" hidden="false" customHeight="false" outlineLevel="0" collapsed="false">
      <c r="A1333" s="7" t="str">
        <f aca="false">_xlfn.CONCAT($A$854, ".", A10)</f>
        <v>AR.7.7</v>
      </c>
      <c r="B1333" s="7" t="str">
        <f aca="false">_xlfn.CONCAT(B10, ": ", C10)</f>
        <v>Cleaning &amp; Maintenance: Worker</v>
      </c>
      <c r="C1333" s="32" t="n">
        <f aca="false">BL10</f>
        <v>4048641</v>
      </c>
      <c r="D1333" s="32" t="n">
        <f aca="false">BM10</f>
        <v>125496</v>
      </c>
      <c r="E1333" s="32" t="n">
        <f aca="false">BN10</f>
        <v>40320</v>
      </c>
      <c r="F1333" s="32" t="n">
        <f aca="false">BO10</f>
        <v>3882825</v>
      </c>
    </row>
    <row r="1334" customFormat="false" ht="12.8" hidden="false" customHeight="false" outlineLevel="0" collapsed="false">
      <c r="A1334" s="7" t="str">
        <f aca="false">_xlfn.CONCAT($A$854, ".", A11)</f>
        <v>AR.7.8</v>
      </c>
      <c r="B1334" s="7" t="str">
        <f aca="false">_xlfn.CONCAT(B11, ": ", C11)</f>
        <v>Cleaning &amp; Maintenance: Support</v>
      </c>
      <c r="C1334" s="32" t="n">
        <f aca="false">BL11</f>
        <v>2021199</v>
      </c>
      <c r="D1334" s="32" t="n">
        <f aca="false">BM11</f>
        <v>62664</v>
      </c>
      <c r="E1334" s="32" t="n">
        <f aca="false">BN11</f>
        <v>20160</v>
      </c>
      <c r="F1334" s="32" t="n">
        <f aca="false">BO11</f>
        <v>1938375</v>
      </c>
    </row>
    <row r="1335" customFormat="false" ht="12.8" hidden="false" customHeight="false" outlineLevel="0" collapsed="false">
      <c r="A1335" s="7" t="str">
        <f aca="false">_xlfn.CONCAT($A$854, ".", A12)</f>
        <v>AR.7.9</v>
      </c>
      <c r="B1335" s="7" t="str">
        <f aca="false">_xlfn.CONCAT(B12, ": ", C12)</f>
        <v>Manufacturing: Worker</v>
      </c>
      <c r="C1335" s="32" t="n">
        <f aca="false">BL12</f>
        <v>24930825</v>
      </c>
      <c r="D1335" s="32" t="n">
        <f aca="false">BM12</f>
        <v>772800</v>
      </c>
      <c r="E1335" s="32" t="n">
        <f aca="false">BN12</f>
        <v>248400</v>
      </c>
      <c r="F1335" s="32" t="n">
        <f aca="false">BO12</f>
        <v>23909625</v>
      </c>
    </row>
    <row r="1336" customFormat="false" ht="12.8" hidden="false" customHeight="false" outlineLevel="0" collapsed="false">
      <c r="A1336" s="7" t="str">
        <f aca="false">_xlfn.CONCAT($A$854, ".", A13)</f>
        <v>AR.7.10</v>
      </c>
      <c r="B1336" s="7" t="str">
        <f aca="false">_xlfn.CONCAT(B13, ": ", C13)</f>
        <v>Manufacturing: Support</v>
      </c>
      <c r="C1336" s="32" t="n">
        <f aca="false">BL13</f>
        <v>10837875</v>
      </c>
      <c r="D1336" s="32" t="n">
        <f aca="false">BM13</f>
        <v>336000</v>
      </c>
      <c r="E1336" s="32" t="n">
        <f aca="false">BN13</f>
        <v>108000</v>
      </c>
      <c r="F1336" s="32" t="n">
        <f aca="false">BO13</f>
        <v>10393875</v>
      </c>
    </row>
    <row r="1337" customFormat="false" ht="12.8" hidden="false" customHeight="false" outlineLevel="0" collapsed="false">
      <c r="A1337" s="7" t="str">
        <f aca="false">_xlfn.CONCAT($A$854, ".", A14)</f>
        <v>AR.7.11</v>
      </c>
      <c r="B1337" s="7" t="str">
        <f aca="false">_xlfn.CONCAT(B14, ": ", C14)</f>
        <v>Transportation &amp; Warehousing: Worker</v>
      </c>
      <c r="C1337" s="32" t="n">
        <f aca="false">BL14</f>
        <v>9288957</v>
      </c>
      <c r="D1337" s="32" t="n">
        <f aca="false">BM14</f>
        <v>287952</v>
      </c>
      <c r="E1337" s="32" t="n">
        <f aca="false">BN14</f>
        <v>92580</v>
      </c>
      <c r="F1337" s="32" t="n">
        <f aca="false">BO14</f>
        <v>8908425</v>
      </c>
    </row>
    <row r="1338" customFormat="false" ht="12.8" hidden="false" customHeight="false" outlineLevel="0" collapsed="false">
      <c r="A1338" s="7" t="str">
        <f aca="false">_xlfn.CONCAT($A$854, ".", A15)</f>
        <v>AR.7.12</v>
      </c>
      <c r="B1338" s="7" t="str">
        <f aca="false">_xlfn.CONCAT(B15, ": ", C15)</f>
        <v>Transportation &amp; Warehousing: Support</v>
      </c>
      <c r="C1338" s="32" t="n">
        <f aca="false">BL15</f>
        <v>1550043</v>
      </c>
      <c r="D1338" s="32" t="n">
        <f aca="false">BM15</f>
        <v>48048</v>
      </c>
      <c r="E1338" s="32" t="n">
        <f aca="false">BN15</f>
        <v>15420</v>
      </c>
      <c r="F1338" s="32" t="n">
        <f aca="false">BO15</f>
        <v>1486575</v>
      </c>
    </row>
    <row r="1339" customFormat="false" ht="12.8" hidden="false" customHeight="false" outlineLevel="0" collapsed="false">
      <c r="A1339" s="7" t="str">
        <f aca="false">_xlfn.CONCAT($A$854, ".", A16)</f>
        <v>AR.7.13</v>
      </c>
      <c r="B1339" s="7" t="str">
        <f aca="false">_xlfn.CONCAT(B16, ": ", C16)</f>
        <v>Retail Trade: Worker</v>
      </c>
      <c r="C1339" s="32" t="n">
        <f aca="false">BL16</f>
        <v>20242875</v>
      </c>
      <c r="D1339" s="32" t="n">
        <f aca="false">BM16</f>
        <v>627480</v>
      </c>
      <c r="E1339" s="32" t="n">
        <f aca="false">BN16</f>
        <v>201720</v>
      </c>
      <c r="F1339" s="32" t="n">
        <f aca="false">BO16</f>
        <v>19413675</v>
      </c>
    </row>
    <row r="1340" customFormat="false" ht="12.8" hidden="false" customHeight="false" outlineLevel="0" collapsed="false">
      <c r="A1340" s="7" t="str">
        <f aca="false">_xlfn.CONCAT($A$854, ".", A17)</f>
        <v>AR.7.14</v>
      </c>
      <c r="B1340" s="7" t="str">
        <f aca="false">_xlfn.CONCAT(B17, ": ", C17)</f>
        <v>Retail Trade: Support</v>
      </c>
      <c r="C1340" s="32" t="n">
        <f aca="false">BL17</f>
        <v>10106325</v>
      </c>
      <c r="D1340" s="32" t="n">
        <f aca="false">BM17</f>
        <v>313320</v>
      </c>
      <c r="E1340" s="32" t="n">
        <f aca="false">BN17</f>
        <v>100680</v>
      </c>
      <c r="F1340" s="32" t="n">
        <f aca="false">BO17</f>
        <v>9692325</v>
      </c>
    </row>
    <row r="1341" customFormat="false" ht="12.8" hidden="false" customHeight="false" outlineLevel="0" collapsed="false">
      <c r="A1341" s="7" t="str">
        <f aca="false">_xlfn.CONCAT($A$854, ".", A18)</f>
        <v>AR.7.15</v>
      </c>
      <c r="B1341" s="7" t="str">
        <f aca="false">_xlfn.CONCAT(B18, ": ", C18)</f>
        <v>Landscaping / Groundskeeping: Worker</v>
      </c>
      <c r="C1341" s="32" t="n">
        <f aca="false">BL18</f>
        <v>2120133</v>
      </c>
      <c r="D1341" s="32" t="n">
        <f aca="false">BM18</f>
        <v>65688</v>
      </c>
      <c r="E1341" s="32" t="n">
        <f aca="false">BN18</f>
        <v>21120</v>
      </c>
      <c r="F1341" s="32" t="n">
        <f aca="false">BO18</f>
        <v>2033325</v>
      </c>
    </row>
    <row r="1342" customFormat="false" ht="12.8" hidden="false" customHeight="false" outlineLevel="0" collapsed="false">
      <c r="A1342" s="7" t="str">
        <f aca="false">_xlfn.CONCAT($A$854, ".", A19)</f>
        <v>AR.7.16</v>
      </c>
      <c r="B1342" s="7" t="str">
        <f aca="false">_xlfn.CONCAT(B19, ": ", C19)</f>
        <v>Landscaping / Groundskeeping: Support</v>
      </c>
      <c r="C1342" s="32" t="n">
        <f aca="false">BL19</f>
        <v>1131567</v>
      </c>
      <c r="D1342" s="32" t="n">
        <f aca="false">BM19</f>
        <v>35112</v>
      </c>
      <c r="E1342" s="32" t="n">
        <f aca="false">BN19</f>
        <v>11280</v>
      </c>
      <c r="F1342" s="32" t="n">
        <f aca="false">BO19</f>
        <v>1085175</v>
      </c>
    </row>
    <row r="1343" customFormat="false" ht="12.8" hidden="false" customHeight="false" outlineLevel="0" collapsed="false">
      <c r="A1343" s="7" t="str">
        <f aca="false">_xlfn.CONCAT($A$854, ".", A20)</f>
        <v>AR.7.17</v>
      </c>
      <c r="B1343" s="7" t="str">
        <f aca="false">_xlfn.CONCAT(B20, ": ", C20)</f>
        <v>Automotive &amp; Repair: Worker</v>
      </c>
      <c r="C1343" s="32" t="n">
        <f aca="false">BL20</f>
        <v>1445931</v>
      </c>
      <c r="D1343" s="32" t="n">
        <f aca="false">BM20</f>
        <v>44856</v>
      </c>
      <c r="E1343" s="32" t="n">
        <f aca="false">BN20</f>
        <v>14400</v>
      </c>
      <c r="F1343" s="32" t="n">
        <f aca="false">BO20</f>
        <v>1386675</v>
      </c>
    </row>
    <row r="1344" customFormat="false" ht="12.8" hidden="false" customHeight="false" outlineLevel="0" collapsed="false">
      <c r="A1344" s="7" t="str">
        <f aca="false">_xlfn.CONCAT($A$854, ".", A21)</f>
        <v>AR.7.18</v>
      </c>
      <c r="B1344" s="7" t="str">
        <f aca="false">_xlfn.CONCAT(B21, ": ", C21)</f>
        <v>Automotive &amp; Repair: Support</v>
      </c>
      <c r="C1344" s="32" t="n">
        <f aca="false">BL21</f>
        <v>721869</v>
      </c>
      <c r="D1344" s="32" t="n">
        <f aca="false">BM21</f>
        <v>22344</v>
      </c>
      <c r="E1344" s="32" t="n">
        <f aca="false">BN21</f>
        <v>7200</v>
      </c>
      <c r="F1344" s="32" t="n">
        <f aca="false">BO21</f>
        <v>692325</v>
      </c>
    </row>
    <row r="1345" customFormat="false" ht="12.8" hidden="false" customHeight="false" outlineLevel="0" collapsed="false">
      <c r="A1345" s="7" t="str">
        <f aca="false">_xlfn.CONCAT($A$854, ".", A22)</f>
        <v>AR.7.19</v>
      </c>
      <c r="B1345" s="7" t="str">
        <f aca="false">_xlfn.CONCAT(B22, ": ", C22)</f>
        <v>Other Services: Worker</v>
      </c>
      <c r="C1345" s="32" t="n">
        <f aca="false">BL22</f>
        <v>8581269</v>
      </c>
      <c r="D1345" s="32" t="n">
        <f aca="false">BM22</f>
        <v>265944</v>
      </c>
      <c r="E1345" s="32" t="n">
        <f aca="false">BN22</f>
        <v>85500</v>
      </c>
      <c r="F1345" s="32" t="n">
        <f aca="false">BO22</f>
        <v>8229825</v>
      </c>
    </row>
    <row r="1346" customFormat="false" ht="12.8" hidden="false" customHeight="false" outlineLevel="0" collapsed="false">
      <c r="A1346" s="7" t="str">
        <f aca="false">_xlfn.CONCAT($A$854, ".", A23)</f>
        <v>AR.7.20</v>
      </c>
      <c r="B1346" s="7" t="str">
        <f aca="false">_xlfn.CONCAT(B23, ": ", C23)</f>
        <v>Other Services: Support</v>
      </c>
      <c r="C1346" s="32" t="n">
        <f aca="false">BL23</f>
        <v>5509431</v>
      </c>
      <c r="D1346" s="32" t="n">
        <f aca="false">BM23</f>
        <v>170856</v>
      </c>
      <c r="E1346" s="32" t="n">
        <f aca="false">BN23</f>
        <v>54900</v>
      </c>
      <c r="F1346" s="32" t="n">
        <f aca="false">BO23</f>
        <v>5283675</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2729</TotalTime>
  <Application>LibreOffice/25.8.4.2$Linux_X86_64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2025-12-27T14:55:03Z</dcterms:created>
  <dc:creator/>
  <dc:description/>
  <dc:language>en-US</dc:language>
  <cp:lastModifiedBy/>
  <dcterms:modified xsi:type="dcterms:W3CDTF">2026-02-01T15:08:35Z</dcterms:modified>
  <cp:revision>364</cp:revision>
  <dc:subject/>
  <dc:title/>
</cp:coreProperties>
</file>

<file path=docProps/custom.xml><?xml version="1.0" encoding="utf-8"?>
<Properties xmlns="http://schemas.openxmlformats.org/officeDocument/2006/custom-properties" xmlns:vt="http://schemas.openxmlformats.org/officeDocument/2006/docPropsVTypes"/>
</file>