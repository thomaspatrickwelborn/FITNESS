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SD" sheetId="1" state="visible" r:id="rId3"/>
    <sheet name="SSD-CALCULATOR" sheetId="2" state="visible" r:id="rId4"/>
    <sheet name="SSD-GRANTS" sheetId="3" state="visible" r:id="rId5"/>
    <sheet name="SSD-REGIONS" sheetId="4" state="visible" r:id="rId6"/>
    <sheet name="SSD-REVENUE" sheetId="5" state="visible" r:id="rId7"/>
    <sheet name="SSD-AGE" sheetId="6" state="visible" r:id="rId8"/>
    <sheet name="SSD-PRIVILEGE" sheetId="7" state="visible" r:id="rId9"/>
    <sheet name="SSD-STATUS" sheetId="8" state="visible" r:id="rId10"/>
    <sheet name="SSD-MG" sheetId="9" state="visible" r:id="rId11"/>
  </sheets>
  <definedNames>
    <definedName function="false" hidden="false" name="Regional_COL_Max" vbProcedure="false">'SSD-REGIONS'!$D$3:$D$11</definedName>
    <definedName function="false" hidden="false" name="Regional_COL_Min" vbProcedure="false">'SSD-REGIONS'!$C$3:$C$11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<sst xmlns="http://schemas.openxmlformats.org/spreadsheetml/2006/main" count="3209" uniqueCount="1591">
  <si>
    <t xml:space="preserve">DES - Social Security Division (SSD)</t>
  </si>
  <si>
    <t xml:space="preserve">AID</t>
  </si>
  <si>
    <t xml:space="preserve">Aspect</t>
  </si>
  <si>
    <t xml:space="preserve">Details</t>
  </si>
  <si>
    <t xml:space="preserve">Division Name</t>
  </si>
  <si>
    <t xml:space="preserve">Social Security Division (SSD)</t>
  </si>
  <si>
    <t xml:space="preserve">Parent Department</t>
  </si>
  <si>
    <t xml:space="preserve">Department of Economic Security (DES)</t>
  </si>
  <si>
    <t xml:space="preserve">Primary Mission</t>
  </si>
  <si>
    <t xml:space="preserve">Consolidates and delivers unified individual cost-of-living grants covering housing, food, medical, utilities, transportation, cash, investment, labor security (LSG), and education security (ESG); phases out legacy programs like SSI with automated, vendor-restricted digital delivery</t>
  </si>
  <si>
    <t xml:space="preserve">Key Subdivisions</t>
  </si>
  <si>
    <t xml:space="preserve">N/A (core grant delivery; integrates with ESP-SSD portal)</t>
  </si>
  <si>
    <t xml:space="preserve">Consolidated Legacy Entities</t>
  </si>
  <si>
    <t xml:space="preserve">SSA (OASDI/SSI), HUD (housing subsidies), USDA (SNAP/WIC), HHS (TANF/Medicaid principles), VA/ED partial benefits, and other means-tested welfare/education programs</t>
  </si>
  <si>
    <t xml:space="preserve">Estimated Annual Budget</t>
  </si>
  <si>
    <t xml:space="preserve">$2,750 billion (post-consolidation)</t>
  </si>
  <si>
    <t xml:space="preserve">Estimated Staff (FTE)</t>
  </si>
  <si>
    <t xml:space="preserve">Current Legacy Staff (Approx.)</t>
  </si>
  <si>
    <t xml:space="preserve">Post-Consolidation Savings</t>
  </si>
  <si>
    <t xml:space="preserve">~$103 billion annual budget savings ~48,900 staff reduction</t>
  </si>
  <si>
    <t xml:space="preserve">Core Functions Managed</t>
  </si>
  <si>
    <t xml:space="preserve">Unified grant categories (e.g., universal Medical, Housing, LSG replacing UI); automated eligibility/phase-outs by age/privilege/status; RPP-adjusted benefits; integration with LSD for work incentives and job priority</t>
  </si>
  <si>
    <t xml:space="preserve">Primary Consolidation Benefits</t>
  </si>
  <si>
    <t xml:space="preserve">Collapse of parallel admin across SSA/HHS/HUD/USDA; shared case management and centralized trust fund operations; AI eligibility/auditing; preserved core benefits with expanded universal reach and reduced overhead</t>
  </si>
  <si>
    <t xml:space="preserve">SSD Calculator</t>
  </si>
  <si>
    <t xml:space="preserve">Nonfunctional formual table used for machine calculations - especially estimations. </t>
  </si>
  <si>
    <t xml:space="preserve">SSD Calculations</t>
  </si>
  <si>
    <t xml:space="preserve">CID</t>
  </si>
  <si>
    <t xml:space="preserve">Calculation Type</t>
  </si>
  <si>
    <t xml:space="preserve">Formula / Pseudocode</t>
  </si>
  <si>
    <t xml:space="preserve">Inputs</t>
  </si>
  <si>
    <t xml:space="preserve">Outputs</t>
  </si>
  <si>
    <t xml:space="preserve">Dependencies / Assumptions</t>
  </si>
  <si>
    <t xml:space="preserve">Cross-link to FITTER</t>
  </si>
  <si>
    <t xml:space="preserve">Annual Adjustment Method</t>
  </si>
  <si>
    <t xml:space="preserve">Exact Individual Grant Formulas</t>
  </si>
  <si>
    <t xml:space="preserve">Grant_Amount = (Regional_COL_Base + (Regional_COL_Max - Regional_COL_Min) × Status_Factor) × Privilege_Multiplier × Household_Adjustment × FMW_Floor_Adjustment</t>
  </si>
  <si>
    <t xml:space="preserve">Regional_COL_Min/Max (SSD-REGIONS), Status_Factor (0.5–1.0, SSD-STATUS), Privilege_Multiplier (1.0–1.2, SSD-PRIVILEGE), Household_Size, Current_FMW (from FITTER FMW sheet)</t>
  </si>
  <si>
    <t xml:space="preserve">Per-person annual/monthly grant</t>
  </si>
  <si>
    <t xml:space="preserve">Child factor usually 0.5–0.8; FMW_Floor_Adjustment = MAX(1, New_FMW / Current_FMW × 0.6)</t>
  </si>
  <si>
    <t xml:space="preserve">FITTER FMW sheet (current vs phased)</t>
  </si>
  <si>
    <t xml:space="preserve">Prorated Grant</t>
  </si>
  <si>
    <t xml:space="preserve">Prorated_Amount = (Full_Monthly_Grant / Days_In_Month) × Eligible_Days + Status_Change_Adj</t>
  </si>
  <si>
    <t xml:space="preserve">Full_Monthly_Grant, Eligible_Days (1–31), Status_Change_Adj (from below)</t>
  </si>
  <si>
    <t xml:space="preserve">Adjusted monthly disbursement</t>
  </si>
  <si>
    <t xml:space="preserve">Days_In_Month = 28–31 depending on month</t>
  </si>
  <si>
    <t xml:space="preserve">None (pure timing)</t>
  </si>
  <si>
    <t xml:space="preserve">No annual escalation; applied per period</t>
  </si>
  <si>
    <t xml:space="preserve">Status Change Adjustment</t>
  </si>
  <si>
    <t xml:space="preserve">Adjusted_Grant = Prior_Grant × (1 - Change_Penalty) + New_Grant × Transition_Factor + FMW_Income_Boost</t>
  </si>
  <si>
    <t xml:space="preserve">Prior/New_Grant, Change_Penalty (0–0.1), Transition_Factor (0.5–1.0), FMW_Income_Boost (if employed)</t>
  </si>
  <si>
    <t xml:space="preserve">Post-change grant</t>
  </si>
  <si>
    <t xml:space="preserve">FMW_Income_Boost = 0 if non-working; positive if moving to LS06+ status</t>
  </si>
  <si>
    <t xml:space="preserve">FITTER FMW + SSD-STATUS (LS codes)</t>
  </si>
  <si>
    <t xml:space="preserve">Category Outlay Total</t>
  </si>
  <si>
    <t xml:space="preserve">Category_Outlay = SUM(Unique_Beneficiaries × Avg_Annual_Benefit) − Overlap_Deduction + FMW_Reduction_Offset + Behavioral_Offset</t>
  </si>
  <si>
    <t xml:space="preserve">Unique_Beneficiaries &amp; Avg_Benefit (SSD-GRANTS), Overlap_Deduction (10–20%), FMW_Reduction_Offset (employment increase due to FMW)</t>
  </si>
  <si>
    <t xml:space="preserve">Annual category outlay ($B)</t>
  </si>
  <si>
    <t xml:space="preserve">FMW_Reduction_Offset negative as higher FMW reduces full-grant beneficiaries</t>
  </si>
  <si>
    <t xml:space="preserve">FITTER FMW phase-in + SSD-GRANTS</t>
  </si>
  <si>
    <t xml:space="preserve">Unduplicated Aggregation</t>
  </si>
  <si>
    <t xml:space="preserve">Unduplicated_Outlay = Category_Outlay × (1 − Multi_Grant_Overlap_Rate) − FMW_Induced_Shift_Multiplier</t>
  </si>
  <si>
    <t xml:space="preserve">Multi_Grant_Overlap_Rate (0.1–0.3), FMW_Induced_Shift_Multiplier (0–0.15)</t>
  </si>
  <si>
    <t xml:space="preserve">Net unduplicated outlay</t>
  </si>
  <si>
    <t xml:space="preserve">FMW shift reduces overlap as people move to partial-grant status</t>
  </si>
  <si>
    <t xml:space="preserve">FITTER FMW + behavioral modeling</t>
  </si>
  <si>
    <t xml:space="preserve">Category Inlay Allocation</t>
  </si>
  <si>
    <t xml:space="preserve">Category_Inlay = Total_Trust_Fund_Revenue × Category_Weight + Redirected_Credits_Allocation + Tariff_40pct_Share</t>
  </si>
  <si>
    <t xml:space="preserve">Total_Trust_Fund_Revenue (SSD-REVENUE), Category_Weight (e.g. Medical=28–32%), Redirected_Credits (from PFIT/BFIT-CREDITS), Tariff_40pct (from FITTER TARIFF)</t>
  </si>
  <si>
    <t xml:space="preserve">Annual category inlay ($B)</t>
  </si>
  <si>
    <t xml:space="preserve">Redirected credits phased in over 3–5 years per TIMELINE</t>
  </si>
  <si>
    <t xml:space="preserve">FITTER PFIT/BFIT-CREDITS + TARIFF</t>
  </si>
  <si>
    <t xml:space="preserve">Annual Escalation</t>
  </si>
  <si>
    <t xml:space="preserve">Escalated_Value = Prior_Value × (1 + Inflation_Rate + FMW_Adjust + Tariff_Growth_Adj)</t>
  </si>
  <si>
    <t xml:space="preserve">Prior_Value, Inflation_Rate (~3%), FMW_Adjust (from FMW sheet), Tariff_Growth_Adj (~3–5% from TARIFF projections)</t>
  </si>
  <si>
    <t xml:space="preserve">Next-year baseline value</t>
  </si>
  <si>
    <t xml:space="preserve">Links COL escalation to FMW &amp; tariff growth for sustainability</t>
  </si>
  <si>
    <t xml:space="preserve">FITTER FMW + TARIFF</t>
  </si>
  <si>
    <t xml:space="preserve">Compounded annually per TIMELINE phase</t>
  </si>
  <si>
    <t xml:space="preserve">Behavioral Adjustment</t>
  </si>
  <si>
    <t xml:space="preserve">Adjusted_Outlay = Baseline_Outlay × (1 − Adoption_Rate × Savings_Factor) + FMW_Work_Incentive_Offset + Robot_Tax_Revenue_Recycle</t>
  </si>
  <si>
    <t xml:space="preserve">Adoption_Rate (0.4–0.6), Savings_Factor (0.08–0.1), FMW_Work_Incentive_Offset (negative), Robot_Tax_Recycle (positive)</t>
  </si>
  <si>
    <t xml:space="preserve">Net outlay after behavior</t>
  </si>
  <si>
    <t xml:space="preserve">FMW offset = employment increase × grant reduction per person</t>
  </si>
  <si>
    <t xml:space="preserve">FITTER FMW + Robot Tax (BFIT)</t>
  </si>
  <si>
    <t xml:space="preserve">Household Cap</t>
  </si>
  <si>
    <t xml:space="preserve">Household_Grant = MIN(Adult_Grant × MAX_Adults + Child_Grant × Dependents, Regional_Cap × FMW_Scaling_Factor)</t>
  </si>
  <si>
    <t xml:space="preserve">Adult_Grant / Child_Grant (Child=0.5 default), MAX_Adults=2, Dependents, Regional_Cap (SSD-REGIONS), FMW_Scaling_Factor (1 + (New_FMW − Current_FMW)/Current_FMW × 0.4)</t>
  </si>
  <si>
    <t xml:space="preserve">Capped household total</t>
  </si>
  <si>
    <t xml:space="preserve">FMW scaling increases cap to reflect higher wage floor</t>
  </si>
  <si>
    <t xml:space="preserve">FITTER FMW</t>
  </si>
  <si>
    <t xml:space="preserve">Audit Adjustment</t>
  </si>
  <si>
    <t xml:space="preserve">Net_Outlay = Gross_Outlay × (1 − Rejection_Rate) − Fraud_Savings + AI_Enhanced_Savings</t>
  </si>
  <si>
    <t xml:space="preserve">Gross_Outlay, Rejection_Rate (0.05–0.1), Fraud_Savings (8–10%), AI_Enhanced_Savings (additional 2–4% from ESP platform)</t>
  </si>
  <si>
    <t xml:space="preserve">Post-audit net outlay</t>
  </si>
  <si>
    <t xml:space="preserve">AI savings increase over time per ESP rollout</t>
  </si>
  <si>
    <t xml:space="preserve">FITTER TIMELINE (ESP phase-in)</t>
  </si>
  <si>
    <t xml:space="preserve">Multi-Year Projection</t>
  </si>
  <si>
    <t xml:space="preserve">Projected_Value_YrN = Baseline × PRODUCT(1 + Annual_Escalation_Array[1:N]) + Cumulative_FMW_Reduction + Cumulative_Tariff_Contribution</t>
  </si>
  <si>
    <t xml:space="preserve">Annual_Escalation_Array (inflation + FMW + tariff), Cumulative_FMW_Reduction (negative outlay impact), Cumulative_Tariff_Contribution</t>
  </si>
  <si>
    <t xml:space="preserve">N-year cumulative inlay/outlay</t>
  </si>
  <si>
    <t xml:space="preserve">Full synchronization with FITTER TIMELINE phases</t>
  </si>
  <si>
    <t xml:space="preserve">FITTER TIMELINE + FMW/TARIFF</t>
  </si>
  <si>
    <t xml:space="preserve">Compounded product over projection horizon</t>
  </si>
  <si>
    <t xml:space="preserve">High-Earner Surcharge Inflow (new)</t>
  </si>
  <si>
    <t xml:space="preserve">ESP_Surcharge_Inlay = High_Earner_Taxpayers × Avg_Taxable_Income_Above_Threshold × Surcharge_Rate × Phase_In_Factor</t>
  </si>
  <si>
    <t xml:space="preserve">High_Earner_Taxpayers &amp; Avg_Income (from PFIT-BRACKETS upper brackets), Surcharge_Rate (1–3%), Phase_In_Factor (from TIMELINE)</t>
  </si>
  <si>
    <t xml:space="preserve">Annual inflow to Trust Fund for SSD grants</t>
  </si>
  <si>
    <t xml:space="preserve">Primarily funds Medical/Housing categories</t>
  </si>
  <si>
    <t xml:space="preserve">FITTER PFIT-WITHHOLDINGS (WID 1–3)</t>
  </si>
  <si>
    <t xml:space="preserve">Credit Redirect Contribution (new)</t>
  </si>
  <si>
    <t xml:space="preserve">Credit_Redirect_To_SSD = Eliminated_Credit_Cost × Redirect_Share × Phase_In_Completeness</t>
  </si>
  <si>
    <t xml:space="preserve">Eliminated_Credit_Cost (from PFIT/BFIT-CREDITS, $205–280B baseline), Redirect_Share (40–60% to COL), Phase_In_Completeness (0→1 over 3–5 years)</t>
  </si>
  <si>
    <t xml:space="preserve">Annual redirected revenue to SSD grants</t>
  </si>
  <si>
    <t xml:space="preserve">Replaces EITC/CTC/child credits</t>
  </si>
  <si>
    <t xml:space="preserve">FITTER PFIT-CREDITS &amp; TIMELINE</t>
  </si>
  <si>
    <t xml:space="preserve">Personal Wealth Accumulation Impact on COL Grants</t>
  </si>
  <si>
    <t xml:space="preserve">Wealth_Adjusted_Grant = Base_Grant × (1 - Wealth_Tier_Reduction_Rate) × (1 + FMW_Wealth_Accel)</t>
  </si>
  <si>
    <t xml:space="preserve">Wealth_Tier_Reduction_Rate (0.0–0.8 based on GWC tiers), FMW_Wealth_Accel (cumulative wage growth above baseline), Base_Grant (from SSD)</t>
  </si>
  <si>
    <t xml:space="preserve">Adjusted COL grant after wealth build-up</t>
  </si>
  <si>
    <t xml:space="preserve">GWC-0 → 0% reduction; GWC-1 → 20–40%; higher tiers → 60–100%</t>
  </si>
  <si>
    <t xml:space="preserve">FITTER FMW (wage growth) + SSD-GWC tiers</t>
  </si>
  <si>
    <t xml:space="preserve">Wealth Tier Transition Rate</t>
  </si>
  <si>
    <t xml:space="preserve">Transition_Rate_YrN = Transition_Rate_Yr(N-1) + (FMW_Annual_Increase_% × Low_Income_Wealth_Factor) + (PFIT_Low_Bracket_Relief)</t>
  </si>
  <si>
    <t xml:space="preserve">Transition_Rate_Yr0 = 0.01–0.03 (baseline), Low_Income_Wealth_Factor (0.4–0.7), PFIT_Low_Bracket_Relief (from credit redirect / lower rates)</t>
  </si>
  <si>
    <t xml:space="preserve">% of beneficiaries moving to higher GWC tiers per year</t>
  </si>
  <si>
    <t xml:space="preserve">Faster transition reduces full-grant outlays</t>
  </si>
  <si>
    <t xml:space="preserve">FITTER FMW + PFIT-BRACKETS (lower brackets)</t>
  </si>
  <si>
    <t xml:space="preserve">Cumulative sum over years</t>
  </si>
  <si>
    <t xml:space="preserve">Net SSD Outlay After Wealth Effect</t>
  </si>
  <si>
    <t xml:space="preserve">Net_SSD_Outlay = Gross_SSD_Outlay × (1 - Cumulative_Transition_Rate) - ILLER_Wage_Pressure_Reduction</t>
  </si>
  <si>
    <t xml:space="preserve">Gross_SSD_Outlay (from SSD), Cumulative_Transition_Rate (from above), ILLER_Wage_Pressure_Reduction (0.02–0.08)</t>
  </si>
  <si>
    <t xml:space="preserve">Final adjusted SSD outlay ($B)</t>
  </si>
  <si>
    <t xml:space="preserve">ILLER wage pressure accelerates wealth build-up for low-wage workers</t>
  </si>
  <si>
    <t xml:space="preserve">FITTER ILLER + FMW</t>
  </si>
  <si>
    <t xml:space="preserve">DES SSD Grants</t>
  </si>
  <si>
    <t xml:space="preserve">Current DES SSD Related Program Consolidation Savings</t>
  </si>
  <si>
    <t xml:space="preserve">COLID</t>
  </si>
  <si>
    <t xml:space="preserve">Grant Name</t>
  </si>
  <si>
    <t xml:space="preserve">Consolidated Programs</t>
  </si>
  <si>
    <t xml:space="preserve">Annual Benefit Outlays (2025 baseline, $B)</t>
  </si>
  <si>
    <t xml:space="preserve">Legacy Operational/Admin Costs (2025 est., $B)</t>
  </si>
  <si>
    <t xml:space="preserve">Post-Reform Operational Costs (est., $B)</t>
  </si>
  <si>
    <t xml:space="preserve">Estimated Annual Savings ($B)</t>
  </si>
  <si>
    <t xml:space="preserve">Estimated Decade Savings ($B, nominal)</t>
  </si>
  <si>
    <t xml:space="preserve">Total Beneficiaries (post-reform est.)</t>
  </si>
  <si>
    <t xml:space="preserve">Key Savings Drivers</t>
  </si>
  <si>
    <t xml:space="preserve">Standard Grants</t>
  </si>
  <si>
    <t xml:space="preserve">COL-A</t>
  </si>
  <si>
    <t xml:space="preserve">Housing Grant</t>
  </si>
  <si>
    <t xml:space="preserve">Housing Choice Voucher (Section 8), Public Housing, Section 8 Project-Based Rental Assistance, HUD-VASH, Continuum of Care Permanent Supportive Housing, ESG – Rapid Re-housing, USDA Section 521 Rural Rental Assistance, HOPWA Tenant-Based Rental Assistance, Section 811 Project Rental Assistance</t>
  </si>
  <si>
    <t xml:space="preserve">~5.0</t>
  </si>
  <si>
    <t xml:space="preserve">~0.3</t>
  </si>
  <si>
    <t xml:space="preserve">~4.7</t>
  </si>
  <si>
    <t xml:space="preserve">~47–55</t>
  </si>
  <si>
    <t xml:space="preserve">~5.5M households</t>
  </si>
  <si>
    <t xml:space="preserve">Unified voucher/project payments; automated landlord transfers &amp; waitlists</t>
  </si>
  <si>
    <t xml:space="preserve">COL-B</t>
  </si>
  <si>
    <t xml:space="preserve">Utility Grant</t>
  </si>
  <si>
    <t xml:space="preserve">LIHEAP, Affordable Connectivity Program successor / Broadband, Lifeline, Water Assistance, Residential Clean Energy Credit, Energy Efficient Home Improvement Credit</t>
  </si>
  <si>
    <t xml:space="preserve">~1.2</t>
  </si>
  <si>
    <t xml:space="preserve">~0.1</t>
  </si>
  <si>
    <t xml:space="preserve">~1.1</t>
  </si>
  <si>
    <t xml:space="preserve">~11–13</t>
  </si>
  <si>
    <t xml:space="preserve">~32M households</t>
  </si>
  <si>
    <t xml:space="preserve">Direct vendor billing; reduced crisis outreach</t>
  </si>
  <si>
    <t xml:space="preserve">COL-C</t>
  </si>
  <si>
    <t xml:space="preserve">Food Grant</t>
  </si>
  <si>
    <t xml:space="preserve">SNAP (Retail Purchase), TEFAP/CSFP, NSLP/SBP/CACFP, Meals on Wheels / Congregate, Other (Mobile, Summer, Emergency)</t>
  </si>
  <si>
    <t xml:space="preserve">~8.0</t>
  </si>
  <si>
    <t xml:space="preserve">~0.4</t>
  </si>
  <si>
    <t xml:space="preserve">~7.6</t>
  </si>
  <si>
    <t xml:space="preserve">~76–90</t>
  </si>
  <si>
    <t xml:space="preserve">~50M individuals</t>
  </si>
  <si>
    <t xml:space="preserve">EBT/institution auto-payments; streamlined eligibility</t>
  </si>
  <si>
    <t xml:space="preserve">COL-D</t>
  </si>
  <si>
    <t xml:space="preserve">Cash Grant</t>
  </si>
  <si>
    <t xml:space="preserve">Federal SSI, Federal &amp; State TANF / General Assistance, Earned Income Tax Credit (EITC), Child Tax Credit (CTC) + Additional CTC, Child and Dependent Care Credit, Adoption Credit, Credit for the Elderly or the Disabled</t>
  </si>
  <si>
    <t xml:space="preserve">~4.0</t>
  </si>
  <si>
    <t xml:space="preserve">~0.2</t>
  </si>
  <si>
    <t xml:space="preserve">~3.8</t>
  </si>
  <si>
    <t xml:space="preserve">~38–45</t>
  </si>
  <si>
    <t xml:space="preserve">~10M individuals</t>
  </si>
  <si>
    <t xml:space="preserve">Restricted transfers; reduced casework for SSI/TANF</t>
  </si>
  <si>
    <t xml:space="preserve">COL-E</t>
  </si>
  <si>
    <t xml:space="preserve">Medical Grant</t>
  </si>
  <si>
    <t xml:space="preserve">Medicaid, CHIP, Medicare (Parts A–D), Medicare Savings / Extra Help, ACA Subsidies, VA Health, TRICARE/CHAMPVA, IHS, Ryan White, Premium Tax Credit (ACA marketplace subsidies)</t>
  </si>
  <si>
    <t xml:space="preserve">~2,058</t>
  </si>
  <si>
    <t xml:space="preserve">~150</t>
  </si>
  <si>
    <t xml:space="preserve">~0.8</t>
  </si>
  <si>
    <t xml:space="preserve">~149.2</t>
  </si>
  <si>
    <t xml:space="preserve">~1,490–1,700</t>
  </si>
  <si>
    <t xml:space="preserve">~200M overlapping</t>
  </si>
  <si>
    <t xml:space="preserve">Universal provider payments; employer offsets &amp; AI claims processing</t>
  </si>
  <si>
    <t xml:space="preserve">COL-F</t>
  </si>
  <si>
    <t xml:space="preserve">Transportation Grant</t>
  </si>
  <si>
    <t xml:space="preserve">FTA Section 5310, FTA Section 5311, Qualified Transportation Fringe (Section 132(f)), State &amp; Local Reduced-Fare</t>
  </si>
  <si>
    <t xml:space="preserve">~0.05</t>
  </si>
  <si>
    <t xml:space="preserve">~0.25</t>
  </si>
  <si>
    <t xml:space="preserve">~2.5–3</t>
  </si>
  <si>
    <t xml:space="preserve">~2.5M riders</t>
  </si>
  <si>
    <t xml:space="preserve">Electronic fare/reimbursement integration</t>
  </si>
  <si>
    <t xml:space="preserve">COL-G</t>
  </si>
  <si>
    <t xml:space="preserve">Investment Grant</t>
  </si>
  <si>
    <t xml:space="preserve">Saver’s Credit (Retirement Savings Contributions Credit)</t>
  </si>
  <si>
    <t xml:space="preserve">Variable</t>
  </si>
  <si>
    <t xml:space="preserve">~1.0</t>
  </si>
  <si>
    <t xml:space="preserve">~0.9</t>
  </si>
  <si>
    <t xml:space="preserve">~9–11</t>
  </si>
  <si>
    <t xml:space="preserve">Millions qualifying</t>
  </si>
  <si>
    <t xml:space="preserve">New matched system; automated payroll deductions</t>
  </si>
  <si>
    <t xml:space="preserve">Extra Grants</t>
  </si>
  <si>
    <t xml:space="preserve">COLX-H</t>
  </si>
  <si>
    <t xml:space="preserve">Labor Security Grant (LSG)</t>
  </si>
  <si>
    <t xml:space="preserve">OJT &amp; Employer-Based Training, Registered Apprenticeship, Trade/Vocational/Technical Programs, Community College Aid, Four-Year College Aid, Graduate &amp; Professional Aid, Secondary CTE</t>
  </si>
  <si>
    <t xml:space="preserve">~3.0</t>
  </si>
  <si>
    <t xml:space="preserve">~2.8</t>
  </si>
  <si>
    <t xml:space="preserve">~28–33</t>
  </si>
  <si>
    <t xml:space="preserve">~12M trainees</t>
  </si>
  <si>
    <t xml:space="preserve">Training vendor transfers; OJT reimbursements streamlined</t>
  </si>
  <si>
    <t xml:space="preserve">COLX-I</t>
  </si>
  <si>
    <t xml:space="preserve">Education Security Grant (ESG)</t>
  </si>
  <si>
    <t xml:space="preserve">Core Academic &amp; Equity (Title I-A), Special Education (IDEA), Early Childhood (Head Start), English Learner (Title III), Native American &amp; Tribal Education, Homeless &amp; Foster (McKinney-Vento), After-School &amp; Summer (21st CCLC), School Climate &amp; Well-Being, Lifetime Learning Credit, American Opportunity Credit</t>
  </si>
  <si>
    <t xml:space="preserve">~10.0</t>
  </si>
  <si>
    <t xml:space="preserve">~9.7</t>
  </si>
  <si>
    <t xml:space="preserve">~97–110</t>
  </si>
  <si>
    <t xml:space="preserve">~55M students</t>
  </si>
  <si>
    <t xml:space="preserve">Formula/auto-payments to schools; reduced formula admin</t>
  </si>
  <si>
    <t xml:space="preserve">TOTAL</t>
  </si>
  <si>
    <t xml:space="preserve">All SSD Grants</t>
  </si>
  <si>
    <t xml:space="preserve">~2,479</t>
  </si>
  <si>
    <t xml:space="preserve">~182.5</t>
  </si>
  <si>
    <t xml:space="preserve">~1.45</t>
  </si>
  <si>
    <t xml:space="preserve">~50–80</t>
  </si>
  <si>
    <t xml:space="preserve">~1,810–2,060</t>
  </si>
  <si>
    <t xml:space="preserve">~200M unduplicated</t>
  </si>
  <si>
    <t xml:space="preserve">Digital unification; AI eligibility/auditing; preserved core benefits with expanded reach</t>
  </si>
  <si>
    <t xml:space="preserve">2.A</t>
  </si>
  <si>
    <t xml:space="preserve">Current DSS ESP Related Programs (Expanded)
Current benefits through existing programs at federal, state, county, city governments consolidated into new security division services. </t>
  </si>
  <si>
    <t xml:space="preserve">Legacy Program / Sub-Component</t>
  </si>
  <si>
    <t xml:space="preserve">Eligible Benefactors</t>
  </si>
  <si>
    <t xml:space="preserve">Incoming Revenue (est. annual)</t>
  </si>
  <si>
    <t xml:space="preserve">Administrative Costs (est.)</t>
  </si>
  <si>
    <t xml:space="preserve">Benefit Outlays (est. annual)</t>
  </si>
  <si>
    <t xml:space="preserve">Estimated Benefactors (annual avg.)</t>
  </si>
  <si>
    <t xml:space="preserve">Average Benefit Value (annual)</t>
  </si>
  <si>
    <t xml:space="preserve">Conservative Admin Savings Min</t>
  </si>
  <si>
    <t xml:space="preserve">Conservative Admin Savings Max</t>
  </si>
  <si>
    <t xml:space="preserve">Liberal Admin Savings Min</t>
  </si>
  <si>
    <t xml:space="preserve">Liberal Admin Savings Max</t>
  </si>
  <si>
    <t xml:space="preserve">Conservative Adjusted Outlays Min</t>
  </si>
  <si>
    <t xml:space="preserve">Conservative Adjusted Outlays Max</t>
  </si>
  <si>
    <t xml:space="preserve">Liberal Adjusted Outlays Min</t>
  </si>
  <si>
    <t xml:space="preserve">Liberal Adjusted Outlays Max</t>
  </si>
  <si>
    <t xml:space="preserve">Notes on Savings Basis</t>
  </si>
  <si>
    <t xml:space="preserve">Standard Grants - Essential cost-of-living categories</t>
  </si>
  <si>
    <t xml:space="preserve">Category Total</t>
  </si>
  <si>
    <t xml:space="preserve">Low-income renters, homeless, disabled, veterans</t>
  </si>
  <si>
    <t xml:space="preserve">~$65–75B (federal)</t>
  </si>
  <si>
    <t xml:space="preserve">~$4–6B</t>
  </si>
  <si>
    <t xml:space="preserve">~$60–70B</t>
  </si>
  <si>
    <t xml:space="preserve">~6–8M households</t>
  </si>
  <si>
    <t xml:space="preserve">~$9,000–13,000/household</t>
  </si>
  <si>
    <t xml:space="preserve">$0.4B</t>
  </si>
  <si>
    <t xml:space="preserve">$1.2B</t>
  </si>
  <si>
    <t xml:space="preserve">$1.8B</t>
  </si>
  <si>
    <t xml:space="preserve">$4.2B</t>
  </si>
  <si>
    <t xml:space="preserve">~$58.8B</t>
  </si>
  <si>
    <t xml:space="preserve">~$69.6B</t>
  </si>
  <si>
    <t xml:space="preserve">~$55.8B</t>
  </si>
  <si>
    <t xml:space="preserve">~$68.2B</t>
  </si>
  <si>
    <t xml:space="preserve">10–20% conservative (shared HUD systems, duplication cuts); 30–60% liberal (AI tenant screening, voucher automation)</t>
  </si>
  <si>
    <t xml:space="preserve">COL-A.0</t>
  </si>
  <si>
    <t xml:space="preserve">Housing Choice Voucher (Section 8)</t>
  </si>
  <si>
    <t xml:space="preserve">Very low-income households</t>
  </si>
  <si>
    <t xml:space="preserve">~$30–32B</t>
  </si>
  <si>
    <t xml:space="preserve">~$2–3B</t>
  </si>
  <si>
    <t xml:space="preserve">~$28–30B</t>
  </si>
  <si>
    <t xml:space="preserve">~2.3M+ households</t>
  </si>
  <si>
    <t xml:space="preserve">~$11,000–13,000/household</t>
  </si>
  <si>
    <t xml:space="preserve">$0.2B</t>
  </si>
  <si>
    <t xml:space="preserve">$0.6B</t>
  </si>
  <si>
    <t xml:space="preserve">$0.8B</t>
  </si>
  <si>
    <t xml:space="preserve">~$27.4B</t>
  </si>
  <si>
    <t xml:space="preserve">~$29.8B</t>
  </si>
  <si>
    <t xml:space="preserve">~$26.2B</t>
  </si>
  <si>
    <t xml:space="preserve">~$29.2B</t>
  </si>
  <si>
    <t xml:space="preserve">High automation potential in waitlists/eligibility; HUD fees streamlined</t>
  </si>
  <si>
    <t xml:space="preserve">COL-A.1</t>
  </si>
  <si>
    <t xml:space="preserve">Public Housing</t>
  </si>
  <si>
    <t xml:space="preserve">Public housing residents</t>
  </si>
  <si>
    <t xml:space="preserve">~$8–10B</t>
  </si>
  <si>
    <t xml:space="preserve">~$1B</t>
  </si>
  <si>
    <t xml:space="preserve">~$7–9B</t>
  </si>
  <si>
    <t xml:space="preserve">~0.9–1M households</t>
  </si>
  <si>
    <t xml:space="preserve">~$8,000–10,000/household</t>
  </si>
  <si>
    <t xml:space="preserve">$0.07B</t>
  </si>
  <si>
    <t xml:space="preserve">$0.18B</t>
  </si>
  <si>
    <t xml:space="preserve">$0.5B</t>
  </si>
  <si>
    <t xml:space="preserve">~$6.82B</t>
  </si>
  <si>
    <t xml:space="preserve">~$8.93B</t>
  </si>
  <si>
    <t xml:space="preserve">~$6.5B</t>
  </si>
  <si>
    <t xml:space="preserve">~$8.8B</t>
  </si>
  <si>
    <t xml:space="preserve">Moderate; physical oversight limits full tech replacement</t>
  </si>
  <si>
    <t xml:space="preserve">COL-A.2</t>
  </si>
  <si>
    <t xml:space="preserve">Section 8 Project-Based Rental Assistance</t>
  </si>
  <si>
    <t xml:space="preserve">Tenants in PBRA projects</t>
  </si>
  <si>
    <t xml:space="preserve">~$14–16B</t>
  </si>
  <si>
    <t xml:space="preserve">Included</t>
  </si>
  <si>
    <t xml:space="preserve">~$13–15B</t>
  </si>
  <si>
    <t xml:space="preserve">~1.2M households</t>
  </si>
  <si>
    <t xml:space="preserve">~$11,000/household</t>
  </si>
  <si>
    <t xml:space="preserve">$0.1B</t>
  </si>
  <si>
    <t xml:space="preserve">$0.3B</t>
  </si>
  <si>
    <t xml:space="preserve">$0.9B</t>
  </si>
  <si>
    <t xml:space="preserve">~$12.7B</t>
  </si>
  <si>
    <t xml:space="preserve">~$14.9B</t>
  </si>
  <si>
    <t xml:space="preserve">~$12.1B</t>
  </si>
  <si>
    <t xml:space="preserve">~$14.6B</t>
  </si>
  <si>
    <t xml:space="preserve">Automated contract/tenant management</t>
  </si>
  <si>
    <t xml:space="preserve">COL-A.3</t>
  </si>
  <si>
    <t xml:space="preserve">HUD-VASH</t>
  </si>
  <si>
    <t xml:space="preserve">Homeless veterans</t>
  </si>
  <si>
    <t xml:space="preserve">~$1.8–2.2B</t>
  </si>
  <si>
    <t xml:space="preserve">Low</t>
  </si>
  <si>
    <t xml:space="preserve">~$1.7–2B</t>
  </si>
  <si>
    <t xml:space="preserve">~90,000–110,000</t>
  </si>
  <si>
    <t xml:space="preserve">~$18,000–20,000/person</t>
  </si>
  <si>
    <t xml:space="preserve">$0.02B</t>
  </si>
  <si>
    <t xml:space="preserve">$0.04B</t>
  </si>
  <si>
    <t xml:space="preserve">$0.05B</t>
  </si>
  <si>
    <t xml:space="preserve">$0.12B</t>
  </si>
  <si>
    <t xml:space="preserve">~$1.66B</t>
  </si>
  <si>
    <t xml:space="preserve">~$1.98B</t>
  </si>
  <si>
    <t xml:space="preserve">~$1.58B</t>
  </si>
  <si>
    <t xml:space="preserve">~$1.95B</t>
  </si>
  <si>
    <t xml:space="preserve">Data sharing with VA enhances savings</t>
  </si>
  <si>
    <t xml:space="preserve">COL-A.4</t>
  </si>
  <si>
    <t xml:space="preserve">Continuum of Care Permanent Supportive Housing</t>
  </si>
  <si>
    <t xml:space="preserve">Chronically homeless</t>
  </si>
  <si>
    <t xml:space="preserve">~$2B</t>
  </si>
  <si>
    <t xml:space="preserve">~100,000–120,000</t>
  </si>
  <si>
    <t xml:space="preserve">~$15,000–18,000/person</t>
  </si>
  <si>
    <t xml:space="preserve">$0.06B</t>
  </si>
  <si>
    <t xml:space="preserve">~$1.94B</t>
  </si>
  <si>
    <t xml:space="preserve">~$1.82B</t>
  </si>
  <si>
    <t xml:space="preserve">AI for supportive housing eligibility</t>
  </si>
  <si>
    <t xml:space="preserve">COL-A.5</t>
  </si>
  <si>
    <t xml:space="preserve">ESG – Rapid Re-housing</t>
  </si>
  <si>
    <t xml:space="preserve">Recently homeless</t>
  </si>
  <si>
    <t xml:space="preserve">~$0.5–1B</t>
  </si>
  <si>
    <t xml:space="preserve">~$0.4–0.8B</t>
  </si>
  <si>
    <t xml:space="preserve">~50,000–100,000</t>
  </si>
  <si>
    <t xml:space="preserve">~$5,000–10,000/person</t>
  </si>
  <si>
    <t xml:space="preserve">$0.004B</t>
  </si>
  <si>
    <t xml:space="preserve">$0.016B</t>
  </si>
  <si>
    <t xml:space="preserve">$0.01B</t>
  </si>
  <si>
    <t xml:space="preserve">~$0.384B</t>
  </si>
  <si>
    <t xml:space="preserve">~$0.796B</t>
  </si>
  <si>
    <t xml:space="preserve">~$0.35B</t>
  </si>
  <si>
    <t xml:space="preserve">~$0.79B</t>
  </si>
  <si>
    <t xml:space="preserve">Quick rehousing automation</t>
  </si>
  <si>
    <t xml:space="preserve">COL-A.6</t>
  </si>
  <si>
    <t xml:space="preserve">USDA Section 521 Rural Rental Assistance</t>
  </si>
  <si>
    <t xml:space="preserve">Rural low-income</t>
  </si>
  <si>
    <t xml:space="preserve">~$1–1.5B</t>
  </si>
  <si>
    <t xml:space="preserve">~40,000–50,000 units</t>
  </si>
  <si>
    <t xml:space="preserve">~$4,000–6,000/unit</t>
  </si>
  <si>
    <t xml:space="preserve">$0.03B</t>
  </si>
  <si>
    <t xml:space="preserve">~$0.97B</t>
  </si>
  <si>
    <t xml:space="preserve">~$0.99B</t>
  </si>
  <si>
    <t xml:space="preserve">~$0.94B</t>
  </si>
  <si>
    <t xml:space="preserve">Rural-specific data integration</t>
  </si>
  <si>
    <t xml:space="preserve">COL-A.7</t>
  </si>
  <si>
    <t xml:space="preserve">HOPWA Tenant-Based Rental Assistance</t>
  </si>
  <si>
    <t xml:space="preserve">Persons with HIV/AIDS</t>
  </si>
  <si>
    <t xml:space="preserve">~$0.4–0.5B</t>
  </si>
  <si>
    <t xml:space="preserve">~$0.4B</t>
  </si>
  <si>
    <t xml:space="preserve">~60,000–70,000</t>
  </si>
  <si>
    <t xml:space="preserve">~$6,000–8,000/person</t>
  </si>
  <si>
    <t xml:space="preserve">~$0.39B</t>
  </si>
  <si>
    <t xml:space="preserve">~$0.396B</t>
  </si>
  <si>
    <t xml:space="preserve">~$0.37B</t>
  </si>
  <si>
    <t xml:space="preserve">Health-linked eligibility automation</t>
  </si>
  <si>
    <t xml:space="preserve">COL-A.8</t>
  </si>
  <si>
    <t xml:space="preserve">Section 811 Project Rental Assistance</t>
  </si>
  <si>
    <t xml:space="preserve">Non-elderly disabled</t>
  </si>
  <si>
    <t xml:space="preserve">~$0.3–0.5B</t>
  </si>
  <si>
    <t xml:space="preserve">~$0.3B</t>
  </si>
  <si>
    <t xml:space="preserve">~20,000–30,000</t>
  </si>
  <si>
    <t xml:space="preserve">~$10,000–12,000/person</t>
  </si>
  <si>
    <t xml:space="preserve">$0.003B</t>
  </si>
  <si>
    <t xml:space="preserve">~$0.29B</t>
  </si>
  <si>
    <t xml:space="preserve">~$0.297B</t>
  </si>
  <si>
    <t xml:space="preserve">~$0.27B</t>
  </si>
  <si>
    <t xml:space="preserve">Disability verification tech</t>
  </si>
  <si>
    <t xml:space="preserve">Low-income households</t>
  </si>
  <si>
    <t xml:space="preserve">~$16–27B</t>
  </si>
  <si>
    <t xml:space="preserve">~$0.56–1.62B</t>
  </si>
  <si>
    <t xml:space="preserve">~$14.94–24.88B</t>
  </si>
  <si>
    <t xml:space="preserve">~23–33M households</t>
  </si>
  <si>
    <t xml:space="preserve">~$400–900/household</t>
  </si>
  <si>
    <t xml:space="preserve">$0.056B</t>
  </si>
  <si>
    <t xml:space="preserve">$0.324B</t>
  </si>
  <si>
    <t xml:space="preserve">$0.318B</t>
  </si>
  <si>
    <t xml:space="preserve">$0.872B</t>
  </si>
  <si>
    <t xml:space="preserve">~$14.616B</t>
  </si>
  <si>
    <t xml:space="preserve">~$24.824B</t>
  </si>
  <si>
    <t xml:space="preserve">~$14.068B</t>
  </si>
  <si>
    <t xml:space="preserve">~$24.562B</t>
  </si>
  <si>
    <t xml:space="preserve">10–20% conservative; 30–60% liberal (automated applications)</t>
  </si>
  <si>
    <t xml:space="preserve">COL-B.1</t>
  </si>
  <si>
    <t xml:space="preserve">LIHEAP</t>
  </si>
  <si>
    <t xml:space="preserve">At-risk households</t>
  </si>
  <si>
    <t xml:space="preserve">~$4.1B (appropriated)</t>
  </si>
  <si>
    <t xml:space="preserve">~$0.3–0.4B</t>
  </si>
  <si>
    <t xml:space="preserve">~$3.7–4B</t>
  </si>
  <si>
    <t xml:space="preserve">~6–7M households</t>
  </si>
  <si>
    <t xml:space="preserve">~$600–900/household</t>
  </si>
  <si>
    <t xml:space="preserve">$0.08B</t>
  </si>
  <si>
    <t xml:space="preserve">$0.25B</t>
  </si>
  <si>
    <t xml:space="preserve">~$3.62B</t>
  </si>
  <si>
    <t xml:space="preserve">~$3.97B</t>
  </si>
  <si>
    <t xml:space="preserve">~$3.45B</t>
  </si>
  <si>
    <t xml:space="preserve">~$3.9B</t>
  </si>
  <si>
    <t xml:space="preserve">High potential via income verification links</t>
  </si>
  <si>
    <t xml:space="preserve">COL-B.2</t>
  </si>
  <si>
    <t xml:space="preserve">Affordable Connectivity Program successor / Broadband</t>
  </si>
  <si>
    <t xml:space="preserve">Unconnected low-income</t>
  </si>
  <si>
    <t xml:space="preserve">~$1–2B</t>
  </si>
  <si>
    <t xml:space="preserve">~10–15M households</t>
  </si>
  <si>
    <t xml:space="preserve">~$100–200/household</t>
  </si>
  <si>
    <t xml:space="preserve">~$0.96B</t>
  </si>
  <si>
    <t xml:space="preserve">~$1.99B</t>
  </si>
  <si>
    <t xml:space="preserve">~$0.88B</t>
  </si>
  <si>
    <t xml:space="preserve">~$1.97B</t>
  </si>
  <si>
    <t xml:space="preserve">Broadband subsidy automation</t>
  </si>
  <si>
    <t xml:space="preserve">COL-B.3</t>
  </si>
  <si>
    <t xml:space="preserve">Lifeline</t>
  </si>
  <si>
    <t xml:space="preserve">Low-income individuals</t>
  </si>
  <si>
    <t xml:space="preserve">~12–18M individuals</t>
  </si>
  <si>
    <t xml:space="preserve">~$100–150/person</t>
  </si>
  <si>
    <t xml:space="preserve">$0.09B</t>
  </si>
  <si>
    <t xml:space="preserve">~$0.91B</t>
  </si>
  <si>
    <t xml:space="preserve">Telecom eligibility self-service</t>
  </si>
  <si>
    <t xml:space="preserve">COL-B.4</t>
  </si>
  <si>
    <t xml:space="preserve">Water Assistance</t>
  </si>
  <si>
    <t xml:space="preserve">Low-income water customers</t>
  </si>
  <si>
    <t xml:space="preserve">~$0.5B</t>
  </si>
  <si>
    <t xml:space="preserve">~5–10M households</t>
  </si>
  <si>
    <t xml:space="preserve">~$200–400/household</t>
  </si>
  <si>
    <t xml:space="preserve">$0.005B</t>
  </si>
  <si>
    <t xml:space="preserve">$0.015B</t>
  </si>
  <si>
    <t xml:space="preserve">~$0.48B</t>
  </si>
  <si>
    <t xml:space="preserve">~$0.495B</t>
  </si>
  <si>
    <t xml:space="preserve">~$0.44B</t>
  </si>
  <si>
    <t xml:space="preserve">~$0.485B</t>
  </si>
  <si>
    <t xml:space="preserve">Utility bill automation</t>
  </si>
  <si>
    <t xml:space="preserve">COL-B.5</t>
  </si>
  <si>
    <t xml:space="preserve">Residential Clean Energy Credit</t>
  </si>
  <si>
    <t xml:space="preserve">Homeowners installing solar, battery, etc.</t>
  </si>
  <si>
    <t xml:space="preserve">~$4–8B</t>
  </si>
  <si>
    <t xml:space="preserve">~$0.04–0.08B</t>
  </si>
  <si>
    <t xml:space="preserve">~$3.96–7.92B</t>
  </si>
  <si>
    <t xml:space="preserve">~1M households</t>
  </si>
  <si>
    <t xml:space="preserve">~$4,000–8,000/household</t>
  </si>
  <si>
    <t xml:space="preserve">$0.012B</t>
  </si>
  <si>
    <t xml:space="preserve">$0.048B</t>
  </si>
  <si>
    <t xml:space="preserve">~$3.944B</t>
  </si>
  <si>
    <t xml:space="preserve">~$7.916B</t>
  </si>
  <si>
    <t xml:space="preserve">~$3.912B</t>
  </si>
  <si>
    <t xml:space="preserve">~$7.908B</t>
  </si>
  <si>
    <t xml:space="preserve">Green upgrades shifted to Commerce &amp; Transportation divisions</t>
  </si>
  <si>
    <t xml:space="preserve">COL-B.6</t>
  </si>
  <si>
    <t xml:space="preserve">Energy Efficient Home Improvement Credit</t>
  </si>
  <si>
    <t xml:space="preserve">Home energy efficiency upgrades</t>
  </si>
  <si>
    <t xml:space="preserve">~$2–4B</t>
  </si>
  <si>
    <t xml:space="preserve">~$0.02–0.04B</t>
  </si>
  <si>
    <t xml:space="preserve">~$1.98–3.96B</t>
  </si>
  <si>
    <t xml:space="preserve">~2M households</t>
  </si>
  <si>
    <t xml:space="preserve">~$1,000–2,000/household</t>
  </si>
  <si>
    <t xml:space="preserve">$0.002B</t>
  </si>
  <si>
    <t xml:space="preserve">$0.008B</t>
  </si>
  <si>
    <t xml:space="preserve">$0.006B</t>
  </si>
  <si>
    <t xml:space="preserve">$0.024B</t>
  </si>
  <si>
    <t xml:space="preserve">~$1.972B</t>
  </si>
  <si>
    <t xml:space="preserve">~$3.958B</t>
  </si>
  <si>
    <t xml:space="preserve">~$1.956B</t>
  </si>
  <si>
    <t xml:space="preserve">~$3.954B</t>
  </si>
  <si>
    <t xml:space="preserve">Consolidated into broader infrastructure grant oversight</t>
  </si>
  <si>
    <t xml:space="preserve">Food-insecure individuals/families/seniors</t>
  </si>
  <si>
    <t xml:space="preserve">~$150–170B</t>
  </si>
  <si>
    <t xml:space="preserve">~$10–12B</t>
  </si>
  <si>
    <t xml:space="preserve">~$140–155B</t>
  </si>
  <si>
    <t xml:space="preserve">~50–60M people</t>
  </si>
  <si>
    <t xml:space="preserve">~$2,000–3,500/person</t>
  </si>
  <si>
    <t xml:space="preserve">$1.0B</t>
  </si>
  <si>
    <t xml:space="preserve">$3.0B</t>
  </si>
  <si>
    <t xml:space="preserve">$9.3B</t>
  </si>
  <si>
    <t xml:space="preserve">~$137B</t>
  </si>
  <si>
    <t xml:space="preserve">~$154B</t>
  </si>
  <si>
    <t xml:space="preserve">~$130.7B</t>
  </si>
  <si>
    <t xml:space="preserve">~$150.8B</t>
  </si>
  <si>
    <t xml:space="preserve">High savings; SNAP ~6.6% admin, strong AI eligibility potential</t>
  </si>
  <si>
    <t xml:space="preserve">COL-C.0</t>
  </si>
  <si>
    <t xml:space="preserve">SNAP (Retail Purchase)</t>
  </si>
  <si>
    <t xml:space="preserve">SNAP participants</t>
  </si>
  <si>
    <t xml:space="preserve">~$100–110B</t>
  </si>
  <si>
    <t xml:space="preserve">~$99.8–100.3B</t>
  </si>
  <si>
    <t xml:space="preserve">~41.7–42.4M people</t>
  </si>
  <si>
    <t xml:space="preserve">~$2,250–2,287/person (~$187–190.59/month)</t>
  </si>
  <si>
    <t xml:space="preserve">$2.0B</t>
  </si>
  <si>
    <t xml:space="preserve">$6.0B</t>
  </si>
  <si>
    <t xml:space="preserve">~$97.8B</t>
  </si>
  <si>
    <t xml:space="preserve">~$99.5B</t>
  </si>
  <si>
    <t xml:space="preserve">~$93.8B</t>
  </si>
  <si>
    <t xml:space="preserve">~$97.3B</t>
  </si>
  <si>
    <t xml:space="preserve">~6.6% current admin; McKinsey/GAO/Ohio bots cite 30–50%+ automation</t>
  </si>
  <si>
    <t xml:space="preserve">COL-C.1</t>
  </si>
  <si>
    <t xml:space="preserve">TEFAP/CSFP</t>
  </si>
  <si>
    <t xml:space="preserve">Low-income &amp; seniors</t>
  </si>
  <si>
    <t xml:space="preserve">~5–10M</t>
  </si>
  <si>
    <t xml:space="preserve">Varies</t>
  </si>
  <si>
    <t xml:space="preserve">~$0.185B</t>
  </si>
  <si>
    <t xml:space="preserve">Food distribution automation</t>
  </si>
  <si>
    <t xml:space="preserve">COL-C.2</t>
  </si>
  <si>
    <t xml:space="preserve">NSLP/SBP/CACFP</t>
  </si>
  <si>
    <t xml:space="preserve">Children/adults in institutions</t>
  </si>
  <si>
    <t xml:space="preserve">~$20–25B</t>
  </si>
  <si>
    <t xml:space="preserve">~$20B</t>
  </si>
  <si>
    <t xml:space="preserve">~30–35M children daily</t>
  </si>
  <si>
    <t xml:space="preserve">Varies (~$1–5/meal)</t>
  </si>
  <si>
    <t xml:space="preserve">$1.5B</t>
  </si>
  <si>
    <t xml:space="preserve">~$19.5B</t>
  </si>
  <si>
    <t xml:space="preserve">~$19.8B</t>
  </si>
  <si>
    <t xml:space="preserve">~$18.5B</t>
  </si>
  <si>
    <t xml:space="preserve">~$19.4B</t>
  </si>
  <si>
    <t xml:space="preserve">School meal eligibility tracking</t>
  </si>
  <si>
    <t xml:space="preserve">COL-C.3</t>
  </si>
  <si>
    <t xml:space="preserve">Meals on Wheels / Congregate</t>
  </si>
  <si>
    <t xml:space="preserve">Homebound elderly</t>
  </si>
  <si>
    <t xml:space="preserve">~2–3M</t>
  </si>
  <si>
    <t xml:space="preserve">~$500–1,000/person</t>
  </si>
  <si>
    <t xml:space="preserve">Delivery/scheduling bots</t>
  </si>
  <si>
    <t xml:space="preserve">COL-C.4</t>
  </si>
  <si>
    <t xml:space="preserve">Other (Mobile, Summer, Emergency)</t>
  </si>
  <si>
    <t xml:space="preserve">$0.15B</t>
  </si>
  <si>
    <t xml:space="preserve">~$0.95B</t>
  </si>
  <si>
    <t xml:space="preserve">~$0.85B</t>
  </si>
  <si>
    <t xml:space="preserve">Variable emergency processing</t>
  </si>
  <si>
    <t xml:space="preserve">Low-income, disabled, families</t>
  </si>
  <si>
    <t xml:space="preserve">~$222–280B</t>
  </si>
  <si>
    <t xml:space="preserve">~$5.415–7.9B</t>
  </si>
  <si>
    <t xml:space="preserve">~$215.085–273.1B</t>
  </si>
  <si>
    <t xml:space="preserve">~79.6–89.6M people</t>
  </si>
  <si>
    <t xml:space="preserve">~$2,500–3,500/person</t>
  </si>
  <si>
    <t xml:space="preserve">$0.5415B</t>
  </si>
  <si>
    <t xml:space="preserve">$1.58B</t>
  </si>
  <si>
    <t xml:space="preserve">$2.7245B</t>
  </si>
  <si>
    <t xml:space="preserve">$6.24B</t>
  </si>
  <si>
    <t xml:space="preserve">~$213.505B</t>
  </si>
  <si>
    <t xml:space="preserve">~$272.5585B</t>
  </si>
  <si>
    <t xml:space="preserve">~$208.845B</t>
  </si>
  <si>
    <t xml:space="preserve">~$270.3755B</t>
  </si>
  <si>
    <t xml:space="preserve">Lower in SSI (complex); higher in TANF</t>
  </si>
  <si>
    <t xml:space="preserve">COL-D.0</t>
  </si>
  <si>
    <t xml:space="preserve">Federal SSI</t>
  </si>
  <si>
    <t xml:space="preserve">Disabled/elderly</t>
  </si>
  <si>
    <t xml:space="preserve">~$65–75B</t>
  </si>
  <si>
    <t xml:space="preserve">~$3–4B</t>
  </si>
  <si>
    <t xml:space="preserve">~$65–70B</t>
  </si>
  <si>
    <t xml:space="preserve">~7.4M people</t>
  </si>
  <si>
    <t xml:space="preserve">~$8,300–11,600/person (~$697–967/month max)</t>
  </si>
  <si>
    <t xml:space="preserve">$0.7B</t>
  </si>
  <si>
    <t xml:space="preserve">~$64.3B</t>
  </si>
  <si>
    <t xml:space="preserve">~$69.7B</t>
  </si>
  <si>
    <t xml:space="preserve">~$62B</t>
  </si>
  <si>
    <t xml:space="preserve">~$69B</t>
  </si>
  <si>
    <t xml:space="preserve">SSA heavy; partial redetermination automation</t>
  </si>
  <si>
    <t xml:space="preserve">COL-D.1</t>
  </si>
  <si>
    <t xml:space="preserve">Federal &amp; State TANF / General Assistance</t>
  </si>
  <si>
    <t xml:space="preserve">Needy families</t>
  </si>
  <si>
    <t xml:space="preserve">~$16–20B (block grant + state)</t>
  </si>
  <si>
    <t xml:space="preserve">~$15B</t>
  </si>
  <si>
    <t xml:space="preserve">~2–4M people (families)</t>
  </si>
  <si>
    <t xml:space="preserve">~$5,000–8,000/family</t>
  </si>
  <si>
    <t xml:space="preserve">$0.45B</t>
  </si>
  <si>
    <t xml:space="preserve">~$14.7B</t>
  </si>
  <si>
    <t xml:space="preserve">~$14.85B</t>
  </si>
  <si>
    <t xml:space="preserve">~$14.1B</t>
  </si>
  <si>
    <t xml:space="preserve">~$14.55B</t>
  </si>
  <si>
    <t xml:space="preserve">Ohio TANF bots show high savings</t>
  </si>
  <si>
    <t xml:space="preserve">COL-D.2</t>
  </si>
  <si>
    <t xml:space="preserve">Earned Income Tax Credit (EITC)</t>
  </si>
  <si>
    <t xml:space="preserve">Low-to-moderate income workers &amp; families (esp. with children)</t>
  </si>
  <si>
    <t xml:space="preserve">~$70–90B</t>
  </si>
  <si>
    <t xml:space="preserve">~$0.7–0.9B</t>
  </si>
  <si>
    <t xml:space="preserve">~$69.3–89.1B</t>
  </si>
  <si>
    <t xml:space="preserve">~23M households</t>
  </si>
  <si>
    <t xml:space="preserve">~$3,000–3,900/household</t>
  </si>
  <si>
    <t xml:space="preserve">$0.21B</t>
  </si>
  <si>
    <t xml:space="preserve">$0.54B</t>
  </si>
  <si>
    <t xml:space="preserve">~$69.12B</t>
  </si>
  <si>
    <t xml:space="preserve">~$89.03B</t>
  </si>
  <si>
    <t xml:space="preserve">~$68.76B</t>
  </si>
  <si>
    <t xml:space="preserve">~$88.89B</t>
  </si>
  <si>
    <t xml:space="preserve">Core work-support credit fully consolidated into digital grant platform</t>
  </si>
  <si>
    <t xml:space="preserve">COL-D.3</t>
  </si>
  <si>
    <t xml:space="preserve">Child Tax Credit (CTC) + Additional CTC</t>
  </si>
  <si>
    <t xml:space="preserve">Families with qualifying children</t>
  </si>
  <si>
    <t xml:space="preserve">~$60–85B</t>
  </si>
  <si>
    <t xml:space="preserve">~$0.6–0.85B</t>
  </si>
  <si>
    <t xml:space="preserve">~$59.4–84.15B</t>
  </si>
  <si>
    <t xml:space="preserve">~35M households</t>
  </si>
  <si>
    <t xml:space="preserve">~$1,700–2,400/household</t>
  </si>
  <si>
    <t xml:space="preserve">$0.17B</t>
  </si>
  <si>
    <t xml:space="preserve">$0.51B</t>
  </si>
  <si>
    <t xml:space="preserve">~$59.23B</t>
  </si>
  <si>
    <t xml:space="preserve">~$84.09B</t>
  </si>
  <si>
    <t xml:space="preserve">~$58.89B</t>
  </si>
  <si>
    <t xml:space="preserve">~$83.97B</t>
  </si>
  <si>
    <t xml:space="preserve">Includes both non-refundable and refundable portions; child support shifted to ESP</t>
  </si>
  <si>
    <t xml:space="preserve">COL-D.4</t>
  </si>
  <si>
    <t xml:space="preserve">Child and Dependent Care Credit</t>
  </si>
  <si>
    <t xml:space="preserve">Working parents / caretakers with qualifying expenses</t>
  </si>
  <si>
    <t xml:space="preserve">~$0.1–0.12B</t>
  </si>
  <si>
    <t xml:space="preserve">~$9.9–11.88B</t>
  </si>
  <si>
    <t xml:space="preserve">~6M households</t>
  </si>
  <si>
    <t xml:space="preserve">~$1,650–1,980/household</t>
  </si>
  <si>
    <t xml:space="preserve">$0.072B</t>
  </si>
  <si>
    <t xml:space="preserve">~$9.876B</t>
  </si>
  <si>
    <t xml:space="preserve">~$11.87B</t>
  </si>
  <si>
    <t xml:space="preserve">~$9.828B</t>
  </si>
  <si>
    <t xml:space="preserve">~$11.85B</t>
  </si>
  <si>
    <t xml:space="preserve">Expenses replaced by direct vendor-restricted benefits</t>
  </si>
  <si>
    <t xml:space="preserve">COL-D.5</t>
  </si>
  <si>
    <t xml:space="preserve">Adoption Credit</t>
  </si>
  <si>
    <t xml:space="preserve">Qualifying adoptive families</t>
  </si>
  <si>
    <t xml:space="preserve">~$0.01–0.02B</t>
  </si>
  <si>
    <t xml:space="preserve">~$0.99–1.98B</t>
  </si>
  <si>
    <t xml:space="preserve">~0.1M households</t>
  </si>
  <si>
    <t xml:space="preserve">~$9,900–19,800/household</t>
  </si>
  <si>
    <t xml:space="preserve">$0.001B</t>
  </si>
  <si>
    <t xml:space="preserve">~$0.986B</t>
  </si>
  <si>
    <t xml:space="preserve">~$1.979B</t>
  </si>
  <si>
    <t xml:space="preserve">~$0.978B</t>
  </si>
  <si>
    <t xml:space="preserve">~$1.977B</t>
  </si>
  <si>
    <t xml:space="preserve">Adoption expenses covered via family support grants</t>
  </si>
  <si>
    <t xml:space="preserve">COL-D.6</t>
  </si>
  <si>
    <t xml:space="preserve">Credit for the Elderly or the Disabled</t>
  </si>
  <si>
    <t xml:space="preserve">Low-income seniors / disabled individuals</t>
  </si>
  <si>
    <t xml:space="preserve">~$0.005–0.01B</t>
  </si>
  <si>
    <t xml:space="preserve">~$0.495–0.99B</t>
  </si>
  <si>
    <t xml:space="preserve">~0.5M people</t>
  </si>
  <si>
    <t xml:space="preserve">~$990–1,980/person</t>
  </si>
  <si>
    <t xml:space="preserve">$0.0005B</t>
  </si>
  <si>
    <t xml:space="preserve">$0.0015B</t>
  </si>
  <si>
    <t xml:space="preserve">~$0.493B</t>
  </si>
  <si>
    <t xml:space="preserve">~$0.9895B</t>
  </si>
  <si>
    <t xml:space="preserve">~$0.489B</t>
  </si>
  <si>
    <t xml:space="preserve">~$0.9885B</t>
  </si>
  <si>
    <t xml:space="preserve">Support fully integrated into unified grants</t>
  </si>
  <si>
    <t xml:space="preserve">All qualifying residents</t>
  </si>
  <si>
    <t xml:space="preserve">~$1.64–2.06T</t>
  </si>
  <si>
    <t xml:space="preserve">~$60.4–120.6B</t>
  </si>
  <si>
    <t xml:space="preserve">~$1.5396–1.9594T</t>
  </si>
  <si>
    <t xml:space="preserve">~175–220M (incl. overlaps)</t>
  </si>
  <si>
    <t xml:space="preserve">Varies widely (~$7,000–15,000/person)</t>
  </si>
  <si>
    <t xml:space="preserve">$6.04B</t>
  </si>
  <si>
    <t xml:space="preserve">$24.12B</t>
  </si>
  <si>
    <t xml:space="preserve">$30.12B</t>
  </si>
  <si>
    <t xml:space="preserve">$114.36B</t>
  </si>
  <si>
    <t xml:space="preserve">~$1.51548T</t>
  </si>
  <si>
    <t xml:space="preserve">~$1.95336T</t>
  </si>
  <si>
    <t xml:space="preserve">~$1.42524T</t>
  </si>
  <si>
    <t xml:space="preserve">~$1.92928T</t>
  </si>
  <si>
    <t xml:space="preserve">Highest potential; Medicaid ~3.9–5% admin, AI cuts routine tasks</t>
  </si>
  <si>
    <t xml:space="preserve">COL-E.0</t>
  </si>
  <si>
    <t xml:space="preserve">Medicaid</t>
  </si>
  <si>
    <t xml:space="preserve">Low-income</t>
  </si>
  <si>
    <t xml:space="preserve">~$650–800B</t>
  </si>
  <si>
    <t xml:space="preserve">~$40–60B</t>
  </si>
  <si>
    <t xml:space="preserve">~$600–750B</t>
  </si>
  <si>
    <t xml:space="preserve">~77–85M</t>
  </si>
  <si>
    <t xml:space="preserve">~$8,000–12,000/person</t>
  </si>
  <si>
    <t xml:space="preserve">$15.0B</t>
  </si>
  <si>
    <t xml:space="preserve">$18.0B</t>
  </si>
  <si>
    <t xml:space="preserve">$75.0B</t>
  </si>
  <si>
    <t xml:space="preserve">~$585B</t>
  </si>
  <si>
    <t xml:space="preserve">~$747B</t>
  </si>
  <si>
    <t xml:space="preserve">~$525B</t>
  </si>
  <si>
    <t xml:space="preserve">~$732B</t>
  </si>
  <si>
    <t xml:space="preserve">Health Affairs/McKinsey large AI savings in eligibility/claims</t>
  </si>
  <si>
    <t xml:space="preserve">COL-E.1</t>
  </si>
  <si>
    <t xml:space="preserve">CHIP</t>
  </si>
  <si>
    <t xml:space="preserve">Children</t>
  </si>
  <si>
    <t xml:space="preserve">~$18–22B</t>
  </si>
  <si>
    <t xml:space="preserve">~$18–20B</t>
  </si>
  <si>
    <t xml:space="preserve">~7–10M</t>
  </si>
  <si>
    <t xml:space="preserve">~$2,000–3,500/child</t>
  </si>
  <si>
    <t xml:space="preserve">~$17.6B</t>
  </si>
  <si>
    <t xml:space="preserve">~$16.8B</t>
  </si>
  <si>
    <t xml:space="preserve">Child enrollment automation</t>
  </si>
  <si>
    <t xml:space="preserve">COL-E.2</t>
  </si>
  <si>
    <t xml:space="preserve">Medicare (Parts A–D)</t>
  </si>
  <si>
    <t xml:space="preserve">Seniors/disabled</t>
  </si>
  <si>
    <t xml:space="preserve">~$950B+ (trust + general)</t>
  </si>
  <si>
    <t xml:space="preserve">~$25–40B</t>
  </si>
  <si>
    <t xml:space="preserve">~$900–950B+</t>
  </si>
  <si>
    <t xml:space="preserve">~65–70M</t>
  </si>
  <si>
    <t xml:space="preserve">~$13,000–16,000/person</t>
  </si>
  <si>
    <t xml:space="preserve">$2.5B</t>
  </si>
  <si>
    <t xml:space="preserve">$9.5B</t>
  </si>
  <si>
    <t xml:space="preserve">$9.0B</t>
  </si>
  <si>
    <t xml:space="preserve">$38.0B</t>
  </si>
  <si>
    <t xml:space="preserve">~$890.5B</t>
  </si>
  <si>
    <t xml:space="preserve">~$947.5B</t>
  </si>
  <si>
    <t xml:space="preserve">~$862B</t>
  </si>
  <si>
    <t xml:space="preserve">~$941B</t>
  </si>
  <si>
    <t xml:space="preserve">Claims/prior auth automation</t>
  </si>
  <si>
    <t xml:space="preserve">COL-E.3</t>
  </si>
  <si>
    <t xml:space="preserve">Medicare Savings / Extra Help</t>
  </si>
  <si>
    <t xml:space="preserve">Low-income Medicare</t>
  </si>
  <si>
    <t xml:space="preserve">~$30–40B</t>
  </si>
  <si>
    <t xml:space="preserve">~$30B</t>
  </si>
  <si>
    <t xml:space="preserve">~10–15M</t>
  </si>
  <si>
    <t xml:space="preserve">~$2,000–4,000/person</t>
  </si>
  <si>
    <t xml:space="preserve">$2.4B</t>
  </si>
  <si>
    <t xml:space="preserve">~$29.7B</t>
  </si>
  <si>
    <t xml:space="preserve">~$27.6B</t>
  </si>
  <si>
    <t xml:space="preserve">~$29.1B</t>
  </si>
  <si>
    <t xml:space="preserve">Extra Help eligibility tech</t>
  </si>
  <si>
    <t xml:space="preserve">COL-E.4</t>
  </si>
  <si>
    <t xml:space="preserve">ACA Subsidies</t>
  </si>
  <si>
    <t xml:space="preserve">Moderate-income</t>
  </si>
  <si>
    <t xml:space="preserve">~$80–100B</t>
  </si>
  <si>
    <t xml:space="preserve">~$80B</t>
  </si>
  <si>
    <t xml:space="preserve">~15–20M</t>
  </si>
  <si>
    <t xml:space="preserve">~$4,000–6,000/person</t>
  </si>
  <si>
    <t xml:space="preserve">~$78B</t>
  </si>
  <si>
    <t xml:space="preserve">~$79.2B</t>
  </si>
  <si>
    <t xml:space="preserve">~$74B</t>
  </si>
  <si>
    <t xml:space="preserve">~$77.6B</t>
  </si>
  <si>
    <t xml:space="preserve">Subsidy calculation automation</t>
  </si>
  <si>
    <t xml:space="preserve">COL-E.5</t>
  </si>
  <si>
    <t xml:space="preserve">VA Health</t>
  </si>
  <si>
    <t xml:space="preserve">Veterans</t>
  </si>
  <si>
    <t xml:space="preserve">~$120–140B</t>
  </si>
  <si>
    <t xml:space="preserve">~$120B</t>
  </si>
  <si>
    <t xml:space="preserve">~9M</t>
  </si>
  <si>
    <t xml:space="preserve">~$13,000/person</t>
  </si>
  <si>
    <t xml:space="preserve">$2.8B</t>
  </si>
  <si>
    <t xml:space="preserve">$3.6B</t>
  </si>
  <si>
    <t xml:space="preserve">$8.4B</t>
  </si>
  <si>
    <t xml:space="preserve">~$117.2B</t>
  </si>
  <si>
    <t xml:space="preserve">~$118.8B</t>
  </si>
  <si>
    <t xml:space="preserve">~$111.6B</t>
  </si>
  <si>
    <t xml:space="preserve">~$116.4B</t>
  </si>
  <si>
    <t xml:space="preserve">VA data integration</t>
  </si>
  <si>
    <t xml:space="preserve">COL-E.6</t>
  </si>
  <si>
    <t xml:space="preserve">TRICARE/CHAMPVA</t>
  </si>
  <si>
    <t xml:space="preserve">Military families</t>
  </si>
  <si>
    <t xml:space="preserve">~$60B</t>
  </si>
  <si>
    <t xml:space="preserve">~9–10M</t>
  </si>
  <si>
    <t xml:space="preserve">~$6,000/person</t>
  </si>
  <si>
    <t xml:space="preserve">$1.4B</t>
  </si>
  <si>
    <t xml:space="preserve">~$58.6B</t>
  </si>
  <si>
    <t xml:space="preserve">~$59.4B</t>
  </si>
  <si>
    <t xml:space="preserve">~$58.2B</t>
  </si>
  <si>
    <t xml:space="preserve">Military health automation</t>
  </si>
  <si>
    <t xml:space="preserve">COL-E.7</t>
  </si>
  <si>
    <t xml:space="preserve">IHS</t>
  </si>
  <si>
    <t xml:space="preserve">Native Americans</t>
  </si>
  <si>
    <t xml:space="preserve">~$6–8B</t>
  </si>
  <si>
    <t xml:space="preserve">~$6B</t>
  </si>
  <si>
    <t xml:space="preserve">$0.16B</t>
  </si>
  <si>
    <t xml:space="preserve">$0.48B</t>
  </si>
  <si>
    <t xml:space="preserve">~$5.84B</t>
  </si>
  <si>
    <t xml:space="preserve">~$5.94B</t>
  </si>
  <si>
    <t xml:space="preserve">~$5.52B</t>
  </si>
  <si>
    <t xml:space="preserve">~$5.82B</t>
  </si>
  <si>
    <t xml:space="preserve">Tribal program tech</t>
  </si>
  <si>
    <t xml:space="preserve">COL-E.8</t>
  </si>
  <si>
    <t xml:space="preserve">Ryan White</t>
  </si>
  <si>
    <t xml:space="preserve">HIV/AIDS</t>
  </si>
  <si>
    <t xml:space="preserve">~500,000–600,000</t>
  </si>
  <si>
    <t xml:space="preserve">~$3,000–5,000/person</t>
  </si>
  <si>
    <t xml:space="preserve">HIV care eligibility</t>
  </si>
  <si>
    <t xml:space="preserve">COL-E.9</t>
  </si>
  <si>
    <t xml:space="preserve">Premium Tax Credit (ACA marketplace subsidies)</t>
  </si>
  <si>
    <t xml:space="preserve">Low/moderate-income health insurance purchasers</t>
  </si>
  <si>
    <t xml:space="preserve">~$0.4–0.6B</t>
  </si>
  <si>
    <t xml:space="preserve">~$39.6–59.4B</t>
  </si>
  <si>
    <t xml:space="preserve">~15–20M people</t>
  </si>
  <si>
    <t xml:space="preserve">~$2,000–3,000/person</t>
  </si>
  <si>
    <t xml:space="preserve">$0.36B</t>
  </si>
  <si>
    <t xml:space="preserve">~$39.48B</t>
  </si>
  <si>
    <t xml:space="preserve">~$59.36B</t>
  </si>
  <si>
    <t xml:space="preserve">~$39.24B</t>
  </si>
  <si>
    <t xml:space="preserve">~$59.28B</t>
  </si>
  <si>
    <t xml:space="preserve">Health coverage consolidated into unified medical grant system</t>
  </si>
  <si>
    <t xml:space="preserve">Seniors, disabled, rural low-income</t>
  </si>
  <si>
    <t xml:space="preserve">~$3.5–5.5B</t>
  </si>
  <si>
    <t xml:space="preserve">~6–12M</t>
  </si>
  <si>
    <t xml:space="preserve">Varies (~$500–2,500/person)</t>
  </si>
  <si>
    <t xml:space="preserve">$0.11B</t>
  </si>
  <si>
    <t xml:space="preserve">~$3.39B</t>
  </si>
  <si>
    <t xml:space="preserve">~$5.46B</t>
  </si>
  <si>
    <t xml:space="preserve">~$3.2B</t>
  </si>
  <si>
    <t xml:space="preserve">~$5.4B</t>
  </si>
  <si>
    <t xml:space="preserve">Low admin; moderate fare eligibility</t>
  </si>
  <si>
    <t xml:space="preserve">COL-F.0</t>
  </si>
  <si>
    <t xml:space="preserve">FTA Section 5310</t>
  </si>
  <si>
    <t xml:space="preserve">Seniors &amp; disabled</t>
  </si>
  <si>
    <t xml:space="preserve">~1–2M</t>
  </si>
  <si>
    <t xml:space="preserve">Seniors/disabled transport</t>
  </si>
  <si>
    <t xml:space="preserve">COL-F.1</t>
  </si>
  <si>
    <t xml:space="preserve">FTA Section 5311</t>
  </si>
  <si>
    <t xml:space="preserve">Rural residents</t>
  </si>
  <si>
    <t xml:space="preserve">~$0.8–1.2B</t>
  </si>
  <si>
    <t xml:space="preserve">~$0.8B</t>
  </si>
  <si>
    <t xml:space="preserve">~2–4M</t>
  </si>
  <si>
    <t xml:space="preserve">~$0.776B</t>
  </si>
  <si>
    <t xml:space="preserve">~$0.792B</t>
  </si>
  <si>
    <t xml:space="preserve">~$0.728B</t>
  </si>
  <si>
    <t xml:space="preserve">Rural transit automation</t>
  </si>
  <si>
    <t xml:space="preserve">COL-F.2</t>
  </si>
  <si>
    <t xml:space="preserve">Qualified Transportation Fringe (Section 132(f))</t>
  </si>
  <si>
    <t xml:space="preserve">Employees with transit needs</t>
  </si>
  <si>
    <t xml:space="preserve">Tax expenditure ~$1–2B</t>
  </si>
  <si>
    <t xml:space="preserve">N/A</t>
  </si>
  <si>
    <t xml:space="preserve">~$1B (equiv.)</t>
  </si>
  <si>
    <t xml:space="preserve">Millions (tax benefit)</t>
  </si>
  <si>
    <t xml:space="preserve">~$300–1,000/person</t>
  </si>
  <si>
    <t xml:space="preserve">Tax benefit processing</t>
  </si>
  <si>
    <t xml:space="preserve">COL-F.3</t>
  </si>
  <si>
    <t xml:space="preserve">State &amp; Local Reduced-Fare</t>
  </si>
  <si>
    <t xml:space="preserve">Low-income riders</t>
  </si>
  <si>
    <t xml:space="preserve">~$1–2B (various)</t>
  </si>
  <si>
    <t xml:space="preserve">Fare reduction eligibility</t>
  </si>
  <si>
    <t xml:space="preserve">Low/moderate-income retirement savers</t>
  </si>
  <si>
    <t xml:space="preserve">~$1–3B</t>
  </si>
  <si>
    <t xml:space="preserve">~$0.01–0.03B</t>
  </si>
  <si>
    <t xml:space="preserve">~$0.99–2.97B</t>
  </si>
  <si>
    <t xml:space="preserve">~10M people</t>
  </si>
  <si>
    <t xml:space="preserve">~$100–300/person</t>
  </si>
  <si>
    <t xml:space="preserve">$0.018B</t>
  </si>
  <si>
    <t xml:space="preserve">~$0.984B</t>
  </si>
  <si>
    <t xml:space="preserve">~$2.969B</t>
  </si>
  <si>
    <t xml:space="preserve">~$0.972B</t>
  </si>
  <si>
    <t xml:space="preserve">~$2.967B</t>
  </si>
  <si>
    <t xml:space="preserve">New; high if tech-first</t>
  </si>
  <si>
    <t xml:space="preserve">COL-G.0</t>
  </si>
  <si>
    <t xml:space="preserve">Retirement support shifted to broader ESP investment framework</t>
  </si>
  <si>
    <t xml:space="preserve">Extra Grants - Extra cost-of-living categories
Extra Grants are offered to people on a limited basis. Some extra grants may only be afforded once in a lifetime, while others may only be offered part of a lifetime, while others may be offered irregularly. </t>
  </si>
  <si>
    <t xml:space="preserve">COL-H</t>
  </si>
  <si>
    <t xml:space="preserve">Job seekers, apprentices, students</t>
  </si>
  <si>
    <t xml:space="preserve">~$25–45B (various workforce)</t>
  </si>
  <si>
    <t xml:space="preserve">~$3–6B</t>
  </si>
  <si>
    <t xml:space="preserve">~$20–40B</t>
  </si>
  <si>
    <t xml:space="preserve">~12–25M</t>
  </si>
  <si>
    <t xml:space="preserve">Varies widely</t>
  </si>
  <si>
    <t xml:space="preserve">~$39.4B</t>
  </si>
  <si>
    <t xml:space="preserve">~$14B</t>
  </si>
  <si>
    <t xml:space="preserve">~$39B</t>
  </si>
  <si>
    <t xml:space="preserve">High automation in apps/training</t>
  </si>
  <si>
    <t xml:space="preserve">COL-H.0</t>
  </si>
  <si>
    <t xml:space="preserve">OJT &amp; Employer-Based</t>
  </si>
  <si>
    <t xml:space="preserve">Trainees</t>
  </si>
  <si>
    <t xml:space="preserve">~500,000–1M</t>
  </si>
  <si>
    <t xml:space="preserve">$0.24B</t>
  </si>
  <si>
    <t xml:space="preserve">~$1.92B</t>
  </si>
  <si>
    <t xml:space="preserve">~$1.76B</t>
  </si>
  <si>
    <t xml:space="preserve">On-job training tracking</t>
  </si>
  <si>
    <t xml:space="preserve">COL-H.1</t>
  </si>
  <si>
    <t xml:space="preserve">Registered Apprenticeship</t>
  </si>
  <si>
    <t xml:space="preserve">Apprentices</t>
  </si>
  <si>
    <t xml:space="preserve">~600,000–800,000</t>
  </si>
  <si>
    <t xml:space="preserve">Apprenticeship enrollment</t>
  </si>
  <si>
    <t xml:space="preserve">COL-H.2</t>
  </si>
  <si>
    <t xml:space="preserve">Trade/Vocational/Technical</t>
  </si>
  <si>
    <t xml:space="preserve">Certificate students</t>
  </si>
  <si>
    <t xml:space="preserve">~$3–5B</t>
  </si>
  <si>
    <t xml:space="preserve">~$3B</t>
  </si>
  <si>
    <t xml:space="preserve">~$2.9B</t>
  </si>
  <si>
    <t xml:space="preserve">~$2.97B</t>
  </si>
  <si>
    <t xml:space="preserve">~$2.7B</t>
  </si>
  <si>
    <t xml:space="preserve">~$2.91B</t>
  </si>
  <si>
    <t xml:space="preserve">Vocational cert automation</t>
  </si>
  <si>
    <t xml:space="preserve">COL-H.3</t>
  </si>
  <si>
    <t xml:space="preserve">Community College</t>
  </si>
  <si>
    <t xml:space="preserve">Associate students</t>
  </si>
  <si>
    <t xml:space="preserve">~$5–10B (Pell + others)</t>
  </si>
  <si>
    <t xml:space="preserve">~$5B</t>
  </si>
  <si>
    <t xml:space="preserve">~5–8M</t>
  </si>
  <si>
    <t xml:space="preserve">~$4.8B</t>
  </si>
  <si>
    <t xml:space="preserve">~$4.95B</t>
  </si>
  <si>
    <t xml:space="preserve">~$4.4B</t>
  </si>
  <si>
    <t xml:space="preserve">~$4.85B</t>
  </si>
  <si>
    <t xml:space="preserve">Community college aid</t>
  </si>
  <si>
    <t xml:space="preserve">COL-H.4</t>
  </si>
  <si>
    <t xml:space="preserve">Four-Year College</t>
  </si>
  <si>
    <t xml:space="preserve">Undergraduates</t>
  </si>
  <si>
    <t xml:space="preserve">~$30–40B (Pell + loans)</t>
  </si>
  <si>
    <t xml:space="preserve">Pell/loans processing</t>
  </si>
  <si>
    <t xml:space="preserve">COL-H.5</t>
  </si>
  <si>
    <t xml:space="preserve">Graduate &amp; Professional</t>
  </si>
  <si>
    <t xml:space="preserve">Graduate students</t>
  </si>
  <si>
    <t xml:space="preserve">~$5–10B</t>
  </si>
  <si>
    <t xml:space="preserve">~3–5M</t>
  </si>
  <si>
    <t xml:space="preserve">Grad aid automation</t>
  </si>
  <si>
    <t xml:space="preserve">COL-H.6</t>
  </si>
  <si>
    <t xml:space="preserve">Secondary CTE</t>
  </si>
  <si>
    <t xml:space="preserve">High-school CTE</t>
  </si>
  <si>
    <t xml:space="preserve">Millions (students)</t>
  </si>
  <si>
    <t xml:space="preserve">High school CTE tracking</t>
  </si>
  <si>
    <t xml:space="preserve">COL-I</t>
  </si>
  <si>
    <t xml:space="preserve">Children in poverty, disabled, EL, homeless</t>
  </si>
  <si>
    <t xml:space="preserve">~$65–96B</t>
  </si>
  <si>
    <t xml:space="preserve">~$5.1–8.16B</t>
  </si>
  <si>
    <t xml:space="preserve">~$59.9–85.84B</t>
  </si>
  <si>
    <t xml:space="preserve">~44–68M students</t>
  </si>
  <si>
    <t xml:space="preserve">Varies (~$1,000–6,000/student)</t>
  </si>
  <si>
    <t xml:space="preserve">$2.832B</t>
  </si>
  <si>
    <t xml:space="preserve">$2.53B</t>
  </si>
  <si>
    <t xml:space="preserve">$8.496B</t>
  </si>
  <si>
    <t xml:space="preserve">~$57.068B</t>
  </si>
  <si>
    <t xml:space="preserve">~$85.33B</t>
  </si>
  <si>
    <t xml:space="preserve">~$51.404B</t>
  </si>
  <si>
    <t xml:space="preserve">~$83.31B</t>
  </si>
  <si>
    <t xml:space="preserve">Automation in Title I/IDEA</t>
  </si>
  <si>
    <t xml:space="preserve">COL-I.0</t>
  </si>
  <si>
    <t xml:space="preserve">Core Academic &amp; Equity (Title I-A)</t>
  </si>
  <si>
    <t xml:space="preserve">Economically disadvantaged</t>
  </si>
  <si>
    <t xml:space="preserve">~$18B</t>
  </si>
  <si>
    <t xml:space="preserve">~25–30M students</t>
  </si>
  <si>
    <t xml:space="preserve">~$600–800/student</t>
  </si>
  <si>
    <t xml:space="preserve">~$17.82B</t>
  </si>
  <si>
    <t xml:space="preserve">~$17.46B</t>
  </si>
  <si>
    <t xml:space="preserve">Title I funding allocation</t>
  </si>
  <si>
    <t xml:space="preserve">COL-I.1</t>
  </si>
  <si>
    <t xml:space="preserve">Special Education (IDEA)</t>
  </si>
  <si>
    <t xml:space="preserve">Disabled (3–21)</t>
  </si>
  <si>
    <t xml:space="preserve">~$15–18B</t>
  </si>
  <si>
    <t xml:space="preserve">~7–8M</t>
  </si>
  <si>
    <t xml:space="preserve">~$2,000/student</t>
  </si>
  <si>
    <t xml:space="preserve">$1.08B</t>
  </si>
  <si>
    <t xml:space="preserve">~$14.64B</t>
  </si>
  <si>
    <t xml:space="preserve">~$13.92B</t>
  </si>
  <si>
    <t xml:space="preserve">IDEA eligibility/IEPs</t>
  </si>
  <si>
    <t xml:space="preserve">COL-I.2</t>
  </si>
  <si>
    <t xml:space="preserve">Early Childhood (Head Start)</t>
  </si>
  <si>
    <t xml:space="preserve">Low-income 0–5</t>
  </si>
  <si>
    <t xml:space="preserve">~$12–13B</t>
  </si>
  <si>
    <t xml:space="preserve">~$12B</t>
  </si>
  <si>
    <t xml:space="preserve">~1M children</t>
  </si>
  <si>
    <t xml:space="preserve">~$10,000–12,000/child</t>
  </si>
  <si>
    <t xml:space="preserve">$0.26B</t>
  </si>
  <si>
    <t xml:space="preserve">$0.78B</t>
  </si>
  <si>
    <t xml:space="preserve">~$11.74B</t>
  </si>
  <si>
    <t xml:space="preserve">~$11.88B</t>
  </si>
  <si>
    <t xml:space="preserve">~$11.22B</t>
  </si>
  <si>
    <t xml:space="preserve">~$11.64B</t>
  </si>
  <si>
    <t xml:space="preserve">Head Start enrollment</t>
  </si>
  <si>
    <t xml:space="preserve">COL-I.3</t>
  </si>
  <si>
    <t xml:space="preserve">English Learner (Title III)</t>
  </si>
  <si>
    <t xml:space="preserve">EL &amp; immigrants</t>
  </si>
  <si>
    <t xml:space="preserve">~5M</t>
  </si>
  <si>
    <t xml:space="preserve">~$200–400/student</t>
  </si>
  <si>
    <t xml:space="preserve">EL support automation</t>
  </si>
  <si>
    <t xml:space="preserve">COL-I.4</t>
  </si>
  <si>
    <t xml:space="preserve">Native American &amp; Tribal</t>
  </si>
  <si>
    <t xml:space="preserve">Native students</t>
  </si>
  <si>
    <t xml:space="preserve">~500,000–700,000</t>
  </si>
  <si>
    <t xml:space="preserve">Tribal education tech</t>
  </si>
  <si>
    <t xml:space="preserve">COL-I.5</t>
  </si>
  <si>
    <t xml:space="preserve">Homeless &amp; Foster (McKinney-Vento)</t>
  </si>
  <si>
    <t xml:space="preserve">Homeless/foster</t>
  </si>
  <si>
    <t xml:space="preserve">Homeless student tracking</t>
  </si>
  <si>
    <t xml:space="preserve">COL-I.6</t>
  </si>
  <si>
    <t xml:space="preserve">After-School &amp; Summer (21st CCLC)</t>
  </si>
  <si>
    <t xml:space="preserve">Needy extra time</t>
  </si>
  <si>
    <t xml:space="preserve">~$1.5–2B</t>
  </si>
  <si>
    <t xml:space="preserve">~$1.5B</t>
  </si>
  <si>
    <t xml:space="preserve">~2M</t>
  </si>
  <si>
    <t xml:space="preserve">~$500–1,000/student</t>
  </si>
  <si>
    <t xml:space="preserve">$0.045B</t>
  </si>
  <si>
    <t xml:space="preserve">~$1.46B</t>
  </si>
  <si>
    <t xml:space="preserve">~$1.485B</t>
  </si>
  <si>
    <t xml:space="preserve">~$1.36B</t>
  </si>
  <si>
    <t xml:space="preserve">~$1.455B</t>
  </si>
  <si>
    <t xml:space="preserve">After-school program mgmt</t>
  </si>
  <si>
    <t xml:space="preserve">COL-I.7</t>
  </si>
  <si>
    <t xml:space="preserve">School Climate &amp; Well-Being</t>
  </si>
  <si>
    <t xml:space="preserve">All (high-need priority)</t>
  </si>
  <si>
    <t xml:space="preserve">Well-being monitoring</t>
  </si>
  <si>
    <t xml:space="preserve">COL-I.8</t>
  </si>
  <si>
    <t xml:space="preserve">Lifetime Learning Credit</t>
  </si>
  <si>
    <t xml:space="preserve">Higher education students (tuition/fees)</t>
  </si>
  <si>
    <t xml:space="preserve">~2–3M students</t>
  </si>
  <si>
    <t xml:space="preserve">~$700–1,300/student</t>
  </si>
  <si>
    <t xml:space="preserve">Postsecondary education support consolidated into unified education grants</t>
  </si>
  <si>
    <t xml:space="preserve">COL-I.9</t>
  </si>
  <si>
    <t xml:space="preserve">American Opportunity Credit</t>
  </si>
  <si>
    <t xml:space="preserve">First 4 years of college students</t>
  </si>
  <si>
    <t xml:space="preserve">~$8–12B</t>
  </si>
  <si>
    <t xml:space="preserve">~$0.08–0.12B</t>
  </si>
  <si>
    <t xml:space="preserve">~$7.92–11.88B</t>
  </si>
  <si>
    <t xml:space="preserve">~7–10M students</t>
  </si>
  <si>
    <t xml:space="preserve">~$1,000–1,200/student</t>
  </si>
  <si>
    <t xml:space="preserve">~$7.896B</t>
  </si>
  <si>
    <t xml:space="preserve">~$11.872B</t>
  </si>
  <si>
    <t xml:space="preserve">~$7.848B</t>
  </si>
  <si>
    <t xml:space="preserve">~$11.856B</t>
  </si>
  <si>
    <t xml:space="preserve">Partially refundable portion eliminated; full support via ESP</t>
  </si>
  <si>
    <t xml:space="preserve">Total</t>
  </si>
  <si>
    <t xml:space="preserve">All Categories Combined</t>
  </si>
  <si>
    <t xml:space="preserve">~310–340M unduplicated residents</t>
  </si>
  <si>
    <t xml:space="preserve">~$2.399–3.081T</t>
  </si>
  <si>
    <t xml:space="preserve">~$152–253B</t>
  </si>
  <si>
    <t xml:space="preserve">~$2.199–2.781T</t>
  </si>
  <si>
    <t xml:space="preserve">~310–340M (unduplicated)</t>
  </si>
  <si>
    <t xml:space="preserve">Varies by program</t>
  </si>
  <si>
    <t xml:space="preserve">$10.6485B</t>
  </si>
  <si>
    <t xml:space="preserve">$42.062B</t>
  </si>
  <si>
    <t xml:space="preserve">$53.1955B</t>
  </si>
  <si>
    <t xml:space="preserve">$157.586B</t>
  </si>
  <si>
    <t xml:space="preserve">~$2.156938T</t>
  </si>
  <si>
    <t xml:space="preserve">~$2.7703515T</t>
  </si>
  <si>
    <t xml:space="preserve">~$2.041414T</t>
  </si>
  <si>
    <t xml:space="preserve">~$2.7278045T</t>
  </si>
  <si>
    <t xml:space="preserve">Overall range; conservative from GAO consolidation; liberal from AI/tech (McKinsey 13–25%+, higher in health/food)</t>
  </si>
  <si>
    <t xml:space="preserve">2.B</t>
  </si>
  <si>
    <t xml:space="preserve">Current DSS ESP Related Program Inlays/Outlays (Impanded)
Current benefits through existing programs at federal, state, county, city governments consolidated into new security division services.</t>
  </si>
  <si>
    <t xml:space="preserve">Revenue Min</t>
  </si>
  <si>
    <t xml:space="preserve">Revenue Max</t>
  </si>
  <si>
    <t xml:space="preserve">Admin Min</t>
  </si>
  <si>
    <t xml:space="preserve">Admin Max</t>
  </si>
  <si>
    <t xml:space="preserve">Outlays Min</t>
  </si>
  <si>
    <t xml:space="preserve">Outlays Max</t>
  </si>
  <si>
    <t xml:space="preserve">Benefactors Min</t>
  </si>
  <si>
    <t xml:space="preserve">Benefactors Max</t>
  </si>
  <si>
    <t xml:space="preserve">Avg Benefit Min</t>
  </si>
  <si>
    <t xml:space="preserve">Avg Benefit Max</t>
  </si>
  <si>
    <t xml:space="preserve">6M hh</t>
  </si>
  <si>
    <t xml:space="preserve">8M hh</t>
  </si>
  <si>
    <t xml:space="preserve">23M hh</t>
  </si>
  <si>
    <t xml:space="preserve">33M hh</t>
  </si>
  <si>
    <t xml:space="preserve">Food-insecure individuals, families, seniors</t>
  </si>
  <si>
    <t xml:space="preserve">50M</t>
  </si>
  <si>
    <t xml:space="preserve">60M</t>
  </si>
  <si>
    <t xml:space="preserve">79.6M</t>
  </si>
  <si>
    <t xml:space="preserve">89.6M</t>
  </si>
  <si>
    <t xml:space="preserve">175M</t>
  </si>
  <si>
    <t xml:space="preserve">220M</t>
  </si>
  <si>
    <t xml:space="preserve">6M</t>
  </si>
  <si>
    <t xml:space="preserve">12M</t>
  </si>
  <si>
    <t xml:space="preserve">Low/moderate-income retirement savers &amp; full-benefit workers</t>
  </si>
  <si>
    <t xml:space="preserve">~10M</t>
  </si>
  <si>
    <t xml:space="preserve">25M</t>
  </si>
  <si>
    <t xml:space="preserve">Children in poverty, disabled, EL, homeless, postsecondary students</t>
  </si>
  <si>
    <t xml:space="preserve">44M</t>
  </si>
  <si>
    <t xml:space="preserve">68M</t>
  </si>
  <si>
    <t xml:space="preserve">Unduplicated residents</t>
  </si>
  <si>
    <t xml:space="preserve">~2399</t>
  </si>
  <si>
    <t xml:space="preserve">~3081</t>
  </si>
  <si>
    <t xml:space="preserve">~2199</t>
  </si>
  <si>
    <t xml:space="preserve">~2781</t>
  </si>
  <si>
    <t xml:space="preserve">~310M</t>
  </si>
  <si>
    <t xml:space="preserve">~340M</t>
  </si>
  <si>
    <t xml:space="preserve">—</t>
  </si>
  <si>
    <t xml:space="preserve">~2156.938</t>
  </si>
  <si>
    <t xml:space="preserve">~2770.3515</t>
  </si>
  <si>
    <t xml:space="preserve">~2041.414</t>
  </si>
  <si>
    <t xml:space="preserve">~2727.8045</t>
  </si>
  <si>
    <t xml:space="preserve">DES SSD Regions</t>
  </si>
  <si>
    <t xml:space="preserve">DSS ESP Estimated COL Percentages By Region. </t>
  </si>
  <si>
    <t xml:space="preserve">SSD-RID</t>
  </si>
  <si>
    <t xml:space="preserve">Region</t>
  </si>
  <si>
    <t xml:space="preserve">Total COL Min ($)</t>
  </si>
  <si>
    <t xml:space="preserve">Total COL Max ($)</t>
  </si>
  <si>
    <t xml:space="preserve">Housing Min</t>
  </si>
  <si>
    <t xml:space="preserve">Housing Max</t>
  </si>
  <si>
    <t xml:space="preserve">Utility Min</t>
  </si>
  <si>
    <t xml:space="preserve">Utility Max</t>
  </si>
  <si>
    <t xml:space="preserve">Food Min</t>
  </si>
  <si>
    <t xml:space="preserve">Food Max</t>
  </si>
  <si>
    <t xml:space="preserve">Retail Min</t>
  </si>
  <si>
    <t xml:space="preserve">Retail Max</t>
  </si>
  <si>
    <t xml:space="preserve">Medical Min</t>
  </si>
  <si>
    <t xml:space="preserve">Medical Max</t>
  </si>
  <si>
    <t xml:space="preserve">Transport Min</t>
  </si>
  <si>
    <t xml:space="preserve">Transport Max</t>
  </si>
  <si>
    <t xml:space="preserve">Invest Min</t>
  </si>
  <si>
    <t xml:space="preserve">Invest Max</t>
  </si>
  <si>
    <t xml:space="preserve">Education Min</t>
  </si>
  <si>
    <t xml:space="preserve">Education Max</t>
  </si>
  <si>
    <t xml:space="preserve">Childcare Min</t>
  </si>
  <si>
    <t xml:space="preserve">Childcare Max</t>
  </si>
  <si>
    <t xml:space="preserve">Southeast (lowest COL)</t>
  </si>
  <si>
    <t xml:space="preserve">Plains</t>
  </si>
  <si>
    <t xml:space="preserve">Great Lakes</t>
  </si>
  <si>
    <t xml:space="preserve">Southwest</t>
  </si>
  <si>
    <t xml:space="preserve">Rocky Mountain</t>
  </si>
  <si>
    <t xml:space="preserve">Mideast</t>
  </si>
  <si>
    <t xml:space="preserve">New England</t>
  </si>
  <si>
    <t xml:space="preserve">Far West (highest COL)</t>
  </si>
  <si>
    <t xml:space="preserve">ESP-SSD - Program Funding Mechanisms</t>
  </si>
  <si>
    <t xml:space="preserve">SSD - Government Revenue</t>
  </si>
  <si>
    <t xml:space="preserve">Federal Funding &amp; Cost Details (Updated)</t>
  </si>
  <si>
    <t xml:space="preserve">Annual Federal Funding (2025–2026 est., $$ B)</t>
  </si>
  <si>
    <t xml:space="preserve">Total Unique Beneficiary Individuals (approx.)</t>
  </si>
  <si>
    <t xml:space="preserve">Avg Annual Benefit per Person ( $$)</t>
  </si>
  <si>
    <t xml:space="preserve">Annual Federal Funding (2025 est., $$ B)</t>
  </si>
  <si>
    <t xml:space="preserve">A</t>
  </si>
  <si>
    <t xml:space="preserve">Consolidated HUD/USDA + tariff/surcharge Trust Fund boost</t>
  </si>
  <si>
    <t xml:space="preserve">65–75</t>
  </si>
  <si>
    <t xml:space="preserve">8,125–12,500</t>
  </si>
  <si>
    <t xml:space="preserve">B</t>
  </si>
  <si>
    <t xml:space="preserve">LIHEAP successor + supplemental Trust Fund</t>
  </si>
  <si>
    <t xml:space="preserve">16–27</t>
  </si>
  <si>
    <t xml:space="preserve">485–1,174</t>
  </si>
  <si>
    <t xml:space="preserve">10–15</t>
  </si>
  <si>
    <t xml:space="preserve">~20–30M households</t>
  </si>
  <si>
    <t xml:space="preserve">333–750</t>
  </si>
  <si>
    <t xml:space="preserve">C</t>
  </si>
  <si>
    <t xml:space="preserve">SNAP/WIC/school meals + tariff/Robot Tax offsets</t>
  </si>
  <si>
    <t xml:space="preserve">150–170</t>
  </si>
  <si>
    <t xml:space="preserve">2,500–3,400</t>
  </si>
  <si>
    <t xml:space="preserve">D</t>
  </si>
  <si>
    <t xml:space="preserve">SSI/TANF successor + high-earner surcharge infusion</t>
  </si>
  <si>
    <t xml:space="preserve">222–280</t>
  </si>
  <si>
    <t xml:space="preserve">2,478–3,518</t>
  </si>
  <si>
    <t xml:space="preserve">80–90</t>
  </si>
  <si>
    <t xml:space="preserve">~15–25M people</t>
  </si>
  <si>
    <t xml:space="preserve">3,200–6,000</t>
  </si>
  <si>
    <t xml:space="preserve">E</t>
  </si>
  <si>
    <t xml:space="preserve">Medicaid/CHIP/Medicare/ACA + major tariff-heavy Trust Fund allocation</t>
  </si>
  <si>
    <t xml:space="preserve">1,640–2,060</t>
  </si>
  <si>
    <t xml:space="preserve">Variable (near-universal)</t>
  </si>
  <si>
    <t xml:space="preserve">1,600–2,000</t>
  </si>
  <si>
    <t xml:space="preserve">~160–200M (incl. overlaps)</t>
  </si>
  <si>
    <t xml:space="preserve">F</t>
  </si>
  <si>
    <t xml:space="preserve">Reduced-fare/paratransit + minor Trust Fund top-up</t>
  </si>
  <si>
    <t xml:space="preserve">4–6</t>
  </si>
  <si>
    <t xml:space="preserve">333–1,000</t>
  </si>
  <si>
    <t xml:space="preserve">G</t>
  </si>
  <si>
    <t xml:space="preserve">New matched savings + payroll redirect incentives</t>
  </si>
  <si>
    <t xml:space="preserve">1–3</t>
  </si>
  <si>
    <t xml:space="preserve">100–300</t>
  </si>
  <si>
    <t xml:space="preserve">Qualifying workers</t>
  </si>
  <si>
    <t xml:space="preserve">H</t>
  </si>
  <si>
    <t xml:space="preserve">WIOA/apprenticeship + COB synergy from Robot Tax offsets</t>
  </si>
  <si>
    <t xml:space="preserve">25–45</t>
  </si>
  <si>
    <t xml:space="preserve">1,000–3,750</t>
  </si>
  <si>
    <t xml:space="preserve">I</t>
  </si>
  <si>
    <t xml:space="preserve">Title I/Head Start + moderate Trust Fund</t>
  </si>
  <si>
    <t xml:space="preserve">65–96</t>
  </si>
  <si>
    <t xml:space="preserve">956–2,182</t>
  </si>
  <si>
    <t xml:space="preserve">55–80</t>
  </si>
  <si>
    <t xml:space="preserve">~35–55M students</t>
  </si>
  <si>
    <t xml:space="preserve">1,000–2,286</t>
  </si>
  <si>
    <t xml:space="preserve">All SSD Grant Categories</t>
  </si>
  <si>
    <t xml:space="preserve">Unified system + ~$100–160B new Trust Fund infusion (tariffs dominant)</t>
  </si>
  <si>
    <t xml:space="preserve">2,399–3,081</t>
  </si>
  <si>
    <t xml:space="preserve">2,200–2,800</t>
  </si>
  <si>
    <t xml:space="preserve">~210–230M (unduplicated)</t>
  </si>
  <si>
    <t xml:space="preserve">SSD - Philanthropic Revenue</t>
  </si>
  <si>
    <t xml:space="preserve">Conservative Public Donation Funding (Annual $B)</t>
  </si>
  <si>
    <t xml:space="preserve">Liberal Public Donation Funding (Annual $B)</t>
  </si>
  <si>
    <t xml:space="preserve">Likely Donation Channels</t>
  </si>
  <si>
    <t xml:space="preserve">Notes on Substitution vs. Add-On</t>
  </si>
  <si>
    <t xml:space="preserve">35–65</t>
  </si>
  <si>
    <t xml:space="preserve">110–190</t>
  </si>
  <si>
    <t xml:space="preserve">Housing/nonprofits, faith-based</t>
  </si>
  <si>
    <t xml:space="preserve">High substitution</t>
  </si>
  <si>
    <t xml:space="preserve">10–22</t>
  </si>
  <si>
    <t xml:space="preserve">28–65</t>
  </si>
  <si>
    <t xml:space="preserve">Energy assistance funds</t>
  </si>
  <si>
    <t xml:space="preserve">Moderate</t>
  </si>
  <si>
    <t xml:space="preserve">45–85</t>
  </si>
  <si>
    <t xml:space="preserve">130–230</t>
  </si>
  <si>
    <t xml:space="preserve">Food banks, hunger relief</t>
  </si>
  <si>
    <t xml:space="preserve">18–45</t>
  </si>
  <si>
    <t xml:space="preserve">55–130</t>
  </si>
  <si>
    <t xml:space="preserve">Direct aid nonprofits</t>
  </si>
  <si>
    <t xml:space="preserve">65–140</t>
  </si>
  <si>
    <t xml:space="preserve">190–370</t>
  </si>
  <si>
    <t xml:space="preserve">Disease foundations, health CSR</t>
  </si>
  <si>
    <t xml:space="preserve">Partial substitution</t>
  </si>
  <si>
    <t xml:space="preserve">4–12</t>
  </si>
  <si>
    <t xml:space="preserve">15–40</t>
  </si>
  <si>
    <t xml:space="preserve">Mobility nonprofits</t>
  </si>
  <si>
    <t xml:space="preserve">10–28</t>
  </si>
  <si>
    <t xml:space="preserve">45–95</t>
  </si>
  <si>
    <t xml:space="preserve">Financial literacy orgs</t>
  </si>
  <si>
    <t xml:space="preserve">Additive</t>
  </si>
  <si>
    <t xml:space="preserve">65–150</t>
  </si>
  <si>
    <t xml:space="preserve">Workforce nonprofits</t>
  </si>
  <si>
    <t xml:space="preserve">Moderate substitution</t>
  </si>
  <si>
    <t xml:space="preserve">95–180</t>
  </si>
  <si>
    <t xml:space="preserve">Education foundations, PTA</t>
  </si>
  <si>
    <t xml:space="preserve">All SSD Categories</t>
  </si>
  <si>
    <t xml:space="preserve">230–500</t>
  </si>
  <si>
    <t xml:space="preserve">750–1,400</t>
  </si>
  <si>
    <t xml:space="preserve">Broad charity ecosystem</t>
  </si>
  <si>
    <t xml:space="preserve">Mix; boosted by platform visibility</t>
  </si>
  <si>
    <t xml:space="preserve">SSD - Corporate Revenue</t>
  </si>
  <si>
    <t xml:space="preserve">Conservative Sponsorship Amount (Annual $B)</t>
  </si>
  <si>
    <t xml:space="preserve">Liberal Sponsorship Amount (Annual $B)</t>
  </si>
  <si>
    <t xml:space="preserve">Typical Sponsorship Occasions</t>
  </si>
  <si>
    <t xml:space="preserve">Target Sponsors</t>
  </si>
  <si>
    <t xml:space="preserve">Viability Notes</t>
  </si>
  <si>
    <t xml:space="preserve">Estimated Market Capture Potential</t>
  </si>
  <si>
    <t xml:space="preserve">Employee housing assistance</t>
  </si>
  <si>
    <t xml:space="preserve">Real estate/large employers</t>
  </si>
  <si>
    <t xml:space="preserve">Community impact</t>
  </si>
  <si>
    <t xml:space="preserve">7–20</t>
  </si>
  <si>
    <t xml:space="preserve">Employee hardship</t>
  </si>
  <si>
    <t xml:space="preserve">Utilities/large employers</t>
  </si>
  <si>
    <t xml:space="preserve">Crisis support</t>
  </si>
  <si>
    <t xml:space="preserve">Low-moderate</t>
  </si>
  <si>
    <t xml:space="preserve">22–55</t>
  </si>
  <si>
    <t xml:space="preserve">75–150</t>
  </si>
  <si>
    <t xml:space="preserve">Employee food security</t>
  </si>
  <si>
    <t xml:space="preserve">Grocery/food companies</t>
  </si>
  <si>
    <t xml:space="preserve">Wellness focus</t>
  </si>
  <si>
    <t xml:space="preserve">45–110</t>
  </si>
  <si>
    <t xml:space="preserve">Emergency employee aid</t>
  </si>
  <si>
    <t xml:space="preserve">HR departments</t>
  </si>
  <si>
    <t xml:space="preserve">Sensitive</t>
  </si>
  <si>
    <t xml:space="preserve">75–160</t>
  </si>
  <si>
    <t xml:space="preserve">260–480</t>
  </si>
  <si>
    <t xml:space="preserve">Employee health funds</t>
  </si>
  <si>
    <t xml:space="preserve">Health insurers/pharma</t>
  </si>
  <si>
    <t xml:space="preserve">Major CSR – highest potential</t>
  </si>
  <si>
    <t xml:space="preserve">High</t>
  </si>
  <si>
    <t xml:space="preserve">Major CSR</t>
  </si>
  <si>
    <t xml:space="preserve">7–22</t>
  </si>
  <si>
    <t xml:space="preserve">28–75</t>
  </si>
  <si>
    <t xml:space="preserve">Commute assistance</t>
  </si>
  <si>
    <t xml:space="preserve">Transit-adjacent firms</t>
  </si>
  <si>
    <t xml:space="preserve">Niche</t>
  </si>
  <si>
    <t xml:space="preserve">15–38</t>
  </si>
  <si>
    <t xml:space="preserve">Matched employee savings</t>
  </si>
  <si>
    <t xml:space="preserve">Financial services</t>
  </si>
  <si>
    <t xml:space="preserve">Wealth-building</t>
  </si>
  <si>
    <t xml:space="preserve">Moderate-high</t>
  </si>
  <si>
    <t xml:space="preserve">Retirement alt.</t>
  </si>
  <si>
    <t xml:space="preserve">160–320</t>
  </si>
  <si>
    <t xml:space="preserve">Employee training/talent pipeline</t>
  </si>
  <si>
    <t xml:space="preserve">HR/training departments</t>
  </si>
  <si>
    <t xml:space="preserve">Core need – very high</t>
  </si>
  <si>
    <t xml:space="preserve">Core need</t>
  </si>
  <si>
    <t xml:space="preserve">95–240</t>
  </si>
  <si>
    <t xml:space="preserve">School partnerships</t>
  </si>
  <si>
    <t xml:space="preserve">Companies with local schools</t>
  </si>
  <si>
    <t xml:space="preserve">Future workforce</t>
  </si>
  <si>
    <t xml:space="preserve">Community ties</t>
  </si>
  <si>
    <t xml:space="preserve">240–550</t>
  </si>
  <si>
    <t xml:space="preserve">850–1,600</t>
  </si>
  <si>
    <t xml:space="preserve">Strongest in workforce/health</t>
  </si>
  <si>
    <t xml:space="preserve">SSD - Combined Revenue</t>
  </si>
  <si>
    <t xml:space="preserve">SSD-FID</t>
  </si>
  <si>
    <t xml:space="preserve">Feature</t>
  </si>
  <si>
    <t xml:space="preserve">Description</t>
  </si>
  <si>
    <t xml:space="preserve">Estimated Annual Revenue Potential (Conservative)</t>
  </si>
  <si>
    <t xml:space="preserve">Estimated Annual Revenue Potential (Liberal)</t>
  </si>
  <si>
    <t xml:space="preserve">Key Advantages</t>
  </si>
  <si>
    <t xml:space="preserve">Estimated Success Likelihood</t>
  </si>
  <si>
    <t xml:space="preserve">Viability &amp; Success Factors</t>
  </si>
  <si>
    <t xml:space="preserve">Social-Philanthropic Revenue</t>
  </si>
  <si>
    <t xml:space="preserve">Category-restricted donations</t>
  </si>
  <si>
    <t xml:space="preserve">230–450</t>
  </si>
  <si>
    <t xml:space="preserve">650–1,100</t>
  </si>
  <si>
    <t xml:space="preserve">High trust, outcome tracking</t>
  </si>
  <si>
    <t xml:space="preserve">High (80–92%)</t>
  </si>
  <si>
    <t xml:space="preserve">High trust, outcome tracking, tax deductibility</t>
  </si>
  <si>
    <t xml:space="preserve">Strong in health/housing/food; success via charity marketing</t>
  </si>
  <si>
    <t xml:space="preserve">High (70–85%)</t>
  </si>
  <si>
    <t xml:space="preserve">Corporate-Philanthropic Revenue</t>
  </si>
  <si>
    <t xml:space="preserve">Sponsorships tied to employee benefits/training</t>
  </si>
  <si>
    <t xml:space="preserve">280–550</t>
  </si>
  <si>
    <t xml:space="preserve">Retention, talent pipeline</t>
  </si>
  <si>
    <t xml:space="preserve">Very High (88–96%)</t>
  </si>
  <si>
    <t xml:space="preserve">Employee retention, wellness, talent pipeline</t>
  </si>
  <si>
    <t xml:space="preserve">Highest in medical/training; tied to workforce needs</t>
  </si>
  <si>
    <t xml:space="preserve">Very High (80–90%)</t>
  </si>
  <si>
    <t xml:space="preserve">Government Revenue</t>
  </si>
  <si>
    <t xml:space="preserve">Core appropriations + tariff/Robot Tax/surcharge Trust Fund</t>
  </si>
  <si>
    <t xml:space="preserve">Stable + materialized external revenue</t>
  </si>
  <si>
    <t xml:space="preserve">High (base + new streams)</t>
  </si>
  <si>
    <t xml:space="preserve">Stable, universal coverage, cost containment through employment scaling</t>
  </si>
  <si>
    <t xml:space="preserve">Proven demand; moderated by tariffs/surcharge/Robot Tax; employment incentives reduce net outlays</t>
  </si>
  <si>
    <t xml:space="preserve">High (base stable)</t>
  </si>
  <si>
    <t xml:space="preserve">Combined</t>
  </si>
  <si>
    <t xml:space="preserve">Integrated blending of all channels</t>
  </si>
  <si>
    <t xml:space="preserve">2,900–4,100</t>
  </si>
  <si>
    <t xml:space="preserve">4,600–6,300+</t>
  </si>
  <si>
    <t xml:space="preserve">Synergies, reduced net public cost, diversified funding</t>
  </si>
  <si>
    <t xml:space="preserve">High (conservative likely)</t>
  </si>
  <si>
    <t xml:space="preserve">Synergies, full coverage, reduced public cost, work incentives</t>
  </si>
  <si>
    <t xml:space="preserve">Transformative appeal; offsets net expenditure through private/public/philanthropic mix + employment scaling</t>
  </si>
  <si>
    <t xml:space="preserve">SSD Age Range</t>
  </si>
  <si>
    <t xml:space="preserve">Participant Age Ranges</t>
  </si>
  <si>
    <t xml:space="preserve">SSD-AID</t>
  </si>
  <si>
    <t xml:space="preserve">Age Range</t>
  </si>
  <si>
    <t xml:space="preserve">Age Range Name</t>
  </si>
  <si>
    <t xml:space="preserve">0–18</t>
  </si>
  <si>
    <t xml:space="preserve">Child dependent</t>
  </si>
  <si>
    <t xml:space="preserve">18–24</t>
  </si>
  <si>
    <t xml:space="preserve">Young adult</t>
  </si>
  <si>
    <t xml:space="preserve">18-24</t>
  </si>
  <si>
    <t xml:space="preserve">Dependent student</t>
  </si>
  <si>
    <t xml:space="preserve">18-65</t>
  </si>
  <si>
    <t xml:space="preserve">Adult</t>
  </si>
  <si>
    <t xml:space="preserve">50-65</t>
  </si>
  <si>
    <t xml:space="preserve">Pre-Retired</t>
  </si>
  <si>
    <t xml:space="preserve">60–64</t>
  </si>
  <si>
    <t xml:space="preserve">Near-Retired</t>
  </si>
  <si>
    <t xml:space="preserve">62–66</t>
  </si>
  <si>
    <t xml:space="preserve">Early-Retired</t>
  </si>
  <si>
    <t xml:space="preserve">65+</t>
  </si>
  <si>
    <t xml:space="preserve">Retired</t>
  </si>
  <si>
    <t xml:space="preserve">Delayed-Retired</t>
  </si>
  <si>
    <t xml:space="preserve">75+</t>
  </si>
  <si>
    <t xml:space="preserve">Elderly</t>
  </si>
  <si>
    <t xml:space="preserve">SSD Participant Priviliege</t>
  </si>
  <si>
    <r>
      <rPr>
        <b val="true"/>
        <sz val="10"/>
        <rFont val="Arial"/>
        <family val="2"/>
        <charset val="1"/>
      </rPr>
      <t xml:space="preserve">Participant Privilege
</t>
    </r>
    <r>
      <rPr>
        <sz val="10"/>
        <rFont val="Arial"/>
        <family val="2"/>
        <charset val="1"/>
      </rPr>
      <t xml:space="preserve">Privilege describes laborer special qualities that may be required specialties for employers. </t>
    </r>
  </si>
  <si>
    <t xml:space="preserve">SSD-PID</t>
  </si>
  <si>
    <t xml:space="preserve">Privilege</t>
  </si>
  <si>
    <t xml:space="preserve">Who Qualifies (automatic or opt-in)</t>
  </si>
  <si>
    <t xml:space="preserve">Veteran Priority Status</t>
  </si>
  <si>
    <t xml:space="preserve">Any honorably discharged U.S. veteran (any era) + dependents under the liberal rules</t>
  </si>
  <si>
    <t xml:space="preserve">Military Spouse / Gold Star Active</t>
  </si>
  <si>
    <t xml:space="preserve">Current spouse or surviving spouse of active-duty, Guard, or Reserve member</t>
  </si>
  <si>
    <t xml:space="preserve">Public-Service Legacy</t>
  </si>
  <si>
    <t xml:space="preserve">Retired police, firefighters, EMTs, teachers (20+ years state/local service)</t>
  </si>
  <si>
    <t xml:space="preserve">High-Earner Volunteer Track</t>
  </si>
  <si>
    <t xml:space="preserve">Anyone whose earned income is ≥250 % of regional ESP benefit (≈$70 k–$90 k/yr depending on state)</t>
  </si>
  <si>
    <t xml:space="preserve">Student/Apprentice Over-Cap</t>
  </si>
  <si>
    <t xml:space="preserve">Full-time community college, university, or registered apprenticeship student whose grants + Pell + scholarships exceed ESP benefit</t>
  </si>
  <si>
    <t xml:space="preserve">Tribal/Compact Nation Member</t>
  </si>
  <si>
    <t xml:space="preserve">Enrolled members of federally recognized tribes living on or near reservation who receive IHS + tribal per-capita distributions</t>
  </si>
  <si>
    <t xml:space="preserve">Religious Order / Consecrated Life</t>
  </si>
  <si>
    <t xml:space="preserve">Members of recognized religious orders under a vow of poverty</t>
  </si>
  <si>
    <t xml:space="preserve">Federal Employee / Contractor Lock-Out</t>
  </si>
  <si>
    <t xml:space="preserve">Current federal employees and many federal contractors (to avoid double-dipping)</t>
  </si>
  <si>
    <t xml:space="preserve">Union Member Priority</t>
  </si>
  <si>
    <t xml:space="preserve">Current dues-paying member of a recognized labor union (automatic verification via union roster upload to ESP portal)</t>
  </si>
  <si>
    <t xml:space="preserve">J</t>
  </si>
  <si>
    <t xml:space="preserve">Trade Certification Holder</t>
  </si>
  <si>
    <t xml:space="preserve">Licensed or journeyman-level workers in skilled trades (e.g., plumbing, electrical, carpentry, HVAC) certified by recognized trade organization or apprenticeship program</t>
  </si>
  <si>
    <t xml:space="preserve">K</t>
  </si>
  <si>
    <t xml:space="preserve">Industry Association Affiliate</t>
  </si>
  <si>
    <t xml:space="preserve">Active member of approved industry/professional association (e.g., ABA, AMA, IEEE, ASCE) with continuing education requirements met (opt-in verification)</t>
  </si>
  <si>
    <t xml:space="preserve">L</t>
  </si>
  <si>
    <t xml:space="preserve">Medicare Legacy Beneficiary</t>
  </si>
  <si>
    <t xml:space="preserve">Automatic for current Medicare enrollees (65+, disabled, ESRD); guarantees seamless transition to Medical Grant with no requalification delays.</t>
  </si>
  <si>
    <t xml:space="preserve">SSD - Participant Status</t>
  </si>
  <si>
    <r>
      <rPr>
        <b val="true"/>
        <sz val="10"/>
        <rFont val="Arial"/>
        <family val="2"/>
        <charset val="1"/>
      </rPr>
      <t xml:space="preserve">Participant Status
</t>
    </r>
    <r>
      <rPr>
        <sz val="10"/>
        <rFont val="Arial"/>
        <family val="2"/>
        <charset val="1"/>
      </rPr>
      <t xml:space="preserve">Status describes laborer relationship to labor including any status that disqualifies from labor.</t>
    </r>
  </si>
  <si>
    <t xml:space="preserve">SSD-LSID</t>
  </si>
  <si>
    <t xml:space="preserve">Life Status</t>
  </si>
  <si>
    <t xml:space="preserve">Primary Effect on Work Requirement / Benefits</t>
  </si>
  <si>
    <t xml:space="preserve">LS01</t>
  </si>
  <si>
    <t xml:space="preserve">Minor Child (age 0–17)</t>
  </si>
  <si>
    <t xml:space="preserve">Exempt from all work requirements; dependent-only benefits</t>
  </si>
  <si>
    <t xml:space="preserve">LS02</t>
  </si>
  <si>
    <t xml:space="preserve">Full-Time Student – Dependent (16–24, claimed by parent)</t>
  </si>
  <si>
    <t xml:space="preserve">Exempt from work requirements while enrolled ≥12 credits/semester</t>
  </si>
  <si>
    <t xml:space="preserve">LS03</t>
  </si>
  <si>
    <t xml:space="preserve">Full-Time Student – Independent (18–29)</t>
  </si>
  <si>
    <t xml:space="preserve">Exempt from work requirements while enrolled; eligible for independent grants/loans</t>
  </si>
  <si>
    <t xml:space="preserve">LS04</t>
  </si>
  <si>
    <t xml:space="preserve">Part-Time Student (any age)</t>
  </si>
  <si>
    <t xml:space="preserve">Normal work requirements apply; may receive small in-study top-ups</t>
  </si>
  <si>
    <t xml:space="preserve">LS05</t>
  </si>
  <si>
    <t xml:space="preserve">Registered Apprentice / Trainee</t>
  </si>
  <si>
    <t xml:space="preserve">Counts as “in work/training”; exempt from job-search requirements</t>
  </si>
  <si>
    <t xml:space="preserve">LS06</t>
  </si>
  <si>
    <t xml:space="preserve">Regular Employee (W-2 / standard payroll)</t>
  </si>
  <si>
    <t xml:space="preserve">Meets work requirement; full contribution credits</t>
  </si>
  <si>
    <t xml:space="preserve">LS07</t>
  </si>
  <si>
    <t xml:space="preserve">High-Income Employee (≥250 % of federal poverty level or national high-earner threshold)</t>
  </si>
  <si>
    <t xml:space="preserve">Meets work requirement but many means-tested benefits phased out</t>
  </si>
  <si>
    <t xml:space="preserve">LS08</t>
  </si>
  <si>
    <t xml:space="preserve">Self-Employed / Business Owner</t>
  </si>
  <si>
    <t xml:space="preserve">Meets work requirement if net profit ≥ threshold; contribution credits based on reported income</t>
  </si>
  <si>
    <t xml:space="preserve">LS09</t>
  </si>
  <si>
    <t xml:space="preserve">Gig / Independent Contractor / Platform Worker</t>
  </si>
  <si>
    <t xml:space="preserve">Meets work requirement only if quarterly hours/income ≥ minimum</t>
  </si>
  <si>
    <t xml:space="preserve">LS10</t>
  </si>
  <si>
    <t xml:space="preserve">Seasonal or Short-Term Contract Worker</t>
  </si>
  <si>
    <t xml:space="preserve">Credited only for months actually worked</t>
  </si>
  <si>
    <t xml:space="preserve">LS11</t>
  </si>
  <si>
    <t xml:space="preserve">Active-Duty Military</t>
  </si>
  <si>
    <t xml:space="preserve">Special protected status; concurrent pay + veteran credits accrue</t>
  </si>
  <si>
    <t xml:space="preserve">LS12</t>
  </si>
  <si>
    <t xml:space="preserve">Reservist / National Guard (drilled &amp; deployed)</t>
  </si>
  <si>
    <t xml:space="preserve">Counts as employed when activated</t>
  </si>
  <si>
    <t xml:space="preserve">LS13</t>
  </si>
  <si>
    <t xml:space="preserve">Public-Service Employee (gov, teacher, police, fire, etc.)</t>
  </si>
  <si>
    <t xml:space="preserve">Standard + possible 10-year forgiveness or enhanced pension credits</t>
  </si>
  <si>
    <t xml:space="preserve">LS14</t>
  </si>
  <si>
    <t xml:space="preserve">Essential / Critical-Infrastructure Worker</t>
  </si>
  <si>
    <t xml:space="preserve">Priority access + possible bonus credits during emergencies</t>
  </si>
  <si>
    <t xml:space="preserve">LS15</t>
  </si>
  <si>
    <t xml:space="preserve">Unemployed – Actively Seeking (≤26 weeks)</t>
  </si>
  <si>
    <t xml:space="preserve">Exempt short-term; must meet job-search rules</t>
  </si>
  <si>
    <t xml:space="preserve">LS16</t>
  </si>
  <si>
    <t xml:space="preserve">Unemployed – Long-Term (≥27 weeks)</t>
  </si>
  <si>
    <t xml:space="preserve">Triggers work-program enrollment or deeper review</t>
  </si>
  <si>
    <t xml:space="preserve">LS17</t>
  </si>
  <si>
    <t xml:space="preserve">Disabled – Working (substantial gainful activity still possible)</t>
  </si>
  <si>
    <t xml:space="preserve">Meets work requirement; partial disability credits</t>
  </si>
  <si>
    <t xml:space="preserve">LS18</t>
  </si>
  <si>
    <t xml:space="preserve">Disabled – Non-Working (below SGA threshold)</t>
  </si>
  <si>
    <t xml:space="preserve">Full exemption from work requirements; disability pathway</t>
  </si>
  <si>
    <t xml:space="preserve">LS19</t>
  </si>
  <si>
    <t xml:space="preserve">Disabled Veteran (service-connected)</t>
  </si>
  <si>
    <t xml:space="preserve">Highest priority + permanent work exemption if rated ≥ certain %</t>
  </si>
  <si>
    <t xml:space="preserve">LS20</t>
  </si>
  <si>
    <t xml:space="preserve">Early Retiree (50–61, receiving private or early pension)</t>
  </si>
  <si>
    <t xml:space="preserve">No work requirement; reduced or zero public retirement credits</t>
  </si>
  <si>
    <t xml:space="preserve">LS21</t>
  </si>
  <si>
    <t xml:space="preserve">Normal-Age Retiree (62–FRA)</t>
  </si>
  <si>
    <t xml:space="preserve">No work requirement; full retirement benefits begin</t>
  </si>
  <si>
    <t xml:space="preserve">LS22</t>
  </si>
  <si>
    <t xml:space="preserve">Working Retiree (past FRA, still employed)</t>
  </si>
  <si>
    <t xml:space="preserve">Earnings test removed; delayed-retirement credits may still accrue</t>
  </si>
  <si>
    <t xml:space="preserve">LS23</t>
  </si>
  <si>
    <t xml:space="preserve">Delayed-Claim Retiree (70+)</t>
  </si>
  <si>
    <t xml:space="preserve">Permanent higher benefit rate; no further credits</t>
  </si>
  <si>
    <t xml:space="preserve">LS24</t>
  </si>
  <si>
    <t xml:space="preserve">Frail Elderly (75+ or ADL-dependent)</t>
  </si>
  <si>
    <t xml:space="preserve">Maximum supplementary benefits; automatic long-term-care triggers</t>
  </si>
  <si>
    <t xml:space="preserve">LS25</t>
  </si>
  <si>
    <t xml:space="preserve">Primary Family Caregiver (child &lt;6, disabled, or elderly relative)</t>
  </si>
  <si>
    <t xml:space="preserve">Exempt from work requirements; possible caregiver credits</t>
  </si>
  <si>
    <t xml:space="preserve">LS26</t>
  </si>
  <si>
    <t xml:space="preserve">Homemaker / Non-Working Spouse (derived benefits)</t>
  </si>
  <si>
    <t xml:space="preserve">No personal work requirement; spousal/derived credits only</t>
  </si>
  <si>
    <t xml:space="preserve">LS27</t>
  </si>
  <si>
    <t xml:space="preserve">Religious / Consecrated Life (vow of poverty)</t>
  </si>
  <si>
    <t xml:space="preserve">Exempt from work requirements; treated as zero-income for means tests</t>
  </si>
  <si>
    <t xml:space="preserve">LS28</t>
  </si>
  <si>
    <t xml:space="preserve">Tribal / First Nation Member under Compact</t>
  </si>
  <si>
    <t xml:space="preserve">May follow tribal instead of federal work/benefit rules</t>
  </si>
  <si>
    <t xml:space="preserve">LS29</t>
  </si>
  <si>
    <t xml:space="preserve">Federal Employee / Contractor (FERS/CSRS or equivalent)</t>
  </si>
  <si>
    <t xml:space="preserve">Special offset &amp; coordination rules with Social Security</t>
  </si>
  <si>
    <t xml:space="preserve">LS30</t>
  </si>
  <si>
    <t xml:space="preserve">High-Contribution Volunteer / Civic Service Track</t>
  </si>
  <si>
    <t xml:space="preserve">Hours convert to contribution credits (for high earners seeking to qualify)</t>
  </si>
  <si>
    <t xml:space="preserve">LS31</t>
  </si>
  <si>
    <t xml:space="preserve">Incarcerated (sentenced &gt;12 months)</t>
  </si>
  <si>
    <t xml:space="preserve">Benefits suspended except possible survivor/diversion</t>
  </si>
  <si>
    <t xml:space="preserve">LS32</t>
  </si>
  <si>
    <t xml:space="preserve">Institutionalized Long-Term (nursing home, psychiatric)</t>
  </si>
  <si>
    <t xml:space="preserve">Benefits redirected to facility; personal needs allowance only</t>
  </si>
  <si>
    <t xml:space="preserve">LS33</t>
  </si>
  <si>
    <t xml:space="preserve">Deceased</t>
  </si>
  <si>
    <t xml:space="preserve">All personal benefits cease; survivor claims activated</t>
  </si>
  <si>
    <t xml:space="preserve">LS34</t>
  </si>
  <si>
    <t xml:space="preserve">Non-Resident / Emigrated</t>
  </si>
  <si>
    <t xml:space="preserve">Benefits frozen or exported only under bilateral agreements</t>
  </si>
  <si>
    <t xml:space="preserve">LS35</t>
  </si>
  <si>
    <t xml:space="preserve">Undocumented / Ineligible Non-Citizen</t>
  </si>
  <si>
    <t xml:space="preserve">No federal benefits; state/local emergency only</t>
  </si>
  <si>
    <t xml:space="preserve">LS36</t>
  </si>
  <si>
    <t xml:space="preserve">Union Member</t>
  </si>
  <si>
    <t xml:space="preserve">Meets work requirement with enhanced priority placement; possible union-specific training credits and protections</t>
  </si>
  <si>
    <t xml:space="preserve">LS37</t>
  </si>
  <si>
    <t xml:space="preserve">Skilled Trade Journeyman / Certified Tradesperson</t>
  </si>
  <si>
    <t xml:space="preserve">Counts as “in work/training”; priority for trade-specific co-fiduciary postings and apprenticeship oversight roles</t>
  </si>
  <si>
    <t xml:space="preserve">LS38</t>
  </si>
  <si>
    <t xml:space="preserve">Professional Association Member</t>
  </si>
  <si>
    <t xml:space="preserve">Enhanced eligibility for high-skill co-fiduciary tracks; continuing-education hours may count toward work credits</t>
  </si>
  <si>
    <t xml:space="preserve">SSD Medical Grant</t>
  </si>
  <si>
    <t xml:space="preserve">Medical Grant Components Mapped to Legacy Medicare Types</t>
  </si>
  <si>
    <t xml:space="preserve">LID</t>
  </si>
  <si>
    <t xml:space="preserve">Legacy Medicare Type / Withholding Reference</t>
  </si>
  <si>
    <t xml:space="preserve">Description in Current/Legacy System</t>
  </si>
  <si>
    <t xml:space="preserve">Status in FITNESS (2026+) Phase-Out / Replacement</t>
  </si>
  <si>
    <t xml:space="preserve">Incorporation into Unified Medical Grant</t>
  </si>
  <si>
    <t xml:space="preserve">Typical Annual Value / Coverage (Moderate COL Region, GWC-0 Tier)</t>
  </si>
  <si>
    <t xml:space="preserve">Out-of-Pocket at Point of Service</t>
  </si>
  <si>
    <t xml:space="preserve">Notes / Transition Details</t>
  </si>
  <si>
    <t xml:space="preserve">Medicare Part A (Hospital Insurance)</t>
  </si>
  <si>
    <t xml:space="preserve">Inpatient hospital, skilled nursing, hospice; funded by payroll tax (1.45% employee + 1.45% employer)</t>
  </si>
  <si>
    <t xml:space="preserve">Phased out (WID 1: Medicare phase-out); payroll tax eliminated over 3–5 years; replaced by Trust Fund financing</t>
  </si>
  <si>
    <t xml:space="preserve">Fully covered under Core Medical Grant (inpatient/outpatient hospital, emergency, rehab)</t>
  </si>
  <si>
    <t xml:space="preserve">$2,000 – $4,000+ (effective subsidy value)</t>
  </si>
  <si>
    <t xml:space="preserve">$0 for covered services</t>
  </si>
  <si>
    <t xml:space="preserve">No more separate payroll deduction; automatic &amp; universal coverage</t>
  </si>
  <si>
    <t xml:space="preserve">Medicare Part B (Medical Insurance)</t>
  </si>
  <si>
    <t xml:space="preserve">Physician visits, outpatient care, preventive services, medical equipment; premium-based + general revenue</t>
  </si>
  <si>
    <t xml:space="preserve">Phased out (redirected withholdings WID 4–6); premiums eliminated for most; funded via Trust Fund</t>
  </si>
  <si>
    <t xml:space="preserve">Fully covered under Core Medical Grant (doctor visits, preventive, diagnostics, DME)</t>
  </si>
  <si>
    <t xml:space="preserve">$1,500 – $3,500+</t>
  </si>
  <si>
    <t xml:space="preserve">$0</t>
  </si>
  <si>
    <t xml:space="preserve">No monthly premium; no enrollment gaps; stronger preventive focus</t>
  </si>
  <si>
    <t xml:space="preserve">Medicare Part D (Prescription Drugs)</t>
  </si>
  <si>
    <t xml:space="preserve">Outpatient prescription drugs; standalone plans with premiums, deductibles, coverage gaps</t>
  </si>
  <si>
    <t xml:space="preserve">Phased out (WID 5–6 redirect); donut hole &amp; premiums eliminated; government negotiates all prices</t>
  </si>
  <si>
    <t xml:space="preserve">Fully integrated into Prescription Drugs component of Core Medical Grant</t>
  </si>
  <si>
    <t xml:space="preserve">$1,000 – $3,000+ (includes specialty drugs)</t>
  </si>
  <si>
    <t xml:space="preserve">$0 or very low copay</t>
  </si>
  <si>
    <t xml:space="preserve">No coverage gaps; no separate plan enrollment required</t>
  </si>
  <si>
    <t xml:space="preserve">Medicare Part C / Medicare Advantage</t>
  </si>
  <si>
    <t xml:space="preserve">Private plans (HMOs/PPOs) that bundle A+B+D, often with extras (dental/vision); optional enrollment</t>
  </si>
  <si>
    <t xml:space="preserve">Preserved as optional pathway (WID 7–8: Hybrid/MA-style private plan); no mandatory change</t>
  </si>
  <si>
    <t xml:space="preserve">Optional Hybrid / MA-Style Plan — opt-in for enhanced benefits (dental, vision, fitness, etc.)</t>
  </si>
  <si>
    <t xml:space="preserve">Variable (additional cost to participant/employer)</t>
  </si>
  <si>
    <t xml:space="preserve">Low–moderate (plan-dependent)</t>
  </si>
  <si>
    <t xml:space="preserve">Not required; core grant remains free; ~10–20M projected uptake</t>
  </si>
  <si>
    <t xml:space="preserve">Medicare Payroll Tax / FICA-HI</t>
  </si>
  <si>
    <t xml:space="preserve">1.45% employee + 1.45% employer (unlimited wage base); additional 0.9% surtax on high earners</t>
  </si>
  <si>
    <t xml:space="preserve">Phased out (WID 1–3: Medicare phase-out &amp; surtax phase-out); replaced by ESP Trust Fund surcharge</t>
  </si>
  <si>
    <t xml:space="preserve">Redirected revenue funds entire Medical Grant (no separate tax visible on paystub)</t>
  </si>
  <si>
    <t xml:space="preserve">N/A (funding source only)</t>
  </si>
  <si>
    <t xml:space="preserve">High-earner surtax partially replaced by ESP Trust Fund surcharge (WID 1–3)</t>
  </si>
  <si>
    <t xml:space="preserve">Current enrollees (65+, disabled, ESRD) with seamless continuity</t>
  </si>
  <si>
    <t xml:space="preserve">Preserved as privilege (automatic for existing enrollees); no requalification or disruption</t>
  </si>
  <si>
    <t xml:space="preserve">Legacy Medicare Beneficiary Add-on — guarantees equivalent or better coverage during transition</t>
  </si>
  <si>
    <t xml:space="preserve">Matches/exceeds prior coverage</t>
  </si>
  <si>
    <t xml:space="preserve">$0 for core</t>
  </si>
  <si>
    <t xml:space="preserve">Special status to prevent disruption; listed in SSD-PRIVILEGE sheet</t>
  </si>
  <si>
    <t xml:space="preserve">Long-Term Care / Home Health (limited in current Medicare)</t>
  </si>
  <si>
    <t xml:space="preserve">Very limited home health &amp; skilled nursing; most LTC via Medicaid</t>
  </si>
  <si>
    <t xml:space="preserve">Significantly expanded (no direct withholding reference; new priority)</t>
  </si>
  <si>
    <t xml:space="preserve">Long-Term &amp; Home-Based Care component — high emphasis on home/community services</t>
  </si>
  <si>
    <t xml:space="preserve">$2,000 – $5,000+ annual value</t>
  </si>
  <si>
    <t xml:space="preserve">Major upgrade over legacy Medicare; funded by Trust Fund</t>
  </si>
  <si>
    <t xml:space="preserve">Medical Grant Features</t>
  </si>
  <si>
    <t xml:space="preserve">FID</t>
  </si>
  <si>
    <t xml:space="preserve">Universal Coverage &amp; Automatic Eligibility</t>
  </si>
  <si>
    <t xml:space="preserve">1.A</t>
  </si>
  <si>
    <t xml:space="preserve">Every qualifying U.S. resident automatically receives the Medical Grant as part of the core COL (Cost of Living) package.</t>
  </si>
  <si>
    <t xml:space="preserve">1.B</t>
  </si>
  <si>
    <t xml:space="preserve">No separate enrollment, no work/age requirements for basic coverage (though benefit levels vary by status/wealth tier).</t>
  </si>
  <si>
    <t xml:space="preserve">1.C</t>
  </si>
  <si>
    <t xml:space="preserve">Covers children (0–18), young adults, adults, pre-retired, retired, elderly, disabled — effectively everyone below high-wealth thresholds (GWC-0/GWC-1 tiers qualify for full/no-cost coverage).</t>
  </si>
  <si>
    <t xml:space="preserve">1.D</t>
  </si>
  <si>
    <t xml:space="preserve">Legacy Medicare beneficiaries (65+, disabled, ESRD) get seamless transition with "Medicare Legacy Beneficiary" privilege — no requalification delays.</t>
  </si>
  <si>
    <t xml:space="preserve">Comprehensive Benefits Package</t>
  </si>
  <si>
    <t xml:space="preserve">The Medical Grant covers a broad range equivalent to (or exceeding) expanded Medicare for All proposals:</t>
  </si>
  <si>
    <t xml:space="preserve">Inpatient/outpatient hospital care</t>
  </si>
  <si>
    <t xml:space="preserve">2.C</t>
  </si>
  <si>
    <t xml:space="preserve">Physician/primary care visits</t>
  </si>
  <si>
    <t xml:space="preserve">2.D</t>
  </si>
  <si>
    <t xml:space="preserve">Prescription drugs</t>
  </si>
  <si>
    <t xml:space="preserve">2.E</t>
  </si>
  <si>
    <t xml:space="preserve">Mental health &amp; substance abuse treatment</t>
  </si>
  <si>
    <t xml:space="preserve">2.F</t>
  </si>
  <si>
    <t xml:space="preserve">Preventive &amp; reproductive/maternity care</t>
  </si>
  <si>
    <t xml:space="preserve">2.G</t>
  </si>
  <si>
    <t xml:space="preserve">Medical devices &amp; lab services</t>
  </si>
  <si>
    <t xml:space="preserve">2.H</t>
  </si>
  <si>
    <t xml:space="preserve">High emphasis on home/community-based long-term care (prioritized over institutional)</t>
  </si>
  <si>
    <t xml:space="preserve">2.I</t>
  </si>
  <si>
    <t xml:space="preserve">Integration with other grants supports vision, dental, hearing indirectly via flexible spending (some regions include explicit add-ons)</t>
  </si>
  <si>
    <t xml:space="preserve">No/Low Out-of-Pocket Costs (Point-of-Service Free)</t>
  </si>
  <si>
    <t xml:space="preserve">3.A</t>
  </si>
  <si>
    <t xml:space="preserve">No premiums for the core Medical Grant (funded via the Economic Stability Trust Fund).</t>
  </si>
  <si>
    <t xml:space="preserve">3.B</t>
  </si>
  <si>
    <t xml:space="preserve">No deductibles or surprise bills for covered services.</t>
  </si>
  <si>
    <t xml:space="preserve">3.C</t>
  </si>
  <si>
    <t xml:space="preserve">Very low or zero copays — many services are fully covered (vendor-restricted disbursements prevent balance billing).</t>
  </si>
  <si>
    <t xml:space="preserve">3.D</t>
  </si>
  <si>
    <t xml:space="preserve">High-wealth tiers (GWC-2+) may have partial self-funding, but the vast majority of Americans receive free-at-point-of-use care.</t>
  </si>
  <si>
    <t xml:space="preserve">3.E</t>
  </si>
  <si>
    <t xml:space="preserve">Prescription drugs are capped/integrated with low/no cost-sharing.</t>
  </si>
  <si>
    <t xml:space="preserve">Financing &amp; Single-Payer-Like Structure</t>
  </si>
  <si>
    <t xml:space="preserve">4.A</t>
  </si>
  <si>
    <t xml:space="preserve">Funded through the Economic Stability Trust Fund (dedicated revenue from tariffs [40%], Robot Tax, high-earner surcharges, redirected tax credits/expenditures, etc. — ~$727B+ annually base year).</t>
  </si>
  <si>
    <t xml:space="preserve">4.B</t>
  </si>
  <si>
    <t xml:space="preserve">Replaces employer premiums, individual ACA premiums, Medicare payroll taxes (phased out), and most Medicaid spending.</t>
  </si>
  <si>
    <t xml:space="preserve">4.C</t>
  </si>
  <si>
    <t xml:space="preserve">Centralized administration via DES/ESP digital platform (AI eligibility, automated payments, fraud detection).</t>
  </si>
  <si>
    <t xml:space="preserve">4.D</t>
  </si>
  <si>
    <t xml:space="preserve">Private insurers largely displaced for core coverage; they may offer supplemental or hybrid plans (e.g., optional Medicare Advantage-style private plans with higher benefits but at additional cost).</t>
  </si>
  <si>
    <t xml:space="preserve">Choice &amp; Delivery Model (Hybrid Advantage)</t>
  </si>
  <si>
    <t xml:space="preserve">5.A</t>
  </si>
  <si>
    <t xml:space="preserve">Unlike pure single-payer (government sets all prices/providers), the FITNESS version preserves:</t>
  </si>
  <si>
    <t xml:space="preserve">5.B</t>
  </si>
  <si>
    <t xml:space="preserve">Free choice of providers — no restrictive networks for core Medical Grant services.</t>
  </si>
  <si>
    <t xml:space="preserve">5.C</t>
  </si>
  <si>
    <t xml:space="preserve">Optional Hybrid/MA-style private insurer plans (TID 5) — individuals/employers can opt into enhanced private coverage (variable cost, ~10–20M initial uptake projected).</t>
  </si>
  <si>
    <t xml:space="preserve">5.D</t>
  </si>
  <si>
    <t xml:space="preserve">Private doctors/hospitals remain the delivery backbone (paid via standardized rates from the Trust Fund).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</si>
</sst>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3" activeCellId="0" sqref="B2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4"/>
    <col collapsed="false" customWidth="true" hidden="false" outlineLevel="0" max="2" min="2" style="1" width="29.98"/>
  </cols>
  <sheetData>
    <row r="1" customFormat="false" ht="12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2.8" hidden="false" customHeight="false" outlineLevel="0" collapsed="false">
      <c r="A2" s="2" t="s">
        <v>1</v>
      </c>
      <c r="B2" s="4" t="s">
        <v>2</v>
      </c>
      <c r="C2" s="4" t="s">
        <v>3</v>
      </c>
      <c r="D2" s="3"/>
      <c r="E2" s="3"/>
      <c r="F2" s="3"/>
      <c r="G2" s="3"/>
      <c r="H2" s="3"/>
      <c r="I2" s="3"/>
      <c r="J2" s="3"/>
    </row>
    <row r="3" customFormat="false" ht="12.8" hidden="false" customHeight="false" outlineLevel="0" collapsed="false">
      <c r="A3" s="2" t="n">
        <v>0</v>
      </c>
      <c r="B3" s="2" t="s">
        <v>4</v>
      </c>
      <c r="C3" s="5" t="s">
        <v>5</v>
      </c>
      <c r="D3" s="3"/>
      <c r="E3" s="3"/>
      <c r="F3" s="3"/>
      <c r="G3" s="3"/>
      <c r="H3" s="3"/>
      <c r="I3" s="3"/>
      <c r="J3" s="3"/>
    </row>
    <row r="4" customFormat="false" ht="12.8" hidden="false" customHeight="false" outlineLevel="0" collapsed="false">
      <c r="A4" s="2" t="n">
        <v>1</v>
      </c>
      <c r="B4" s="2" t="s">
        <v>6</v>
      </c>
      <c r="C4" s="5" t="s">
        <v>7</v>
      </c>
      <c r="D4" s="3"/>
      <c r="E4" s="3"/>
      <c r="F4" s="3"/>
      <c r="G4" s="3"/>
      <c r="H4" s="3"/>
      <c r="I4" s="3"/>
      <c r="J4" s="3"/>
    </row>
    <row r="5" customFormat="false" ht="12.8" hidden="false" customHeight="false" outlineLevel="0" collapsed="false">
      <c r="A5" s="2" t="n">
        <v>2</v>
      </c>
      <c r="B5" s="2" t="s">
        <v>8</v>
      </c>
      <c r="C5" s="5" t="s">
        <v>9</v>
      </c>
      <c r="D5" s="3"/>
      <c r="E5" s="3"/>
      <c r="F5" s="3"/>
      <c r="G5" s="3"/>
      <c r="H5" s="3"/>
      <c r="I5" s="3"/>
      <c r="J5" s="3"/>
    </row>
    <row r="6" customFormat="false" ht="12.8" hidden="false" customHeight="false" outlineLevel="0" collapsed="false">
      <c r="A6" s="2" t="n">
        <v>3</v>
      </c>
      <c r="B6" s="2" t="s">
        <v>10</v>
      </c>
      <c r="C6" s="5" t="s">
        <v>11</v>
      </c>
      <c r="D6" s="3"/>
      <c r="E6" s="3"/>
      <c r="F6" s="3"/>
      <c r="G6" s="3"/>
      <c r="H6" s="3"/>
      <c r="I6" s="3"/>
      <c r="J6" s="3"/>
    </row>
    <row r="7" customFormat="false" ht="12.8" hidden="false" customHeight="false" outlineLevel="0" collapsed="false">
      <c r="A7" s="2" t="n">
        <v>4</v>
      </c>
      <c r="B7" s="2" t="s">
        <v>12</v>
      </c>
      <c r="C7" s="5" t="s">
        <v>13</v>
      </c>
      <c r="D7" s="3"/>
      <c r="E7" s="3"/>
      <c r="F7" s="3"/>
      <c r="G7" s="3"/>
      <c r="H7" s="3"/>
      <c r="I7" s="3"/>
      <c r="J7" s="3"/>
    </row>
    <row r="8" customFormat="false" ht="12.8" hidden="false" customHeight="false" outlineLevel="0" collapsed="false">
      <c r="A8" s="2" t="n">
        <v>5</v>
      </c>
      <c r="B8" s="2" t="s">
        <v>14</v>
      </c>
      <c r="C8" s="5" t="s">
        <v>15</v>
      </c>
      <c r="D8" s="3"/>
      <c r="E8" s="3"/>
      <c r="F8" s="3"/>
      <c r="G8" s="3"/>
      <c r="H8" s="3"/>
      <c r="I8" s="3"/>
      <c r="J8" s="3"/>
    </row>
    <row r="9" customFormat="false" ht="12.8" hidden="false" customHeight="false" outlineLevel="0" collapsed="false">
      <c r="A9" s="2" t="n">
        <v>6</v>
      </c>
      <c r="B9" s="2" t="s">
        <v>16</v>
      </c>
      <c r="C9" s="5" t="n">
        <v>110000</v>
      </c>
      <c r="D9" s="3"/>
      <c r="E9" s="3"/>
      <c r="F9" s="3"/>
      <c r="G9" s="3"/>
      <c r="H9" s="3"/>
      <c r="I9" s="3"/>
      <c r="J9" s="3"/>
    </row>
    <row r="10" customFormat="false" ht="12.8" hidden="false" customHeight="false" outlineLevel="0" collapsed="false">
      <c r="A10" s="2" t="n">
        <v>7</v>
      </c>
      <c r="B10" s="2" t="s">
        <v>17</v>
      </c>
      <c r="C10" s="5" t="n">
        <v>158900</v>
      </c>
      <c r="D10" s="3"/>
      <c r="E10" s="3"/>
      <c r="F10" s="3"/>
      <c r="G10" s="3"/>
      <c r="H10" s="3"/>
      <c r="I10" s="3"/>
      <c r="J10" s="3"/>
    </row>
    <row r="11" customFormat="false" ht="12.8" hidden="false" customHeight="false" outlineLevel="0" collapsed="false">
      <c r="A11" s="2" t="n">
        <v>8</v>
      </c>
      <c r="B11" s="2" t="s">
        <v>18</v>
      </c>
      <c r="C11" s="5" t="s">
        <v>19</v>
      </c>
      <c r="D11" s="3"/>
      <c r="E11" s="3"/>
      <c r="F11" s="3"/>
      <c r="G11" s="3"/>
      <c r="H11" s="3"/>
      <c r="I11" s="3"/>
      <c r="J11" s="3"/>
    </row>
    <row r="12" customFormat="false" ht="12.8" hidden="false" customHeight="false" outlineLevel="0" collapsed="false">
      <c r="A12" s="2" t="n">
        <v>9</v>
      </c>
      <c r="B12" s="2" t="s">
        <v>20</v>
      </c>
      <c r="C12" s="5" t="s">
        <v>21</v>
      </c>
      <c r="D12" s="3"/>
      <c r="E12" s="3"/>
      <c r="F12" s="3"/>
      <c r="G12" s="3"/>
      <c r="H12" s="3"/>
      <c r="I12" s="3"/>
      <c r="J12" s="3"/>
    </row>
    <row r="13" customFormat="false" ht="12.8" hidden="false" customHeight="false" outlineLevel="0" collapsed="false">
      <c r="A13" s="2" t="n">
        <v>10</v>
      </c>
      <c r="B13" s="2" t="s">
        <v>22</v>
      </c>
      <c r="C13" s="5" t="s">
        <v>23</v>
      </c>
      <c r="D13" s="3"/>
      <c r="E13" s="3"/>
      <c r="F13" s="3"/>
      <c r="G13" s="3"/>
      <c r="H13" s="3"/>
      <c r="I13" s="3"/>
      <c r="J13" s="3"/>
    </row>
    <row r="14" customFormat="false" ht="12.8" hidden="false" customHeight="false" outlineLevel="0" collapsed="false">
      <c r="A14" s="2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2.8" hidden="false" customHeight="false" outlineLevel="0" collapsed="false">
      <c r="A15" s="2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2.8" hidden="false" customHeight="fals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  <row r="87" customFormat="false" ht="12.8" hidden="false" customHeight="false" outlineLevel="0" collapsed="false"/>
    <row r="88" customFormat="false" ht="12.8" hidden="false" customHeight="false" outlineLevel="0" collapsed="false"/>
    <row r="89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  <row r="93" customFormat="false" ht="12.8" hidden="false" customHeight="false" outlineLevel="0" collapsed="false"/>
    <row r="94" customFormat="false" ht="12.8" hidden="false" customHeight="false" outlineLevel="0" collapsed="false"/>
    <row r="95" customFormat="false" ht="12.8" hidden="false" customHeight="false" outlineLevel="0" collapsed="false"/>
    <row r="96" customFormat="false" ht="12.8" hidden="false" customHeight="false" outlineLevel="0" collapsed="false"/>
    <row r="97" customFormat="false" ht="12.8" hidden="false" customHeight="false" outlineLevel="0" collapsed="false"/>
    <row r="98" customFormat="false" ht="12.8" hidden="false" customHeight="false" outlineLevel="0" collapsed="false"/>
    <row r="99" customFormat="false" ht="12.8" hidden="false" customHeight="false" outlineLevel="0" collapsed="false"/>
    <row r="100" customFormat="false" ht="12.8" hidden="false" customHeight="false" outlineLevel="0" collapsed="false"/>
    <row r="101" customFormat="false" ht="12.8" hidden="false" customHeight="false" outlineLevel="0" collapsed="false"/>
    <row r="102" customFormat="false" ht="12.8" hidden="false" customHeight="false" outlineLevel="0" collapsed="false"/>
    <row r="103" customFormat="false" ht="12.8" hidden="false" customHeight="false" outlineLevel="0" collapsed="false"/>
    <row r="104" customFormat="false" ht="12.8" hidden="false" customHeight="false" outlineLevel="0" collapsed="false"/>
    <row r="105" customFormat="false" ht="12.8" hidden="false" customHeight="false" outlineLevel="0" collapsed="false"/>
    <row r="106" customFormat="false" ht="12.8" hidden="false" customHeight="false" outlineLevel="0" collapsed="false"/>
    <row r="107" customFormat="false" ht="12.8" hidden="false" customHeight="false" outlineLevel="0" collapsed="false"/>
    <row r="108" customFormat="false" ht="12.8" hidden="false" customHeight="false" outlineLevel="0" collapsed="false"/>
    <row r="109" customFormat="false" ht="12.8" hidden="false" customHeight="false" outlineLevel="0" collapsed="false"/>
    <row r="110" customFormat="false" ht="12.8" hidden="false" customHeight="false" outlineLevel="0" collapsed="false"/>
    <row r="111" customFormat="false" ht="12.8" hidden="false" customHeight="false" outlineLevel="0" collapsed="false"/>
    <row r="112" customFormat="false" ht="12.8" hidden="false" customHeight="false" outlineLevel="0" collapsed="false"/>
    <row r="113" customFormat="false" ht="12.8" hidden="false" customHeight="false" outlineLevel="0" collapsed="false">
      <c r="A113" s="6"/>
    </row>
    <row r="114" customFormat="false" ht="12.8" hidden="false" customHeight="false" outlineLevel="0" collapsed="false">
      <c r="A114" s="6"/>
    </row>
    <row r="115" customFormat="false" ht="12.8" hidden="false" customHeight="false" outlineLevel="0" collapsed="false">
      <c r="A115" s="6"/>
    </row>
    <row r="116" customFormat="false" ht="12.8" hidden="false" customHeight="false" outlineLevel="0" collapsed="false">
      <c r="A116" s="6"/>
    </row>
    <row r="117" customFormat="false" ht="12.8" hidden="false" customHeight="false" outlineLevel="0" collapsed="false">
      <c r="A117" s="6"/>
    </row>
    <row r="118" customFormat="false" ht="12.8" hidden="false" customHeight="false" outlineLevel="0" collapsed="false">
      <c r="A118" s="6"/>
    </row>
    <row r="119" customFormat="false" ht="12.8" hidden="false" customHeight="false" outlineLevel="0" collapsed="false">
      <c r="A119" s="6"/>
    </row>
    <row r="120" customFormat="false" ht="12.8" hidden="false" customHeight="false" outlineLevel="0" collapsed="false">
      <c r="A120" s="6"/>
    </row>
    <row r="121" customFormat="false" ht="12.8" hidden="false" customHeight="false" outlineLevel="0" collapsed="false">
      <c r="A121" s="6"/>
    </row>
    <row r="122" customFormat="false" ht="12.8" hidden="false" customHeight="false" outlineLevel="0" collapsed="false">
      <c r="A122" s="6"/>
    </row>
    <row r="123" customFormat="false" ht="12.8" hidden="false" customHeight="false" outlineLevel="0" collapsed="false">
      <c r="A123" s="6"/>
    </row>
    <row r="124" customFormat="false" ht="12.8" hidden="false" customHeight="false" outlineLevel="0" collapsed="false">
      <c r="A124" s="6"/>
    </row>
    <row r="125" customFormat="false" ht="12.8" hidden="false" customHeight="false" outlineLevel="0" collapsed="false">
      <c r="A125" s="6"/>
    </row>
    <row r="126" customFormat="false" ht="12.8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</row>
    <row r="127" customFormat="false" ht="12.8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</row>
    <row r="128" customFormat="false" ht="12.8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</row>
    <row r="129" customFormat="false" ht="12.8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</row>
    <row r="130" customFormat="false" ht="12.8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</row>
    <row r="131" customFormat="false" ht="12.8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</row>
    <row r="132" customFormat="false" ht="12.8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</row>
    <row r="133" customFormat="false" ht="12.8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</row>
    <row r="134" customFormat="false" ht="12.8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</row>
    <row r="135" customFormat="false" ht="12.8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</row>
    <row r="136" customFormat="false" ht="12.8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</row>
    <row r="137" customFormat="false" ht="12.8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</row>
    <row r="138" customFormat="false" ht="12.8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</row>
    <row r="139" customFormat="false" ht="12.8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</row>
    <row r="140" customFormat="false" ht="12.8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</row>
    <row r="141" customFormat="false" ht="12.8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</row>
    <row r="142" customFormat="false" ht="12.8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</row>
    <row r="143" customFormat="false" ht="12.8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</row>
    <row r="144" customFormat="false" ht="12.8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</row>
    <row r="145" customFormat="false" ht="12.8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</row>
    <row r="146" customFormat="false" ht="12.8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</row>
    <row r="147" customFormat="false" ht="12.8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</row>
    <row r="148" customFormat="false" ht="12.8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</row>
    <row r="149" customFormat="false" ht="12.8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</row>
    <row r="150" customFormat="false" ht="12.8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</row>
    <row r="151" customFormat="false" ht="12.8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</row>
    <row r="152" customFormat="false" ht="12.8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</row>
    <row r="153" customFormat="false" ht="12.8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</row>
    <row r="154" customFormat="false" ht="12.8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</row>
    <row r="155" customFormat="false" ht="12.8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</row>
    <row r="156" customFormat="false" ht="12.8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</row>
    <row r="157" customFormat="false" ht="12.8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</row>
    <row r="158" customFormat="false" ht="12.8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</row>
    <row r="159" customFormat="false" ht="12.8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</row>
    <row r="160" customFormat="false" ht="12.8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</row>
    <row r="161" customFormat="false" ht="12.8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</row>
    <row r="162" customFormat="false" ht="12.8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</row>
    <row r="163" customFormat="false" ht="12.8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</row>
    <row r="164" customFormat="false" ht="12.8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</row>
    <row r="165" customFormat="false" ht="12.8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</row>
    <row r="166" customFormat="false" ht="12.8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</row>
    <row r="167" customFormat="false" ht="12.8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</row>
    <row r="168" customFormat="false" ht="12.8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</row>
    <row r="169" customFormat="false" ht="12.8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</row>
    <row r="170" customFormat="false" ht="12.8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</row>
    <row r="171" customFormat="false" ht="12.8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</row>
    <row r="172" customFormat="false" ht="12.8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</row>
    <row r="173" customFormat="false" ht="12.8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</row>
    <row r="174" customFormat="false" ht="12.8" hidden="false" customHeight="false" outlineLevel="0" collapsed="false">
      <c r="A174" s="6"/>
    </row>
    <row r="175" customFormat="false" ht="12.8" hidden="false" customHeight="true" outlineLevel="0" collapsed="false">
      <c r="A175" s="6"/>
    </row>
    <row r="176" customFormat="false" ht="12.8" hidden="false" customHeight="true" outlineLevel="0" collapsed="false">
      <c r="A176" s="6"/>
    </row>
    <row r="177" customFormat="false" ht="12.8" hidden="false" customHeight="false" outlineLevel="0" collapsed="false">
      <c r="A177" s="7"/>
    </row>
    <row r="178" customFormat="false" ht="12.8" hidden="false" customHeight="false" outlineLevel="0" collapsed="false">
      <c r="A178" s="7"/>
      <c r="C178" s="4"/>
    </row>
    <row r="179" customFormat="false" ht="12.8" hidden="false" customHeight="false" outlineLevel="0" collapsed="false">
      <c r="A179" s="7"/>
      <c r="C179" s="8"/>
    </row>
    <row r="180" customFormat="false" ht="12.8" hidden="false" customHeight="false" outlineLevel="0" collapsed="false">
      <c r="C180" s="8"/>
    </row>
    <row r="181" customFormat="false" ht="12.8" hidden="false" customHeight="false" outlineLevel="0" collapsed="false">
      <c r="C181" s="8"/>
    </row>
    <row r="182" customFormat="false" ht="12.8" hidden="false" customHeight="false" outlineLevel="0" collapsed="false">
      <c r="C182" s="8"/>
    </row>
    <row r="183" customFormat="false" ht="12.8" hidden="false" customHeight="false" outlineLevel="0" collapsed="false">
      <c r="C183" s="8"/>
    </row>
    <row r="184" customFormat="false" ht="12.8" hidden="false" customHeight="false" outlineLevel="0" collapsed="false">
      <c r="C184" s="8"/>
    </row>
    <row r="185" customFormat="false" ht="12.8" hidden="false" customHeight="false" outlineLevel="0" collapsed="false">
      <c r="C185" s="8"/>
    </row>
    <row r="186" customFormat="false" ht="12.8" hidden="false" customHeight="false" outlineLevel="0" collapsed="false">
      <c r="C186" s="8"/>
    </row>
    <row r="187" customFormat="false" ht="12.8" hidden="false" customHeight="false" outlineLevel="0" collapsed="false">
      <c r="C187" s="8"/>
    </row>
    <row r="188" customFormat="false" ht="12.8" hidden="false" customHeight="false" outlineLevel="0" collapsed="false">
      <c r="C188" s="8"/>
    </row>
    <row r="189" customFormat="false" ht="12.8" hidden="false" customHeight="false" outlineLevel="0" collapsed="false">
      <c r="A189" s="9"/>
      <c r="B189" s="6"/>
      <c r="C189" s="8"/>
    </row>
    <row r="190" customFormat="false" ht="12.8" hidden="false" customHeight="false" outlineLevel="0" collapsed="false"/>
    <row r="191" customFormat="false" ht="12.8" hidden="false" customHeight="false" outlineLevel="0" collapsed="false"/>
    <row r="192" customFormat="false" ht="12.8" hidden="false" customHeight="false" outlineLevel="0" collapsed="false"/>
    <row r="193" customFormat="false" ht="12.8" hidden="false" customHeight="false" outlineLevel="0" collapsed="false"/>
    <row r="194" customFormat="false" ht="12.8" hidden="false" customHeight="false" outlineLevel="0" collapsed="false"/>
    <row r="195" customFormat="false" ht="12.8" hidden="false" customHeight="false" outlineLevel="0" collapsed="false"/>
    <row r="196" customFormat="false" ht="12.8" hidden="false" customHeight="false" outlineLevel="0" collapsed="false"/>
    <row r="197" customFormat="false" ht="12.8" hidden="false" customHeight="false" outlineLevel="0" collapsed="false"/>
    <row r="198" customFormat="false" ht="12.8" hidden="false" customHeight="false" outlineLevel="0" collapsed="false"/>
    <row r="199" customFormat="false" ht="12.8" hidden="false" customHeight="false" outlineLevel="0" collapsed="false"/>
    <row r="200" customFormat="false" ht="12.8" hidden="false" customHeight="false" outlineLevel="0" collapsed="false"/>
    <row r="201" customFormat="false" ht="12.8" hidden="false" customHeight="false" outlineLevel="0" collapsed="false"/>
    <row r="202" customFormat="false" ht="12.8" hidden="false" customHeight="false" outlineLevel="0" collapsed="false"/>
    <row r="203" customFormat="false" ht="12.8" hidden="false" customHeight="false" outlineLevel="0" collapsed="false"/>
    <row r="204" customFormat="false" ht="12.8" hidden="false" customHeight="false" outlineLevel="0" collapsed="false"/>
    <row r="205" customFormat="false" ht="12.8" hidden="false" customHeight="false" outlineLevel="0" collapsed="false">
      <c r="A205" s="8"/>
      <c r="B205" s="8"/>
      <c r="C205" s="8"/>
    </row>
    <row r="206" customFormat="false" ht="12.8" hidden="false" customHeight="false" outlineLevel="0" collapsed="false">
      <c r="A206" s="8"/>
      <c r="B206" s="8"/>
      <c r="C206" s="8"/>
    </row>
    <row r="207" customFormat="false" ht="12.8" hidden="false" customHeight="false" outlineLevel="0" collapsed="false">
      <c r="A207" s="10"/>
      <c r="B207" s="6"/>
      <c r="C207" s="8"/>
    </row>
    <row r="208" customFormat="false" ht="12.8" hidden="false" customHeight="false" outlineLevel="0" collapsed="false"/>
    <row r="209" customFormat="false" ht="12.8" hidden="false" customHeight="false" outlineLevel="0" collapsed="false"/>
    <row r="210" customFormat="false" ht="12.8" hidden="false" customHeight="false" outlineLevel="0" collapsed="false"/>
    <row r="211" customFormat="false" ht="12.8" hidden="false" customHeight="false" outlineLevel="0" collapsed="false"/>
    <row r="212" customFormat="false" ht="12.8" hidden="false" customHeight="false" outlineLevel="0" collapsed="false"/>
    <row r="213" customFormat="false" ht="12.8" hidden="false" customHeight="false" outlineLevel="0" collapsed="false"/>
    <row r="214" customFormat="false" ht="12.8" hidden="false" customHeight="false" outlineLevel="0" collapsed="false"/>
    <row r="215" customFormat="false" ht="12.8" hidden="false" customHeight="false" outlineLevel="0" collapsed="false"/>
    <row r="216" customFormat="false" ht="12.8" hidden="false" customHeight="false" outlineLevel="0" collapsed="false"/>
    <row r="217" customFormat="false" ht="12.8" hidden="false" customHeight="false" outlineLevel="0" collapsed="false"/>
    <row r="218" customFormat="false" ht="12.8" hidden="false" customHeight="false" outlineLevel="0" collapsed="false"/>
    <row r="219" customFormat="false" ht="12.8" hidden="false" customHeight="false" outlineLevel="0" collapsed="false"/>
    <row r="220" customFormat="false" ht="12.8" hidden="false" customHeight="false" outlineLevel="0" collapsed="false"/>
    <row r="221" customFormat="false" ht="12.8" hidden="false" customHeight="false" outlineLevel="0" collapsed="false"/>
    <row r="222" customFormat="false" ht="12.8" hidden="false" customHeight="false" outlineLevel="0" collapsed="false"/>
    <row r="223" customFormat="false" ht="12.8" hidden="false" customHeight="false" outlineLevel="0" collapsed="false"/>
    <row r="224" customFormat="false" ht="12.8" hidden="false" customHeight="false" outlineLevel="0" collapsed="false"/>
    <row r="225" customFormat="false" ht="12.8" hidden="false" customHeight="false" outlineLevel="0" collapsed="false"/>
    <row r="226" customFormat="false" ht="12.8" hidden="false" customHeight="false" outlineLevel="0" collapsed="false"/>
    <row r="227" customFormat="false" ht="12.8" hidden="false" customHeight="false" outlineLevel="0" collapsed="false"/>
    <row r="228" customFormat="false" ht="12.8" hidden="false" customHeight="false" outlineLevel="0" collapsed="false"/>
    <row r="229" customFormat="false" ht="12.8" hidden="false" customHeight="false" outlineLevel="0" collapsed="false"/>
    <row r="230" customFormat="false" ht="12.8" hidden="false" customHeight="false" outlineLevel="0" collapsed="false"/>
    <row r="231" customFormat="false" ht="12.8" hidden="false" customHeight="false" outlineLevel="0" collapsed="false"/>
    <row r="232" customFormat="false" ht="12.8" hidden="false" customHeight="false" outlineLevel="0" collapsed="false"/>
    <row r="233" customFormat="false" ht="12.8" hidden="false" customHeight="false" outlineLevel="0" collapsed="false"/>
    <row r="234" customFormat="false" ht="12.8" hidden="false" customHeight="false" outlineLevel="0" collapsed="false"/>
    <row r="235" customFormat="false" ht="12.8" hidden="false" customHeight="false" outlineLevel="0" collapsed="false"/>
    <row r="236" customFormat="false" ht="12.8" hidden="false" customHeight="false" outlineLevel="0" collapsed="false"/>
    <row r="237" customFormat="false" ht="12.8" hidden="false" customHeight="false" outlineLevel="0" collapsed="false"/>
    <row r="238" customFormat="false" ht="12.8" hidden="false" customHeight="false" outlineLevel="0" collapsed="false"/>
    <row r="239" customFormat="false" ht="12.8" hidden="false" customHeight="false" outlineLevel="0" collapsed="false"/>
    <row r="240" customFormat="false" ht="12.8" hidden="false" customHeight="false" outlineLevel="0" collapsed="false"/>
    <row r="241" customFormat="false" ht="12.8" hidden="false" customHeight="false" outlineLevel="0" collapsed="false"/>
    <row r="242" customFormat="false" ht="12.8" hidden="false" customHeight="false" outlineLevel="0" collapsed="false"/>
    <row r="243" customFormat="false" ht="12.8" hidden="false" customHeight="false" outlineLevel="0" collapsed="false"/>
    <row r="244" customFormat="false" ht="12.8" hidden="false" customHeight="false" outlineLevel="0" collapsed="false"/>
    <row r="245" customFormat="false" ht="12.8" hidden="false" customHeight="false" outlineLevel="0" collapsed="false"/>
    <row r="246" customFormat="false" ht="12.8" hidden="false" customHeight="false" outlineLevel="0" collapsed="false"/>
    <row r="247" customFormat="false" ht="12.8" hidden="false" customHeight="false" outlineLevel="0" collapsed="false"/>
    <row r="248" customFormat="false" ht="12.8" hidden="false" customHeight="false" outlineLevel="0" collapsed="false"/>
    <row r="249" customFormat="false" ht="12.8" hidden="false" customHeight="false" outlineLevel="0" collapsed="false">
      <c r="A249" s="6"/>
      <c r="C249" s="1"/>
    </row>
    <row r="250" customFormat="false" ht="12.8" hidden="false" customHeight="false" outlineLevel="0" collapsed="false">
      <c r="A250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50" activeCellId="0" sqref="F5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0" width="34.59"/>
  </cols>
  <sheetData>
    <row r="1" customFormat="false" ht="12.8" hidden="false" customHeight="false" outlineLevel="0" collapsed="false">
      <c r="A1" s="0" t="s">
        <v>24</v>
      </c>
    </row>
    <row r="2" customFormat="false" ht="12.8" hidden="false" customHeight="false" outlineLevel="0" collapsed="false">
      <c r="A2" s="0" t="s">
        <v>25</v>
      </c>
    </row>
    <row r="3" customFormat="false" ht="12.8" hidden="false" customHeight="false" outlineLevel="0" collapsed="false">
      <c r="A3" s="12" t="n">
        <v>1</v>
      </c>
      <c r="B3" s="12" t="s">
        <v>26</v>
      </c>
      <c r="C3" s="12"/>
      <c r="D3" s="12"/>
      <c r="E3" s="12"/>
      <c r="F3" s="12"/>
      <c r="G3" s="12"/>
      <c r="H3" s="12"/>
    </row>
    <row r="4" customFormat="false" ht="12.8" hidden="false" customHeight="false" outlineLevel="0" collapsed="false">
      <c r="A4" s="12" t="s">
        <v>27</v>
      </c>
      <c r="B4" s="12" t="s">
        <v>28</v>
      </c>
      <c r="C4" s="12" t="s">
        <v>29</v>
      </c>
      <c r="D4" s="12" t="s">
        <v>30</v>
      </c>
      <c r="E4" s="12" t="s">
        <v>31</v>
      </c>
      <c r="F4" s="12" t="s">
        <v>32</v>
      </c>
      <c r="G4" s="12" t="s">
        <v>33</v>
      </c>
      <c r="H4" s="12" t="s">
        <v>34</v>
      </c>
    </row>
    <row r="5" customFormat="false" ht="12.8" hidden="false" customHeight="false" outlineLevel="0" collapsed="false">
      <c r="A5" s="12" t="n">
        <v>0</v>
      </c>
      <c r="B5" s="12" t="s">
        <v>35</v>
      </c>
      <c r="C5" s="12" t="s">
        <v>36</v>
      </c>
      <c r="D5" s="12" t="s">
        <v>37</v>
      </c>
      <c r="E5" s="12" t="s">
        <v>38</v>
      </c>
      <c r="F5" s="12" t="s">
        <v>39</v>
      </c>
      <c r="G5" s="12" t="s">
        <v>40</v>
      </c>
      <c r="H5" s="12" t="e">
        <f aca="false"> prior_grant × (1 + Inflation + FMW_Phase_Rate)</f>
        <v>#VALUE!</v>
      </c>
    </row>
    <row r="6" customFormat="false" ht="12.8" hidden="false" customHeight="false" outlineLevel="0" collapsed="false">
      <c r="A6" s="12" t="n">
        <v>1</v>
      </c>
      <c r="B6" s="12" t="s">
        <v>41</v>
      </c>
      <c r="C6" s="12" t="s">
        <v>42</v>
      </c>
      <c r="D6" s="12" t="s">
        <v>43</v>
      </c>
      <c r="E6" s="12" t="s">
        <v>44</v>
      </c>
      <c r="F6" s="12" t="s">
        <v>45</v>
      </c>
      <c r="G6" s="12" t="s">
        <v>46</v>
      </c>
      <c r="H6" s="12" t="s">
        <v>47</v>
      </c>
    </row>
    <row r="7" customFormat="false" ht="12.8" hidden="false" customHeight="false" outlineLevel="0" collapsed="false">
      <c r="A7" s="12" t="n">
        <v>2</v>
      </c>
      <c r="B7" s="12" t="s">
        <v>48</v>
      </c>
      <c r="C7" s="12" t="s">
        <v>49</v>
      </c>
      <c r="D7" s="12" t="s">
        <v>50</v>
      </c>
      <c r="E7" s="12" t="s">
        <v>51</v>
      </c>
      <c r="F7" s="12" t="s">
        <v>52</v>
      </c>
      <c r="G7" s="12" t="s">
        <v>53</v>
      </c>
      <c r="H7" s="12" t="e">
        <f aca="false"> prior × (1 + FMW_Annual_Increase_%)</f>
        <v>#VALUE!</v>
      </c>
    </row>
    <row r="8" customFormat="false" ht="12.8" hidden="false" customHeight="false" outlineLevel="0" collapsed="false">
      <c r="A8" s="12" t="n">
        <v>3</v>
      </c>
      <c r="B8" s="12" t="s">
        <v>54</v>
      </c>
      <c r="C8" s="12" t="s">
        <v>55</v>
      </c>
      <c r="D8" s="12" t="s">
        <v>56</v>
      </c>
      <c r="E8" s="12" t="s">
        <v>57</v>
      </c>
      <c r="F8" s="12" t="s">
        <v>58</v>
      </c>
      <c r="G8" s="12" t="s">
        <v>59</v>
      </c>
      <c r="H8" s="12" t="e">
        <f aca="false"> prior_outlay × (1 + Inflation − FMW_Employment_Effect)</f>
        <v>#VALUE!</v>
      </c>
    </row>
    <row r="9" customFormat="false" ht="12.8" hidden="false" customHeight="false" outlineLevel="0" collapsed="false">
      <c r="A9" s="12" t="n">
        <v>4</v>
      </c>
      <c r="B9" s="12" t="s">
        <v>60</v>
      </c>
      <c r="C9" s="12" t="s">
        <v>61</v>
      </c>
      <c r="D9" s="12" t="s">
        <v>62</v>
      </c>
      <c r="E9" s="12" t="s">
        <v>63</v>
      </c>
      <c r="F9" s="12" t="s">
        <v>64</v>
      </c>
      <c r="G9" s="12" t="s">
        <v>65</v>
      </c>
      <c r="H9" s="12" t="e">
        <f aca="false"> prior × (1 − Annual_Overlap_Reduction)</f>
        <v>#VALUE!</v>
      </c>
    </row>
    <row r="10" customFormat="false" ht="12.8" hidden="false" customHeight="false" outlineLevel="0" collapsed="false">
      <c r="A10" s="12" t="n">
        <v>5</v>
      </c>
      <c r="B10" s="12" t="s">
        <v>66</v>
      </c>
      <c r="C10" s="12" t="s">
        <v>67</v>
      </c>
      <c r="D10" s="12" t="s">
        <v>68</v>
      </c>
      <c r="E10" s="12" t="s">
        <v>69</v>
      </c>
      <c r="F10" s="12" t="s">
        <v>70</v>
      </c>
      <c r="G10" s="12" t="s">
        <v>71</v>
      </c>
      <c r="H10" s="12" t="e">
        <f aca="false"> prior_inlay × (1 + Revenue_Growth + Credit_Redirect_Phase)</f>
        <v>#VALUE!</v>
      </c>
    </row>
    <row r="11" customFormat="false" ht="12.8" hidden="false" customHeight="false" outlineLevel="0" collapsed="false">
      <c r="A11" s="12" t="n">
        <v>6</v>
      </c>
      <c r="B11" s="12" t="s">
        <v>72</v>
      </c>
      <c r="C11" s="12" t="s">
        <v>73</v>
      </c>
      <c r="D11" s="12" t="s">
        <v>74</v>
      </c>
      <c r="E11" s="12" t="s">
        <v>75</v>
      </c>
      <c r="F11" s="12" t="s">
        <v>76</v>
      </c>
      <c r="G11" s="12" t="s">
        <v>77</v>
      </c>
      <c r="H11" s="12" t="s">
        <v>78</v>
      </c>
    </row>
    <row r="12" customFormat="false" ht="12.8" hidden="false" customHeight="false" outlineLevel="0" collapsed="false">
      <c r="A12" s="12" t="n">
        <v>7</v>
      </c>
      <c r="B12" s="12" t="s">
        <v>79</v>
      </c>
      <c r="C12" s="12" t="s">
        <v>80</v>
      </c>
      <c r="D12" s="12" t="s">
        <v>81</v>
      </c>
      <c r="E12" s="12" t="s">
        <v>82</v>
      </c>
      <c r="F12" s="12" t="s">
        <v>83</v>
      </c>
      <c r="G12" s="12" t="s">
        <v>84</v>
      </c>
      <c r="H12" s="12" t="e">
        <f aca="false"> prior × (1 − Annual_Behavioral_Savings)</f>
        <v>#VALUE!</v>
      </c>
    </row>
    <row r="13" customFormat="false" ht="12.8" hidden="false" customHeight="false" outlineLevel="0" collapsed="false">
      <c r="A13" s="12" t="n">
        <v>8</v>
      </c>
      <c r="B13" s="12" t="s">
        <v>85</v>
      </c>
      <c r="C13" s="12" t="s">
        <v>86</v>
      </c>
      <c r="D13" s="12" t="s">
        <v>87</v>
      </c>
      <c r="E13" s="12" t="s">
        <v>88</v>
      </c>
      <c r="F13" s="12" t="s">
        <v>89</v>
      </c>
      <c r="G13" s="12" t="s">
        <v>90</v>
      </c>
      <c r="H13" s="12" t="e">
        <f aca="false"> prior_cap × (1 + FMW_Annual_Increase_%)</f>
        <v>#VALUE!</v>
      </c>
    </row>
    <row r="14" customFormat="false" ht="12.8" hidden="false" customHeight="false" outlineLevel="0" collapsed="false">
      <c r="A14" s="12" t="n">
        <v>9</v>
      </c>
      <c r="B14" s="12" t="s">
        <v>91</v>
      </c>
      <c r="C14" s="12" t="s">
        <v>92</v>
      </c>
      <c r="D14" s="12" t="s">
        <v>93</v>
      </c>
      <c r="E14" s="12" t="s">
        <v>94</v>
      </c>
      <c r="F14" s="12" t="s">
        <v>95</v>
      </c>
      <c r="G14" s="12" t="s">
        <v>96</v>
      </c>
      <c r="H14" s="12" t="e">
        <f aca="false"> prior × (1 − Annual_Audit_Improvement)</f>
        <v>#VALUE!</v>
      </c>
    </row>
    <row r="15" customFormat="false" ht="12.8" hidden="false" customHeight="false" outlineLevel="0" collapsed="false">
      <c r="A15" s="12" t="n">
        <v>10</v>
      </c>
      <c r="B15" s="12" t="s">
        <v>97</v>
      </c>
      <c r="C15" s="12" t="s">
        <v>98</v>
      </c>
      <c r="D15" s="12" t="s">
        <v>99</v>
      </c>
      <c r="E15" s="12" t="s">
        <v>100</v>
      </c>
      <c r="F15" s="12" t="s">
        <v>101</v>
      </c>
      <c r="G15" s="12" t="s">
        <v>102</v>
      </c>
      <c r="H15" s="12" t="s">
        <v>103</v>
      </c>
    </row>
    <row r="16" customFormat="false" ht="12.8" hidden="false" customHeight="false" outlineLevel="0" collapsed="false">
      <c r="A16" s="12" t="n">
        <v>11</v>
      </c>
      <c r="B16" s="12" t="s">
        <v>104</v>
      </c>
      <c r="C16" s="12" t="s">
        <v>105</v>
      </c>
      <c r="D16" s="12" t="s">
        <v>106</v>
      </c>
      <c r="E16" s="12" t="s">
        <v>107</v>
      </c>
      <c r="F16" s="12" t="s">
        <v>108</v>
      </c>
      <c r="G16" s="12" t="s">
        <v>109</v>
      </c>
      <c r="H16" s="12" t="e">
        <f aca="false"> prior × (1 + Bracket_Creep + Phase_In_Progress)</f>
        <v>#VALUE!</v>
      </c>
    </row>
    <row r="17" customFormat="false" ht="12.8" hidden="false" customHeight="false" outlineLevel="0" collapsed="false">
      <c r="A17" s="12" t="n">
        <v>12</v>
      </c>
      <c r="B17" s="12" t="s">
        <v>110</v>
      </c>
      <c r="C17" s="12" t="s">
        <v>111</v>
      </c>
      <c r="D17" s="12" t="s">
        <v>112</v>
      </c>
      <c r="E17" s="12" t="s">
        <v>113</v>
      </c>
      <c r="F17" s="12" t="s">
        <v>114</v>
      </c>
      <c r="G17" s="12" t="s">
        <v>115</v>
      </c>
      <c r="H17" s="12" t="e">
        <f aca="false"> prior × Phase_In_Progress_This_Year</f>
        <v>#VALUE!</v>
      </c>
    </row>
    <row r="18" customFormat="false" ht="12.8" hidden="false" customHeight="false" outlineLevel="0" collapsed="false">
      <c r="A18" s="1" t="n">
        <v>13</v>
      </c>
      <c r="B18" s="0" t="s">
        <v>116</v>
      </c>
      <c r="C18" s="0" t="s">
        <v>117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e">
        <f aca="false"> prior_grant × (1 - Annual_Wealth_Growth_Rate)</f>
        <v>#N/A</v>
      </c>
    </row>
    <row r="19" customFormat="false" ht="12.8" hidden="false" customHeight="false" outlineLevel="0" collapsed="false">
      <c r="A19" s="1" t="n">
        <v>14</v>
      </c>
      <c r="B19" s="0" t="s">
        <v>122</v>
      </c>
      <c r="C19" s="0" t="s">
        <v>123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 customFormat="false" ht="12.8" hidden="false" customHeight="false" outlineLevel="0" collapsed="false">
      <c r="A20" s="1" t="n">
        <v>15</v>
      </c>
      <c r="B20" s="0" t="s">
        <v>129</v>
      </c>
      <c r="C20" s="0" t="s">
        <v>130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e">
        <f aca="false"> prior_net × (1 - Annual_Transition_Accel)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F25" activeCellId="0" sqref="AF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9.2"/>
    <col collapsed="false" customWidth="true" hidden="false" outlineLevel="0" max="3" min="3" style="1" width="29.98"/>
  </cols>
  <sheetData>
    <row r="1" customFormat="false" ht="12.8" hidden="false" customHeight="false" outlineLevel="0" collapsed="false">
      <c r="A1" s="1" t="s">
        <v>135</v>
      </c>
    </row>
    <row r="2" s="6" customFormat="true" ht="12.8" hidden="false" customHeight="false" outlineLevel="0" collapsed="false">
      <c r="A2" s="2" t="n">
        <v>1</v>
      </c>
      <c r="B2" s="2" t="s">
        <v>136</v>
      </c>
      <c r="C2" s="2"/>
      <c r="D2" s="2"/>
      <c r="E2" s="2"/>
      <c r="F2" s="2"/>
      <c r="G2" s="2"/>
      <c r="H2" s="2"/>
      <c r="I2" s="2"/>
    </row>
    <row r="3" customFormat="false" ht="12.8" hidden="false" customHeight="false" outlineLevel="0" collapsed="false">
      <c r="A3" s="13" t="s">
        <v>137</v>
      </c>
      <c r="B3" s="2" t="s">
        <v>138</v>
      </c>
      <c r="C3" s="2" t="s">
        <v>139</v>
      </c>
      <c r="D3" s="2" t="s">
        <v>140</v>
      </c>
      <c r="E3" s="2" t="s">
        <v>141</v>
      </c>
      <c r="F3" s="2" t="s">
        <v>142</v>
      </c>
      <c r="G3" s="2" t="s">
        <v>143</v>
      </c>
      <c r="H3" s="2" t="s">
        <v>144</v>
      </c>
      <c r="I3" s="2" t="s">
        <v>145</v>
      </c>
      <c r="J3" s="2" t="s">
        <v>146</v>
      </c>
      <c r="XES3" s="13"/>
      <c r="XET3" s="13"/>
      <c r="XEU3" s="13"/>
      <c r="XEV3" s="13"/>
      <c r="XEW3" s="13"/>
      <c r="XEX3" s="13"/>
      <c r="XEY3" s="13"/>
      <c r="XEZ3" s="13"/>
      <c r="XFA3" s="13"/>
      <c r="XFB3" s="13"/>
      <c r="XFC3" s="13"/>
      <c r="XFD3" s="13"/>
    </row>
    <row r="4" s="14" customFormat="true" ht="12.8" hidden="false" customHeight="false" outlineLevel="0" collapsed="false">
      <c r="A4" s="14" t="s">
        <v>147</v>
      </c>
      <c r="R4" s="14" t="s">
        <v>147</v>
      </c>
      <c r="AI4" s="14" t="s">
        <v>147</v>
      </c>
      <c r="AZ4" s="14" t="s">
        <v>147</v>
      </c>
      <c r="BQ4" s="14" t="s">
        <v>147</v>
      </c>
      <c r="CH4" s="14" t="s">
        <v>147</v>
      </c>
      <c r="CY4" s="14" t="s">
        <v>147</v>
      </c>
      <c r="DP4" s="14" t="s">
        <v>147</v>
      </c>
      <c r="EG4" s="14" t="s">
        <v>147</v>
      </c>
      <c r="EX4" s="14" t="s">
        <v>147</v>
      </c>
      <c r="FO4" s="14" t="s">
        <v>147</v>
      </c>
      <c r="GF4" s="14" t="s">
        <v>147</v>
      </c>
      <c r="GW4" s="14" t="s">
        <v>147</v>
      </c>
      <c r="HN4" s="14" t="s">
        <v>147</v>
      </c>
      <c r="IE4" s="14" t="s">
        <v>147</v>
      </c>
      <c r="IV4" s="14" t="s">
        <v>147</v>
      </c>
      <c r="JM4" s="14" t="s">
        <v>147</v>
      </c>
      <c r="KD4" s="14" t="s">
        <v>147</v>
      </c>
      <c r="KU4" s="14" t="s">
        <v>147</v>
      </c>
      <c r="LL4" s="14" t="s">
        <v>147</v>
      </c>
      <c r="MC4" s="14" t="s">
        <v>147</v>
      </c>
      <c r="MT4" s="14" t="s">
        <v>147</v>
      </c>
      <c r="NK4" s="14" t="s">
        <v>147</v>
      </c>
      <c r="OB4" s="14" t="s">
        <v>147</v>
      </c>
      <c r="OS4" s="14" t="s">
        <v>147</v>
      </c>
      <c r="PJ4" s="14" t="s">
        <v>147</v>
      </c>
      <c r="QA4" s="14" t="s">
        <v>147</v>
      </c>
      <c r="QR4" s="14" t="s">
        <v>147</v>
      </c>
      <c r="RI4" s="14" t="s">
        <v>147</v>
      </c>
      <c r="RZ4" s="14" t="s">
        <v>147</v>
      </c>
      <c r="SQ4" s="14" t="s">
        <v>147</v>
      </c>
      <c r="TH4" s="14" t="s">
        <v>147</v>
      </c>
      <c r="TY4" s="14" t="s">
        <v>147</v>
      </c>
      <c r="UP4" s="14" t="s">
        <v>147</v>
      </c>
      <c r="VG4" s="14" t="s">
        <v>147</v>
      </c>
      <c r="VX4" s="14" t="s">
        <v>147</v>
      </c>
      <c r="WO4" s="14" t="s">
        <v>147</v>
      </c>
      <c r="XF4" s="14" t="s">
        <v>147</v>
      </c>
      <c r="XW4" s="14" t="s">
        <v>147</v>
      </c>
      <c r="YN4" s="14" t="s">
        <v>147</v>
      </c>
      <c r="ZE4" s="14" t="s">
        <v>147</v>
      </c>
      <c r="ZV4" s="14" t="s">
        <v>147</v>
      </c>
      <c r="AAM4" s="14" t="s">
        <v>147</v>
      </c>
      <c r="ABD4" s="14" t="s">
        <v>147</v>
      </c>
      <c r="ABU4" s="14" t="s">
        <v>147</v>
      </c>
      <c r="ACL4" s="14" t="s">
        <v>147</v>
      </c>
      <c r="ADC4" s="14" t="s">
        <v>147</v>
      </c>
      <c r="ADT4" s="14" t="s">
        <v>147</v>
      </c>
      <c r="AEK4" s="14" t="s">
        <v>147</v>
      </c>
      <c r="AFB4" s="14" t="s">
        <v>147</v>
      </c>
      <c r="AFS4" s="14" t="s">
        <v>147</v>
      </c>
      <c r="AGJ4" s="14" t="s">
        <v>147</v>
      </c>
      <c r="AHA4" s="14" t="s">
        <v>147</v>
      </c>
      <c r="AHR4" s="14" t="s">
        <v>147</v>
      </c>
      <c r="AII4" s="14" t="s">
        <v>147</v>
      </c>
      <c r="AIZ4" s="14" t="s">
        <v>147</v>
      </c>
      <c r="AJQ4" s="14" t="s">
        <v>147</v>
      </c>
      <c r="AKH4" s="14" t="s">
        <v>147</v>
      </c>
      <c r="AKY4" s="14" t="s">
        <v>147</v>
      </c>
      <c r="ALP4" s="14" t="s">
        <v>147</v>
      </c>
      <c r="AMG4" s="14" t="s">
        <v>147</v>
      </c>
      <c r="AMX4" s="14" t="s">
        <v>147</v>
      </c>
      <c r="ANO4" s="14" t="s">
        <v>147</v>
      </c>
      <c r="AOF4" s="14" t="s">
        <v>147</v>
      </c>
      <c r="AOW4" s="14" t="s">
        <v>147</v>
      </c>
      <c r="APN4" s="14" t="s">
        <v>147</v>
      </c>
      <c r="AQE4" s="14" t="s">
        <v>147</v>
      </c>
      <c r="AQV4" s="14" t="s">
        <v>147</v>
      </c>
      <c r="ARM4" s="14" t="s">
        <v>147</v>
      </c>
      <c r="ASD4" s="14" t="s">
        <v>147</v>
      </c>
      <c r="ASU4" s="14" t="s">
        <v>147</v>
      </c>
      <c r="ATL4" s="14" t="s">
        <v>147</v>
      </c>
      <c r="AUC4" s="14" t="s">
        <v>147</v>
      </c>
      <c r="AUT4" s="14" t="s">
        <v>147</v>
      </c>
      <c r="AVK4" s="14" t="s">
        <v>147</v>
      </c>
      <c r="AWB4" s="14" t="s">
        <v>147</v>
      </c>
      <c r="AWS4" s="14" t="s">
        <v>147</v>
      </c>
      <c r="AXJ4" s="14" t="s">
        <v>147</v>
      </c>
      <c r="AYA4" s="14" t="s">
        <v>147</v>
      </c>
      <c r="AYR4" s="14" t="s">
        <v>147</v>
      </c>
      <c r="AZI4" s="14" t="s">
        <v>147</v>
      </c>
      <c r="AZZ4" s="14" t="s">
        <v>147</v>
      </c>
      <c r="BAQ4" s="14" t="s">
        <v>147</v>
      </c>
      <c r="BBH4" s="14" t="s">
        <v>147</v>
      </c>
      <c r="BBY4" s="14" t="s">
        <v>147</v>
      </c>
      <c r="BCP4" s="14" t="s">
        <v>147</v>
      </c>
      <c r="BDG4" s="14" t="s">
        <v>147</v>
      </c>
      <c r="BDX4" s="14" t="s">
        <v>147</v>
      </c>
      <c r="BEO4" s="14" t="s">
        <v>147</v>
      </c>
      <c r="BFF4" s="14" t="s">
        <v>147</v>
      </c>
      <c r="BFW4" s="14" t="s">
        <v>147</v>
      </c>
      <c r="BGN4" s="14" t="s">
        <v>147</v>
      </c>
      <c r="BHE4" s="14" t="s">
        <v>147</v>
      </c>
      <c r="BHV4" s="14" t="s">
        <v>147</v>
      </c>
      <c r="BIM4" s="14" t="s">
        <v>147</v>
      </c>
      <c r="BJD4" s="14" t="s">
        <v>147</v>
      </c>
      <c r="BJU4" s="14" t="s">
        <v>147</v>
      </c>
      <c r="BKL4" s="14" t="s">
        <v>147</v>
      </c>
      <c r="BLC4" s="14" t="s">
        <v>147</v>
      </c>
      <c r="BLT4" s="14" t="s">
        <v>147</v>
      </c>
      <c r="BMK4" s="14" t="s">
        <v>147</v>
      </c>
      <c r="BNB4" s="14" t="s">
        <v>147</v>
      </c>
      <c r="BNS4" s="14" t="s">
        <v>147</v>
      </c>
      <c r="BOJ4" s="14" t="s">
        <v>147</v>
      </c>
      <c r="BPA4" s="14" t="s">
        <v>147</v>
      </c>
      <c r="BPR4" s="14" t="s">
        <v>147</v>
      </c>
      <c r="BQI4" s="14" t="s">
        <v>147</v>
      </c>
      <c r="BQZ4" s="14" t="s">
        <v>147</v>
      </c>
      <c r="BRQ4" s="14" t="s">
        <v>147</v>
      </c>
      <c r="BSH4" s="14" t="s">
        <v>147</v>
      </c>
      <c r="BSY4" s="14" t="s">
        <v>147</v>
      </c>
      <c r="BTP4" s="14" t="s">
        <v>147</v>
      </c>
      <c r="BUG4" s="14" t="s">
        <v>147</v>
      </c>
      <c r="BUX4" s="14" t="s">
        <v>147</v>
      </c>
      <c r="BVO4" s="14" t="s">
        <v>147</v>
      </c>
      <c r="BWF4" s="14" t="s">
        <v>147</v>
      </c>
      <c r="BWW4" s="14" t="s">
        <v>147</v>
      </c>
      <c r="BXN4" s="14" t="s">
        <v>147</v>
      </c>
      <c r="BYE4" s="14" t="s">
        <v>147</v>
      </c>
      <c r="BYV4" s="14" t="s">
        <v>147</v>
      </c>
      <c r="BZM4" s="14" t="s">
        <v>147</v>
      </c>
      <c r="CAD4" s="14" t="s">
        <v>147</v>
      </c>
      <c r="CAU4" s="14" t="s">
        <v>147</v>
      </c>
      <c r="CBL4" s="14" t="s">
        <v>147</v>
      </c>
      <c r="CCC4" s="14" t="s">
        <v>147</v>
      </c>
      <c r="CCT4" s="14" t="s">
        <v>147</v>
      </c>
      <c r="CDK4" s="14" t="s">
        <v>147</v>
      </c>
      <c r="CEB4" s="14" t="s">
        <v>147</v>
      </c>
      <c r="CES4" s="14" t="s">
        <v>147</v>
      </c>
      <c r="CFJ4" s="14" t="s">
        <v>147</v>
      </c>
      <c r="CGA4" s="14" t="s">
        <v>147</v>
      </c>
      <c r="CGR4" s="14" t="s">
        <v>147</v>
      </c>
      <c r="CHI4" s="14" t="s">
        <v>147</v>
      </c>
      <c r="CHZ4" s="14" t="s">
        <v>147</v>
      </c>
      <c r="CIQ4" s="14" t="s">
        <v>147</v>
      </c>
      <c r="CJH4" s="14" t="s">
        <v>147</v>
      </c>
      <c r="CJY4" s="14" t="s">
        <v>147</v>
      </c>
      <c r="CKP4" s="14" t="s">
        <v>147</v>
      </c>
      <c r="CLG4" s="14" t="s">
        <v>147</v>
      </c>
      <c r="CLX4" s="14" t="s">
        <v>147</v>
      </c>
      <c r="CMO4" s="14" t="s">
        <v>147</v>
      </c>
      <c r="CNF4" s="14" t="s">
        <v>147</v>
      </c>
      <c r="CNW4" s="14" t="s">
        <v>147</v>
      </c>
      <c r="CON4" s="14" t="s">
        <v>147</v>
      </c>
      <c r="CPE4" s="14" t="s">
        <v>147</v>
      </c>
      <c r="CPV4" s="14" t="s">
        <v>147</v>
      </c>
      <c r="CQM4" s="14" t="s">
        <v>147</v>
      </c>
      <c r="CRD4" s="14" t="s">
        <v>147</v>
      </c>
      <c r="CRU4" s="14" t="s">
        <v>147</v>
      </c>
      <c r="CSL4" s="14" t="s">
        <v>147</v>
      </c>
      <c r="CTC4" s="14" t="s">
        <v>147</v>
      </c>
      <c r="CTT4" s="14" t="s">
        <v>147</v>
      </c>
      <c r="CUK4" s="14" t="s">
        <v>147</v>
      </c>
      <c r="CVB4" s="14" t="s">
        <v>147</v>
      </c>
      <c r="CVS4" s="14" t="s">
        <v>147</v>
      </c>
      <c r="CWJ4" s="14" t="s">
        <v>147</v>
      </c>
      <c r="CXA4" s="14" t="s">
        <v>147</v>
      </c>
      <c r="CXR4" s="14" t="s">
        <v>147</v>
      </c>
      <c r="CYI4" s="14" t="s">
        <v>147</v>
      </c>
      <c r="CYZ4" s="14" t="s">
        <v>147</v>
      </c>
      <c r="CZQ4" s="14" t="s">
        <v>147</v>
      </c>
      <c r="DAH4" s="14" t="s">
        <v>147</v>
      </c>
      <c r="DAY4" s="14" t="s">
        <v>147</v>
      </c>
      <c r="DBP4" s="14" t="s">
        <v>147</v>
      </c>
      <c r="DCG4" s="14" t="s">
        <v>147</v>
      </c>
      <c r="DCX4" s="14" t="s">
        <v>147</v>
      </c>
      <c r="DDO4" s="14" t="s">
        <v>147</v>
      </c>
      <c r="DEF4" s="14" t="s">
        <v>147</v>
      </c>
      <c r="DEW4" s="14" t="s">
        <v>147</v>
      </c>
      <c r="DFN4" s="14" t="s">
        <v>147</v>
      </c>
      <c r="DGE4" s="14" t="s">
        <v>147</v>
      </c>
      <c r="DGV4" s="14" t="s">
        <v>147</v>
      </c>
      <c r="DHM4" s="14" t="s">
        <v>147</v>
      </c>
      <c r="DID4" s="14" t="s">
        <v>147</v>
      </c>
      <c r="DIU4" s="14" t="s">
        <v>147</v>
      </c>
      <c r="DJL4" s="14" t="s">
        <v>147</v>
      </c>
      <c r="DKC4" s="14" t="s">
        <v>147</v>
      </c>
      <c r="DKT4" s="14" t="s">
        <v>147</v>
      </c>
      <c r="DLK4" s="14" t="s">
        <v>147</v>
      </c>
      <c r="DMB4" s="14" t="s">
        <v>147</v>
      </c>
      <c r="DMS4" s="14" t="s">
        <v>147</v>
      </c>
      <c r="DNJ4" s="14" t="s">
        <v>147</v>
      </c>
      <c r="DOA4" s="14" t="s">
        <v>147</v>
      </c>
      <c r="DOR4" s="14" t="s">
        <v>147</v>
      </c>
      <c r="DPI4" s="14" t="s">
        <v>147</v>
      </c>
      <c r="DPZ4" s="14" t="s">
        <v>147</v>
      </c>
      <c r="DQQ4" s="14" t="s">
        <v>147</v>
      </c>
      <c r="DRH4" s="14" t="s">
        <v>147</v>
      </c>
      <c r="DRY4" s="14" t="s">
        <v>147</v>
      </c>
      <c r="DSP4" s="14" t="s">
        <v>147</v>
      </c>
      <c r="DTG4" s="14" t="s">
        <v>147</v>
      </c>
      <c r="DTX4" s="14" t="s">
        <v>147</v>
      </c>
      <c r="DUO4" s="14" t="s">
        <v>147</v>
      </c>
      <c r="DVF4" s="14" t="s">
        <v>147</v>
      </c>
      <c r="DVW4" s="14" t="s">
        <v>147</v>
      </c>
      <c r="DWN4" s="14" t="s">
        <v>147</v>
      </c>
      <c r="DXE4" s="14" t="s">
        <v>147</v>
      </c>
      <c r="DXV4" s="14" t="s">
        <v>147</v>
      </c>
      <c r="DYM4" s="14" t="s">
        <v>147</v>
      </c>
      <c r="DZD4" s="14" t="s">
        <v>147</v>
      </c>
      <c r="DZU4" s="14" t="s">
        <v>147</v>
      </c>
      <c r="EAL4" s="14" t="s">
        <v>147</v>
      </c>
      <c r="EBC4" s="14" t="s">
        <v>147</v>
      </c>
      <c r="EBT4" s="14" t="s">
        <v>147</v>
      </c>
      <c r="ECK4" s="14" t="s">
        <v>147</v>
      </c>
      <c r="EDB4" s="14" t="s">
        <v>147</v>
      </c>
      <c r="EDS4" s="14" t="s">
        <v>147</v>
      </c>
      <c r="EEJ4" s="14" t="s">
        <v>147</v>
      </c>
      <c r="EFA4" s="14" t="s">
        <v>147</v>
      </c>
      <c r="EFR4" s="14" t="s">
        <v>147</v>
      </c>
      <c r="EGI4" s="14" t="s">
        <v>147</v>
      </c>
      <c r="EGZ4" s="14" t="s">
        <v>147</v>
      </c>
      <c r="EHQ4" s="14" t="s">
        <v>147</v>
      </c>
      <c r="EIH4" s="14" t="s">
        <v>147</v>
      </c>
      <c r="EIY4" s="14" t="s">
        <v>147</v>
      </c>
      <c r="EJP4" s="14" t="s">
        <v>147</v>
      </c>
      <c r="EKG4" s="14" t="s">
        <v>147</v>
      </c>
      <c r="EKX4" s="14" t="s">
        <v>147</v>
      </c>
      <c r="ELO4" s="14" t="s">
        <v>147</v>
      </c>
      <c r="EMF4" s="14" t="s">
        <v>147</v>
      </c>
      <c r="EMW4" s="14" t="s">
        <v>147</v>
      </c>
      <c r="ENN4" s="14" t="s">
        <v>147</v>
      </c>
      <c r="EOE4" s="14" t="s">
        <v>147</v>
      </c>
      <c r="EOV4" s="14" t="s">
        <v>147</v>
      </c>
      <c r="EPM4" s="14" t="s">
        <v>147</v>
      </c>
      <c r="EQD4" s="14" t="s">
        <v>147</v>
      </c>
      <c r="EQU4" s="14" t="s">
        <v>147</v>
      </c>
      <c r="ERL4" s="14" t="s">
        <v>147</v>
      </c>
      <c r="ESC4" s="14" t="s">
        <v>147</v>
      </c>
      <c r="EST4" s="14" t="s">
        <v>147</v>
      </c>
      <c r="ETK4" s="14" t="s">
        <v>147</v>
      </c>
      <c r="EUB4" s="14" t="s">
        <v>147</v>
      </c>
      <c r="EUS4" s="14" t="s">
        <v>147</v>
      </c>
      <c r="EVJ4" s="14" t="s">
        <v>147</v>
      </c>
      <c r="EWA4" s="14" t="s">
        <v>147</v>
      </c>
      <c r="EWR4" s="14" t="s">
        <v>147</v>
      </c>
      <c r="EXI4" s="14" t="s">
        <v>147</v>
      </c>
      <c r="EXZ4" s="14" t="s">
        <v>147</v>
      </c>
      <c r="EYQ4" s="14" t="s">
        <v>147</v>
      </c>
      <c r="EZH4" s="14" t="s">
        <v>147</v>
      </c>
      <c r="EZY4" s="14" t="s">
        <v>147</v>
      </c>
      <c r="FAP4" s="14" t="s">
        <v>147</v>
      </c>
      <c r="FBG4" s="14" t="s">
        <v>147</v>
      </c>
      <c r="FBX4" s="14" t="s">
        <v>147</v>
      </c>
      <c r="FCO4" s="14" t="s">
        <v>147</v>
      </c>
      <c r="FDF4" s="14" t="s">
        <v>147</v>
      </c>
      <c r="FDW4" s="14" t="s">
        <v>147</v>
      </c>
      <c r="FEN4" s="14" t="s">
        <v>147</v>
      </c>
      <c r="FFE4" s="14" t="s">
        <v>147</v>
      </c>
      <c r="FFV4" s="14" t="s">
        <v>147</v>
      </c>
      <c r="FGM4" s="14" t="s">
        <v>147</v>
      </c>
      <c r="FHD4" s="14" t="s">
        <v>147</v>
      </c>
      <c r="FHU4" s="14" t="s">
        <v>147</v>
      </c>
      <c r="FIL4" s="14" t="s">
        <v>147</v>
      </c>
      <c r="FJC4" s="14" t="s">
        <v>147</v>
      </c>
      <c r="FJT4" s="14" t="s">
        <v>147</v>
      </c>
      <c r="FKK4" s="14" t="s">
        <v>147</v>
      </c>
      <c r="FLB4" s="14" t="s">
        <v>147</v>
      </c>
      <c r="FLS4" s="14" t="s">
        <v>147</v>
      </c>
      <c r="FMJ4" s="14" t="s">
        <v>147</v>
      </c>
      <c r="FNA4" s="14" t="s">
        <v>147</v>
      </c>
      <c r="FNR4" s="14" t="s">
        <v>147</v>
      </c>
      <c r="FOI4" s="14" t="s">
        <v>147</v>
      </c>
      <c r="FOZ4" s="14" t="s">
        <v>147</v>
      </c>
      <c r="FPQ4" s="14" t="s">
        <v>147</v>
      </c>
      <c r="FQH4" s="14" t="s">
        <v>147</v>
      </c>
      <c r="FQY4" s="14" t="s">
        <v>147</v>
      </c>
      <c r="FRP4" s="14" t="s">
        <v>147</v>
      </c>
      <c r="FSG4" s="14" t="s">
        <v>147</v>
      </c>
      <c r="FSX4" s="14" t="s">
        <v>147</v>
      </c>
      <c r="FTO4" s="14" t="s">
        <v>147</v>
      </c>
      <c r="FUF4" s="14" t="s">
        <v>147</v>
      </c>
      <c r="FUW4" s="14" t="s">
        <v>147</v>
      </c>
      <c r="FVN4" s="14" t="s">
        <v>147</v>
      </c>
      <c r="FWE4" s="14" t="s">
        <v>147</v>
      </c>
      <c r="FWV4" s="14" t="s">
        <v>147</v>
      </c>
      <c r="FXM4" s="14" t="s">
        <v>147</v>
      </c>
      <c r="FYD4" s="14" t="s">
        <v>147</v>
      </c>
      <c r="FYU4" s="14" t="s">
        <v>147</v>
      </c>
      <c r="FZL4" s="14" t="s">
        <v>147</v>
      </c>
      <c r="GAC4" s="14" t="s">
        <v>147</v>
      </c>
      <c r="GAT4" s="14" t="s">
        <v>147</v>
      </c>
      <c r="GBK4" s="14" t="s">
        <v>147</v>
      </c>
      <c r="GCB4" s="14" t="s">
        <v>147</v>
      </c>
      <c r="GCS4" s="14" t="s">
        <v>147</v>
      </c>
      <c r="GDJ4" s="14" t="s">
        <v>147</v>
      </c>
      <c r="GEA4" s="14" t="s">
        <v>147</v>
      </c>
      <c r="GER4" s="14" t="s">
        <v>147</v>
      </c>
      <c r="GFI4" s="14" t="s">
        <v>147</v>
      </c>
      <c r="GFZ4" s="14" t="s">
        <v>147</v>
      </c>
      <c r="GGQ4" s="14" t="s">
        <v>147</v>
      </c>
      <c r="GHH4" s="14" t="s">
        <v>147</v>
      </c>
      <c r="GHY4" s="14" t="s">
        <v>147</v>
      </c>
      <c r="GIP4" s="14" t="s">
        <v>147</v>
      </c>
      <c r="GJG4" s="14" t="s">
        <v>147</v>
      </c>
      <c r="GJX4" s="14" t="s">
        <v>147</v>
      </c>
      <c r="GKO4" s="14" t="s">
        <v>147</v>
      </c>
      <c r="GLF4" s="14" t="s">
        <v>147</v>
      </c>
      <c r="GLW4" s="14" t="s">
        <v>147</v>
      </c>
      <c r="GMN4" s="14" t="s">
        <v>147</v>
      </c>
      <c r="GNE4" s="14" t="s">
        <v>147</v>
      </c>
      <c r="GNV4" s="14" t="s">
        <v>147</v>
      </c>
      <c r="GOM4" s="14" t="s">
        <v>147</v>
      </c>
      <c r="GPD4" s="14" t="s">
        <v>147</v>
      </c>
      <c r="GPU4" s="14" t="s">
        <v>147</v>
      </c>
      <c r="GQL4" s="14" t="s">
        <v>147</v>
      </c>
      <c r="GRC4" s="14" t="s">
        <v>147</v>
      </c>
      <c r="GRT4" s="14" t="s">
        <v>147</v>
      </c>
      <c r="GSK4" s="14" t="s">
        <v>147</v>
      </c>
      <c r="GTB4" s="14" t="s">
        <v>147</v>
      </c>
      <c r="GTS4" s="14" t="s">
        <v>147</v>
      </c>
      <c r="GUJ4" s="14" t="s">
        <v>147</v>
      </c>
      <c r="GVA4" s="14" t="s">
        <v>147</v>
      </c>
      <c r="GVR4" s="14" t="s">
        <v>147</v>
      </c>
      <c r="GWI4" s="14" t="s">
        <v>147</v>
      </c>
      <c r="GWZ4" s="14" t="s">
        <v>147</v>
      </c>
      <c r="GXQ4" s="14" t="s">
        <v>147</v>
      </c>
      <c r="GYH4" s="14" t="s">
        <v>147</v>
      </c>
      <c r="GYY4" s="14" t="s">
        <v>147</v>
      </c>
      <c r="GZP4" s="14" t="s">
        <v>147</v>
      </c>
      <c r="HAG4" s="14" t="s">
        <v>147</v>
      </c>
      <c r="HAX4" s="14" t="s">
        <v>147</v>
      </c>
      <c r="HBO4" s="14" t="s">
        <v>147</v>
      </c>
      <c r="HCF4" s="14" t="s">
        <v>147</v>
      </c>
      <c r="HCW4" s="14" t="s">
        <v>147</v>
      </c>
      <c r="HDN4" s="14" t="s">
        <v>147</v>
      </c>
      <c r="HEE4" s="14" t="s">
        <v>147</v>
      </c>
      <c r="HEV4" s="14" t="s">
        <v>147</v>
      </c>
      <c r="HFM4" s="14" t="s">
        <v>147</v>
      </c>
      <c r="HGD4" s="14" t="s">
        <v>147</v>
      </c>
      <c r="HGU4" s="14" t="s">
        <v>147</v>
      </c>
      <c r="HHL4" s="14" t="s">
        <v>147</v>
      </c>
      <c r="HIC4" s="14" t="s">
        <v>147</v>
      </c>
      <c r="HIT4" s="14" t="s">
        <v>147</v>
      </c>
      <c r="HJK4" s="14" t="s">
        <v>147</v>
      </c>
      <c r="HKB4" s="14" t="s">
        <v>147</v>
      </c>
      <c r="HKS4" s="14" t="s">
        <v>147</v>
      </c>
      <c r="HLJ4" s="14" t="s">
        <v>147</v>
      </c>
      <c r="HMA4" s="14" t="s">
        <v>147</v>
      </c>
      <c r="HMR4" s="14" t="s">
        <v>147</v>
      </c>
      <c r="HNI4" s="14" t="s">
        <v>147</v>
      </c>
      <c r="HNZ4" s="14" t="s">
        <v>147</v>
      </c>
      <c r="HOQ4" s="14" t="s">
        <v>147</v>
      </c>
      <c r="HPH4" s="14" t="s">
        <v>147</v>
      </c>
      <c r="HPY4" s="14" t="s">
        <v>147</v>
      </c>
      <c r="HQP4" s="14" t="s">
        <v>147</v>
      </c>
      <c r="HRG4" s="14" t="s">
        <v>147</v>
      </c>
      <c r="HRX4" s="14" t="s">
        <v>147</v>
      </c>
      <c r="HSO4" s="14" t="s">
        <v>147</v>
      </c>
      <c r="HTF4" s="14" t="s">
        <v>147</v>
      </c>
      <c r="HTW4" s="14" t="s">
        <v>147</v>
      </c>
      <c r="HUN4" s="14" t="s">
        <v>147</v>
      </c>
      <c r="HVE4" s="14" t="s">
        <v>147</v>
      </c>
      <c r="HVV4" s="14" t="s">
        <v>147</v>
      </c>
      <c r="HWM4" s="14" t="s">
        <v>147</v>
      </c>
      <c r="HXD4" s="14" t="s">
        <v>147</v>
      </c>
      <c r="HXU4" s="14" t="s">
        <v>147</v>
      </c>
      <c r="HYL4" s="14" t="s">
        <v>147</v>
      </c>
      <c r="HZC4" s="14" t="s">
        <v>147</v>
      </c>
      <c r="HZT4" s="14" t="s">
        <v>147</v>
      </c>
      <c r="IAK4" s="14" t="s">
        <v>147</v>
      </c>
      <c r="IBB4" s="14" t="s">
        <v>147</v>
      </c>
      <c r="IBS4" s="14" t="s">
        <v>147</v>
      </c>
      <c r="ICJ4" s="14" t="s">
        <v>147</v>
      </c>
      <c r="IDA4" s="14" t="s">
        <v>147</v>
      </c>
      <c r="IDR4" s="14" t="s">
        <v>147</v>
      </c>
      <c r="IEI4" s="14" t="s">
        <v>147</v>
      </c>
      <c r="IEZ4" s="14" t="s">
        <v>147</v>
      </c>
      <c r="IFQ4" s="14" t="s">
        <v>147</v>
      </c>
      <c r="IGH4" s="14" t="s">
        <v>147</v>
      </c>
      <c r="IGY4" s="14" t="s">
        <v>147</v>
      </c>
      <c r="IHP4" s="14" t="s">
        <v>147</v>
      </c>
      <c r="IIG4" s="14" t="s">
        <v>147</v>
      </c>
      <c r="IIX4" s="14" t="s">
        <v>147</v>
      </c>
      <c r="IJO4" s="14" t="s">
        <v>147</v>
      </c>
      <c r="IKF4" s="14" t="s">
        <v>147</v>
      </c>
      <c r="IKW4" s="14" t="s">
        <v>147</v>
      </c>
      <c r="ILN4" s="14" t="s">
        <v>147</v>
      </c>
      <c r="IME4" s="14" t="s">
        <v>147</v>
      </c>
      <c r="IMV4" s="14" t="s">
        <v>147</v>
      </c>
      <c r="INM4" s="14" t="s">
        <v>147</v>
      </c>
      <c r="IOD4" s="14" t="s">
        <v>147</v>
      </c>
      <c r="IOU4" s="14" t="s">
        <v>147</v>
      </c>
      <c r="IPL4" s="14" t="s">
        <v>147</v>
      </c>
      <c r="IQC4" s="14" t="s">
        <v>147</v>
      </c>
      <c r="IQT4" s="14" t="s">
        <v>147</v>
      </c>
      <c r="IRK4" s="14" t="s">
        <v>147</v>
      </c>
      <c r="ISB4" s="14" t="s">
        <v>147</v>
      </c>
      <c r="ISS4" s="14" t="s">
        <v>147</v>
      </c>
      <c r="ITJ4" s="14" t="s">
        <v>147</v>
      </c>
      <c r="IUA4" s="14" t="s">
        <v>147</v>
      </c>
      <c r="IUR4" s="14" t="s">
        <v>147</v>
      </c>
      <c r="IVI4" s="14" t="s">
        <v>147</v>
      </c>
      <c r="IVZ4" s="14" t="s">
        <v>147</v>
      </c>
      <c r="IWQ4" s="14" t="s">
        <v>147</v>
      </c>
      <c r="IXH4" s="14" t="s">
        <v>147</v>
      </c>
      <c r="IXY4" s="14" t="s">
        <v>147</v>
      </c>
      <c r="IYP4" s="14" t="s">
        <v>147</v>
      </c>
      <c r="IZG4" s="14" t="s">
        <v>147</v>
      </c>
      <c r="IZX4" s="14" t="s">
        <v>147</v>
      </c>
      <c r="JAO4" s="14" t="s">
        <v>147</v>
      </c>
      <c r="JBF4" s="14" t="s">
        <v>147</v>
      </c>
      <c r="JBW4" s="14" t="s">
        <v>147</v>
      </c>
      <c r="JCN4" s="14" t="s">
        <v>147</v>
      </c>
      <c r="JDE4" s="14" t="s">
        <v>147</v>
      </c>
      <c r="JDV4" s="14" t="s">
        <v>147</v>
      </c>
      <c r="JEM4" s="14" t="s">
        <v>147</v>
      </c>
      <c r="JFD4" s="14" t="s">
        <v>147</v>
      </c>
      <c r="JFU4" s="14" t="s">
        <v>147</v>
      </c>
      <c r="JGL4" s="14" t="s">
        <v>147</v>
      </c>
      <c r="JHC4" s="14" t="s">
        <v>147</v>
      </c>
      <c r="JHT4" s="14" t="s">
        <v>147</v>
      </c>
      <c r="JIK4" s="14" t="s">
        <v>147</v>
      </c>
      <c r="JJB4" s="14" t="s">
        <v>147</v>
      </c>
      <c r="JJS4" s="14" t="s">
        <v>147</v>
      </c>
      <c r="JKJ4" s="14" t="s">
        <v>147</v>
      </c>
      <c r="JLA4" s="14" t="s">
        <v>147</v>
      </c>
      <c r="JLR4" s="14" t="s">
        <v>147</v>
      </c>
      <c r="JMI4" s="14" t="s">
        <v>147</v>
      </c>
      <c r="JMZ4" s="14" t="s">
        <v>147</v>
      </c>
      <c r="JNQ4" s="14" t="s">
        <v>147</v>
      </c>
      <c r="JOH4" s="14" t="s">
        <v>147</v>
      </c>
      <c r="JOY4" s="14" t="s">
        <v>147</v>
      </c>
      <c r="JPP4" s="14" t="s">
        <v>147</v>
      </c>
      <c r="JQG4" s="14" t="s">
        <v>147</v>
      </c>
      <c r="JQX4" s="14" t="s">
        <v>147</v>
      </c>
      <c r="JRO4" s="14" t="s">
        <v>147</v>
      </c>
      <c r="JSF4" s="14" t="s">
        <v>147</v>
      </c>
      <c r="JSW4" s="14" t="s">
        <v>147</v>
      </c>
      <c r="JTN4" s="14" t="s">
        <v>147</v>
      </c>
      <c r="JUE4" s="14" t="s">
        <v>147</v>
      </c>
      <c r="JUV4" s="14" t="s">
        <v>147</v>
      </c>
      <c r="JVM4" s="14" t="s">
        <v>147</v>
      </c>
      <c r="JWD4" s="14" t="s">
        <v>147</v>
      </c>
      <c r="JWU4" s="14" t="s">
        <v>147</v>
      </c>
      <c r="JXL4" s="14" t="s">
        <v>147</v>
      </c>
      <c r="JYC4" s="14" t="s">
        <v>147</v>
      </c>
      <c r="JYT4" s="14" t="s">
        <v>147</v>
      </c>
      <c r="JZK4" s="14" t="s">
        <v>147</v>
      </c>
      <c r="KAB4" s="14" t="s">
        <v>147</v>
      </c>
      <c r="KAS4" s="14" t="s">
        <v>147</v>
      </c>
      <c r="KBJ4" s="14" t="s">
        <v>147</v>
      </c>
      <c r="KCA4" s="14" t="s">
        <v>147</v>
      </c>
      <c r="KCR4" s="14" t="s">
        <v>147</v>
      </c>
      <c r="KDI4" s="14" t="s">
        <v>147</v>
      </c>
      <c r="KDZ4" s="14" t="s">
        <v>147</v>
      </c>
      <c r="KEQ4" s="14" t="s">
        <v>147</v>
      </c>
      <c r="KFH4" s="14" t="s">
        <v>147</v>
      </c>
      <c r="KFY4" s="14" t="s">
        <v>147</v>
      </c>
      <c r="KGP4" s="14" t="s">
        <v>147</v>
      </c>
      <c r="KHG4" s="14" t="s">
        <v>147</v>
      </c>
      <c r="KHX4" s="14" t="s">
        <v>147</v>
      </c>
      <c r="KIO4" s="14" t="s">
        <v>147</v>
      </c>
      <c r="KJF4" s="14" t="s">
        <v>147</v>
      </c>
      <c r="KJW4" s="14" t="s">
        <v>147</v>
      </c>
      <c r="KKN4" s="14" t="s">
        <v>147</v>
      </c>
      <c r="KLE4" s="14" t="s">
        <v>147</v>
      </c>
      <c r="KLV4" s="14" t="s">
        <v>147</v>
      </c>
      <c r="KMM4" s="14" t="s">
        <v>147</v>
      </c>
      <c r="KND4" s="14" t="s">
        <v>147</v>
      </c>
      <c r="KNU4" s="14" t="s">
        <v>147</v>
      </c>
      <c r="KOL4" s="14" t="s">
        <v>147</v>
      </c>
      <c r="KPC4" s="14" t="s">
        <v>147</v>
      </c>
      <c r="KPT4" s="14" t="s">
        <v>147</v>
      </c>
      <c r="KQK4" s="14" t="s">
        <v>147</v>
      </c>
      <c r="KRB4" s="14" t="s">
        <v>147</v>
      </c>
      <c r="KRS4" s="14" t="s">
        <v>147</v>
      </c>
      <c r="KSJ4" s="14" t="s">
        <v>147</v>
      </c>
      <c r="KTA4" s="14" t="s">
        <v>147</v>
      </c>
      <c r="KTR4" s="14" t="s">
        <v>147</v>
      </c>
      <c r="KUI4" s="14" t="s">
        <v>147</v>
      </c>
      <c r="KUZ4" s="14" t="s">
        <v>147</v>
      </c>
      <c r="KVQ4" s="14" t="s">
        <v>147</v>
      </c>
      <c r="KWH4" s="14" t="s">
        <v>147</v>
      </c>
      <c r="KWY4" s="14" t="s">
        <v>147</v>
      </c>
      <c r="KXP4" s="14" t="s">
        <v>147</v>
      </c>
      <c r="KYG4" s="14" t="s">
        <v>147</v>
      </c>
      <c r="KYX4" s="14" t="s">
        <v>147</v>
      </c>
      <c r="KZO4" s="14" t="s">
        <v>147</v>
      </c>
      <c r="LAF4" s="14" t="s">
        <v>147</v>
      </c>
      <c r="LAW4" s="14" t="s">
        <v>147</v>
      </c>
      <c r="LBN4" s="14" t="s">
        <v>147</v>
      </c>
      <c r="LCE4" s="14" t="s">
        <v>147</v>
      </c>
      <c r="LCV4" s="14" t="s">
        <v>147</v>
      </c>
      <c r="LDM4" s="14" t="s">
        <v>147</v>
      </c>
      <c r="LED4" s="14" t="s">
        <v>147</v>
      </c>
      <c r="LEU4" s="14" t="s">
        <v>147</v>
      </c>
      <c r="LFL4" s="14" t="s">
        <v>147</v>
      </c>
      <c r="LGC4" s="14" t="s">
        <v>147</v>
      </c>
      <c r="LGT4" s="14" t="s">
        <v>147</v>
      </c>
      <c r="LHK4" s="14" t="s">
        <v>147</v>
      </c>
      <c r="LIB4" s="14" t="s">
        <v>147</v>
      </c>
      <c r="LIS4" s="14" t="s">
        <v>147</v>
      </c>
      <c r="LJJ4" s="14" t="s">
        <v>147</v>
      </c>
      <c r="LKA4" s="14" t="s">
        <v>147</v>
      </c>
      <c r="LKR4" s="14" t="s">
        <v>147</v>
      </c>
      <c r="LLI4" s="14" t="s">
        <v>147</v>
      </c>
      <c r="LLZ4" s="14" t="s">
        <v>147</v>
      </c>
      <c r="LMQ4" s="14" t="s">
        <v>147</v>
      </c>
      <c r="LNH4" s="14" t="s">
        <v>147</v>
      </c>
      <c r="LNY4" s="14" t="s">
        <v>147</v>
      </c>
      <c r="LOP4" s="14" t="s">
        <v>147</v>
      </c>
      <c r="LPG4" s="14" t="s">
        <v>147</v>
      </c>
      <c r="LPX4" s="14" t="s">
        <v>147</v>
      </c>
      <c r="LQO4" s="14" t="s">
        <v>147</v>
      </c>
      <c r="LRF4" s="14" t="s">
        <v>147</v>
      </c>
      <c r="LRW4" s="14" t="s">
        <v>147</v>
      </c>
      <c r="LSN4" s="14" t="s">
        <v>147</v>
      </c>
      <c r="LTE4" s="14" t="s">
        <v>147</v>
      </c>
      <c r="LTV4" s="14" t="s">
        <v>147</v>
      </c>
      <c r="LUM4" s="14" t="s">
        <v>147</v>
      </c>
      <c r="LVD4" s="14" t="s">
        <v>147</v>
      </c>
      <c r="LVU4" s="14" t="s">
        <v>147</v>
      </c>
      <c r="LWL4" s="14" t="s">
        <v>147</v>
      </c>
      <c r="LXC4" s="14" t="s">
        <v>147</v>
      </c>
      <c r="LXT4" s="14" t="s">
        <v>147</v>
      </c>
      <c r="LYK4" s="14" t="s">
        <v>147</v>
      </c>
      <c r="LZB4" s="14" t="s">
        <v>147</v>
      </c>
      <c r="LZS4" s="14" t="s">
        <v>147</v>
      </c>
      <c r="MAJ4" s="14" t="s">
        <v>147</v>
      </c>
      <c r="MBA4" s="14" t="s">
        <v>147</v>
      </c>
      <c r="MBR4" s="14" t="s">
        <v>147</v>
      </c>
      <c r="MCI4" s="14" t="s">
        <v>147</v>
      </c>
      <c r="MCZ4" s="14" t="s">
        <v>147</v>
      </c>
      <c r="MDQ4" s="14" t="s">
        <v>147</v>
      </c>
      <c r="MEH4" s="14" t="s">
        <v>147</v>
      </c>
      <c r="MEY4" s="14" t="s">
        <v>147</v>
      </c>
      <c r="MFP4" s="14" t="s">
        <v>147</v>
      </c>
      <c r="MGG4" s="14" t="s">
        <v>147</v>
      </c>
      <c r="MGX4" s="14" t="s">
        <v>147</v>
      </c>
      <c r="MHO4" s="14" t="s">
        <v>147</v>
      </c>
      <c r="MIF4" s="14" t="s">
        <v>147</v>
      </c>
      <c r="MIW4" s="14" t="s">
        <v>147</v>
      </c>
      <c r="MJN4" s="14" t="s">
        <v>147</v>
      </c>
      <c r="MKE4" s="14" t="s">
        <v>147</v>
      </c>
      <c r="MKV4" s="14" t="s">
        <v>147</v>
      </c>
      <c r="MLM4" s="14" t="s">
        <v>147</v>
      </c>
      <c r="MMD4" s="14" t="s">
        <v>147</v>
      </c>
      <c r="MMU4" s="14" t="s">
        <v>147</v>
      </c>
      <c r="MNL4" s="14" t="s">
        <v>147</v>
      </c>
      <c r="MOC4" s="14" t="s">
        <v>147</v>
      </c>
      <c r="MOT4" s="14" t="s">
        <v>147</v>
      </c>
      <c r="MPK4" s="14" t="s">
        <v>147</v>
      </c>
      <c r="MQB4" s="14" t="s">
        <v>147</v>
      </c>
      <c r="MQS4" s="14" t="s">
        <v>147</v>
      </c>
      <c r="MRJ4" s="14" t="s">
        <v>147</v>
      </c>
      <c r="MSA4" s="14" t="s">
        <v>147</v>
      </c>
      <c r="MSR4" s="14" t="s">
        <v>147</v>
      </c>
      <c r="MTI4" s="14" t="s">
        <v>147</v>
      </c>
      <c r="MTZ4" s="14" t="s">
        <v>147</v>
      </c>
      <c r="MUQ4" s="14" t="s">
        <v>147</v>
      </c>
      <c r="MVH4" s="14" t="s">
        <v>147</v>
      </c>
      <c r="MVY4" s="14" t="s">
        <v>147</v>
      </c>
      <c r="MWP4" s="14" t="s">
        <v>147</v>
      </c>
      <c r="MXG4" s="14" t="s">
        <v>147</v>
      </c>
      <c r="MXX4" s="14" t="s">
        <v>147</v>
      </c>
      <c r="MYO4" s="14" t="s">
        <v>147</v>
      </c>
      <c r="MZF4" s="14" t="s">
        <v>147</v>
      </c>
      <c r="MZW4" s="14" t="s">
        <v>147</v>
      </c>
      <c r="NAN4" s="14" t="s">
        <v>147</v>
      </c>
      <c r="NBE4" s="14" t="s">
        <v>147</v>
      </c>
      <c r="NBV4" s="14" t="s">
        <v>147</v>
      </c>
      <c r="NCM4" s="14" t="s">
        <v>147</v>
      </c>
      <c r="NDD4" s="14" t="s">
        <v>147</v>
      </c>
      <c r="NDU4" s="14" t="s">
        <v>147</v>
      </c>
      <c r="NEL4" s="14" t="s">
        <v>147</v>
      </c>
      <c r="NFC4" s="14" t="s">
        <v>147</v>
      </c>
      <c r="NFT4" s="14" t="s">
        <v>147</v>
      </c>
      <c r="NGK4" s="14" t="s">
        <v>147</v>
      </c>
      <c r="NHB4" s="14" t="s">
        <v>147</v>
      </c>
      <c r="NHS4" s="14" t="s">
        <v>147</v>
      </c>
      <c r="NIJ4" s="14" t="s">
        <v>147</v>
      </c>
      <c r="NJA4" s="14" t="s">
        <v>147</v>
      </c>
      <c r="NJR4" s="14" t="s">
        <v>147</v>
      </c>
      <c r="NKI4" s="14" t="s">
        <v>147</v>
      </c>
      <c r="NKZ4" s="14" t="s">
        <v>147</v>
      </c>
      <c r="NLQ4" s="14" t="s">
        <v>147</v>
      </c>
      <c r="NMH4" s="14" t="s">
        <v>147</v>
      </c>
      <c r="NMY4" s="14" t="s">
        <v>147</v>
      </c>
      <c r="NNP4" s="14" t="s">
        <v>147</v>
      </c>
      <c r="NOG4" s="14" t="s">
        <v>147</v>
      </c>
      <c r="NOX4" s="14" t="s">
        <v>147</v>
      </c>
      <c r="NPO4" s="14" t="s">
        <v>147</v>
      </c>
      <c r="NQF4" s="14" t="s">
        <v>147</v>
      </c>
      <c r="NQW4" s="14" t="s">
        <v>147</v>
      </c>
      <c r="NRN4" s="14" t="s">
        <v>147</v>
      </c>
      <c r="NSE4" s="14" t="s">
        <v>147</v>
      </c>
      <c r="NSV4" s="14" t="s">
        <v>147</v>
      </c>
      <c r="NTM4" s="14" t="s">
        <v>147</v>
      </c>
      <c r="NUD4" s="14" t="s">
        <v>147</v>
      </c>
      <c r="NUU4" s="14" t="s">
        <v>147</v>
      </c>
      <c r="NVL4" s="14" t="s">
        <v>147</v>
      </c>
      <c r="NWC4" s="14" t="s">
        <v>147</v>
      </c>
      <c r="NWT4" s="14" t="s">
        <v>147</v>
      </c>
      <c r="NXK4" s="14" t="s">
        <v>147</v>
      </c>
      <c r="NYB4" s="14" t="s">
        <v>147</v>
      </c>
      <c r="NYS4" s="14" t="s">
        <v>147</v>
      </c>
      <c r="NZJ4" s="14" t="s">
        <v>147</v>
      </c>
      <c r="OAA4" s="14" t="s">
        <v>147</v>
      </c>
      <c r="OAR4" s="14" t="s">
        <v>147</v>
      </c>
      <c r="OBI4" s="14" t="s">
        <v>147</v>
      </c>
      <c r="OBZ4" s="14" t="s">
        <v>147</v>
      </c>
      <c r="OCQ4" s="14" t="s">
        <v>147</v>
      </c>
      <c r="ODH4" s="14" t="s">
        <v>147</v>
      </c>
      <c r="ODY4" s="14" t="s">
        <v>147</v>
      </c>
      <c r="OEP4" s="14" t="s">
        <v>147</v>
      </c>
      <c r="OFG4" s="14" t="s">
        <v>147</v>
      </c>
      <c r="OFX4" s="14" t="s">
        <v>147</v>
      </c>
      <c r="OGO4" s="14" t="s">
        <v>147</v>
      </c>
      <c r="OHF4" s="14" t="s">
        <v>147</v>
      </c>
      <c r="OHW4" s="14" t="s">
        <v>147</v>
      </c>
      <c r="OIN4" s="14" t="s">
        <v>147</v>
      </c>
      <c r="OJE4" s="14" t="s">
        <v>147</v>
      </c>
      <c r="OJV4" s="14" t="s">
        <v>147</v>
      </c>
      <c r="OKM4" s="14" t="s">
        <v>147</v>
      </c>
      <c r="OLD4" s="14" t="s">
        <v>147</v>
      </c>
      <c r="OLU4" s="14" t="s">
        <v>147</v>
      </c>
      <c r="OML4" s="14" t="s">
        <v>147</v>
      </c>
      <c r="ONC4" s="14" t="s">
        <v>147</v>
      </c>
      <c r="ONT4" s="14" t="s">
        <v>147</v>
      </c>
      <c r="OOK4" s="14" t="s">
        <v>147</v>
      </c>
      <c r="OPB4" s="14" t="s">
        <v>147</v>
      </c>
      <c r="OPS4" s="14" t="s">
        <v>147</v>
      </c>
      <c r="OQJ4" s="14" t="s">
        <v>147</v>
      </c>
      <c r="ORA4" s="14" t="s">
        <v>147</v>
      </c>
      <c r="ORR4" s="14" t="s">
        <v>147</v>
      </c>
      <c r="OSI4" s="14" t="s">
        <v>147</v>
      </c>
      <c r="OSZ4" s="14" t="s">
        <v>147</v>
      </c>
      <c r="OTQ4" s="14" t="s">
        <v>147</v>
      </c>
      <c r="OUH4" s="14" t="s">
        <v>147</v>
      </c>
      <c r="OUY4" s="14" t="s">
        <v>147</v>
      </c>
      <c r="OVP4" s="14" t="s">
        <v>147</v>
      </c>
      <c r="OWG4" s="14" t="s">
        <v>147</v>
      </c>
      <c r="OWX4" s="14" t="s">
        <v>147</v>
      </c>
      <c r="OXO4" s="14" t="s">
        <v>147</v>
      </c>
      <c r="OYF4" s="14" t="s">
        <v>147</v>
      </c>
      <c r="OYW4" s="14" t="s">
        <v>147</v>
      </c>
      <c r="OZN4" s="14" t="s">
        <v>147</v>
      </c>
      <c r="PAE4" s="14" t="s">
        <v>147</v>
      </c>
      <c r="PAV4" s="14" t="s">
        <v>147</v>
      </c>
      <c r="PBM4" s="14" t="s">
        <v>147</v>
      </c>
      <c r="PCD4" s="14" t="s">
        <v>147</v>
      </c>
      <c r="PCU4" s="14" t="s">
        <v>147</v>
      </c>
      <c r="PDL4" s="14" t="s">
        <v>147</v>
      </c>
      <c r="PEC4" s="14" t="s">
        <v>147</v>
      </c>
      <c r="PET4" s="14" t="s">
        <v>147</v>
      </c>
      <c r="PFK4" s="14" t="s">
        <v>147</v>
      </c>
      <c r="PGB4" s="14" t="s">
        <v>147</v>
      </c>
      <c r="PGS4" s="14" t="s">
        <v>147</v>
      </c>
      <c r="PHJ4" s="14" t="s">
        <v>147</v>
      </c>
      <c r="PIA4" s="14" t="s">
        <v>147</v>
      </c>
      <c r="PIR4" s="14" t="s">
        <v>147</v>
      </c>
      <c r="PJI4" s="14" t="s">
        <v>147</v>
      </c>
      <c r="PJZ4" s="14" t="s">
        <v>147</v>
      </c>
      <c r="PKQ4" s="14" t="s">
        <v>147</v>
      </c>
      <c r="PLH4" s="14" t="s">
        <v>147</v>
      </c>
      <c r="PLY4" s="14" t="s">
        <v>147</v>
      </c>
      <c r="PMP4" s="14" t="s">
        <v>147</v>
      </c>
      <c r="PNG4" s="14" t="s">
        <v>147</v>
      </c>
      <c r="PNX4" s="14" t="s">
        <v>147</v>
      </c>
      <c r="POO4" s="14" t="s">
        <v>147</v>
      </c>
      <c r="PPF4" s="14" t="s">
        <v>147</v>
      </c>
      <c r="PPW4" s="14" t="s">
        <v>147</v>
      </c>
      <c r="PQN4" s="14" t="s">
        <v>147</v>
      </c>
      <c r="PRE4" s="14" t="s">
        <v>147</v>
      </c>
      <c r="PRV4" s="14" t="s">
        <v>147</v>
      </c>
      <c r="PSM4" s="14" t="s">
        <v>147</v>
      </c>
      <c r="PTD4" s="14" t="s">
        <v>147</v>
      </c>
      <c r="PTU4" s="14" t="s">
        <v>147</v>
      </c>
      <c r="PUL4" s="14" t="s">
        <v>147</v>
      </c>
      <c r="PVC4" s="14" t="s">
        <v>147</v>
      </c>
      <c r="PVT4" s="14" t="s">
        <v>147</v>
      </c>
      <c r="PWK4" s="14" t="s">
        <v>147</v>
      </c>
      <c r="PXB4" s="14" t="s">
        <v>147</v>
      </c>
      <c r="PXS4" s="14" t="s">
        <v>147</v>
      </c>
      <c r="PYJ4" s="14" t="s">
        <v>147</v>
      </c>
      <c r="PZA4" s="14" t="s">
        <v>147</v>
      </c>
      <c r="PZR4" s="14" t="s">
        <v>147</v>
      </c>
      <c r="QAI4" s="14" t="s">
        <v>147</v>
      </c>
      <c r="QAZ4" s="14" t="s">
        <v>147</v>
      </c>
      <c r="QBQ4" s="14" t="s">
        <v>147</v>
      </c>
      <c r="QCH4" s="14" t="s">
        <v>147</v>
      </c>
      <c r="QCY4" s="14" t="s">
        <v>147</v>
      </c>
      <c r="QDP4" s="14" t="s">
        <v>147</v>
      </c>
      <c r="QEG4" s="14" t="s">
        <v>147</v>
      </c>
      <c r="QEX4" s="14" t="s">
        <v>147</v>
      </c>
      <c r="QFO4" s="14" t="s">
        <v>147</v>
      </c>
      <c r="QGF4" s="14" t="s">
        <v>147</v>
      </c>
      <c r="QGW4" s="14" t="s">
        <v>147</v>
      </c>
      <c r="QHN4" s="14" t="s">
        <v>147</v>
      </c>
      <c r="QIE4" s="14" t="s">
        <v>147</v>
      </c>
      <c r="QIV4" s="14" t="s">
        <v>147</v>
      </c>
      <c r="QJM4" s="14" t="s">
        <v>147</v>
      </c>
      <c r="QKD4" s="14" t="s">
        <v>147</v>
      </c>
      <c r="QKU4" s="14" t="s">
        <v>147</v>
      </c>
      <c r="QLL4" s="14" t="s">
        <v>147</v>
      </c>
      <c r="QMC4" s="14" t="s">
        <v>147</v>
      </c>
      <c r="QMT4" s="14" t="s">
        <v>147</v>
      </c>
      <c r="QNK4" s="14" t="s">
        <v>147</v>
      </c>
      <c r="QOB4" s="14" t="s">
        <v>147</v>
      </c>
      <c r="QOS4" s="14" t="s">
        <v>147</v>
      </c>
      <c r="QPJ4" s="14" t="s">
        <v>147</v>
      </c>
      <c r="QQA4" s="14" t="s">
        <v>147</v>
      </c>
      <c r="QQR4" s="14" t="s">
        <v>147</v>
      </c>
      <c r="QRI4" s="14" t="s">
        <v>147</v>
      </c>
      <c r="QRZ4" s="14" t="s">
        <v>147</v>
      </c>
      <c r="QSQ4" s="14" t="s">
        <v>147</v>
      </c>
      <c r="QTH4" s="14" t="s">
        <v>147</v>
      </c>
      <c r="QTY4" s="14" t="s">
        <v>147</v>
      </c>
      <c r="QUP4" s="14" t="s">
        <v>147</v>
      </c>
      <c r="QVG4" s="14" t="s">
        <v>147</v>
      </c>
      <c r="QVX4" s="14" t="s">
        <v>147</v>
      </c>
      <c r="QWO4" s="14" t="s">
        <v>147</v>
      </c>
      <c r="QXF4" s="14" t="s">
        <v>147</v>
      </c>
      <c r="QXW4" s="14" t="s">
        <v>147</v>
      </c>
      <c r="QYN4" s="14" t="s">
        <v>147</v>
      </c>
      <c r="QZE4" s="14" t="s">
        <v>147</v>
      </c>
      <c r="QZV4" s="14" t="s">
        <v>147</v>
      </c>
      <c r="RAM4" s="14" t="s">
        <v>147</v>
      </c>
      <c r="RBD4" s="14" t="s">
        <v>147</v>
      </c>
      <c r="RBU4" s="14" t="s">
        <v>147</v>
      </c>
      <c r="RCL4" s="14" t="s">
        <v>147</v>
      </c>
      <c r="RDC4" s="14" t="s">
        <v>147</v>
      </c>
      <c r="RDT4" s="14" t="s">
        <v>147</v>
      </c>
      <c r="REK4" s="14" t="s">
        <v>147</v>
      </c>
      <c r="RFB4" s="14" t="s">
        <v>147</v>
      </c>
      <c r="RFS4" s="14" t="s">
        <v>147</v>
      </c>
      <c r="RGJ4" s="14" t="s">
        <v>147</v>
      </c>
      <c r="RHA4" s="14" t="s">
        <v>147</v>
      </c>
      <c r="RHR4" s="14" t="s">
        <v>147</v>
      </c>
      <c r="RII4" s="14" t="s">
        <v>147</v>
      </c>
      <c r="RIZ4" s="14" t="s">
        <v>147</v>
      </c>
      <c r="RJQ4" s="14" t="s">
        <v>147</v>
      </c>
      <c r="RKH4" s="14" t="s">
        <v>147</v>
      </c>
      <c r="RKY4" s="14" t="s">
        <v>147</v>
      </c>
      <c r="RLP4" s="14" t="s">
        <v>147</v>
      </c>
      <c r="RMG4" s="14" t="s">
        <v>147</v>
      </c>
      <c r="RMX4" s="14" t="s">
        <v>147</v>
      </c>
      <c r="RNO4" s="14" t="s">
        <v>147</v>
      </c>
      <c r="ROF4" s="14" t="s">
        <v>147</v>
      </c>
      <c r="ROW4" s="14" t="s">
        <v>147</v>
      </c>
      <c r="RPN4" s="14" t="s">
        <v>147</v>
      </c>
      <c r="RQE4" s="14" t="s">
        <v>147</v>
      </c>
      <c r="RQV4" s="14" t="s">
        <v>147</v>
      </c>
      <c r="RRM4" s="14" t="s">
        <v>147</v>
      </c>
      <c r="RSD4" s="14" t="s">
        <v>147</v>
      </c>
      <c r="RSU4" s="14" t="s">
        <v>147</v>
      </c>
      <c r="RTL4" s="14" t="s">
        <v>147</v>
      </c>
      <c r="RUC4" s="14" t="s">
        <v>147</v>
      </c>
      <c r="RUT4" s="14" t="s">
        <v>147</v>
      </c>
      <c r="RVK4" s="14" t="s">
        <v>147</v>
      </c>
      <c r="RWB4" s="14" t="s">
        <v>147</v>
      </c>
      <c r="RWS4" s="14" t="s">
        <v>147</v>
      </c>
      <c r="RXJ4" s="14" t="s">
        <v>147</v>
      </c>
      <c r="RYA4" s="14" t="s">
        <v>147</v>
      </c>
      <c r="RYR4" s="14" t="s">
        <v>147</v>
      </c>
      <c r="RZI4" s="14" t="s">
        <v>147</v>
      </c>
      <c r="RZZ4" s="14" t="s">
        <v>147</v>
      </c>
      <c r="SAQ4" s="14" t="s">
        <v>147</v>
      </c>
      <c r="SBH4" s="14" t="s">
        <v>147</v>
      </c>
      <c r="SBY4" s="14" t="s">
        <v>147</v>
      </c>
      <c r="SCP4" s="14" t="s">
        <v>147</v>
      </c>
      <c r="SDG4" s="14" t="s">
        <v>147</v>
      </c>
      <c r="SDX4" s="14" t="s">
        <v>147</v>
      </c>
      <c r="SEO4" s="14" t="s">
        <v>147</v>
      </c>
      <c r="SFF4" s="14" t="s">
        <v>147</v>
      </c>
      <c r="SFW4" s="14" t="s">
        <v>147</v>
      </c>
      <c r="SGN4" s="14" t="s">
        <v>147</v>
      </c>
      <c r="SHE4" s="14" t="s">
        <v>147</v>
      </c>
      <c r="SHV4" s="14" t="s">
        <v>147</v>
      </c>
      <c r="SIM4" s="14" t="s">
        <v>147</v>
      </c>
      <c r="SJD4" s="14" t="s">
        <v>147</v>
      </c>
      <c r="SJU4" s="14" t="s">
        <v>147</v>
      </c>
      <c r="SKL4" s="14" t="s">
        <v>147</v>
      </c>
      <c r="SLC4" s="14" t="s">
        <v>147</v>
      </c>
      <c r="SLT4" s="14" t="s">
        <v>147</v>
      </c>
      <c r="SMK4" s="14" t="s">
        <v>147</v>
      </c>
      <c r="SNB4" s="14" t="s">
        <v>147</v>
      </c>
      <c r="SNS4" s="14" t="s">
        <v>147</v>
      </c>
      <c r="SOJ4" s="14" t="s">
        <v>147</v>
      </c>
      <c r="SPA4" s="14" t="s">
        <v>147</v>
      </c>
      <c r="SPR4" s="14" t="s">
        <v>147</v>
      </c>
      <c r="SQI4" s="14" t="s">
        <v>147</v>
      </c>
      <c r="SQZ4" s="14" t="s">
        <v>147</v>
      </c>
      <c r="SRQ4" s="14" t="s">
        <v>147</v>
      </c>
      <c r="SSH4" s="14" t="s">
        <v>147</v>
      </c>
      <c r="SSY4" s="14" t="s">
        <v>147</v>
      </c>
      <c r="STP4" s="14" t="s">
        <v>147</v>
      </c>
      <c r="SUG4" s="14" t="s">
        <v>147</v>
      </c>
      <c r="SUX4" s="14" t="s">
        <v>147</v>
      </c>
      <c r="SVO4" s="14" t="s">
        <v>147</v>
      </c>
      <c r="SWF4" s="14" t="s">
        <v>147</v>
      </c>
      <c r="SWW4" s="14" t="s">
        <v>147</v>
      </c>
      <c r="SXN4" s="14" t="s">
        <v>147</v>
      </c>
      <c r="SYE4" s="14" t="s">
        <v>147</v>
      </c>
      <c r="SYV4" s="14" t="s">
        <v>147</v>
      </c>
      <c r="SZM4" s="14" t="s">
        <v>147</v>
      </c>
      <c r="TAD4" s="14" t="s">
        <v>147</v>
      </c>
      <c r="TAU4" s="14" t="s">
        <v>147</v>
      </c>
      <c r="TBL4" s="14" t="s">
        <v>147</v>
      </c>
      <c r="TCC4" s="14" t="s">
        <v>147</v>
      </c>
      <c r="TCT4" s="14" t="s">
        <v>147</v>
      </c>
      <c r="TDK4" s="14" t="s">
        <v>147</v>
      </c>
      <c r="TEB4" s="14" t="s">
        <v>147</v>
      </c>
      <c r="TES4" s="14" t="s">
        <v>147</v>
      </c>
      <c r="TFJ4" s="14" t="s">
        <v>147</v>
      </c>
      <c r="TGA4" s="14" t="s">
        <v>147</v>
      </c>
      <c r="TGR4" s="14" t="s">
        <v>147</v>
      </c>
      <c r="THI4" s="14" t="s">
        <v>147</v>
      </c>
      <c r="THZ4" s="14" t="s">
        <v>147</v>
      </c>
      <c r="TIQ4" s="14" t="s">
        <v>147</v>
      </c>
      <c r="TJH4" s="14" t="s">
        <v>147</v>
      </c>
      <c r="TJY4" s="14" t="s">
        <v>147</v>
      </c>
      <c r="TKP4" s="14" t="s">
        <v>147</v>
      </c>
      <c r="TLG4" s="14" t="s">
        <v>147</v>
      </c>
      <c r="TLX4" s="14" t="s">
        <v>147</v>
      </c>
      <c r="TMO4" s="14" t="s">
        <v>147</v>
      </c>
      <c r="TNF4" s="14" t="s">
        <v>147</v>
      </c>
      <c r="TNW4" s="14" t="s">
        <v>147</v>
      </c>
      <c r="TON4" s="14" t="s">
        <v>147</v>
      </c>
      <c r="TPE4" s="14" t="s">
        <v>147</v>
      </c>
      <c r="TPV4" s="14" t="s">
        <v>147</v>
      </c>
      <c r="TQM4" s="14" t="s">
        <v>147</v>
      </c>
      <c r="TRD4" s="14" t="s">
        <v>147</v>
      </c>
      <c r="TRU4" s="14" t="s">
        <v>147</v>
      </c>
      <c r="TSL4" s="14" t="s">
        <v>147</v>
      </c>
      <c r="TTC4" s="14" t="s">
        <v>147</v>
      </c>
      <c r="TTT4" s="14" t="s">
        <v>147</v>
      </c>
      <c r="TUK4" s="14" t="s">
        <v>147</v>
      </c>
      <c r="TVB4" s="14" t="s">
        <v>147</v>
      </c>
      <c r="TVS4" s="14" t="s">
        <v>147</v>
      </c>
      <c r="TWJ4" s="14" t="s">
        <v>147</v>
      </c>
      <c r="TXA4" s="14" t="s">
        <v>147</v>
      </c>
      <c r="TXR4" s="14" t="s">
        <v>147</v>
      </c>
      <c r="TYI4" s="14" t="s">
        <v>147</v>
      </c>
      <c r="TYZ4" s="14" t="s">
        <v>147</v>
      </c>
      <c r="TZQ4" s="14" t="s">
        <v>147</v>
      </c>
      <c r="UAH4" s="14" t="s">
        <v>147</v>
      </c>
      <c r="UAY4" s="14" t="s">
        <v>147</v>
      </c>
      <c r="UBP4" s="14" t="s">
        <v>147</v>
      </c>
      <c r="UCG4" s="14" t="s">
        <v>147</v>
      </c>
      <c r="UCX4" s="14" t="s">
        <v>147</v>
      </c>
      <c r="UDO4" s="14" t="s">
        <v>147</v>
      </c>
      <c r="UEF4" s="14" t="s">
        <v>147</v>
      </c>
      <c r="UEW4" s="14" t="s">
        <v>147</v>
      </c>
      <c r="UFN4" s="14" t="s">
        <v>147</v>
      </c>
      <c r="UGE4" s="14" t="s">
        <v>147</v>
      </c>
      <c r="UGV4" s="14" t="s">
        <v>147</v>
      </c>
      <c r="UHM4" s="14" t="s">
        <v>147</v>
      </c>
      <c r="UID4" s="14" t="s">
        <v>147</v>
      </c>
      <c r="UIU4" s="14" t="s">
        <v>147</v>
      </c>
      <c r="UJL4" s="14" t="s">
        <v>147</v>
      </c>
      <c r="UKC4" s="14" t="s">
        <v>147</v>
      </c>
      <c r="UKT4" s="14" t="s">
        <v>147</v>
      </c>
      <c r="ULK4" s="14" t="s">
        <v>147</v>
      </c>
      <c r="UMB4" s="14" t="s">
        <v>147</v>
      </c>
      <c r="UMS4" s="14" t="s">
        <v>147</v>
      </c>
      <c r="UNJ4" s="14" t="s">
        <v>147</v>
      </c>
      <c r="UOA4" s="14" t="s">
        <v>147</v>
      </c>
      <c r="UOR4" s="14" t="s">
        <v>147</v>
      </c>
      <c r="UPI4" s="14" t="s">
        <v>147</v>
      </c>
      <c r="UPZ4" s="14" t="s">
        <v>147</v>
      </c>
      <c r="UQQ4" s="14" t="s">
        <v>147</v>
      </c>
      <c r="URH4" s="14" t="s">
        <v>147</v>
      </c>
      <c r="URY4" s="14" t="s">
        <v>147</v>
      </c>
      <c r="USP4" s="14" t="s">
        <v>147</v>
      </c>
      <c r="UTG4" s="14" t="s">
        <v>147</v>
      </c>
      <c r="UTX4" s="14" t="s">
        <v>147</v>
      </c>
      <c r="UUO4" s="14" t="s">
        <v>147</v>
      </c>
      <c r="UVF4" s="14" t="s">
        <v>147</v>
      </c>
      <c r="UVW4" s="14" t="s">
        <v>147</v>
      </c>
      <c r="UWN4" s="14" t="s">
        <v>147</v>
      </c>
      <c r="UXE4" s="14" t="s">
        <v>147</v>
      </c>
      <c r="UXV4" s="14" t="s">
        <v>147</v>
      </c>
      <c r="UYM4" s="14" t="s">
        <v>147</v>
      </c>
      <c r="UZD4" s="14" t="s">
        <v>147</v>
      </c>
      <c r="UZU4" s="14" t="s">
        <v>147</v>
      </c>
      <c r="VAL4" s="14" t="s">
        <v>147</v>
      </c>
      <c r="VBC4" s="14" t="s">
        <v>147</v>
      </c>
      <c r="VBT4" s="14" t="s">
        <v>147</v>
      </c>
      <c r="VCK4" s="14" t="s">
        <v>147</v>
      </c>
      <c r="VDB4" s="14" t="s">
        <v>147</v>
      </c>
      <c r="VDS4" s="14" t="s">
        <v>147</v>
      </c>
      <c r="VEJ4" s="14" t="s">
        <v>147</v>
      </c>
      <c r="VFA4" s="14" t="s">
        <v>147</v>
      </c>
      <c r="VFR4" s="14" t="s">
        <v>147</v>
      </c>
      <c r="VGI4" s="14" t="s">
        <v>147</v>
      </c>
      <c r="VGZ4" s="14" t="s">
        <v>147</v>
      </c>
      <c r="VHQ4" s="14" t="s">
        <v>147</v>
      </c>
      <c r="VIH4" s="14" t="s">
        <v>147</v>
      </c>
      <c r="VIY4" s="14" t="s">
        <v>147</v>
      </c>
      <c r="VJP4" s="14" t="s">
        <v>147</v>
      </c>
      <c r="VKG4" s="14" t="s">
        <v>147</v>
      </c>
      <c r="VKX4" s="14" t="s">
        <v>147</v>
      </c>
      <c r="VLO4" s="14" t="s">
        <v>147</v>
      </c>
      <c r="VMF4" s="14" t="s">
        <v>147</v>
      </c>
      <c r="VMW4" s="14" t="s">
        <v>147</v>
      </c>
      <c r="VNN4" s="14" t="s">
        <v>147</v>
      </c>
      <c r="VOE4" s="14" t="s">
        <v>147</v>
      </c>
      <c r="VOV4" s="14" t="s">
        <v>147</v>
      </c>
      <c r="VPM4" s="14" t="s">
        <v>147</v>
      </c>
      <c r="VQD4" s="14" t="s">
        <v>147</v>
      </c>
      <c r="VQU4" s="14" t="s">
        <v>147</v>
      </c>
      <c r="VRL4" s="14" t="s">
        <v>147</v>
      </c>
      <c r="VSC4" s="14" t="s">
        <v>147</v>
      </c>
      <c r="VST4" s="14" t="s">
        <v>147</v>
      </c>
      <c r="VTK4" s="14" t="s">
        <v>147</v>
      </c>
      <c r="VUB4" s="14" t="s">
        <v>147</v>
      </c>
      <c r="VUS4" s="14" t="s">
        <v>147</v>
      </c>
      <c r="VVJ4" s="14" t="s">
        <v>147</v>
      </c>
      <c r="VWA4" s="14" t="s">
        <v>147</v>
      </c>
      <c r="VWR4" s="14" t="s">
        <v>147</v>
      </c>
      <c r="VXI4" s="14" t="s">
        <v>147</v>
      </c>
      <c r="VXZ4" s="14" t="s">
        <v>147</v>
      </c>
      <c r="VYQ4" s="14" t="s">
        <v>147</v>
      </c>
      <c r="VZH4" s="14" t="s">
        <v>147</v>
      </c>
      <c r="VZY4" s="14" t="s">
        <v>147</v>
      </c>
      <c r="WAP4" s="14" t="s">
        <v>147</v>
      </c>
      <c r="WBG4" s="14" t="s">
        <v>147</v>
      </c>
      <c r="WBX4" s="14" t="s">
        <v>147</v>
      </c>
      <c r="WCO4" s="14" t="s">
        <v>147</v>
      </c>
      <c r="WDF4" s="14" t="s">
        <v>147</v>
      </c>
      <c r="WDW4" s="14" t="s">
        <v>147</v>
      </c>
      <c r="WEN4" s="14" t="s">
        <v>147</v>
      </c>
      <c r="WFE4" s="14" t="s">
        <v>147</v>
      </c>
      <c r="WFV4" s="14" t="s">
        <v>147</v>
      </c>
      <c r="WGM4" s="14" t="s">
        <v>147</v>
      </c>
      <c r="WHD4" s="14" t="s">
        <v>147</v>
      </c>
      <c r="WHU4" s="14" t="s">
        <v>147</v>
      </c>
      <c r="WIL4" s="14" t="s">
        <v>147</v>
      </c>
      <c r="WJC4" s="14" t="s">
        <v>147</v>
      </c>
      <c r="WJT4" s="14" t="s">
        <v>147</v>
      </c>
      <c r="WKK4" s="14" t="s">
        <v>147</v>
      </c>
      <c r="WLB4" s="14" t="s">
        <v>147</v>
      </c>
      <c r="WLS4" s="14" t="s">
        <v>147</v>
      </c>
      <c r="WMJ4" s="14" t="s">
        <v>147</v>
      </c>
      <c r="WNA4" s="14" t="s">
        <v>147</v>
      </c>
      <c r="WNR4" s="14" t="s">
        <v>147</v>
      </c>
      <c r="WOI4" s="14" t="s">
        <v>147</v>
      </c>
      <c r="WOZ4" s="14" t="s">
        <v>147</v>
      </c>
      <c r="WPQ4" s="14" t="s">
        <v>147</v>
      </c>
      <c r="WQH4" s="14" t="s">
        <v>147</v>
      </c>
      <c r="WQY4" s="14" t="s">
        <v>147</v>
      </c>
      <c r="WRP4" s="14" t="s">
        <v>147</v>
      </c>
      <c r="WSG4" s="14" t="s">
        <v>147</v>
      </c>
      <c r="WSX4" s="14" t="s">
        <v>147</v>
      </c>
      <c r="WTO4" s="14" t="s">
        <v>147</v>
      </c>
      <c r="WUF4" s="14" t="s">
        <v>147</v>
      </c>
      <c r="WUW4" s="14" t="s">
        <v>147</v>
      </c>
      <c r="WVN4" s="14" t="s">
        <v>147</v>
      </c>
      <c r="WWE4" s="14" t="s">
        <v>147</v>
      </c>
      <c r="WWV4" s="14" t="s">
        <v>147</v>
      </c>
      <c r="WXM4" s="14" t="s">
        <v>147</v>
      </c>
      <c r="WYD4" s="14" t="s">
        <v>147</v>
      </c>
      <c r="WYU4" s="14" t="s">
        <v>147</v>
      </c>
      <c r="WZL4" s="14" t="s">
        <v>147</v>
      </c>
      <c r="XAC4" s="14" t="s">
        <v>147</v>
      </c>
      <c r="XAT4" s="14" t="s">
        <v>147</v>
      </c>
      <c r="XBK4" s="14" t="s">
        <v>147</v>
      </c>
      <c r="XCB4" s="14" t="s">
        <v>147</v>
      </c>
      <c r="XCS4" s="14" t="s">
        <v>147</v>
      </c>
      <c r="XDJ4" s="14" t="s">
        <v>147</v>
      </c>
      <c r="XEA4" s="14" t="s">
        <v>147</v>
      </c>
      <c r="XER4" s="13" t="s">
        <v>147</v>
      </c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12.8" hidden="false" customHeight="false" outlineLevel="0" collapsed="false">
      <c r="A5" s="15" t="s">
        <v>148</v>
      </c>
      <c r="B5" s="5" t="s">
        <v>149</v>
      </c>
      <c r="C5" s="2" t="s">
        <v>150</v>
      </c>
      <c r="D5" s="5" t="n">
        <v>50.5</v>
      </c>
      <c r="E5" s="5" t="s">
        <v>151</v>
      </c>
      <c r="F5" s="5" t="s">
        <v>152</v>
      </c>
      <c r="G5" s="5" t="s">
        <v>153</v>
      </c>
      <c r="H5" s="5" t="s">
        <v>154</v>
      </c>
      <c r="I5" s="5" t="s">
        <v>155</v>
      </c>
      <c r="J5" s="5" t="s">
        <v>156</v>
      </c>
    </row>
    <row r="6" customFormat="false" ht="12.8" hidden="false" customHeight="false" outlineLevel="0" collapsed="false">
      <c r="A6" s="15" t="s">
        <v>157</v>
      </c>
      <c r="B6" s="5" t="s">
        <v>158</v>
      </c>
      <c r="C6" s="2" t="s">
        <v>159</v>
      </c>
      <c r="D6" s="5" t="n">
        <v>12.3</v>
      </c>
      <c r="E6" s="5" t="s">
        <v>160</v>
      </c>
      <c r="F6" s="5" t="s">
        <v>161</v>
      </c>
      <c r="G6" s="5" t="s">
        <v>162</v>
      </c>
      <c r="H6" s="5" t="s">
        <v>163</v>
      </c>
      <c r="I6" s="5" t="s">
        <v>164</v>
      </c>
      <c r="J6" s="5" t="s">
        <v>165</v>
      </c>
    </row>
    <row r="7" customFormat="false" ht="12.8" hidden="false" customHeight="false" outlineLevel="0" collapsed="false">
      <c r="A7" s="15" t="s">
        <v>166</v>
      </c>
      <c r="B7" s="5" t="s">
        <v>167</v>
      </c>
      <c r="C7" s="2" t="s">
        <v>168</v>
      </c>
      <c r="D7" s="5" t="n">
        <v>140</v>
      </c>
      <c r="E7" s="5" t="s">
        <v>169</v>
      </c>
      <c r="F7" s="5" t="s">
        <v>170</v>
      </c>
      <c r="G7" s="5" t="s">
        <v>171</v>
      </c>
      <c r="H7" s="5" t="s">
        <v>172</v>
      </c>
      <c r="I7" s="5" t="s">
        <v>173</v>
      </c>
      <c r="J7" s="5" t="s">
        <v>174</v>
      </c>
    </row>
    <row r="8" customFormat="false" ht="12.8" hidden="false" customHeight="false" outlineLevel="0" collapsed="false">
      <c r="A8" s="15" t="s">
        <v>175</v>
      </c>
      <c r="B8" s="5" t="s">
        <v>176</v>
      </c>
      <c r="C8" s="2" t="s">
        <v>177</v>
      </c>
      <c r="D8" s="5" t="n">
        <v>65</v>
      </c>
      <c r="E8" s="5" t="s">
        <v>178</v>
      </c>
      <c r="F8" s="5" t="s">
        <v>179</v>
      </c>
      <c r="G8" s="5" t="s">
        <v>180</v>
      </c>
      <c r="H8" s="5" t="s">
        <v>181</v>
      </c>
      <c r="I8" s="5" t="s">
        <v>182</v>
      </c>
      <c r="J8" s="5" t="s">
        <v>183</v>
      </c>
    </row>
    <row r="9" customFormat="false" ht="12.8" hidden="false" customHeight="false" outlineLevel="0" collapsed="false">
      <c r="A9" s="15" t="s">
        <v>184</v>
      </c>
      <c r="B9" s="5" t="s">
        <v>185</v>
      </c>
      <c r="C9" s="2" t="s">
        <v>186</v>
      </c>
      <c r="D9" s="5" t="s">
        <v>187</v>
      </c>
      <c r="E9" s="5" t="s">
        <v>188</v>
      </c>
      <c r="F9" s="5" t="s">
        <v>189</v>
      </c>
      <c r="G9" s="5" t="s">
        <v>190</v>
      </c>
      <c r="H9" s="5" t="s">
        <v>191</v>
      </c>
      <c r="I9" s="5" t="s">
        <v>192</v>
      </c>
      <c r="J9" s="5" t="s">
        <v>193</v>
      </c>
    </row>
    <row r="10" customFormat="false" ht="12.8" hidden="false" customHeight="false" outlineLevel="0" collapsed="false">
      <c r="A10" s="15" t="s">
        <v>194</v>
      </c>
      <c r="B10" s="5" t="s">
        <v>195</v>
      </c>
      <c r="C10" s="2" t="s">
        <v>196</v>
      </c>
      <c r="D10" s="5" t="n">
        <v>1</v>
      </c>
      <c r="E10" s="5" t="s">
        <v>152</v>
      </c>
      <c r="F10" s="5" t="s">
        <v>197</v>
      </c>
      <c r="G10" s="5" t="s">
        <v>198</v>
      </c>
      <c r="H10" s="5" t="s">
        <v>199</v>
      </c>
      <c r="I10" s="5" t="s">
        <v>200</v>
      </c>
      <c r="J10" s="5" t="s">
        <v>201</v>
      </c>
    </row>
    <row r="11" customFormat="false" ht="12.8" hidden="false" customHeight="false" outlineLevel="0" collapsed="false">
      <c r="A11" s="15" t="s">
        <v>202</v>
      </c>
      <c r="B11" s="5" t="s">
        <v>203</v>
      </c>
      <c r="C11" s="2" t="s">
        <v>204</v>
      </c>
      <c r="D11" s="5" t="s">
        <v>205</v>
      </c>
      <c r="E11" s="5" t="s">
        <v>206</v>
      </c>
      <c r="F11" s="5" t="s">
        <v>161</v>
      </c>
      <c r="G11" s="5" t="s">
        <v>207</v>
      </c>
      <c r="H11" s="5" t="s">
        <v>208</v>
      </c>
      <c r="I11" s="5" t="s">
        <v>209</v>
      </c>
      <c r="J11" s="5" t="s">
        <v>210</v>
      </c>
    </row>
    <row r="12" customFormat="false" ht="12.8" hidden="false" customHeight="false" outlineLevel="0" collapsed="false">
      <c r="A12" s="14" t="s">
        <v>211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customFormat="false" ht="12.8" hidden="false" customHeight="false" outlineLevel="0" collapsed="false">
      <c r="A13" s="15" t="s">
        <v>212</v>
      </c>
      <c r="B13" s="5" t="s">
        <v>213</v>
      </c>
      <c r="C13" s="2" t="s">
        <v>214</v>
      </c>
      <c r="D13" s="5" t="n">
        <v>40</v>
      </c>
      <c r="E13" s="5" t="s">
        <v>215</v>
      </c>
      <c r="F13" s="5" t="s">
        <v>179</v>
      </c>
      <c r="G13" s="5" t="s">
        <v>216</v>
      </c>
      <c r="H13" s="5" t="s">
        <v>217</v>
      </c>
      <c r="I13" s="5" t="s">
        <v>218</v>
      </c>
      <c r="J13" s="5" t="s">
        <v>219</v>
      </c>
    </row>
    <row r="14" customFormat="false" ht="12.8" hidden="false" customHeight="false" outlineLevel="0" collapsed="false">
      <c r="A14" s="15" t="s">
        <v>220</v>
      </c>
      <c r="B14" s="5" t="s">
        <v>221</v>
      </c>
      <c r="C14" s="2" t="s">
        <v>222</v>
      </c>
      <c r="D14" s="5" t="n">
        <v>112.2</v>
      </c>
      <c r="E14" s="5" t="s">
        <v>223</v>
      </c>
      <c r="F14" s="5" t="s">
        <v>152</v>
      </c>
      <c r="G14" s="5" t="s">
        <v>224</v>
      </c>
      <c r="H14" s="5" t="s">
        <v>225</v>
      </c>
      <c r="I14" s="5" t="s">
        <v>226</v>
      </c>
      <c r="J14" s="5" t="s">
        <v>227</v>
      </c>
    </row>
    <row r="15" customFormat="false" ht="12.8" hidden="false" customHeight="false" outlineLevel="0" collapsed="false">
      <c r="A15" s="2" t="s">
        <v>228</v>
      </c>
      <c r="B15" s="2" t="s">
        <v>229</v>
      </c>
      <c r="C15" s="2"/>
      <c r="D15" s="2" t="s">
        <v>230</v>
      </c>
      <c r="E15" s="2" t="s">
        <v>231</v>
      </c>
      <c r="F15" s="2" t="s">
        <v>232</v>
      </c>
      <c r="G15" s="11" t="s">
        <v>233</v>
      </c>
      <c r="H15" s="2" t="s">
        <v>234</v>
      </c>
      <c r="I15" s="2" t="s">
        <v>235</v>
      </c>
      <c r="J15" s="5" t="s">
        <v>236</v>
      </c>
    </row>
    <row r="16" customFormat="false" ht="12.8" hidden="false" customHeight="false" outlineLevel="0" collapsed="false"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  <c r="XFD16" s="6"/>
    </row>
    <row r="17" s="6" customFormat="true" ht="68.65" hidden="false" customHeight="false" outlineLevel="0" collapsed="false">
      <c r="A17" s="2" t="s">
        <v>237</v>
      </c>
      <c r="B17" s="16" t="s">
        <v>238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="6" customFormat="true" ht="12.8" hidden="false" customHeight="false" outlineLevel="0" collapsed="false">
      <c r="A18" s="13" t="s">
        <v>137</v>
      </c>
      <c r="B18" s="13" t="s">
        <v>138</v>
      </c>
      <c r="C18" s="13" t="s">
        <v>239</v>
      </c>
      <c r="D18" s="13" t="s">
        <v>240</v>
      </c>
      <c r="E18" s="13" t="s">
        <v>241</v>
      </c>
      <c r="F18" s="13" t="s">
        <v>242</v>
      </c>
      <c r="G18" s="13" t="s">
        <v>243</v>
      </c>
      <c r="H18" s="13" t="s">
        <v>244</v>
      </c>
      <c r="I18" s="13" t="s">
        <v>245</v>
      </c>
      <c r="J18" s="13" t="s">
        <v>246</v>
      </c>
      <c r="K18" s="13" t="s">
        <v>247</v>
      </c>
      <c r="L18" s="13" t="s">
        <v>248</v>
      </c>
      <c r="M18" s="13" t="s">
        <v>249</v>
      </c>
      <c r="N18" s="13" t="s">
        <v>243</v>
      </c>
      <c r="O18" s="13" t="s">
        <v>250</v>
      </c>
      <c r="P18" s="13" t="s">
        <v>251</v>
      </c>
      <c r="Q18" s="13" t="s">
        <v>252</v>
      </c>
      <c r="R18" s="13" t="s">
        <v>253</v>
      </c>
      <c r="S18" s="13" t="s">
        <v>254</v>
      </c>
      <c r="T18" s="13"/>
      <c r="U18" s="13"/>
      <c r="V18" s="13"/>
      <c r="XES18" s="0"/>
      <c r="XET18" s="0"/>
      <c r="XEU18" s="0"/>
      <c r="XEV18" s="0"/>
      <c r="XEW18" s="0"/>
      <c r="XEX18" s="0"/>
      <c r="XEY18" s="0"/>
      <c r="XEZ18" s="0"/>
      <c r="XFA18" s="0"/>
      <c r="XFB18" s="0"/>
      <c r="XFC18" s="0"/>
      <c r="XFD18" s="0"/>
    </row>
    <row r="19" s="6" customFormat="true" ht="12.8" hidden="false" customHeight="false" outlineLevel="0" collapsed="false">
      <c r="A19" s="14" t="s">
        <v>255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3"/>
      <c r="U19" s="13"/>
      <c r="V19" s="13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customFormat="false" ht="12.8" hidden="false" customHeight="false" outlineLevel="0" collapsed="false">
      <c r="A20" s="15" t="s">
        <v>148</v>
      </c>
      <c r="B20" s="15" t="s">
        <v>149</v>
      </c>
      <c r="C20" s="15" t="s">
        <v>256</v>
      </c>
      <c r="D20" s="15" t="s">
        <v>257</v>
      </c>
      <c r="E20" s="15" t="s">
        <v>258</v>
      </c>
      <c r="F20" s="15" t="s">
        <v>259</v>
      </c>
      <c r="G20" s="15" t="s">
        <v>260</v>
      </c>
      <c r="H20" s="15" t="s">
        <v>261</v>
      </c>
      <c r="I20" s="15" t="s">
        <v>262</v>
      </c>
      <c r="J20" s="15" t="s">
        <v>263</v>
      </c>
      <c r="K20" s="15" t="s">
        <v>264</v>
      </c>
      <c r="L20" s="15" t="s">
        <v>265</v>
      </c>
      <c r="M20" s="15" t="s">
        <v>266</v>
      </c>
      <c r="N20" s="15" t="s">
        <v>260</v>
      </c>
      <c r="O20" s="15" t="s">
        <v>267</v>
      </c>
      <c r="P20" s="15" t="s">
        <v>268</v>
      </c>
      <c r="Q20" s="15" t="s">
        <v>269</v>
      </c>
      <c r="R20" s="15" t="s">
        <v>270</v>
      </c>
      <c r="S20" s="15" t="s">
        <v>271</v>
      </c>
      <c r="T20" s="15"/>
      <c r="U20" s="15"/>
      <c r="V20" s="15"/>
    </row>
    <row r="21" customFormat="false" ht="12.8" hidden="false" customHeight="false" outlineLevel="0" collapsed="false">
      <c r="A21" s="15" t="s">
        <v>272</v>
      </c>
      <c r="B21" s="15"/>
      <c r="C21" s="15" t="s">
        <v>273</v>
      </c>
      <c r="D21" s="15" t="s">
        <v>274</v>
      </c>
      <c r="E21" s="15" t="s">
        <v>275</v>
      </c>
      <c r="F21" s="15" t="s">
        <v>276</v>
      </c>
      <c r="G21" s="15" t="s">
        <v>277</v>
      </c>
      <c r="H21" s="15" t="s">
        <v>278</v>
      </c>
      <c r="I21" s="15" t="s">
        <v>279</v>
      </c>
      <c r="J21" s="15" t="s">
        <v>280</v>
      </c>
      <c r="K21" s="15" t="s">
        <v>281</v>
      </c>
      <c r="L21" s="15" t="s">
        <v>282</v>
      </c>
      <c r="M21" s="15" t="s">
        <v>265</v>
      </c>
      <c r="N21" s="15" t="s">
        <v>277</v>
      </c>
      <c r="O21" s="15" t="s">
        <v>283</v>
      </c>
      <c r="P21" s="15" t="s">
        <v>284</v>
      </c>
      <c r="Q21" s="15" t="s">
        <v>285</v>
      </c>
      <c r="R21" s="15" t="s">
        <v>286</v>
      </c>
      <c r="S21" s="15" t="s">
        <v>287</v>
      </c>
      <c r="T21" s="15"/>
      <c r="U21" s="15"/>
      <c r="V21" s="15"/>
    </row>
    <row r="22" customFormat="false" ht="12.8" hidden="false" customHeight="false" outlineLevel="0" collapsed="false">
      <c r="A22" s="15" t="s">
        <v>288</v>
      </c>
      <c r="B22" s="15"/>
      <c r="C22" s="15" t="s">
        <v>289</v>
      </c>
      <c r="D22" s="15" t="s">
        <v>290</v>
      </c>
      <c r="E22" s="15" t="s">
        <v>291</v>
      </c>
      <c r="F22" s="15" t="s">
        <v>292</v>
      </c>
      <c r="G22" s="15" t="s">
        <v>293</v>
      </c>
      <c r="H22" s="15" t="s">
        <v>294</v>
      </c>
      <c r="I22" s="15" t="s">
        <v>295</v>
      </c>
      <c r="J22" s="15" t="s">
        <v>296</v>
      </c>
      <c r="K22" s="15" t="s">
        <v>297</v>
      </c>
      <c r="L22" s="15" t="s">
        <v>280</v>
      </c>
      <c r="M22" s="15" t="s">
        <v>298</v>
      </c>
      <c r="N22" s="15" t="s">
        <v>293</v>
      </c>
      <c r="O22" s="15" t="s">
        <v>299</v>
      </c>
      <c r="P22" s="15" t="s">
        <v>300</v>
      </c>
      <c r="Q22" s="15" t="s">
        <v>301</v>
      </c>
      <c r="R22" s="15" t="s">
        <v>302</v>
      </c>
      <c r="S22" s="15" t="s">
        <v>303</v>
      </c>
      <c r="T22" s="15"/>
      <c r="U22" s="15"/>
      <c r="V22" s="15"/>
    </row>
    <row r="23" customFormat="false" ht="12.8" hidden="false" customHeight="false" outlineLevel="0" collapsed="false">
      <c r="A23" s="15" t="s">
        <v>304</v>
      </c>
      <c r="B23" s="15"/>
      <c r="C23" s="15" t="s">
        <v>305</v>
      </c>
      <c r="D23" s="15" t="s">
        <v>306</v>
      </c>
      <c r="E23" s="15" t="s">
        <v>307</v>
      </c>
      <c r="F23" s="15" t="s">
        <v>308</v>
      </c>
      <c r="G23" s="15" t="s">
        <v>309</v>
      </c>
      <c r="H23" s="15" t="s">
        <v>310</v>
      </c>
      <c r="I23" s="15" t="s">
        <v>311</v>
      </c>
      <c r="J23" s="15" t="s">
        <v>312</v>
      </c>
      <c r="K23" s="15" t="s">
        <v>313</v>
      </c>
      <c r="L23" s="15" t="s">
        <v>263</v>
      </c>
      <c r="M23" s="15" t="s">
        <v>314</v>
      </c>
      <c r="N23" s="15" t="s">
        <v>309</v>
      </c>
      <c r="O23" s="15" t="s">
        <v>315</v>
      </c>
      <c r="P23" s="15" t="s">
        <v>316</v>
      </c>
      <c r="Q23" s="15" t="s">
        <v>317</v>
      </c>
      <c r="R23" s="15" t="s">
        <v>318</v>
      </c>
      <c r="S23" s="15" t="s">
        <v>319</v>
      </c>
      <c r="T23" s="15"/>
      <c r="U23" s="15"/>
      <c r="V23" s="15"/>
    </row>
    <row r="24" customFormat="false" ht="12.8" hidden="false" customHeight="false" outlineLevel="0" collapsed="false">
      <c r="A24" s="15" t="s">
        <v>320</v>
      </c>
      <c r="B24" s="15"/>
      <c r="C24" s="15" t="s">
        <v>321</v>
      </c>
      <c r="D24" s="15" t="s">
        <v>322</v>
      </c>
      <c r="E24" s="15" t="s">
        <v>323</v>
      </c>
      <c r="F24" s="15" t="s">
        <v>324</v>
      </c>
      <c r="G24" s="15" t="s">
        <v>325</v>
      </c>
      <c r="H24" s="15" t="s">
        <v>326</v>
      </c>
      <c r="I24" s="15" t="s">
        <v>327</v>
      </c>
      <c r="J24" s="15" t="s">
        <v>328</v>
      </c>
      <c r="K24" s="15" t="s">
        <v>329</v>
      </c>
      <c r="L24" s="15" t="s">
        <v>330</v>
      </c>
      <c r="M24" s="15" t="s">
        <v>331</v>
      </c>
      <c r="N24" s="15" t="s">
        <v>325</v>
      </c>
      <c r="O24" s="15" t="s">
        <v>332</v>
      </c>
      <c r="P24" s="15" t="s">
        <v>333</v>
      </c>
      <c r="Q24" s="15" t="s">
        <v>334</v>
      </c>
      <c r="R24" s="15" t="s">
        <v>335</v>
      </c>
      <c r="S24" s="15" t="s">
        <v>336</v>
      </c>
      <c r="T24" s="15"/>
      <c r="U24" s="15"/>
      <c r="V24" s="15"/>
    </row>
    <row r="25" customFormat="false" ht="12.8" hidden="false" customHeight="false" outlineLevel="0" collapsed="false">
      <c r="A25" s="15" t="s">
        <v>337</v>
      </c>
      <c r="B25" s="15"/>
      <c r="C25" s="15" t="s">
        <v>338</v>
      </c>
      <c r="D25" s="15" t="s">
        <v>339</v>
      </c>
      <c r="E25" s="15" t="s">
        <v>276</v>
      </c>
      <c r="F25" s="15" t="s">
        <v>324</v>
      </c>
      <c r="G25" s="15" t="s">
        <v>340</v>
      </c>
      <c r="H25" s="15" t="s">
        <v>341</v>
      </c>
      <c r="I25" s="15" t="s">
        <v>342</v>
      </c>
      <c r="J25" s="15" t="s">
        <v>328</v>
      </c>
      <c r="K25" s="15" t="s">
        <v>343</v>
      </c>
      <c r="L25" s="15" t="s">
        <v>343</v>
      </c>
      <c r="M25" s="15" t="s">
        <v>297</v>
      </c>
      <c r="N25" s="15" t="s">
        <v>340</v>
      </c>
      <c r="O25" s="15" t="s">
        <v>344</v>
      </c>
      <c r="P25" s="15" t="s">
        <v>333</v>
      </c>
      <c r="Q25" s="15" t="s">
        <v>345</v>
      </c>
      <c r="R25" s="15" t="s">
        <v>344</v>
      </c>
      <c r="S25" s="15" t="s">
        <v>346</v>
      </c>
      <c r="T25" s="15"/>
      <c r="U25" s="15"/>
      <c r="V25" s="15"/>
    </row>
    <row r="26" customFormat="false" ht="12.8" hidden="false" customHeight="false" outlineLevel="0" collapsed="false">
      <c r="A26" s="15" t="s">
        <v>347</v>
      </c>
      <c r="B26" s="15"/>
      <c r="C26" s="15" t="s">
        <v>348</v>
      </c>
      <c r="D26" s="15" t="s">
        <v>349</v>
      </c>
      <c r="E26" s="15" t="s">
        <v>350</v>
      </c>
      <c r="F26" s="15" t="s">
        <v>324</v>
      </c>
      <c r="G26" s="15" t="s">
        <v>351</v>
      </c>
      <c r="H26" s="15" t="s">
        <v>352</v>
      </c>
      <c r="I26" s="15" t="s">
        <v>353</v>
      </c>
      <c r="J26" s="15" t="s">
        <v>354</v>
      </c>
      <c r="K26" s="15" t="s">
        <v>355</v>
      </c>
      <c r="L26" s="15" t="s">
        <v>356</v>
      </c>
      <c r="M26" s="15" t="s">
        <v>330</v>
      </c>
      <c r="N26" s="15" t="s">
        <v>351</v>
      </c>
      <c r="O26" s="15" t="s">
        <v>357</v>
      </c>
      <c r="P26" s="15" t="s">
        <v>358</v>
      </c>
      <c r="Q26" s="15" t="s">
        <v>359</v>
      </c>
      <c r="R26" s="15" t="s">
        <v>360</v>
      </c>
      <c r="S26" s="15" t="s">
        <v>361</v>
      </c>
      <c r="T26" s="15"/>
      <c r="U26" s="15"/>
      <c r="V26" s="15"/>
    </row>
    <row r="27" customFormat="false" ht="12.8" hidden="false" customHeight="false" outlineLevel="0" collapsed="false">
      <c r="A27" s="15" t="s">
        <v>362</v>
      </c>
      <c r="B27" s="15"/>
      <c r="C27" s="15" t="s">
        <v>363</v>
      </c>
      <c r="D27" s="15" t="s">
        <v>364</v>
      </c>
      <c r="E27" s="15" t="s">
        <v>365</v>
      </c>
      <c r="F27" s="15" t="s">
        <v>324</v>
      </c>
      <c r="G27" s="15" t="s">
        <v>292</v>
      </c>
      <c r="H27" s="15" t="s">
        <v>366</v>
      </c>
      <c r="I27" s="15" t="s">
        <v>367</v>
      </c>
      <c r="J27" s="15" t="s">
        <v>356</v>
      </c>
      <c r="K27" s="15" t="s">
        <v>368</v>
      </c>
      <c r="L27" s="15" t="s">
        <v>368</v>
      </c>
      <c r="M27" s="15" t="s">
        <v>343</v>
      </c>
      <c r="N27" s="15" t="s">
        <v>292</v>
      </c>
      <c r="O27" s="15" t="s">
        <v>369</v>
      </c>
      <c r="P27" s="15" t="s">
        <v>370</v>
      </c>
      <c r="Q27" s="15" t="s">
        <v>371</v>
      </c>
      <c r="R27" s="15" t="s">
        <v>369</v>
      </c>
      <c r="S27" s="15" t="s">
        <v>372</v>
      </c>
      <c r="T27" s="15"/>
      <c r="U27" s="15"/>
      <c r="V27" s="15"/>
    </row>
    <row r="28" customFormat="false" ht="12.8" hidden="false" customHeight="false" outlineLevel="0" collapsed="false">
      <c r="A28" s="15" t="s">
        <v>373</v>
      </c>
      <c r="B28" s="15"/>
      <c r="C28" s="15" t="s">
        <v>374</v>
      </c>
      <c r="D28" s="15" t="s">
        <v>375</v>
      </c>
      <c r="E28" s="15" t="s">
        <v>376</v>
      </c>
      <c r="F28" s="15" t="s">
        <v>324</v>
      </c>
      <c r="G28" s="15" t="s">
        <v>377</v>
      </c>
      <c r="H28" s="15" t="s">
        <v>378</v>
      </c>
      <c r="I28" s="15" t="s">
        <v>379</v>
      </c>
      <c r="J28" s="15" t="s">
        <v>354</v>
      </c>
      <c r="K28" s="15" t="s">
        <v>356</v>
      </c>
      <c r="L28" s="15" t="s">
        <v>356</v>
      </c>
      <c r="M28" s="15" t="s">
        <v>368</v>
      </c>
      <c r="N28" s="15" t="s">
        <v>377</v>
      </c>
      <c r="O28" s="15" t="s">
        <v>380</v>
      </c>
      <c r="P28" s="15" t="s">
        <v>381</v>
      </c>
      <c r="Q28" s="15" t="s">
        <v>382</v>
      </c>
      <c r="R28" s="15" t="s">
        <v>380</v>
      </c>
      <c r="S28" s="15" t="s">
        <v>383</v>
      </c>
      <c r="T28" s="15"/>
      <c r="U28" s="15"/>
      <c r="V28" s="15"/>
    </row>
    <row r="29" customFormat="false" ht="12.8" hidden="false" customHeight="false" outlineLevel="0" collapsed="false">
      <c r="A29" s="15" t="s">
        <v>384</v>
      </c>
      <c r="B29" s="15"/>
      <c r="C29" s="15" t="s">
        <v>385</v>
      </c>
      <c r="D29" s="15" t="s">
        <v>386</v>
      </c>
      <c r="E29" s="15" t="s">
        <v>387</v>
      </c>
      <c r="F29" s="15" t="s">
        <v>324</v>
      </c>
      <c r="G29" s="15" t="s">
        <v>388</v>
      </c>
      <c r="H29" s="15" t="s">
        <v>389</v>
      </c>
      <c r="I29" s="15" t="s">
        <v>390</v>
      </c>
      <c r="J29" s="15" t="s">
        <v>391</v>
      </c>
      <c r="K29" s="15" t="s">
        <v>356</v>
      </c>
      <c r="L29" s="15" t="s">
        <v>356</v>
      </c>
      <c r="M29" s="15" t="s">
        <v>368</v>
      </c>
      <c r="N29" s="15" t="s">
        <v>388</v>
      </c>
      <c r="O29" s="15" t="s">
        <v>392</v>
      </c>
      <c r="P29" s="15" t="s">
        <v>393</v>
      </c>
      <c r="Q29" s="15" t="s">
        <v>394</v>
      </c>
      <c r="R29" s="15" t="s">
        <v>392</v>
      </c>
      <c r="S29" s="15" t="s">
        <v>395</v>
      </c>
      <c r="T29" s="15"/>
      <c r="U29" s="15"/>
      <c r="V29" s="15"/>
    </row>
    <row r="30" customFormat="false" ht="12.8" hidden="false" customHeight="false" outlineLevel="0" collapsed="false">
      <c r="A30" s="15" t="s">
        <v>157</v>
      </c>
      <c r="B30" s="15" t="s">
        <v>158</v>
      </c>
      <c r="C30" s="15" t="s">
        <v>256</v>
      </c>
      <c r="D30" s="15" t="s">
        <v>396</v>
      </c>
      <c r="E30" s="15" t="s">
        <v>397</v>
      </c>
      <c r="F30" s="15" t="s">
        <v>398</v>
      </c>
      <c r="G30" s="15" t="s">
        <v>399</v>
      </c>
      <c r="H30" s="15" t="s">
        <v>400</v>
      </c>
      <c r="I30" s="15" t="s">
        <v>401</v>
      </c>
      <c r="J30" s="15" t="s">
        <v>402</v>
      </c>
      <c r="K30" s="15" t="s">
        <v>403</v>
      </c>
      <c r="L30" s="15" t="s">
        <v>404</v>
      </c>
      <c r="M30" s="15" t="s">
        <v>405</v>
      </c>
      <c r="N30" s="15" t="s">
        <v>399</v>
      </c>
      <c r="O30" s="15" t="s">
        <v>406</v>
      </c>
      <c r="P30" s="15" t="s">
        <v>407</v>
      </c>
      <c r="Q30" s="15" t="s">
        <v>408</v>
      </c>
      <c r="R30" s="15" t="s">
        <v>409</v>
      </c>
      <c r="S30" s="15" t="s">
        <v>410</v>
      </c>
      <c r="T30" s="15"/>
      <c r="U30" s="15"/>
      <c r="V30" s="15"/>
    </row>
    <row r="31" customFormat="false" ht="12.8" hidden="false" customHeight="false" outlineLevel="0" collapsed="false">
      <c r="A31" s="15" t="s">
        <v>411</v>
      </c>
      <c r="B31" s="15"/>
      <c r="C31" s="15" t="s">
        <v>412</v>
      </c>
      <c r="D31" s="15" t="s">
        <v>413</v>
      </c>
      <c r="E31" s="15" t="s">
        <v>414</v>
      </c>
      <c r="F31" s="15" t="s">
        <v>415</v>
      </c>
      <c r="G31" s="15" t="s">
        <v>416</v>
      </c>
      <c r="H31" s="15" t="s">
        <v>417</v>
      </c>
      <c r="I31" s="15" t="s">
        <v>418</v>
      </c>
      <c r="J31" s="15" t="s">
        <v>368</v>
      </c>
      <c r="K31" s="15" t="s">
        <v>419</v>
      </c>
      <c r="L31" s="15" t="s">
        <v>312</v>
      </c>
      <c r="M31" s="15" t="s">
        <v>420</v>
      </c>
      <c r="N31" s="15" t="s">
        <v>416</v>
      </c>
      <c r="O31" s="15" t="s">
        <v>421</v>
      </c>
      <c r="P31" s="15" t="s">
        <v>422</v>
      </c>
      <c r="Q31" s="15" t="s">
        <v>423</v>
      </c>
      <c r="R31" s="15" t="s">
        <v>424</v>
      </c>
      <c r="S31" s="15" t="s">
        <v>425</v>
      </c>
      <c r="T31" s="15"/>
      <c r="U31" s="15"/>
      <c r="V31" s="15"/>
    </row>
    <row r="32" customFormat="false" ht="12.8" hidden="false" customHeight="false" outlineLevel="0" collapsed="false">
      <c r="A32" s="15" t="s">
        <v>426</v>
      </c>
      <c r="B32" s="15"/>
      <c r="C32" s="15" t="s">
        <v>427</v>
      </c>
      <c r="D32" s="15" t="s">
        <v>428</v>
      </c>
      <c r="E32" s="15" t="s">
        <v>429</v>
      </c>
      <c r="F32" s="15" t="s">
        <v>324</v>
      </c>
      <c r="G32" s="15" t="s">
        <v>429</v>
      </c>
      <c r="H32" s="15" t="s">
        <v>430</v>
      </c>
      <c r="I32" s="15" t="s">
        <v>431</v>
      </c>
      <c r="J32" s="15" t="s">
        <v>356</v>
      </c>
      <c r="K32" s="15" t="s">
        <v>329</v>
      </c>
      <c r="L32" s="15" t="s">
        <v>368</v>
      </c>
      <c r="M32" s="15" t="s">
        <v>331</v>
      </c>
      <c r="N32" s="15" t="s">
        <v>429</v>
      </c>
      <c r="O32" s="15" t="s">
        <v>432</v>
      </c>
      <c r="P32" s="15" t="s">
        <v>433</v>
      </c>
      <c r="Q32" s="15" t="s">
        <v>434</v>
      </c>
      <c r="R32" s="15" t="s">
        <v>435</v>
      </c>
      <c r="S32" s="15" t="s">
        <v>436</v>
      </c>
      <c r="T32" s="15"/>
      <c r="U32" s="15"/>
      <c r="V32" s="15"/>
    </row>
    <row r="33" customFormat="false" ht="12.8" hidden="false" customHeight="false" outlineLevel="0" collapsed="false">
      <c r="A33" s="15" t="s">
        <v>437</v>
      </c>
      <c r="B33" s="15"/>
      <c r="C33" s="15" t="s">
        <v>438</v>
      </c>
      <c r="D33" s="15" t="s">
        <v>439</v>
      </c>
      <c r="E33" s="15" t="s">
        <v>365</v>
      </c>
      <c r="F33" s="15" t="s">
        <v>324</v>
      </c>
      <c r="G33" s="15" t="s">
        <v>292</v>
      </c>
      <c r="H33" s="15" t="s">
        <v>440</v>
      </c>
      <c r="I33" s="15" t="s">
        <v>441</v>
      </c>
      <c r="J33" s="15" t="s">
        <v>356</v>
      </c>
      <c r="K33" s="15" t="s">
        <v>368</v>
      </c>
      <c r="L33" s="15" t="s">
        <v>368</v>
      </c>
      <c r="M33" s="15" t="s">
        <v>442</v>
      </c>
      <c r="N33" s="15" t="s">
        <v>292</v>
      </c>
      <c r="O33" s="15" t="s">
        <v>369</v>
      </c>
      <c r="P33" s="15" t="s">
        <v>370</v>
      </c>
      <c r="Q33" s="15" t="s">
        <v>443</v>
      </c>
      <c r="R33" s="15" t="s">
        <v>369</v>
      </c>
      <c r="S33" s="15" t="s">
        <v>444</v>
      </c>
      <c r="T33" s="15"/>
      <c r="U33" s="15"/>
      <c r="V33" s="15"/>
    </row>
    <row r="34" customFormat="false" ht="12.8" hidden="false" customHeight="false" outlineLevel="0" collapsed="false">
      <c r="A34" s="15" t="s">
        <v>445</v>
      </c>
      <c r="B34" s="15"/>
      <c r="C34" s="15" t="s">
        <v>446</v>
      </c>
      <c r="D34" s="15" t="s">
        <v>447</v>
      </c>
      <c r="E34" s="15" t="s">
        <v>350</v>
      </c>
      <c r="F34" s="15" t="s">
        <v>324</v>
      </c>
      <c r="G34" s="15" t="s">
        <v>448</v>
      </c>
      <c r="H34" s="15" t="s">
        <v>449</v>
      </c>
      <c r="I34" s="15" t="s">
        <v>450</v>
      </c>
      <c r="J34" s="15" t="s">
        <v>451</v>
      </c>
      <c r="K34" s="15" t="s">
        <v>328</v>
      </c>
      <c r="L34" s="15" t="s">
        <v>452</v>
      </c>
      <c r="M34" s="15" t="s">
        <v>343</v>
      </c>
      <c r="N34" s="15" t="s">
        <v>448</v>
      </c>
      <c r="O34" s="15" t="s">
        <v>453</v>
      </c>
      <c r="P34" s="15" t="s">
        <v>454</v>
      </c>
      <c r="Q34" s="15" t="s">
        <v>455</v>
      </c>
      <c r="R34" s="15" t="s">
        <v>456</v>
      </c>
      <c r="S34" s="15" t="s">
        <v>457</v>
      </c>
      <c r="T34" s="15"/>
      <c r="U34" s="15"/>
      <c r="V34" s="15"/>
    </row>
    <row r="35" customFormat="false" ht="12.8" hidden="false" customHeight="false" outlineLevel="0" collapsed="false">
      <c r="A35" s="15" t="s">
        <v>458</v>
      </c>
      <c r="B35" s="15"/>
      <c r="C35" s="15" t="s">
        <v>459</v>
      </c>
      <c r="D35" s="15" t="s">
        <v>460</v>
      </c>
      <c r="E35" s="15" t="s">
        <v>461</v>
      </c>
      <c r="F35" s="15" t="s">
        <v>462</v>
      </c>
      <c r="G35" s="15" t="s">
        <v>463</v>
      </c>
      <c r="H35" s="15" t="s">
        <v>464</v>
      </c>
      <c r="I35" s="15" t="s">
        <v>465</v>
      </c>
      <c r="J35" s="15" t="s">
        <v>354</v>
      </c>
      <c r="K35" s="15" t="s">
        <v>355</v>
      </c>
      <c r="L35" s="15" t="s">
        <v>466</v>
      </c>
      <c r="M35" s="15" t="s">
        <v>467</v>
      </c>
      <c r="N35" s="15" t="s">
        <v>463</v>
      </c>
      <c r="O35" s="15" t="s">
        <v>468</v>
      </c>
      <c r="P35" s="15" t="s">
        <v>469</v>
      </c>
      <c r="Q35" s="15" t="s">
        <v>470</v>
      </c>
      <c r="R35" s="15" t="s">
        <v>471</v>
      </c>
      <c r="S35" s="15" t="s">
        <v>472</v>
      </c>
      <c r="T35" s="15"/>
      <c r="U35" s="15"/>
      <c r="V35" s="15"/>
    </row>
    <row r="36" customFormat="false" ht="12.8" hidden="false" customHeight="false" outlineLevel="0" collapsed="false">
      <c r="A36" s="15" t="s">
        <v>473</v>
      </c>
      <c r="B36" s="15"/>
      <c r="C36" s="15" t="s">
        <v>474</v>
      </c>
      <c r="D36" s="15" t="s">
        <v>475</v>
      </c>
      <c r="E36" s="15" t="s">
        <v>476</v>
      </c>
      <c r="F36" s="15" t="s">
        <v>477</v>
      </c>
      <c r="G36" s="15" t="s">
        <v>478</v>
      </c>
      <c r="H36" s="15" t="s">
        <v>479</v>
      </c>
      <c r="I36" s="15" t="s">
        <v>480</v>
      </c>
      <c r="J36" s="15" t="s">
        <v>481</v>
      </c>
      <c r="K36" s="15" t="s">
        <v>482</v>
      </c>
      <c r="L36" s="15" t="s">
        <v>483</v>
      </c>
      <c r="M36" s="15" t="s">
        <v>484</v>
      </c>
      <c r="N36" s="15" t="s">
        <v>478</v>
      </c>
      <c r="O36" s="15" t="s">
        <v>485</v>
      </c>
      <c r="P36" s="15" t="s">
        <v>486</v>
      </c>
      <c r="Q36" s="15" t="s">
        <v>487</v>
      </c>
      <c r="R36" s="15" t="s">
        <v>488</v>
      </c>
      <c r="S36" s="15" t="s">
        <v>489</v>
      </c>
      <c r="T36" s="15"/>
      <c r="U36" s="15"/>
      <c r="V36" s="15"/>
    </row>
    <row r="37" customFormat="false" ht="12.8" hidden="false" customHeight="false" outlineLevel="0" collapsed="false">
      <c r="A37" s="15" t="s">
        <v>166</v>
      </c>
      <c r="B37" s="15" t="s">
        <v>167</v>
      </c>
      <c r="C37" s="15" t="s">
        <v>256</v>
      </c>
      <c r="D37" s="15" t="s">
        <v>490</v>
      </c>
      <c r="E37" s="15" t="s">
        <v>491</v>
      </c>
      <c r="F37" s="15" t="s">
        <v>492</v>
      </c>
      <c r="G37" s="15" t="s">
        <v>493</v>
      </c>
      <c r="H37" s="15" t="s">
        <v>494</v>
      </c>
      <c r="I37" s="15" t="s">
        <v>495</v>
      </c>
      <c r="J37" s="15" t="s">
        <v>496</v>
      </c>
      <c r="K37" s="15" t="s">
        <v>497</v>
      </c>
      <c r="L37" s="15" t="s">
        <v>266</v>
      </c>
      <c r="M37" s="15" t="s">
        <v>498</v>
      </c>
      <c r="N37" s="15" t="s">
        <v>493</v>
      </c>
      <c r="O37" s="15" t="s">
        <v>499</v>
      </c>
      <c r="P37" s="15" t="s">
        <v>500</v>
      </c>
      <c r="Q37" s="15" t="s">
        <v>501</v>
      </c>
      <c r="R37" s="15" t="s">
        <v>502</v>
      </c>
      <c r="S37" s="15" t="s">
        <v>503</v>
      </c>
      <c r="T37" s="15"/>
      <c r="U37" s="15"/>
      <c r="V37" s="15"/>
    </row>
    <row r="38" customFormat="false" ht="12.8" hidden="false" customHeight="false" outlineLevel="0" collapsed="false">
      <c r="A38" s="15" t="s">
        <v>504</v>
      </c>
      <c r="B38" s="15"/>
      <c r="C38" s="15" t="s">
        <v>505</v>
      </c>
      <c r="D38" s="15" t="s">
        <v>506</v>
      </c>
      <c r="E38" s="15" t="s">
        <v>507</v>
      </c>
      <c r="F38" s="15" t="s">
        <v>291</v>
      </c>
      <c r="G38" s="15" t="s">
        <v>508</v>
      </c>
      <c r="H38" s="15" t="s">
        <v>509</v>
      </c>
      <c r="I38" s="15" t="s">
        <v>510</v>
      </c>
      <c r="J38" s="15" t="s">
        <v>282</v>
      </c>
      <c r="K38" s="15" t="s">
        <v>511</v>
      </c>
      <c r="L38" s="15" t="s">
        <v>497</v>
      </c>
      <c r="M38" s="15" t="s">
        <v>512</v>
      </c>
      <c r="N38" s="15" t="s">
        <v>508</v>
      </c>
      <c r="O38" s="15" t="s">
        <v>513</v>
      </c>
      <c r="P38" s="15" t="s">
        <v>514</v>
      </c>
      <c r="Q38" s="15" t="s">
        <v>515</v>
      </c>
      <c r="R38" s="15" t="s">
        <v>516</v>
      </c>
      <c r="S38" s="15" t="s">
        <v>517</v>
      </c>
      <c r="T38" s="15"/>
      <c r="U38" s="15"/>
      <c r="V38" s="15"/>
    </row>
    <row r="39" customFormat="false" ht="12.8" hidden="false" customHeight="false" outlineLevel="0" collapsed="false">
      <c r="A39" s="15" t="s">
        <v>518</v>
      </c>
      <c r="B39" s="15"/>
      <c r="C39" s="15" t="s">
        <v>519</v>
      </c>
      <c r="D39" s="15" t="s">
        <v>520</v>
      </c>
      <c r="E39" s="15" t="s">
        <v>350</v>
      </c>
      <c r="F39" s="15" t="s">
        <v>308</v>
      </c>
      <c r="G39" s="15" t="s">
        <v>448</v>
      </c>
      <c r="H39" s="15" t="s">
        <v>521</v>
      </c>
      <c r="I39" s="15" t="s">
        <v>522</v>
      </c>
      <c r="J39" s="15" t="s">
        <v>451</v>
      </c>
      <c r="K39" s="15" t="s">
        <v>312</v>
      </c>
      <c r="L39" s="15" t="s">
        <v>452</v>
      </c>
      <c r="M39" s="15" t="s">
        <v>313</v>
      </c>
      <c r="N39" s="15" t="s">
        <v>448</v>
      </c>
      <c r="O39" s="15" t="s">
        <v>377</v>
      </c>
      <c r="P39" s="15" t="s">
        <v>454</v>
      </c>
      <c r="Q39" s="15" t="s">
        <v>523</v>
      </c>
      <c r="R39" s="15" t="s">
        <v>456</v>
      </c>
      <c r="S39" s="15" t="s">
        <v>524</v>
      </c>
      <c r="T39" s="15"/>
      <c r="U39" s="15"/>
      <c r="V39" s="15"/>
    </row>
    <row r="40" customFormat="false" ht="12.8" hidden="false" customHeight="false" outlineLevel="0" collapsed="false">
      <c r="A40" s="15" t="s">
        <v>525</v>
      </c>
      <c r="B40" s="15"/>
      <c r="C40" s="15" t="s">
        <v>526</v>
      </c>
      <c r="D40" s="15" t="s">
        <v>527</v>
      </c>
      <c r="E40" s="15" t="s">
        <v>528</v>
      </c>
      <c r="F40" s="15" t="s">
        <v>308</v>
      </c>
      <c r="G40" s="15" t="s">
        <v>529</v>
      </c>
      <c r="H40" s="15" t="s">
        <v>530</v>
      </c>
      <c r="I40" s="15" t="s">
        <v>531</v>
      </c>
      <c r="J40" s="15" t="s">
        <v>280</v>
      </c>
      <c r="K40" s="15" t="s">
        <v>298</v>
      </c>
      <c r="L40" s="15" t="s">
        <v>281</v>
      </c>
      <c r="M40" s="15" t="s">
        <v>532</v>
      </c>
      <c r="N40" s="15" t="s">
        <v>529</v>
      </c>
      <c r="O40" s="15" t="s">
        <v>533</v>
      </c>
      <c r="P40" s="15" t="s">
        <v>534</v>
      </c>
      <c r="Q40" s="15" t="s">
        <v>535</v>
      </c>
      <c r="R40" s="15" t="s">
        <v>536</v>
      </c>
      <c r="S40" s="15" t="s">
        <v>537</v>
      </c>
      <c r="T40" s="15"/>
      <c r="U40" s="15"/>
      <c r="V40" s="15"/>
    </row>
    <row r="41" customFormat="false" ht="12.8" hidden="false" customHeight="false" outlineLevel="0" collapsed="false">
      <c r="A41" s="15" t="s">
        <v>538</v>
      </c>
      <c r="B41" s="15"/>
      <c r="C41" s="15" t="s">
        <v>539</v>
      </c>
      <c r="D41" s="15" t="s">
        <v>540</v>
      </c>
      <c r="E41" s="15" t="s">
        <v>365</v>
      </c>
      <c r="F41" s="15" t="s">
        <v>324</v>
      </c>
      <c r="G41" s="15" t="s">
        <v>292</v>
      </c>
      <c r="H41" s="15" t="s">
        <v>541</v>
      </c>
      <c r="I41" s="15" t="s">
        <v>542</v>
      </c>
      <c r="J41" s="15" t="s">
        <v>356</v>
      </c>
      <c r="K41" s="15" t="s">
        <v>368</v>
      </c>
      <c r="L41" s="15" t="s">
        <v>368</v>
      </c>
      <c r="M41" s="15" t="s">
        <v>442</v>
      </c>
      <c r="N41" s="15" t="s">
        <v>292</v>
      </c>
      <c r="O41" s="15" t="s">
        <v>369</v>
      </c>
      <c r="P41" s="15" t="s">
        <v>370</v>
      </c>
      <c r="Q41" s="15" t="s">
        <v>443</v>
      </c>
      <c r="R41" s="15" t="s">
        <v>369</v>
      </c>
      <c r="S41" s="15" t="s">
        <v>543</v>
      </c>
      <c r="T41" s="15"/>
      <c r="U41" s="15"/>
      <c r="V41" s="15"/>
    </row>
    <row r="42" customFormat="false" ht="12.8" hidden="false" customHeight="false" outlineLevel="0" collapsed="false">
      <c r="A42" s="15" t="s">
        <v>544</v>
      </c>
      <c r="B42" s="15"/>
      <c r="C42" s="15" t="s">
        <v>545</v>
      </c>
      <c r="D42" s="15" t="s">
        <v>205</v>
      </c>
      <c r="E42" s="15" t="s">
        <v>429</v>
      </c>
      <c r="F42" s="15" t="s">
        <v>324</v>
      </c>
      <c r="G42" s="15" t="s">
        <v>292</v>
      </c>
      <c r="H42" s="15" t="s">
        <v>205</v>
      </c>
      <c r="I42" s="15" t="s">
        <v>522</v>
      </c>
      <c r="J42" s="15" t="s">
        <v>356</v>
      </c>
      <c r="K42" s="15" t="s">
        <v>330</v>
      </c>
      <c r="L42" s="15" t="s">
        <v>368</v>
      </c>
      <c r="M42" s="15" t="s">
        <v>546</v>
      </c>
      <c r="N42" s="15" t="s">
        <v>292</v>
      </c>
      <c r="O42" s="15" t="s">
        <v>547</v>
      </c>
      <c r="P42" s="15" t="s">
        <v>370</v>
      </c>
      <c r="Q42" s="15" t="s">
        <v>548</v>
      </c>
      <c r="R42" s="15" t="s">
        <v>369</v>
      </c>
      <c r="S42" s="15" t="s">
        <v>549</v>
      </c>
      <c r="T42" s="15"/>
      <c r="U42" s="15"/>
      <c r="V42" s="15"/>
    </row>
    <row r="43" customFormat="false" ht="12.8" hidden="false" customHeight="false" outlineLevel="0" collapsed="false">
      <c r="A43" s="15" t="s">
        <v>175</v>
      </c>
      <c r="B43" s="15" t="s">
        <v>176</v>
      </c>
      <c r="C43" s="15" t="s">
        <v>256</v>
      </c>
      <c r="D43" s="15" t="s">
        <v>550</v>
      </c>
      <c r="E43" s="15" t="s">
        <v>551</v>
      </c>
      <c r="F43" s="15" t="s">
        <v>552</v>
      </c>
      <c r="G43" s="15" t="s">
        <v>553</v>
      </c>
      <c r="H43" s="15" t="s">
        <v>554</v>
      </c>
      <c r="I43" s="15" t="s">
        <v>555</v>
      </c>
      <c r="J43" s="15" t="s">
        <v>556</v>
      </c>
      <c r="K43" s="15" t="s">
        <v>557</v>
      </c>
      <c r="L43" s="15" t="s">
        <v>558</v>
      </c>
      <c r="M43" s="15" t="s">
        <v>559</v>
      </c>
      <c r="N43" s="15" t="s">
        <v>553</v>
      </c>
      <c r="O43" s="15" t="s">
        <v>560</v>
      </c>
      <c r="P43" s="15" t="s">
        <v>561</v>
      </c>
      <c r="Q43" s="15" t="s">
        <v>562</v>
      </c>
      <c r="R43" s="15" t="s">
        <v>563</v>
      </c>
      <c r="S43" s="15" t="s">
        <v>564</v>
      </c>
      <c r="T43" s="15"/>
      <c r="U43" s="15"/>
      <c r="V43" s="15"/>
    </row>
    <row r="44" customFormat="false" ht="12.8" hidden="false" customHeight="false" outlineLevel="0" collapsed="false">
      <c r="A44" s="15" t="s">
        <v>565</v>
      </c>
      <c r="B44" s="15"/>
      <c r="C44" s="15" t="s">
        <v>566</v>
      </c>
      <c r="D44" s="15" t="s">
        <v>567</v>
      </c>
      <c r="E44" s="15" t="s">
        <v>568</v>
      </c>
      <c r="F44" s="15" t="s">
        <v>569</v>
      </c>
      <c r="G44" s="15" t="s">
        <v>570</v>
      </c>
      <c r="H44" s="15" t="s">
        <v>571</v>
      </c>
      <c r="I44" s="15" t="s">
        <v>572</v>
      </c>
      <c r="J44" s="15" t="s">
        <v>313</v>
      </c>
      <c r="K44" s="15" t="s">
        <v>573</v>
      </c>
      <c r="L44" s="15" t="s">
        <v>496</v>
      </c>
      <c r="M44" s="15" t="s">
        <v>497</v>
      </c>
      <c r="N44" s="15" t="s">
        <v>570</v>
      </c>
      <c r="O44" s="15" t="s">
        <v>574</v>
      </c>
      <c r="P44" s="15" t="s">
        <v>575</v>
      </c>
      <c r="Q44" s="15" t="s">
        <v>576</v>
      </c>
      <c r="R44" s="15" t="s">
        <v>577</v>
      </c>
      <c r="S44" s="15" t="s">
        <v>578</v>
      </c>
      <c r="T44" s="15"/>
      <c r="U44" s="15"/>
      <c r="V44" s="15"/>
    </row>
    <row r="45" customFormat="false" ht="12.8" hidden="false" customHeight="false" outlineLevel="0" collapsed="false">
      <c r="A45" s="15" t="s">
        <v>579</v>
      </c>
      <c r="B45" s="15"/>
      <c r="C45" s="15" t="s">
        <v>580</v>
      </c>
      <c r="D45" s="15" t="s">
        <v>581</v>
      </c>
      <c r="E45" s="15" t="s">
        <v>582</v>
      </c>
      <c r="F45" s="15" t="s">
        <v>429</v>
      </c>
      <c r="G45" s="15" t="s">
        <v>583</v>
      </c>
      <c r="H45" s="15" t="s">
        <v>584</v>
      </c>
      <c r="I45" s="15" t="s">
        <v>585</v>
      </c>
      <c r="J45" s="15" t="s">
        <v>546</v>
      </c>
      <c r="K45" s="15" t="s">
        <v>313</v>
      </c>
      <c r="L45" s="15" t="s">
        <v>586</v>
      </c>
      <c r="M45" s="15" t="s">
        <v>314</v>
      </c>
      <c r="N45" s="15" t="s">
        <v>583</v>
      </c>
      <c r="O45" s="15" t="s">
        <v>587</v>
      </c>
      <c r="P45" s="15" t="s">
        <v>588</v>
      </c>
      <c r="Q45" s="15" t="s">
        <v>589</v>
      </c>
      <c r="R45" s="15" t="s">
        <v>590</v>
      </c>
      <c r="S45" s="15" t="s">
        <v>591</v>
      </c>
      <c r="T45" s="15"/>
      <c r="U45" s="15"/>
      <c r="V45" s="15"/>
    </row>
    <row r="46" customFormat="false" ht="12.8" hidden="false" customHeight="false" outlineLevel="0" collapsed="false">
      <c r="A46" s="15" t="s">
        <v>592</v>
      </c>
      <c r="B46" s="15"/>
      <c r="C46" s="15" t="s">
        <v>593</v>
      </c>
      <c r="D46" s="15" t="s">
        <v>594</v>
      </c>
      <c r="E46" s="15" t="s">
        <v>595</v>
      </c>
      <c r="F46" s="15" t="s">
        <v>596</v>
      </c>
      <c r="G46" s="15" t="s">
        <v>597</v>
      </c>
      <c r="H46" s="15" t="s">
        <v>598</v>
      </c>
      <c r="I46" s="15" t="s">
        <v>599</v>
      </c>
      <c r="J46" s="15" t="s">
        <v>296</v>
      </c>
      <c r="K46" s="15" t="s">
        <v>297</v>
      </c>
      <c r="L46" s="15" t="s">
        <v>600</v>
      </c>
      <c r="M46" s="15" t="s">
        <v>601</v>
      </c>
      <c r="N46" s="15" t="s">
        <v>597</v>
      </c>
      <c r="O46" s="15" t="s">
        <v>602</v>
      </c>
      <c r="P46" s="15" t="s">
        <v>603</v>
      </c>
      <c r="Q46" s="15" t="s">
        <v>604</v>
      </c>
      <c r="R46" s="15" t="s">
        <v>605</v>
      </c>
      <c r="S46" s="15" t="s">
        <v>606</v>
      </c>
      <c r="T46" s="15"/>
      <c r="U46" s="15"/>
      <c r="V46" s="15"/>
    </row>
    <row r="47" customFormat="false" ht="12.8" hidden="false" customHeight="false" outlineLevel="0" collapsed="false">
      <c r="A47" s="15" t="s">
        <v>607</v>
      </c>
      <c r="B47" s="15"/>
      <c r="C47" s="15" t="s">
        <v>608</v>
      </c>
      <c r="D47" s="15" t="s">
        <v>609</v>
      </c>
      <c r="E47" s="15" t="s">
        <v>610</v>
      </c>
      <c r="F47" s="15" t="s">
        <v>611</v>
      </c>
      <c r="G47" s="15" t="s">
        <v>612</v>
      </c>
      <c r="H47" s="15" t="s">
        <v>613</v>
      </c>
      <c r="I47" s="15" t="s">
        <v>614</v>
      </c>
      <c r="J47" s="15" t="s">
        <v>343</v>
      </c>
      <c r="K47" s="15" t="s">
        <v>615</v>
      </c>
      <c r="L47" s="15" t="s">
        <v>297</v>
      </c>
      <c r="M47" s="15" t="s">
        <v>616</v>
      </c>
      <c r="N47" s="15" t="s">
        <v>612</v>
      </c>
      <c r="O47" s="15" t="s">
        <v>617</v>
      </c>
      <c r="P47" s="15" t="s">
        <v>618</v>
      </c>
      <c r="Q47" s="15" t="s">
        <v>619</v>
      </c>
      <c r="R47" s="15" t="s">
        <v>620</v>
      </c>
      <c r="S47" s="15" t="s">
        <v>621</v>
      </c>
      <c r="T47" s="15"/>
      <c r="U47" s="15"/>
      <c r="V47" s="15"/>
    </row>
    <row r="48" customFormat="false" ht="12.8" hidden="false" customHeight="false" outlineLevel="0" collapsed="false">
      <c r="A48" s="15" t="s">
        <v>622</v>
      </c>
      <c r="B48" s="15"/>
      <c r="C48" s="15" t="s">
        <v>623</v>
      </c>
      <c r="D48" s="15" t="s">
        <v>624</v>
      </c>
      <c r="E48" s="15" t="s">
        <v>492</v>
      </c>
      <c r="F48" s="15" t="s">
        <v>625</v>
      </c>
      <c r="G48" s="15" t="s">
        <v>626</v>
      </c>
      <c r="H48" s="15" t="s">
        <v>627</v>
      </c>
      <c r="I48" s="15" t="s">
        <v>628</v>
      </c>
      <c r="J48" s="15" t="s">
        <v>356</v>
      </c>
      <c r="K48" s="15" t="s">
        <v>484</v>
      </c>
      <c r="L48" s="15" t="s">
        <v>368</v>
      </c>
      <c r="M48" s="15" t="s">
        <v>629</v>
      </c>
      <c r="N48" s="15" t="s">
        <v>626</v>
      </c>
      <c r="O48" s="15" t="s">
        <v>630</v>
      </c>
      <c r="P48" s="15" t="s">
        <v>631</v>
      </c>
      <c r="Q48" s="15" t="s">
        <v>632</v>
      </c>
      <c r="R48" s="15" t="s">
        <v>633</v>
      </c>
      <c r="S48" s="15" t="s">
        <v>634</v>
      </c>
      <c r="T48" s="15"/>
      <c r="U48" s="15"/>
      <c r="V48" s="15"/>
    </row>
    <row r="49" customFormat="false" ht="12.8" hidden="false" customHeight="false" outlineLevel="0" collapsed="false">
      <c r="A49" s="15" t="s">
        <v>635</v>
      </c>
      <c r="B49" s="15"/>
      <c r="C49" s="15" t="s">
        <v>636</v>
      </c>
      <c r="D49" s="15" t="s">
        <v>637</v>
      </c>
      <c r="E49" s="15" t="s">
        <v>429</v>
      </c>
      <c r="F49" s="15" t="s">
        <v>638</v>
      </c>
      <c r="G49" s="15" t="s">
        <v>639</v>
      </c>
      <c r="H49" s="15" t="s">
        <v>640</v>
      </c>
      <c r="I49" s="15" t="s">
        <v>641</v>
      </c>
      <c r="J49" s="15" t="s">
        <v>642</v>
      </c>
      <c r="K49" s="15" t="s">
        <v>354</v>
      </c>
      <c r="L49" s="15" t="s">
        <v>391</v>
      </c>
      <c r="M49" s="15" t="s">
        <v>466</v>
      </c>
      <c r="N49" s="15" t="s">
        <v>639</v>
      </c>
      <c r="O49" s="15" t="s">
        <v>643</v>
      </c>
      <c r="P49" s="15" t="s">
        <v>644</v>
      </c>
      <c r="Q49" s="15" t="s">
        <v>645</v>
      </c>
      <c r="R49" s="15" t="s">
        <v>646</v>
      </c>
      <c r="S49" s="15" t="s">
        <v>647</v>
      </c>
      <c r="T49" s="15"/>
      <c r="U49" s="15"/>
      <c r="V49" s="15"/>
    </row>
    <row r="50" customFormat="false" ht="12.8" hidden="false" customHeight="false" outlineLevel="0" collapsed="false">
      <c r="A50" s="15" t="s">
        <v>648</v>
      </c>
      <c r="B50" s="15"/>
      <c r="C50" s="15" t="s">
        <v>649</v>
      </c>
      <c r="D50" s="15" t="s">
        <v>650</v>
      </c>
      <c r="E50" s="15" t="s">
        <v>350</v>
      </c>
      <c r="F50" s="15" t="s">
        <v>651</v>
      </c>
      <c r="G50" s="15" t="s">
        <v>652</v>
      </c>
      <c r="H50" s="15" t="s">
        <v>653</v>
      </c>
      <c r="I50" s="15" t="s">
        <v>654</v>
      </c>
      <c r="J50" s="15" t="s">
        <v>655</v>
      </c>
      <c r="K50" s="15" t="s">
        <v>481</v>
      </c>
      <c r="L50" s="15" t="s">
        <v>656</v>
      </c>
      <c r="M50" s="15" t="s">
        <v>483</v>
      </c>
      <c r="N50" s="15" t="s">
        <v>652</v>
      </c>
      <c r="O50" s="15" t="s">
        <v>657</v>
      </c>
      <c r="P50" s="15" t="s">
        <v>658</v>
      </c>
      <c r="Q50" s="15" t="s">
        <v>659</v>
      </c>
      <c r="R50" s="15" t="s">
        <v>660</v>
      </c>
      <c r="S50" s="15" t="s">
        <v>661</v>
      </c>
      <c r="T50" s="15"/>
      <c r="U50" s="15"/>
      <c r="V50" s="15"/>
    </row>
    <row r="51" customFormat="false" ht="12.8" hidden="false" customHeight="false" outlineLevel="0" collapsed="false">
      <c r="A51" s="15" t="s">
        <v>184</v>
      </c>
      <c r="B51" s="15" t="s">
        <v>185</v>
      </c>
      <c r="C51" s="15" t="s">
        <v>256</v>
      </c>
      <c r="D51" s="15" t="s">
        <v>662</v>
      </c>
      <c r="E51" s="15" t="s">
        <v>663</v>
      </c>
      <c r="F51" s="15" t="s">
        <v>664</v>
      </c>
      <c r="G51" s="15" t="s">
        <v>665</v>
      </c>
      <c r="H51" s="15" t="s">
        <v>666</v>
      </c>
      <c r="I51" s="15" t="s">
        <v>667</v>
      </c>
      <c r="J51" s="15" t="s">
        <v>668</v>
      </c>
      <c r="K51" s="15" t="s">
        <v>669</v>
      </c>
      <c r="L51" s="15" t="s">
        <v>670</v>
      </c>
      <c r="M51" s="15" t="s">
        <v>671</v>
      </c>
      <c r="N51" s="15" t="s">
        <v>665</v>
      </c>
      <c r="O51" s="15" t="s">
        <v>672</v>
      </c>
      <c r="P51" s="15" t="s">
        <v>673</v>
      </c>
      <c r="Q51" s="15" t="s">
        <v>674</v>
      </c>
      <c r="R51" s="15" t="s">
        <v>675</v>
      </c>
      <c r="S51" s="15" t="s">
        <v>676</v>
      </c>
      <c r="T51" s="15"/>
      <c r="U51" s="15"/>
      <c r="V51" s="15"/>
    </row>
    <row r="52" customFormat="false" ht="12.8" hidden="false" customHeight="false" outlineLevel="0" collapsed="false">
      <c r="A52" s="15" t="s">
        <v>677</v>
      </c>
      <c r="B52" s="15"/>
      <c r="C52" s="15" t="s">
        <v>678</v>
      </c>
      <c r="D52" s="15" t="s">
        <v>679</v>
      </c>
      <c r="E52" s="15" t="s">
        <v>680</v>
      </c>
      <c r="F52" s="15" t="s">
        <v>681</v>
      </c>
      <c r="G52" s="15" t="s">
        <v>682</v>
      </c>
      <c r="H52" s="15" t="s">
        <v>683</v>
      </c>
      <c r="I52" s="15" t="s">
        <v>684</v>
      </c>
      <c r="J52" s="15" t="s">
        <v>497</v>
      </c>
      <c r="K52" s="15" t="s">
        <v>685</v>
      </c>
      <c r="L52" s="15" t="s">
        <v>686</v>
      </c>
      <c r="M52" s="15" t="s">
        <v>687</v>
      </c>
      <c r="N52" s="15" t="s">
        <v>682</v>
      </c>
      <c r="O52" s="15" t="s">
        <v>688</v>
      </c>
      <c r="P52" s="15" t="s">
        <v>689</v>
      </c>
      <c r="Q52" s="15" t="s">
        <v>690</v>
      </c>
      <c r="R52" s="15" t="s">
        <v>691</v>
      </c>
      <c r="S52" s="15" t="s">
        <v>692</v>
      </c>
      <c r="T52" s="15"/>
      <c r="U52" s="15"/>
      <c r="V52" s="15"/>
    </row>
    <row r="53" customFormat="false" ht="12.8" hidden="false" customHeight="false" outlineLevel="0" collapsed="false">
      <c r="A53" s="15" t="s">
        <v>693</v>
      </c>
      <c r="B53" s="15"/>
      <c r="C53" s="15" t="s">
        <v>694</v>
      </c>
      <c r="D53" s="15" t="s">
        <v>695</v>
      </c>
      <c r="E53" s="15" t="s">
        <v>696</v>
      </c>
      <c r="F53" s="15" t="s">
        <v>308</v>
      </c>
      <c r="G53" s="15" t="s">
        <v>697</v>
      </c>
      <c r="H53" s="15" t="s">
        <v>698</v>
      </c>
      <c r="I53" s="15" t="s">
        <v>699</v>
      </c>
      <c r="J53" s="15" t="s">
        <v>280</v>
      </c>
      <c r="K53" s="15" t="s">
        <v>263</v>
      </c>
      <c r="L53" s="15" t="s">
        <v>298</v>
      </c>
      <c r="M53" s="15" t="s">
        <v>264</v>
      </c>
      <c r="N53" s="15" t="s">
        <v>697</v>
      </c>
      <c r="O53" s="15" t="s">
        <v>700</v>
      </c>
      <c r="P53" s="15" t="s">
        <v>534</v>
      </c>
      <c r="Q53" s="15" t="s">
        <v>701</v>
      </c>
      <c r="R53" s="15" t="s">
        <v>533</v>
      </c>
      <c r="S53" s="15" t="s">
        <v>702</v>
      </c>
      <c r="T53" s="15"/>
      <c r="U53" s="15"/>
      <c r="V53" s="15"/>
    </row>
    <row r="54" customFormat="false" ht="12.8" hidden="false" customHeight="false" outlineLevel="0" collapsed="false">
      <c r="A54" s="15" t="s">
        <v>703</v>
      </c>
      <c r="B54" s="15"/>
      <c r="C54" s="15" t="s">
        <v>704</v>
      </c>
      <c r="D54" s="15" t="s">
        <v>705</v>
      </c>
      <c r="E54" s="15" t="s">
        <v>706</v>
      </c>
      <c r="F54" s="15" t="s">
        <v>707</v>
      </c>
      <c r="G54" s="15" t="s">
        <v>708</v>
      </c>
      <c r="H54" s="15" t="s">
        <v>709</v>
      </c>
      <c r="I54" s="15" t="s">
        <v>710</v>
      </c>
      <c r="J54" s="15" t="s">
        <v>711</v>
      </c>
      <c r="K54" s="15" t="s">
        <v>712</v>
      </c>
      <c r="L54" s="15" t="s">
        <v>713</v>
      </c>
      <c r="M54" s="15" t="s">
        <v>714</v>
      </c>
      <c r="N54" s="15" t="s">
        <v>708</v>
      </c>
      <c r="O54" s="15" t="s">
        <v>715</v>
      </c>
      <c r="P54" s="15" t="s">
        <v>716</v>
      </c>
      <c r="Q54" s="15" t="s">
        <v>717</v>
      </c>
      <c r="R54" s="15" t="s">
        <v>718</v>
      </c>
      <c r="S54" s="15" t="s">
        <v>719</v>
      </c>
      <c r="T54" s="15"/>
      <c r="U54" s="15"/>
      <c r="V54" s="15"/>
    </row>
    <row r="55" customFormat="false" ht="12.8" hidden="false" customHeight="false" outlineLevel="0" collapsed="false">
      <c r="A55" s="15" t="s">
        <v>720</v>
      </c>
      <c r="B55" s="15"/>
      <c r="C55" s="15" t="s">
        <v>721</v>
      </c>
      <c r="D55" s="15" t="s">
        <v>722</v>
      </c>
      <c r="E55" s="15" t="s">
        <v>723</v>
      </c>
      <c r="F55" s="15" t="s">
        <v>324</v>
      </c>
      <c r="G55" s="15" t="s">
        <v>724</v>
      </c>
      <c r="H55" s="15" t="s">
        <v>725</v>
      </c>
      <c r="I55" s="15" t="s">
        <v>726</v>
      </c>
      <c r="J55" s="15" t="s">
        <v>313</v>
      </c>
      <c r="K55" s="15" t="s">
        <v>282</v>
      </c>
      <c r="L55" s="15" t="s">
        <v>314</v>
      </c>
      <c r="M55" s="15" t="s">
        <v>727</v>
      </c>
      <c r="N55" s="15" t="s">
        <v>724</v>
      </c>
      <c r="O55" s="15" t="s">
        <v>286</v>
      </c>
      <c r="P55" s="15" t="s">
        <v>728</v>
      </c>
      <c r="Q55" s="15" t="s">
        <v>729</v>
      </c>
      <c r="R55" s="15" t="s">
        <v>730</v>
      </c>
      <c r="S55" s="15" t="s">
        <v>731</v>
      </c>
      <c r="T55" s="15"/>
      <c r="U55" s="15"/>
      <c r="V55" s="15"/>
    </row>
    <row r="56" customFormat="false" ht="12.8" hidden="false" customHeight="false" outlineLevel="0" collapsed="false">
      <c r="A56" s="15" t="s">
        <v>732</v>
      </c>
      <c r="B56" s="15"/>
      <c r="C56" s="15" t="s">
        <v>733</v>
      </c>
      <c r="D56" s="15" t="s">
        <v>734</v>
      </c>
      <c r="E56" s="15" t="s">
        <v>735</v>
      </c>
      <c r="F56" s="15" t="s">
        <v>324</v>
      </c>
      <c r="G56" s="15" t="s">
        <v>736</v>
      </c>
      <c r="H56" s="15" t="s">
        <v>737</v>
      </c>
      <c r="I56" s="15" t="s">
        <v>738</v>
      </c>
      <c r="J56" s="15" t="s">
        <v>282</v>
      </c>
      <c r="K56" s="15" t="s">
        <v>511</v>
      </c>
      <c r="L56" s="15" t="s">
        <v>727</v>
      </c>
      <c r="M56" s="15" t="s">
        <v>512</v>
      </c>
      <c r="N56" s="15" t="s">
        <v>736</v>
      </c>
      <c r="O56" s="15" t="s">
        <v>739</v>
      </c>
      <c r="P56" s="15" t="s">
        <v>740</v>
      </c>
      <c r="Q56" s="15" t="s">
        <v>741</v>
      </c>
      <c r="R56" s="15" t="s">
        <v>742</v>
      </c>
      <c r="S56" s="15" t="s">
        <v>743</v>
      </c>
      <c r="T56" s="15"/>
      <c r="U56" s="15"/>
      <c r="V56" s="15"/>
    </row>
    <row r="57" customFormat="false" ht="12.8" hidden="false" customHeight="false" outlineLevel="0" collapsed="false">
      <c r="A57" s="15" t="s">
        <v>744</v>
      </c>
      <c r="B57" s="15"/>
      <c r="C57" s="15" t="s">
        <v>745</v>
      </c>
      <c r="D57" s="15" t="s">
        <v>746</v>
      </c>
      <c r="E57" s="15" t="s">
        <v>747</v>
      </c>
      <c r="F57" s="15" t="s">
        <v>308</v>
      </c>
      <c r="G57" s="15" t="s">
        <v>748</v>
      </c>
      <c r="H57" s="15" t="s">
        <v>749</v>
      </c>
      <c r="I57" s="15" t="s">
        <v>750</v>
      </c>
      <c r="J57" s="15" t="s">
        <v>264</v>
      </c>
      <c r="K57" s="15" t="s">
        <v>751</v>
      </c>
      <c r="L57" s="15" t="s">
        <v>752</v>
      </c>
      <c r="M57" s="15" t="s">
        <v>753</v>
      </c>
      <c r="N57" s="15" t="s">
        <v>748</v>
      </c>
      <c r="O57" s="15" t="s">
        <v>754</v>
      </c>
      <c r="P57" s="15" t="s">
        <v>755</v>
      </c>
      <c r="Q57" s="15" t="s">
        <v>756</v>
      </c>
      <c r="R57" s="15" t="s">
        <v>757</v>
      </c>
      <c r="S57" s="15" t="s">
        <v>758</v>
      </c>
      <c r="T57" s="15"/>
      <c r="U57" s="15"/>
      <c r="V57" s="15"/>
    </row>
    <row r="58" customFormat="false" ht="12.8" hidden="false" customHeight="false" outlineLevel="0" collapsed="false">
      <c r="A58" s="15" t="s">
        <v>759</v>
      </c>
      <c r="B58" s="15"/>
      <c r="C58" s="15" t="s">
        <v>760</v>
      </c>
      <c r="D58" s="15" t="s">
        <v>761</v>
      </c>
      <c r="E58" s="15" t="s">
        <v>260</v>
      </c>
      <c r="F58" s="15" t="s">
        <v>324</v>
      </c>
      <c r="G58" s="15" t="s">
        <v>762</v>
      </c>
      <c r="H58" s="15" t="s">
        <v>763</v>
      </c>
      <c r="I58" s="15" t="s">
        <v>764</v>
      </c>
      <c r="J58" s="15" t="s">
        <v>281</v>
      </c>
      <c r="K58" s="15" t="s">
        <v>765</v>
      </c>
      <c r="L58" s="15" t="s">
        <v>265</v>
      </c>
      <c r="M58" s="15" t="s">
        <v>266</v>
      </c>
      <c r="N58" s="15" t="s">
        <v>762</v>
      </c>
      <c r="O58" s="15" t="s">
        <v>766</v>
      </c>
      <c r="P58" s="15" t="s">
        <v>767</v>
      </c>
      <c r="Q58" s="15" t="s">
        <v>269</v>
      </c>
      <c r="R58" s="15" t="s">
        <v>768</v>
      </c>
      <c r="S58" s="15" t="s">
        <v>769</v>
      </c>
      <c r="T58" s="15"/>
      <c r="U58" s="15"/>
      <c r="V58" s="15"/>
    </row>
    <row r="59" customFormat="false" ht="12.8" hidden="false" customHeight="false" outlineLevel="0" collapsed="false">
      <c r="A59" s="15" t="s">
        <v>770</v>
      </c>
      <c r="B59" s="15"/>
      <c r="C59" s="15" t="s">
        <v>771</v>
      </c>
      <c r="D59" s="15" t="s">
        <v>772</v>
      </c>
      <c r="E59" s="15" t="s">
        <v>773</v>
      </c>
      <c r="F59" s="15" t="s">
        <v>324</v>
      </c>
      <c r="G59" s="15" t="s">
        <v>774</v>
      </c>
      <c r="H59" s="15" t="s">
        <v>541</v>
      </c>
      <c r="I59" s="15" t="s">
        <v>726</v>
      </c>
      <c r="J59" s="15" t="s">
        <v>343</v>
      </c>
      <c r="K59" s="15" t="s">
        <v>775</v>
      </c>
      <c r="L59" s="15" t="s">
        <v>297</v>
      </c>
      <c r="M59" s="15" t="s">
        <v>776</v>
      </c>
      <c r="N59" s="15" t="s">
        <v>774</v>
      </c>
      <c r="O59" s="15" t="s">
        <v>777</v>
      </c>
      <c r="P59" s="15" t="s">
        <v>778</v>
      </c>
      <c r="Q59" s="15" t="s">
        <v>779</v>
      </c>
      <c r="R59" s="15" t="s">
        <v>780</v>
      </c>
      <c r="S59" s="15" t="s">
        <v>781</v>
      </c>
      <c r="T59" s="15"/>
      <c r="U59" s="15"/>
      <c r="V59" s="15"/>
    </row>
    <row r="60" customFormat="false" ht="12.8" hidden="false" customHeight="false" outlineLevel="0" collapsed="false">
      <c r="A60" s="15" t="s">
        <v>782</v>
      </c>
      <c r="B60" s="15"/>
      <c r="C60" s="15" t="s">
        <v>783</v>
      </c>
      <c r="D60" s="15" t="s">
        <v>784</v>
      </c>
      <c r="E60" s="15" t="s">
        <v>276</v>
      </c>
      <c r="F60" s="15" t="s">
        <v>324</v>
      </c>
      <c r="G60" s="15" t="s">
        <v>340</v>
      </c>
      <c r="H60" s="15" t="s">
        <v>785</v>
      </c>
      <c r="I60" s="15" t="s">
        <v>786</v>
      </c>
      <c r="J60" s="15" t="s">
        <v>328</v>
      </c>
      <c r="K60" s="15" t="s">
        <v>343</v>
      </c>
      <c r="L60" s="15" t="s">
        <v>343</v>
      </c>
      <c r="M60" s="15" t="s">
        <v>297</v>
      </c>
      <c r="N60" s="15" t="s">
        <v>340</v>
      </c>
      <c r="O60" s="15" t="s">
        <v>344</v>
      </c>
      <c r="P60" s="15" t="s">
        <v>333</v>
      </c>
      <c r="Q60" s="15" t="s">
        <v>345</v>
      </c>
      <c r="R60" s="15" t="s">
        <v>344</v>
      </c>
      <c r="S60" s="15" t="s">
        <v>787</v>
      </c>
      <c r="T60" s="15"/>
      <c r="U60" s="15"/>
      <c r="V60" s="15"/>
    </row>
    <row r="61" customFormat="false" ht="12.8" hidden="false" customHeight="false" outlineLevel="0" collapsed="false">
      <c r="A61" s="15" t="s">
        <v>788</v>
      </c>
      <c r="B61" s="15"/>
      <c r="C61" s="15" t="s">
        <v>789</v>
      </c>
      <c r="D61" s="15" t="s">
        <v>790</v>
      </c>
      <c r="E61" s="15" t="s">
        <v>681</v>
      </c>
      <c r="F61" s="15" t="s">
        <v>791</v>
      </c>
      <c r="G61" s="15" t="s">
        <v>792</v>
      </c>
      <c r="H61" s="15" t="s">
        <v>793</v>
      </c>
      <c r="I61" s="15" t="s">
        <v>794</v>
      </c>
      <c r="J61" s="15" t="s">
        <v>329</v>
      </c>
      <c r="K61" s="15" t="s">
        <v>331</v>
      </c>
      <c r="L61" s="15" t="s">
        <v>331</v>
      </c>
      <c r="M61" s="15" t="s">
        <v>795</v>
      </c>
      <c r="N61" s="15" t="s">
        <v>792</v>
      </c>
      <c r="O61" s="15" t="s">
        <v>796</v>
      </c>
      <c r="P61" s="15" t="s">
        <v>797</v>
      </c>
      <c r="Q61" s="15" t="s">
        <v>798</v>
      </c>
      <c r="R61" s="15" t="s">
        <v>799</v>
      </c>
      <c r="S61" s="15" t="s">
        <v>800</v>
      </c>
      <c r="T61" s="15"/>
      <c r="U61" s="15"/>
      <c r="V61" s="15"/>
    </row>
    <row r="62" customFormat="false" ht="12.8" hidden="false" customHeight="false" outlineLevel="0" collapsed="false">
      <c r="A62" s="15" t="s">
        <v>194</v>
      </c>
      <c r="B62" s="15" t="s">
        <v>195</v>
      </c>
      <c r="C62" s="15" t="s">
        <v>256</v>
      </c>
      <c r="D62" s="15" t="s">
        <v>801</v>
      </c>
      <c r="E62" s="15" t="s">
        <v>259</v>
      </c>
      <c r="F62" s="15" t="s">
        <v>448</v>
      </c>
      <c r="G62" s="15" t="s">
        <v>802</v>
      </c>
      <c r="H62" s="15" t="s">
        <v>803</v>
      </c>
      <c r="I62" s="15" t="s">
        <v>804</v>
      </c>
      <c r="J62" s="15" t="s">
        <v>329</v>
      </c>
      <c r="K62" s="15" t="s">
        <v>805</v>
      </c>
      <c r="L62" s="15" t="s">
        <v>312</v>
      </c>
      <c r="M62" s="15" t="s">
        <v>313</v>
      </c>
      <c r="N62" s="15" t="s">
        <v>802</v>
      </c>
      <c r="O62" s="15" t="s">
        <v>806</v>
      </c>
      <c r="P62" s="15" t="s">
        <v>807</v>
      </c>
      <c r="Q62" s="15" t="s">
        <v>808</v>
      </c>
      <c r="R62" s="15" t="s">
        <v>809</v>
      </c>
      <c r="S62" s="15" t="s">
        <v>810</v>
      </c>
      <c r="T62" s="15"/>
      <c r="U62" s="15"/>
      <c r="V62" s="15"/>
    </row>
    <row r="63" customFormat="false" ht="12.8" hidden="false" customHeight="false" outlineLevel="0" collapsed="false">
      <c r="A63" s="15" t="s">
        <v>811</v>
      </c>
      <c r="B63" s="15"/>
      <c r="C63" s="15" t="s">
        <v>812</v>
      </c>
      <c r="D63" s="15" t="s">
        <v>813</v>
      </c>
      <c r="E63" s="15" t="s">
        <v>350</v>
      </c>
      <c r="F63" s="15" t="s">
        <v>324</v>
      </c>
      <c r="G63" s="15" t="s">
        <v>448</v>
      </c>
      <c r="H63" s="15" t="s">
        <v>814</v>
      </c>
      <c r="I63" s="15" t="s">
        <v>522</v>
      </c>
      <c r="J63" s="15" t="s">
        <v>451</v>
      </c>
      <c r="K63" s="15" t="s">
        <v>328</v>
      </c>
      <c r="L63" s="15" t="s">
        <v>452</v>
      </c>
      <c r="M63" s="15" t="s">
        <v>343</v>
      </c>
      <c r="N63" s="15" t="s">
        <v>448</v>
      </c>
      <c r="O63" s="15" t="s">
        <v>453</v>
      </c>
      <c r="P63" s="15" t="s">
        <v>454</v>
      </c>
      <c r="Q63" s="15" t="s">
        <v>455</v>
      </c>
      <c r="R63" s="15" t="s">
        <v>456</v>
      </c>
      <c r="S63" s="15" t="s">
        <v>815</v>
      </c>
      <c r="T63" s="15"/>
      <c r="U63" s="15"/>
      <c r="V63" s="15"/>
    </row>
    <row r="64" customFormat="false" ht="12.8" hidden="false" customHeight="false" outlineLevel="0" collapsed="false">
      <c r="A64" s="15" t="s">
        <v>816</v>
      </c>
      <c r="B64" s="15"/>
      <c r="C64" s="15" t="s">
        <v>817</v>
      </c>
      <c r="D64" s="15" t="s">
        <v>818</v>
      </c>
      <c r="E64" s="15" t="s">
        <v>819</v>
      </c>
      <c r="F64" s="15" t="s">
        <v>324</v>
      </c>
      <c r="G64" s="15" t="s">
        <v>820</v>
      </c>
      <c r="H64" s="15" t="s">
        <v>821</v>
      </c>
      <c r="I64" s="15" t="s">
        <v>522</v>
      </c>
      <c r="J64" s="15" t="s">
        <v>482</v>
      </c>
      <c r="K64" s="15" t="s">
        <v>484</v>
      </c>
      <c r="L64" s="15" t="s">
        <v>484</v>
      </c>
      <c r="M64" s="15" t="s">
        <v>629</v>
      </c>
      <c r="N64" s="15" t="s">
        <v>820</v>
      </c>
      <c r="O64" s="15" t="s">
        <v>822</v>
      </c>
      <c r="P64" s="15" t="s">
        <v>823</v>
      </c>
      <c r="Q64" s="15" t="s">
        <v>824</v>
      </c>
      <c r="R64" s="15" t="s">
        <v>822</v>
      </c>
      <c r="S64" s="15" t="s">
        <v>825</v>
      </c>
      <c r="T64" s="15"/>
      <c r="U64" s="15"/>
      <c r="V64" s="15"/>
    </row>
    <row r="65" customFormat="false" ht="12.8" hidden="false" customHeight="false" outlineLevel="0" collapsed="false">
      <c r="A65" s="15" t="s">
        <v>826</v>
      </c>
      <c r="B65" s="15"/>
      <c r="C65" s="15" t="s">
        <v>827</v>
      </c>
      <c r="D65" s="15" t="s">
        <v>828</v>
      </c>
      <c r="E65" s="15" t="s">
        <v>829</v>
      </c>
      <c r="F65" s="15" t="s">
        <v>830</v>
      </c>
      <c r="G65" s="15" t="s">
        <v>831</v>
      </c>
      <c r="H65" s="15" t="s">
        <v>832</v>
      </c>
      <c r="I65" s="15" t="s">
        <v>833</v>
      </c>
      <c r="J65" s="15" t="s">
        <v>356</v>
      </c>
      <c r="K65" s="15" t="s">
        <v>329</v>
      </c>
      <c r="L65" s="15" t="s">
        <v>368</v>
      </c>
      <c r="M65" s="15" t="s">
        <v>331</v>
      </c>
      <c r="N65" s="15" t="s">
        <v>831</v>
      </c>
      <c r="O65" s="15" t="s">
        <v>432</v>
      </c>
      <c r="P65" s="15" t="s">
        <v>370</v>
      </c>
      <c r="Q65" s="15" t="s">
        <v>434</v>
      </c>
      <c r="R65" s="15" t="s">
        <v>369</v>
      </c>
      <c r="S65" s="15" t="s">
        <v>834</v>
      </c>
      <c r="T65" s="15"/>
      <c r="U65" s="15"/>
      <c r="V65" s="15"/>
    </row>
    <row r="66" customFormat="false" ht="12.8" hidden="false" customHeight="false" outlineLevel="0" collapsed="false">
      <c r="A66" s="15" t="s">
        <v>835</v>
      </c>
      <c r="B66" s="15"/>
      <c r="C66" s="15" t="s">
        <v>836</v>
      </c>
      <c r="D66" s="15" t="s">
        <v>837</v>
      </c>
      <c r="E66" s="15" t="s">
        <v>838</v>
      </c>
      <c r="F66" s="15" t="s">
        <v>324</v>
      </c>
      <c r="G66" s="15" t="s">
        <v>292</v>
      </c>
      <c r="H66" s="15" t="s">
        <v>205</v>
      </c>
      <c r="I66" s="15" t="s">
        <v>522</v>
      </c>
      <c r="J66" s="15" t="s">
        <v>356</v>
      </c>
      <c r="K66" s="15" t="s">
        <v>368</v>
      </c>
      <c r="L66" s="15" t="s">
        <v>368</v>
      </c>
      <c r="M66" s="15" t="s">
        <v>442</v>
      </c>
      <c r="N66" s="15" t="s">
        <v>292</v>
      </c>
      <c r="O66" s="15" t="s">
        <v>369</v>
      </c>
      <c r="P66" s="15" t="s">
        <v>370</v>
      </c>
      <c r="Q66" s="15" t="s">
        <v>443</v>
      </c>
      <c r="R66" s="15" t="s">
        <v>369</v>
      </c>
      <c r="S66" s="15" t="s">
        <v>839</v>
      </c>
      <c r="T66" s="15"/>
      <c r="U66" s="15"/>
      <c r="V66" s="15"/>
    </row>
    <row r="67" customFormat="false" ht="12.8" hidden="false" customHeight="false" outlineLevel="0" collapsed="false">
      <c r="A67" s="15" t="s">
        <v>202</v>
      </c>
      <c r="B67" s="15" t="s">
        <v>203</v>
      </c>
      <c r="C67" s="15" t="s">
        <v>256</v>
      </c>
      <c r="D67" s="15" t="s">
        <v>840</v>
      </c>
      <c r="E67" s="15" t="s">
        <v>841</v>
      </c>
      <c r="F67" s="15" t="s">
        <v>842</v>
      </c>
      <c r="G67" s="15" t="s">
        <v>843</v>
      </c>
      <c r="H67" s="15" t="s">
        <v>844</v>
      </c>
      <c r="I67" s="15" t="s">
        <v>845</v>
      </c>
      <c r="J67" s="15" t="s">
        <v>642</v>
      </c>
      <c r="K67" s="15" t="s">
        <v>483</v>
      </c>
      <c r="L67" s="15" t="s">
        <v>391</v>
      </c>
      <c r="M67" s="15" t="s">
        <v>846</v>
      </c>
      <c r="N67" s="15" t="s">
        <v>843</v>
      </c>
      <c r="O67" s="15" t="s">
        <v>847</v>
      </c>
      <c r="P67" s="15" t="s">
        <v>848</v>
      </c>
      <c r="Q67" s="15" t="s">
        <v>849</v>
      </c>
      <c r="R67" s="15" t="s">
        <v>850</v>
      </c>
      <c r="S67" s="15" t="s">
        <v>851</v>
      </c>
      <c r="T67" s="15"/>
      <c r="U67" s="15"/>
      <c r="V67" s="15"/>
    </row>
    <row r="68" customFormat="false" ht="12.8" hidden="false" customHeight="false" outlineLevel="0" collapsed="false">
      <c r="A68" s="15" t="s">
        <v>852</v>
      </c>
      <c r="B68" s="15"/>
      <c r="C68" s="15" t="s">
        <v>204</v>
      </c>
      <c r="D68" s="15" t="s">
        <v>840</v>
      </c>
      <c r="E68" s="15" t="s">
        <v>841</v>
      </c>
      <c r="F68" s="15" t="s">
        <v>842</v>
      </c>
      <c r="G68" s="15" t="s">
        <v>843</v>
      </c>
      <c r="H68" s="15" t="s">
        <v>844</v>
      </c>
      <c r="I68" s="15" t="s">
        <v>845</v>
      </c>
      <c r="J68" s="15" t="s">
        <v>642</v>
      </c>
      <c r="K68" s="15" t="s">
        <v>483</v>
      </c>
      <c r="L68" s="15" t="s">
        <v>391</v>
      </c>
      <c r="M68" s="15" t="s">
        <v>846</v>
      </c>
      <c r="N68" s="15" t="s">
        <v>843</v>
      </c>
      <c r="O68" s="15" t="s">
        <v>847</v>
      </c>
      <c r="P68" s="15" t="s">
        <v>848</v>
      </c>
      <c r="Q68" s="15" t="s">
        <v>849</v>
      </c>
      <c r="R68" s="15" t="s">
        <v>850</v>
      </c>
      <c r="S68" s="15" t="s">
        <v>853</v>
      </c>
      <c r="T68" s="15"/>
      <c r="U68" s="15"/>
      <c r="V68" s="15"/>
    </row>
    <row r="69" customFormat="false" ht="23.85" hidden="false" customHeight="true" outlineLevel="0" collapsed="false">
      <c r="A69" s="17" t="s">
        <v>854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5"/>
      <c r="U69" s="15"/>
      <c r="V69" s="15"/>
    </row>
    <row r="70" customFormat="false" ht="12.8" hidden="false" customHeight="false" outlineLevel="0" collapsed="false">
      <c r="A70" s="15" t="s">
        <v>855</v>
      </c>
      <c r="B70" s="15" t="s">
        <v>213</v>
      </c>
      <c r="C70" s="15" t="s">
        <v>256</v>
      </c>
      <c r="D70" s="15" t="s">
        <v>856</v>
      </c>
      <c r="E70" s="15" t="s">
        <v>857</v>
      </c>
      <c r="F70" s="15" t="s">
        <v>858</v>
      </c>
      <c r="G70" s="15" t="s">
        <v>859</v>
      </c>
      <c r="H70" s="15" t="s">
        <v>860</v>
      </c>
      <c r="I70" s="15" t="s">
        <v>861</v>
      </c>
      <c r="J70" s="15" t="s">
        <v>281</v>
      </c>
      <c r="K70" s="15" t="s">
        <v>727</v>
      </c>
      <c r="L70" s="15" t="s">
        <v>496</v>
      </c>
      <c r="M70" s="15" t="s">
        <v>512</v>
      </c>
      <c r="N70" s="15" t="s">
        <v>859</v>
      </c>
      <c r="O70" s="15" t="s">
        <v>700</v>
      </c>
      <c r="P70" s="15" t="s">
        <v>862</v>
      </c>
      <c r="Q70" s="15" t="s">
        <v>863</v>
      </c>
      <c r="R70" s="15" t="s">
        <v>864</v>
      </c>
      <c r="S70" s="15" t="s">
        <v>865</v>
      </c>
      <c r="T70" s="15"/>
      <c r="U70" s="15"/>
      <c r="V70" s="15"/>
    </row>
    <row r="71" customFormat="false" ht="12.8" hidden="false" customHeight="false" outlineLevel="0" collapsed="false">
      <c r="A71" s="15" t="s">
        <v>866</v>
      </c>
      <c r="B71" s="15"/>
      <c r="C71" s="15" t="s">
        <v>867</v>
      </c>
      <c r="D71" s="15" t="s">
        <v>868</v>
      </c>
      <c r="E71" s="15" t="s">
        <v>476</v>
      </c>
      <c r="F71" s="15" t="s">
        <v>308</v>
      </c>
      <c r="G71" s="15" t="s">
        <v>340</v>
      </c>
      <c r="H71" s="15" t="s">
        <v>869</v>
      </c>
      <c r="I71" s="15" t="s">
        <v>522</v>
      </c>
      <c r="J71" s="15" t="s">
        <v>328</v>
      </c>
      <c r="K71" s="15" t="s">
        <v>419</v>
      </c>
      <c r="L71" s="15" t="s">
        <v>343</v>
      </c>
      <c r="M71" s="15" t="s">
        <v>870</v>
      </c>
      <c r="N71" s="15" t="s">
        <v>340</v>
      </c>
      <c r="O71" s="15" t="s">
        <v>871</v>
      </c>
      <c r="P71" s="15" t="s">
        <v>333</v>
      </c>
      <c r="Q71" s="15" t="s">
        <v>872</v>
      </c>
      <c r="R71" s="15" t="s">
        <v>344</v>
      </c>
      <c r="S71" s="15" t="s">
        <v>873</v>
      </c>
      <c r="T71" s="15"/>
      <c r="U71" s="15"/>
      <c r="V71" s="15"/>
    </row>
    <row r="72" customFormat="false" ht="12.8" hidden="false" customHeight="false" outlineLevel="0" collapsed="false">
      <c r="A72" s="15" t="s">
        <v>874</v>
      </c>
      <c r="B72" s="15"/>
      <c r="C72" s="15" t="s">
        <v>875</v>
      </c>
      <c r="D72" s="15" t="s">
        <v>876</v>
      </c>
      <c r="E72" s="15" t="s">
        <v>429</v>
      </c>
      <c r="F72" s="15" t="s">
        <v>324</v>
      </c>
      <c r="G72" s="15" t="s">
        <v>292</v>
      </c>
      <c r="H72" s="15" t="s">
        <v>877</v>
      </c>
      <c r="I72" s="15" t="s">
        <v>353</v>
      </c>
      <c r="J72" s="15" t="s">
        <v>356</v>
      </c>
      <c r="K72" s="15" t="s">
        <v>329</v>
      </c>
      <c r="L72" s="15" t="s">
        <v>368</v>
      </c>
      <c r="M72" s="15" t="s">
        <v>331</v>
      </c>
      <c r="N72" s="15" t="s">
        <v>292</v>
      </c>
      <c r="O72" s="15" t="s">
        <v>432</v>
      </c>
      <c r="P72" s="15" t="s">
        <v>370</v>
      </c>
      <c r="Q72" s="15" t="s">
        <v>434</v>
      </c>
      <c r="R72" s="15" t="s">
        <v>369</v>
      </c>
      <c r="S72" s="15" t="s">
        <v>878</v>
      </c>
      <c r="T72" s="15"/>
      <c r="U72" s="15"/>
      <c r="V72" s="15"/>
    </row>
    <row r="73" customFormat="false" ht="12.8" hidden="false" customHeight="false" outlineLevel="0" collapsed="false">
      <c r="A73" s="15" t="s">
        <v>879</v>
      </c>
      <c r="B73" s="15"/>
      <c r="C73" s="15" t="s">
        <v>880</v>
      </c>
      <c r="D73" s="15" t="s">
        <v>881</v>
      </c>
      <c r="E73" s="15" t="s">
        <v>882</v>
      </c>
      <c r="F73" s="15" t="s">
        <v>324</v>
      </c>
      <c r="G73" s="15" t="s">
        <v>883</v>
      </c>
      <c r="H73" s="15" t="s">
        <v>821</v>
      </c>
      <c r="I73" s="15" t="s">
        <v>522</v>
      </c>
      <c r="J73" s="15" t="s">
        <v>368</v>
      </c>
      <c r="K73" s="15" t="s">
        <v>312</v>
      </c>
      <c r="L73" s="15" t="s">
        <v>442</v>
      </c>
      <c r="M73" s="15" t="s">
        <v>313</v>
      </c>
      <c r="N73" s="15" t="s">
        <v>883</v>
      </c>
      <c r="O73" s="15" t="s">
        <v>884</v>
      </c>
      <c r="P73" s="15" t="s">
        <v>885</v>
      </c>
      <c r="Q73" s="15" t="s">
        <v>886</v>
      </c>
      <c r="R73" s="15" t="s">
        <v>887</v>
      </c>
      <c r="S73" s="15" t="s">
        <v>888</v>
      </c>
      <c r="T73" s="15"/>
      <c r="U73" s="15"/>
      <c r="V73" s="15"/>
    </row>
    <row r="74" customFormat="false" ht="12.8" hidden="false" customHeight="false" outlineLevel="0" collapsed="false">
      <c r="A74" s="15" t="s">
        <v>889</v>
      </c>
      <c r="B74" s="15"/>
      <c r="C74" s="15" t="s">
        <v>890</v>
      </c>
      <c r="D74" s="15" t="s">
        <v>891</v>
      </c>
      <c r="E74" s="15" t="s">
        <v>892</v>
      </c>
      <c r="F74" s="15" t="s">
        <v>324</v>
      </c>
      <c r="G74" s="15" t="s">
        <v>893</v>
      </c>
      <c r="H74" s="15" t="s">
        <v>894</v>
      </c>
      <c r="I74" s="15" t="s">
        <v>522</v>
      </c>
      <c r="J74" s="15" t="s">
        <v>330</v>
      </c>
      <c r="K74" s="15" t="s">
        <v>280</v>
      </c>
      <c r="L74" s="15" t="s">
        <v>546</v>
      </c>
      <c r="M74" s="15" t="s">
        <v>281</v>
      </c>
      <c r="N74" s="15" t="s">
        <v>893</v>
      </c>
      <c r="O74" s="15" t="s">
        <v>895</v>
      </c>
      <c r="P74" s="15" t="s">
        <v>896</v>
      </c>
      <c r="Q74" s="15" t="s">
        <v>897</v>
      </c>
      <c r="R74" s="15" t="s">
        <v>898</v>
      </c>
      <c r="S74" s="15" t="s">
        <v>899</v>
      </c>
      <c r="T74" s="15"/>
      <c r="U74" s="15"/>
      <c r="V74" s="15"/>
    </row>
    <row r="75" customFormat="false" ht="12.8" hidden="false" customHeight="false" outlineLevel="0" collapsed="false">
      <c r="A75" s="15" t="s">
        <v>900</v>
      </c>
      <c r="B75" s="15"/>
      <c r="C75" s="15" t="s">
        <v>901</v>
      </c>
      <c r="D75" s="15" t="s">
        <v>902</v>
      </c>
      <c r="E75" s="15" t="s">
        <v>903</v>
      </c>
      <c r="F75" s="15" t="s">
        <v>324</v>
      </c>
      <c r="G75" s="15" t="s">
        <v>724</v>
      </c>
      <c r="H75" s="15" t="s">
        <v>725</v>
      </c>
      <c r="I75" s="15" t="s">
        <v>522</v>
      </c>
      <c r="J75" s="15" t="s">
        <v>313</v>
      </c>
      <c r="K75" s="15" t="s">
        <v>282</v>
      </c>
      <c r="L75" s="15" t="s">
        <v>314</v>
      </c>
      <c r="M75" s="15" t="s">
        <v>727</v>
      </c>
      <c r="N75" s="15" t="s">
        <v>724</v>
      </c>
      <c r="O75" s="15" t="s">
        <v>286</v>
      </c>
      <c r="P75" s="15" t="s">
        <v>728</v>
      </c>
      <c r="Q75" s="15" t="s">
        <v>729</v>
      </c>
      <c r="R75" s="15" t="s">
        <v>730</v>
      </c>
      <c r="S75" s="15" t="s">
        <v>904</v>
      </c>
      <c r="T75" s="15"/>
      <c r="U75" s="15"/>
      <c r="V75" s="15"/>
      <c r="XES75" s="6"/>
      <c r="XET75" s="6"/>
      <c r="XEU75" s="6"/>
      <c r="XEV75" s="6"/>
      <c r="XEW75" s="6"/>
      <c r="XEX75" s="6"/>
      <c r="XEY75" s="6"/>
      <c r="XEZ75" s="6"/>
      <c r="XFA75" s="6"/>
      <c r="XFB75" s="6"/>
      <c r="XFC75" s="6"/>
      <c r="XFD75" s="6"/>
    </row>
    <row r="76" customFormat="false" ht="12.8" hidden="false" customHeight="false" outlineLevel="0" collapsed="false">
      <c r="A76" s="15" t="s">
        <v>905</v>
      </c>
      <c r="B76" s="15"/>
      <c r="C76" s="15" t="s">
        <v>906</v>
      </c>
      <c r="D76" s="15" t="s">
        <v>907</v>
      </c>
      <c r="E76" s="15" t="s">
        <v>908</v>
      </c>
      <c r="F76" s="15" t="s">
        <v>324</v>
      </c>
      <c r="G76" s="15" t="s">
        <v>893</v>
      </c>
      <c r="H76" s="15" t="s">
        <v>909</v>
      </c>
      <c r="I76" s="15" t="s">
        <v>522</v>
      </c>
      <c r="J76" s="15" t="s">
        <v>330</v>
      </c>
      <c r="K76" s="15" t="s">
        <v>280</v>
      </c>
      <c r="L76" s="15" t="s">
        <v>546</v>
      </c>
      <c r="M76" s="15" t="s">
        <v>281</v>
      </c>
      <c r="N76" s="15" t="s">
        <v>893</v>
      </c>
      <c r="O76" s="15" t="s">
        <v>895</v>
      </c>
      <c r="P76" s="15" t="s">
        <v>896</v>
      </c>
      <c r="Q76" s="15" t="s">
        <v>897</v>
      </c>
      <c r="R76" s="15" t="s">
        <v>898</v>
      </c>
      <c r="S76" s="15" t="s">
        <v>910</v>
      </c>
      <c r="T76" s="15"/>
      <c r="U76" s="15"/>
      <c r="V76" s="15"/>
      <c r="XES76" s="6"/>
      <c r="XET76" s="6"/>
      <c r="XEU76" s="6"/>
      <c r="XEV76" s="6"/>
      <c r="XEW76" s="6"/>
      <c r="XEX76" s="6"/>
      <c r="XEY76" s="6"/>
      <c r="XEZ76" s="6"/>
      <c r="XFA76" s="6"/>
      <c r="XFB76" s="6"/>
      <c r="XFC76" s="6"/>
      <c r="XFD76" s="6"/>
    </row>
    <row r="77" customFormat="false" ht="12.8" hidden="false" customHeight="false" outlineLevel="0" collapsed="false">
      <c r="A77" s="15" t="s">
        <v>911</v>
      </c>
      <c r="B77" s="15"/>
      <c r="C77" s="15" t="s">
        <v>912</v>
      </c>
      <c r="D77" s="15" t="s">
        <v>913</v>
      </c>
      <c r="E77" s="15" t="s">
        <v>276</v>
      </c>
      <c r="F77" s="15" t="s">
        <v>324</v>
      </c>
      <c r="G77" s="15" t="s">
        <v>340</v>
      </c>
      <c r="H77" s="15" t="s">
        <v>914</v>
      </c>
      <c r="I77" s="15" t="s">
        <v>522</v>
      </c>
      <c r="J77" s="15" t="s">
        <v>328</v>
      </c>
      <c r="K77" s="15" t="s">
        <v>343</v>
      </c>
      <c r="L77" s="15" t="s">
        <v>343</v>
      </c>
      <c r="M77" s="15" t="s">
        <v>297</v>
      </c>
      <c r="N77" s="15" t="s">
        <v>340</v>
      </c>
      <c r="O77" s="15" t="s">
        <v>344</v>
      </c>
      <c r="P77" s="15" t="s">
        <v>333</v>
      </c>
      <c r="Q77" s="15" t="s">
        <v>345</v>
      </c>
      <c r="R77" s="15" t="s">
        <v>344</v>
      </c>
      <c r="S77" s="15" t="s">
        <v>915</v>
      </c>
      <c r="T77" s="15"/>
      <c r="U77" s="15"/>
      <c r="V77" s="15"/>
      <c r="XES77" s="6"/>
      <c r="XET77" s="6"/>
      <c r="XEU77" s="6"/>
      <c r="XEV77" s="6"/>
      <c r="XEW77" s="6"/>
      <c r="XEX77" s="6"/>
      <c r="XEY77" s="6"/>
      <c r="XEZ77" s="6"/>
      <c r="XFA77" s="6"/>
      <c r="XFB77" s="6"/>
      <c r="XFC77" s="6"/>
      <c r="XFD77" s="6"/>
    </row>
    <row r="78" customFormat="false" ht="12.8" hidden="false" customHeight="false" outlineLevel="0" collapsed="false">
      <c r="A78" s="15" t="s">
        <v>916</v>
      </c>
      <c r="B78" s="15" t="s">
        <v>221</v>
      </c>
      <c r="C78" s="15" t="s">
        <v>256</v>
      </c>
      <c r="D78" s="15" t="s">
        <v>917</v>
      </c>
      <c r="E78" s="15" t="s">
        <v>918</v>
      </c>
      <c r="F78" s="15" t="s">
        <v>919</v>
      </c>
      <c r="G78" s="15" t="s">
        <v>920</v>
      </c>
      <c r="H78" s="15" t="s">
        <v>921</v>
      </c>
      <c r="I78" s="15" t="s">
        <v>922</v>
      </c>
      <c r="J78" s="15" t="s">
        <v>616</v>
      </c>
      <c r="K78" s="15" t="s">
        <v>923</v>
      </c>
      <c r="L78" s="15" t="s">
        <v>924</v>
      </c>
      <c r="M78" s="15" t="s">
        <v>925</v>
      </c>
      <c r="N78" s="15" t="s">
        <v>920</v>
      </c>
      <c r="O78" s="15" t="s">
        <v>926</v>
      </c>
      <c r="P78" s="15" t="s">
        <v>927</v>
      </c>
      <c r="Q78" s="15" t="s">
        <v>928</v>
      </c>
      <c r="R78" s="15" t="s">
        <v>929</v>
      </c>
      <c r="S78" s="15" t="s">
        <v>930</v>
      </c>
      <c r="T78" s="15"/>
      <c r="U78" s="15"/>
      <c r="V78" s="15"/>
    </row>
    <row r="79" customFormat="false" ht="12.8" hidden="false" customHeight="false" outlineLevel="0" collapsed="false">
      <c r="A79" s="13" t="s">
        <v>931</v>
      </c>
      <c r="B79" s="15"/>
      <c r="C79" s="15" t="s">
        <v>932</v>
      </c>
      <c r="D79" s="15" t="s">
        <v>933</v>
      </c>
      <c r="E79" s="15" t="s">
        <v>697</v>
      </c>
      <c r="F79" s="15" t="s">
        <v>308</v>
      </c>
      <c r="G79" s="15" t="s">
        <v>934</v>
      </c>
      <c r="H79" s="15" t="s">
        <v>935</v>
      </c>
      <c r="I79" s="15" t="s">
        <v>936</v>
      </c>
      <c r="J79" s="15" t="s">
        <v>297</v>
      </c>
      <c r="K79" s="15" t="s">
        <v>263</v>
      </c>
      <c r="L79" s="15" t="s">
        <v>601</v>
      </c>
      <c r="M79" s="15" t="s">
        <v>264</v>
      </c>
      <c r="N79" s="15" t="s">
        <v>934</v>
      </c>
      <c r="O79" s="15" t="s">
        <v>700</v>
      </c>
      <c r="P79" s="15" t="s">
        <v>937</v>
      </c>
      <c r="Q79" s="15" t="s">
        <v>701</v>
      </c>
      <c r="R79" s="15" t="s">
        <v>938</v>
      </c>
      <c r="S79" s="15" t="s">
        <v>939</v>
      </c>
      <c r="T79" s="15"/>
      <c r="U79" s="15"/>
      <c r="V79" s="15"/>
    </row>
    <row r="80" customFormat="false" ht="12.8" hidden="false" customHeight="false" outlineLevel="0" collapsed="false">
      <c r="A80" s="13" t="s">
        <v>940</v>
      </c>
      <c r="B80" s="13"/>
      <c r="C80" s="13" t="s">
        <v>941</v>
      </c>
      <c r="D80" s="13" t="s">
        <v>942</v>
      </c>
      <c r="E80" s="13" t="s">
        <v>943</v>
      </c>
      <c r="F80" s="13" t="s">
        <v>324</v>
      </c>
      <c r="G80" s="13" t="s">
        <v>583</v>
      </c>
      <c r="H80" s="13" t="s">
        <v>944</v>
      </c>
      <c r="I80" s="13" t="s">
        <v>945</v>
      </c>
      <c r="J80" s="15" t="s">
        <v>546</v>
      </c>
      <c r="K80" s="15" t="s">
        <v>795</v>
      </c>
      <c r="L80" s="15" t="s">
        <v>586</v>
      </c>
      <c r="M80" s="15" t="s">
        <v>946</v>
      </c>
      <c r="N80" s="15" t="s">
        <v>583</v>
      </c>
      <c r="O80" s="15" t="s">
        <v>947</v>
      </c>
      <c r="P80" s="15" t="s">
        <v>588</v>
      </c>
      <c r="Q80" s="15" t="s">
        <v>948</v>
      </c>
      <c r="R80" s="15" t="s">
        <v>590</v>
      </c>
      <c r="S80" s="15" t="s">
        <v>949</v>
      </c>
      <c r="T80" s="15"/>
      <c r="U80" s="15"/>
      <c r="V80" s="15"/>
    </row>
    <row r="81" customFormat="false" ht="12.8" hidden="false" customHeight="false" outlineLevel="0" collapsed="false">
      <c r="A81" s="13" t="s">
        <v>950</v>
      </c>
      <c r="B81" s="13"/>
      <c r="C81" s="13" t="s">
        <v>951</v>
      </c>
      <c r="D81" s="13" t="s">
        <v>952</v>
      </c>
      <c r="E81" s="13" t="s">
        <v>953</v>
      </c>
      <c r="F81" s="13" t="s">
        <v>308</v>
      </c>
      <c r="G81" s="13" t="s">
        <v>954</v>
      </c>
      <c r="H81" s="13" t="s">
        <v>955</v>
      </c>
      <c r="I81" s="13" t="s">
        <v>956</v>
      </c>
      <c r="J81" s="13" t="s">
        <v>331</v>
      </c>
      <c r="K81" s="13" t="s">
        <v>957</v>
      </c>
      <c r="L81" s="13" t="s">
        <v>795</v>
      </c>
      <c r="M81" s="15" t="s">
        <v>958</v>
      </c>
      <c r="N81" s="15" t="s">
        <v>954</v>
      </c>
      <c r="O81" s="15" t="s">
        <v>959</v>
      </c>
      <c r="P81" s="15" t="s">
        <v>960</v>
      </c>
      <c r="Q81" s="15" t="s">
        <v>961</v>
      </c>
      <c r="R81" s="15" t="s">
        <v>962</v>
      </c>
      <c r="S81" s="15" t="s">
        <v>963</v>
      </c>
      <c r="T81" s="15"/>
      <c r="U81" s="15"/>
      <c r="V81" s="15"/>
    </row>
    <row r="82" customFormat="false" ht="12.8" hidden="false" customHeight="false" outlineLevel="0" collapsed="false">
      <c r="A82" s="13" t="s">
        <v>964</v>
      </c>
      <c r="B82" s="15"/>
      <c r="C82" s="15" t="s">
        <v>965</v>
      </c>
      <c r="D82" s="15" t="s">
        <v>966</v>
      </c>
      <c r="E82" s="15" t="s">
        <v>429</v>
      </c>
      <c r="F82" s="15" t="s">
        <v>324</v>
      </c>
      <c r="G82" s="15" t="s">
        <v>292</v>
      </c>
      <c r="H82" s="15" t="s">
        <v>967</v>
      </c>
      <c r="I82" s="15" t="s">
        <v>968</v>
      </c>
      <c r="J82" s="15" t="s">
        <v>356</v>
      </c>
      <c r="K82" s="15" t="s">
        <v>329</v>
      </c>
      <c r="L82" s="15" t="s">
        <v>368</v>
      </c>
      <c r="M82" s="15" t="s">
        <v>331</v>
      </c>
      <c r="N82" s="15" t="s">
        <v>292</v>
      </c>
      <c r="O82" s="15" t="s">
        <v>432</v>
      </c>
      <c r="P82" s="15" t="s">
        <v>370</v>
      </c>
      <c r="Q82" s="15" t="s">
        <v>434</v>
      </c>
      <c r="R82" s="15" t="s">
        <v>369</v>
      </c>
      <c r="S82" s="15" t="s">
        <v>969</v>
      </c>
      <c r="T82" s="15"/>
      <c r="U82" s="15"/>
      <c r="V82" s="15"/>
    </row>
    <row r="83" customFormat="false" ht="12.8" hidden="false" customHeight="false" outlineLevel="0" collapsed="false">
      <c r="A83" s="13" t="s">
        <v>970</v>
      </c>
      <c r="B83" s="15"/>
      <c r="C83" s="15" t="s">
        <v>971</v>
      </c>
      <c r="D83" s="15" t="s">
        <v>972</v>
      </c>
      <c r="E83" s="15" t="s">
        <v>429</v>
      </c>
      <c r="F83" s="15" t="s">
        <v>324</v>
      </c>
      <c r="G83" s="15" t="s">
        <v>292</v>
      </c>
      <c r="H83" s="15" t="s">
        <v>973</v>
      </c>
      <c r="I83" s="15" t="s">
        <v>522</v>
      </c>
      <c r="J83" s="15" t="s">
        <v>356</v>
      </c>
      <c r="K83" s="15" t="s">
        <v>329</v>
      </c>
      <c r="L83" s="15" t="s">
        <v>368</v>
      </c>
      <c r="M83" s="15" t="s">
        <v>331</v>
      </c>
      <c r="N83" s="15" t="s">
        <v>292</v>
      </c>
      <c r="O83" s="15" t="s">
        <v>432</v>
      </c>
      <c r="P83" s="15" t="s">
        <v>370</v>
      </c>
      <c r="Q83" s="15" t="s">
        <v>434</v>
      </c>
      <c r="R83" s="15" t="s">
        <v>369</v>
      </c>
      <c r="S83" s="15" t="s">
        <v>974</v>
      </c>
      <c r="T83" s="15"/>
      <c r="U83" s="15"/>
      <c r="V83" s="15"/>
    </row>
    <row r="84" customFormat="false" ht="12.8" hidden="false" customHeight="false" outlineLevel="0" collapsed="false">
      <c r="A84" s="13" t="s">
        <v>975</v>
      </c>
      <c r="B84" s="15"/>
      <c r="C84" s="15" t="s">
        <v>976</v>
      </c>
      <c r="D84" s="15" t="s">
        <v>977</v>
      </c>
      <c r="E84" s="15" t="s">
        <v>350</v>
      </c>
      <c r="F84" s="15" t="s">
        <v>324</v>
      </c>
      <c r="G84" s="15" t="s">
        <v>448</v>
      </c>
      <c r="H84" s="15" t="s">
        <v>814</v>
      </c>
      <c r="I84" s="15" t="s">
        <v>522</v>
      </c>
      <c r="J84" s="15" t="s">
        <v>451</v>
      </c>
      <c r="K84" s="15" t="s">
        <v>328</v>
      </c>
      <c r="L84" s="15" t="s">
        <v>452</v>
      </c>
      <c r="M84" s="15" t="s">
        <v>343</v>
      </c>
      <c r="N84" s="15" t="s">
        <v>448</v>
      </c>
      <c r="O84" s="15" t="s">
        <v>453</v>
      </c>
      <c r="P84" s="15" t="s">
        <v>454</v>
      </c>
      <c r="Q84" s="15" t="s">
        <v>455</v>
      </c>
      <c r="R84" s="15" t="s">
        <v>456</v>
      </c>
      <c r="S84" s="15" t="s">
        <v>978</v>
      </c>
      <c r="T84" s="15"/>
      <c r="U84" s="15"/>
      <c r="V84" s="15"/>
    </row>
    <row r="85" customFormat="false" ht="12.8" hidden="false" customHeight="false" outlineLevel="0" collapsed="false">
      <c r="A85" s="13" t="s">
        <v>979</v>
      </c>
      <c r="B85" s="15"/>
      <c r="C85" s="15" t="s">
        <v>980</v>
      </c>
      <c r="D85" s="15" t="s">
        <v>981</v>
      </c>
      <c r="E85" s="15" t="s">
        <v>982</v>
      </c>
      <c r="F85" s="15" t="s">
        <v>324</v>
      </c>
      <c r="G85" s="15" t="s">
        <v>983</v>
      </c>
      <c r="H85" s="15" t="s">
        <v>984</v>
      </c>
      <c r="I85" s="15" t="s">
        <v>985</v>
      </c>
      <c r="J85" s="15" t="s">
        <v>452</v>
      </c>
      <c r="K85" s="15" t="s">
        <v>329</v>
      </c>
      <c r="L85" s="15" t="s">
        <v>986</v>
      </c>
      <c r="M85" s="15" t="s">
        <v>331</v>
      </c>
      <c r="N85" s="15" t="s">
        <v>983</v>
      </c>
      <c r="O85" s="15" t="s">
        <v>987</v>
      </c>
      <c r="P85" s="15" t="s">
        <v>988</v>
      </c>
      <c r="Q85" s="15" t="s">
        <v>989</v>
      </c>
      <c r="R85" s="15" t="s">
        <v>990</v>
      </c>
      <c r="S85" s="15" t="s">
        <v>991</v>
      </c>
      <c r="T85" s="15"/>
      <c r="U85" s="15"/>
      <c r="V85" s="15"/>
    </row>
    <row r="86" customFormat="false" ht="12.8" hidden="false" customHeight="false" outlineLevel="0" collapsed="false">
      <c r="A86" s="13" t="s">
        <v>992</v>
      </c>
      <c r="B86" s="15"/>
      <c r="C86" s="15" t="s">
        <v>993</v>
      </c>
      <c r="D86" s="15" t="s">
        <v>994</v>
      </c>
      <c r="E86" s="15" t="s">
        <v>429</v>
      </c>
      <c r="F86" s="15" t="s">
        <v>324</v>
      </c>
      <c r="G86" s="15" t="s">
        <v>292</v>
      </c>
      <c r="H86" s="15" t="s">
        <v>205</v>
      </c>
      <c r="I86" s="15" t="s">
        <v>522</v>
      </c>
      <c r="J86" s="15" t="s">
        <v>356</v>
      </c>
      <c r="K86" s="15" t="s">
        <v>329</v>
      </c>
      <c r="L86" s="15" t="s">
        <v>368</v>
      </c>
      <c r="M86" s="15" t="s">
        <v>331</v>
      </c>
      <c r="N86" s="15" t="s">
        <v>292</v>
      </c>
      <c r="O86" s="15" t="s">
        <v>432</v>
      </c>
      <c r="P86" s="15" t="s">
        <v>370</v>
      </c>
      <c r="Q86" s="15" t="s">
        <v>434</v>
      </c>
      <c r="R86" s="15" t="s">
        <v>369</v>
      </c>
      <c r="S86" s="15" t="s">
        <v>995</v>
      </c>
      <c r="T86" s="15"/>
      <c r="U86" s="15"/>
      <c r="V86" s="15"/>
    </row>
    <row r="87" customFormat="false" ht="12.8" hidden="false" customHeight="false" outlineLevel="0" collapsed="false">
      <c r="A87" s="13" t="s">
        <v>996</v>
      </c>
      <c r="B87" s="15"/>
      <c r="C87" s="15" t="s">
        <v>997</v>
      </c>
      <c r="D87" s="15" t="s">
        <v>998</v>
      </c>
      <c r="E87" s="15" t="s">
        <v>476</v>
      </c>
      <c r="F87" s="15" t="s">
        <v>477</v>
      </c>
      <c r="G87" s="15" t="s">
        <v>478</v>
      </c>
      <c r="H87" s="15" t="s">
        <v>999</v>
      </c>
      <c r="I87" s="15" t="s">
        <v>1000</v>
      </c>
      <c r="J87" s="15" t="s">
        <v>481</v>
      </c>
      <c r="K87" s="15" t="s">
        <v>482</v>
      </c>
      <c r="L87" s="15" t="s">
        <v>483</v>
      </c>
      <c r="M87" s="15" t="s">
        <v>484</v>
      </c>
      <c r="N87" s="15" t="s">
        <v>478</v>
      </c>
      <c r="O87" s="15" t="s">
        <v>485</v>
      </c>
      <c r="P87" s="15" t="s">
        <v>486</v>
      </c>
      <c r="Q87" s="15" t="s">
        <v>487</v>
      </c>
      <c r="R87" s="15" t="s">
        <v>488</v>
      </c>
      <c r="S87" s="15" t="s">
        <v>1001</v>
      </c>
      <c r="T87" s="15"/>
      <c r="U87" s="15"/>
      <c r="V87" s="15"/>
    </row>
    <row r="88" customFormat="false" ht="12.8" hidden="false" customHeight="false" outlineLevel="0" collapsed="false">
      <c r="A88" s="13" t="s">
        <v>1002</v>
      </c>
      <c r="B88" s="15"/>
      <c r="C88" s="15" t="s">
        <v>1003</v>
      </c>
      <c r="D88" s="15" t="s">
        <v>1004</v>
      </c>
      <c r="E88" s="15" t="s">
        <v>1005</v>
      </c>
      <c r="F88" s="15" t="s">
        <v>1006</v>
      </c>
      <c r="G88" s="15" t="s">
        <v>1007</v>
      </c>
      <c r="H88" s="15" t="s">
        <v>1008</v>
      </c>
      <c r="I88" s="15" t="s">
        <v>1009</v>
      </c>
      <c r="J88" s="15" t="s">
        <v>482</v>
      </c>
      <c r="K88" s="15" t="s">
        <v>484</v>
      </c>
      <c r="L88" s="15" t="s">
        <v>484</v>
      </c>
      <c r="M88" s="15" t="s">
        <v>629</v>
      </c>
      <c r="N88" s="15" t="s">
        <v>1007</v>
      </c>
      <c r="O88" s="15" t="s">
        <v>1010</v>
      </c>
      <c r="P88" s="15" t="s">
        <v>1011</v>
      </c>
      <c r="Q88" s="15" t="s">
        <v>1012</v>
      </c>
      <c r="R88" s="15" t="s">
        <v>1013</v>
      </c>
      <c r="S88" s="15" t="s">
        <v>1014</v>
      </c>
      <c r="T88" s="15"/>
      <c r="U88" s="15"/>
      <c r="V88" s="15"/>
    </row>
    <row r="89" customFormat="false" ht="12.8" hidden="false" customHeight="false" outlineLevel="0" collapsed="false">
      <c r="A89" s="15" t="s">
        <v>1015</v>
      </c>
      <c r="B89" s="15" t="s">
        <v>229</v>
      </c>
      <c r="C89" s="15" t="s">
        <v>1016</v>
      </c>
      <c r="D89" s="15" t="s">
        <v>1017</v>
      </c>
      <c r="E89" s="15" t="s">
        <v>1018</v>
      </c>
      <c r="F89" s="15" t="s">
        <v>1019</v>
      </c>
      <c r="G89" s="15" t="s">
        <v>1020</v>
      </c>
      <c r="H89" s="15" t="s">
        <v>1021</v>
      </c>
      <c r="I89" s="15" t="s">
        <v>1022</v>
      </c>
      <c r="J89" s="15" t="s">
        <v>1023</v>
      </c>
      <c r="K89" s="15" t="s">
        <v>1024</v>
      </c>
      <c r="L89" s="15" t="s">
        <v>1025</v>
      </c>
      <c r="M89" s="15" t="s">
        <v>1026</v>
      </c>
      <c r="N89" s="15" t="s">
        <v>1020</v>
      </c>
      <c r="O89" s="15" t="s">
        <v>1027</v>
      </c>
      <c r="P89" s="15" t="s">
        <v>1028</v>
      </c>
      <c r="Q89" s="15" t="s">
        <v>1029</v>
      </c>
      <c r="R89" s="15" t="s">
        <v>1030</v>
      </c>
      <c r="S89" s="15" t="s">
        <v>1031</v>
      </c>
      <c r="T89" s="15"/>
      <c r="U89" s="15"/>
      <c r="V89" s="15"/>
    </row>
    <row r="90" customFormat="false" ht="12.8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s="6" customFormat="true" ht="68.65" hidden="false" customHeight="false" outlineLevel="0" collapsed="false">
      <c r="A91" s="2" t="s">
        <v>1032</v>
      </c>
      <c r="B91" s="16" t="s">
        <v>1033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XES91" s="0"/>
      <c r="XET91" s="0"/>
      <c r="XEU91" s="0"/>
      <c r="XEV91" s="0"/>
      <c r="XEW91" s="0"/>
      <c r="XEX91" s="0"/>
      <c r="XEY91" s="0"/>
      <c r="XEZ91" s="0"/>
      <c r="XFA91" s="0"/>
      <c r="XFB91" s="0"/>
      <c r="XFC91" s="0"/>
      <c r="XFD91" s="0"/>
    </row>
    <row r="92" s="6" customFormat="true" ht="12.8" hidden="false" customHeight="false" outlineLevel="0" collapsed="false">
      <c r="A92" s="13" t="s">
        <v>137</v>
      </c>
      <c r="B92" s="13" t="s">
        <v>138</v>
      </c>
      <c r="C92" s="13" t="s">
        <v>240</v>
      </c>
      <c r="D92" s="13" t="s">
        <v>1034</v>
      </c>
      <c r="E92" s="13" t="s">
        <v>1035</v>
      </c>
      <c r="F92" s="13" t="s">
        <v>1036</v>
      </c>
      <c r="G92" s="13" t="s">
        <v>1037</v>
      </c>
      <c r="H92" s="13" t="s">
        <v>1038</v>
      </c>
      <c r="I92" s="13" t="s">
        <v>1039</v>
      </c>
      <c r="J92" s="13" t="s">
        <v>1040</v>
      </c>
      <c r="K92" s="13" t="s">
        <v>1041</v>
      </c>
      <c r="L92" s="13" t="s">
        <v>1042</v>
      </c>
      <c r="M92" s="13" t="s">
        <v>1043</v>
      </c>
      <c r="N92" s="13" t="s">
        <v>250</v>
      </c>
      <c r="O92" s="13" t="s">
        <v>251</v>
      </c>
      <c r="P92" s="13" t="s">
        <v>252</v>
      </c>
      <c r="Q92" s="13" t="s">
        <v>253</v>
      </c>
      <c r="R92" s="13"/>
      <c r="S92" s="13"/>
      <c r="T92" s="13"/>
      <c r="U92" s="13"/>
      <c r="V92" s="13"/>
      <c r="XES92" s="0"/>
      <c r="XET92" s="0"/>
      <c r="XEU92" s="0"/>
      <c r="XEV92" s="0"/>
      <c r="XEW92" s="0"/>
      <c r="XEX92" s="0"/>
      <c r="XEY92" s="0"/>
      <c r="XEZ92" s="0"/>
      <c r="XFA92" s="0"/>
      <c r="XFB92" s="0"/>
      <c r="XFC92" s="0"/>
      <c r="XFD92" s="0"/>
    </row>
    <row r="93" s="6" customFormat="true" ht="12.8" hidden="false" customHeight="false" outlineLevel="0" collapsed="false">
      <c r="A93" s="14" t="s">
        <v>147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3"/>
      <c r="S93" s="13"/>
      <c r="T93" s="13"/>
      <c r="U93" s="13"/>
      <c r="V93" s="13"/>
      <c r="XES93" s="0"/>
      <c r="XET93" s="0"/>
      <c r="XEU93" s="0"/>
      <c r="XEV93" s="0"/>
      <c r="XEW93" s="0"/>
      <c r="XEX93" s="0"/>
      <c r="XEY93" s="0"/>
      <c r="XEZ93" s="0"/>
      <c r="XFA93" s="0"/>
      <c r="XFB93" s="0"/>
      <c r="XFC93" s="0"/>
      <c r="XFD93" s="0"/>
    </row>
    <row r="94" customFormat="false" ht="12.8" hidden="false" customHeight="false" outlineLevel="0" collapsed="false">
      <c r="A94" s="15" t="s">
        <v>148</v>
      </c>
      <c r="B94" s="15" t="s">
        <v>149</v>
      </c>
      <c r="C94" s="15" t="s">
        <v>257</v>
      </c>
      <c r="D94" s="15" t="n">
        <v>65</v>
      </c>
      <c r="E94" s="15" t="n">
        <v>75</v>
      </c>
      <c r="F94" s="15" t="n">
        <v>4</v>
      </c>
      <c r="G94" s="15" t="n">
        <v>6</v>
      </c>
      <c r="H94" s="15" t="n">
        <v>60</v>
      </c>
      <c r="I94" s="15" t="n">
        <v>70</v>
      </c>
      <c r="J94" s="15" t="s">
        <v>1044</v>
      </c>
      <c r="K94" s="15" t="s">
        <v>1045</v>
      </c>
      <c r="L94" s="15" t="n">
        <v>9000</v>
      </c>
      <c r="M94" s="15" t="n">
        <v>13000</v>
      </c>
      <c r="N94" s="15" t="n">
        <v>58.8</v>
      </c>
      <c r="O94" s="15" t="n">
        <v>69.6</v>
      </c>
      <c r="P94" s="15" t="n">
        <v>55.8</v>
      </c>
      <c r="Q94" s="15" t="n">
        <v>68.2</v>
      </c>
      <c r="R94" s="15"/>
      <c r="S94" s="15"/>
      <c r="T94" s="15"/>
      <c r="U94" s="15"/>
      <c r="V94" s="15"/>
    </row>
    <row r="95" customFormat="false" ht="12.8" hidden="false" customHeight="false" outlineLevel="0" collapsed="false">
      <c r="A95" s="15" t="s">
        <v>157</v>
      </c>
      <c r="B95" s="15" t="s">
        <v>158</v>
      </c>
      <c r="C95" s="15" t="s">
        <v>396</v>
      </c>
      <c r="D95" s="15" t="n">
        <v>16</v>
      </c>
      <c r="E95" s="15" t="n">
        <v>27</v>
      </c>
      <c r="F95" s="15" t="n">
        <v>0.56</v>
      </c>
      <c r="G95" s="15" t="n">
        <v>1.62</v>
      </c>
      <c r="H95" s="15" t="n">
        <v>14.94</v>
      </c>
      <c r="I95" s="15" t="n">
        <v>24.88</v>
      </c>
      <c r="J95" s="15" t="s">
        <v>1046</v>
      </c>
      <c r="K95" s="15" t="s">
        <v>1047</v>
      </c>
      <c r="L95" s="15" t="n">
        <v>400</v>
      </c>
      <c r="M95" s="15" t="n">
        <v>900</v>
      </c>
      <c r="N95" s="15" t="n">
        <v>14.616</v>
      </c>
      <c r="O95" s="15" t="n">
        <v>24.824</v>
      </c>
      <c r="P95" s="15" t="n">
        <v>14.068</v>
      </c>
      <c r="Q95" s="15" t="n">
        <v>24.562</v>
      </c>
      <c r="R95" s="15"/>
      <c r="S95" s="15"/>
      <c r="T95" s="15"/>
      <c r="U95" s="15"/>
      <c r="V95" s="15"/>
    </row>
    <row r="96" customFormat="false" ht="12.8" hidden="false" customHeight="false" outlineLevel="0" collapsed="false">
      <c r="A96" s="15" t="s">
        <v>166</v>
      </c>
      <c r="B96" s="15" t="s">
        <v>167</v>
      </c>
      <c r="C96" s="15" t="s">
        <v>1048</v>
      </c>
      <c r="D96" s="15" t="n">
        <v>150</v>
      </c>
      <c r="E96" s="15" t="n">
        <v>170</v>
      </c>
      <c r="F96" s="15" t="n">
        <v>10</v>
      </c>
      <c r="G96" s="15" t="n">
        <v>12</v>
      </c>
      <c r="H96" s="15" t="n">
        <v>140</v>
      </c>
      <c r="I96" s="15" t="n">
        <v>155</v>
      </c>
      <c r="J96" s="15" t="s">
        <v>1049</v>
      </c>
      <c r="K96" s="15" t="s">
        <v>1050</v>
      </c>
      <c r="L96" s="15" t="n">
        <v>2000</v>
      </c>
      <c r="M96" s="15" t="n">
        <v>3500</v>
      </c>
      <c r="N96" s="15" t="n">
        <v>137</v>
      </c>
      <c r="O96" s="15" t="n">
        <v>154</v>
      </c>
      <c r="P96" s="15" t="n">
        <v>130.7</v>
      </c>
      <c r="Q96" s="15" t="n">
        <v>150.8</v>
      </c>
      <c r="R96" s="15"/>
      <c r="S96" s="15"/>
      <c r="T96" s="15"/>
      <c r="U96" s="15"/>
      <c r="V96" s="15"/>
    </row>
    <row r="97" customFormat="false" ht="12.8" hidden="false" customHeight="false" outlineLevel="0" collapsed="false">
      <c r="A97" s="15" t="s">
        <v>175</v>
      </c>
      <c r="B97" s="13" t="s">
        <v>176</v>
      </c>
      <c r="C97" s="13" t="s">
        <v>550</v>
      </c>
      <c r="D97" s="13" t="n">
        <v>222</v>
      </c>
      <c r="E97" s="13" t="n">
        <v>280</v>
      </c>
      <c r="F97" s="13" t="n">
        <v>5.415</v>
      </c>
      <c r="G97" s="13" t="n">
        <v>7.9</v>
      </c>
      <c r="H97" s="13" t="n">
        <v>215.085</v>
      </c>
      <c r="I97" s="13" t="n">
        <v>273.1</v>
      </c>
      <c r="J97" s="13" t="s">
        <v>1051</v>
      </c>
      <c r="K97" s="13" t="s">
        <v>1052</v>
      </c>
      <c r="L97" s="13" t="n">
        <v>2500</v>
      </c>
      <c r="M97" s="15" t="n">
        <v>3500</v>
      </c>
      <c r="N97" s="15" t="n">
        <v>213.505</v>
      </c>
      <c r="O97" s="15" t="n">
        <v>272.5585</v>
      </c>
      <c r="P97" s="15" t="n">
        <v>208.845</v>
      </c>
      <c r="Q97" s="15" t="n">
        <v>270.3755</v>
      </c>
      <c r="R97" s="15"/>
      <c r="S97" s="15"/>
      <c r="T97" s="15"/>
      <c r="U97" s="15"/>
      <c r="V97" s="15"/>
    </row>
    <row r="98" customFormat="false" ht="12.8" hidden="false" customHeight="false" outlineLevel="0" collapsed="false">
      <c r="A98" s="15" t="s">
        <v>184</v>
      </c>
      <c r="B98" s="15" t="s">
        <v>185</v>
      </c>
      <c r="C98" s="15" t="s">
        <v>662</v>
      </c>
      <c r="D98" s="15" t="n">
        <v>1640</v>
      </c>
      <c r="E98" s="15" t="n">
        <v>2060</v>
      </c>
      <c r="F98" s="15" t="n">
        <v>60.4</v>
      </c>
      <c r="G98" s="15" t="n">
        <v>120.6</v>
      </c>
      <c r="H98" s="15" t="n">
        <v>1539.6</v>
      </c>
      <c r="I98" s="15" t="n">
        <v>1959.4</v>
      </c>
      <c r="J98" s="15" t="s">
        <v>1053</v>
      </c>
      <c r="K98" s="15" t="s">
        <v>1054</v>
      </c>
      <c r="L98" s="15" t="n">
        <v>7000</v>
      </c>
      <c r="M98" s="15" t="n">
        <v>15000</v>
      </c>
      <c r="N98" s="15" t="n">
        <v>1515.48</v>
      </c>
      <c r="O98" s="15" t="n">
        <v>1953.36</v>
      </c>
      <c r="P98" s="15" t="n">
        <v>1425.24</v>
      </c>
      <c r="Q98" s="15" t="n">
        <v>1929.28</v>
      </c>
      <c r="R98" s="15"/>
      <c r="S98" s="15"/>
      <c r="T98" s="15"/>
      <c r="U98" s="15"/>
      <c r="V98" s="15"/>
    </row>
    <row r="99" customFormat="false" ht="12.8" hidden="false" customHeight="false" outlineLevel="0" collapsed="false">
      <c r="A99" s="15" t="s">
        <v>194</v>
      </c>
      <c r="B99" s="15" t="s">
        <v>195</v>
      </c>
      <c r="C99" s="15" t="s">
        <v>801</v>
      </c>
      <c r="D99" s="15" t="n">
        <v>4</v>
      </c>
      <c r="E99" s="15" t="n">
        <v>6</v>
      </c>
      <c r="F99" s="15" t="n">
        <v>0.5</v>
      </c>
      <c r="G99" s="15" t="n">
        <v>0.5</v>
      </c>
      <c r="H99" s="15" t="n">
        <v>3.5</v>
      </c>
      <c r="I99" s="15" t="n">
        <v>5.5</v>
      </c>
      <c r="J99" s="15" t="s">
        <v>1055</v>
      </c>
      <c r="K99" s="15" t="s">
        <v>1056</v>
      </c>
      <c r="L99" s="15" t="n">
        <v>500</v>
      </c>
      <c r="M99" s="15" t="n">
        <v>2500</v>
      </c>
      <c r="N99" s="15" t="n">
        <v>3.39</v>
      </c>
      <c r="O99" s="15" t="n">
        <v>5.46</v>
      </c>
      <c r="P99" s="15" t="n">
        <v>3.2</v>
      </c>
      <c r="Q99" s="15" t="n">
        <v>5.4</v>
      </c>
      <c r="R99" s="15"/>
      <c r="S99" s="15"/>
      <c r="T99" s="15"/>
      <c r="U99" s="15"/>
      <c r="V99" s="15"/>
    </row>
    <row r="100" customFormat="false" ht="12.8" hidden="false" customHeight="false" outlineLevel="0" collapsed="false">
      <c r="A100" s="15" t="s">
        <v>202</v>
      </c>
      <c r="B100" s="15" t="s">
        <v>203</v>
      </c>
      <c r="C100" s="15" t="s">
        <v>1057</v>
      </c>
      <c r="D100" s="15" t="n">
        <v>1</v>
      </c>
      <c r="E100" s="15" t="n">
        <v>3</v>
      </c>
      <c r="F100" s="15" t="n">
        <v>0.01</v>
      </c>
      <c r="G100" s="15" t="n">
        <v>0.03</v>
      </c>
      <c r="H100" s="15" t="n">
        <v>0.99</v>
      </c>
      <c r="I100" s="15" t="n">
        <v>2.97</v>
      </c>
      <c r="J100" s="15" t="s">
        <v>1058</v>
      </c>
      <c r="K100" s="15" t="s">
        <v>1058</v>
      </c>
      <c r="L100" s="15" t="n">
        <v>100</v>
      </c>
      <c r="M100" s="15" t="n">
        <v>300</v>
      </c>
      <c r="N100" s="15" t="n">
        <v>0.984</v>
      </c>
      <c r="O100" s="15" t="n">
        <v>2.969</v>
      </c>
      <c r="P100" s="15" t="n">
        <v>0.972</v>
      </c>
      <c r="Q100" s="15" t="n">
        <v>2.967</v>
      </c>
      <c r="R100" s="15"/>
      <c r="S100" s="15"/>
      <c r="T100" s="15"/>
      <c r="U100" s="15"/>
      <c r="V100" s="15"/>
    </row>
    <row r="101" customFormat="false" ht="12.8" hidden="false" customHeight="false" outlineLevel="0" collapsed="false">
      <c r="A101" s="14" t="s">
        <v>211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5"/>
      <c r="S101" s="15"/>
      <c r="T101" s="15"/>
      <c r="U101" s="15"/>
      <c r="V101" s="15"/>
    </row>
    <row r="102" customFormat="false" ht="12.8" hidden="false" customHeight="false" outlineLevel="0" collapsed="false">
      <c r="A102" s="15" t="s">
        <v>212</v>
      </c>
      <c r="B102" s="15" t="s">
        <v>213</v>
      </c>
      <c r="C102" s="15" t="s">
        <v>856</v>
      </c>
      <c r="D102" s="15" t="n">
        <v>25</v>
      </c>
      <c r="E102" s="15" t="n">
        <v>45</v>
      </c>
      <c r="F102" s="15" t="n">
        <v>3</v>
      </c>
      <c r="G102" s="15" t="n">
        <v>6</v>
      </c>
      <c r="H102" s="15" t="n">
        <v>20</v>
      </c>
      <c r="I102" s="15" t="n">
        <v>40</v>
      </c>
      <c r="J102" s="15" t="s">
        <v>1056</v>
      </c>
      <c r="K102" s="15" t="s">
        <v>1059</v>
      </c>
      <c r="L102" s="15" t="s">
        <v>522</v>
      </c>
      <c r="M102" s="15" t="s">
        <v>522</v>
      </c>
      <c r="N102" s="15" t="n">
        <v>17.6</v>
      </c>
      <c r="O102" s="15" t="n">
        <v>39.4</v>
      </c>
      <c r="P102" s="15" t="n">
        <v>14</v>
      </c>
      <c r="Q102" s="15" t="n">
        <v>39</v>
      </c>
      <c r="R102" s="15"/>
      <c r="S102" s="15"/>
      <c r="T102" s="15"/>
      <c r="U102" s="15"/>
      <c r="V102" s="15"/>
    </row>
    <row r="103" customFormat="false" ht="12.8" hidden="false" customHeight="false" outlineLevel="0" collapsed="false">
      <c r="A103" s="15" t="s">
        <v>220</v>
      </c>
      <c r="B103" s="15" t="s">
        <v>221</v>
      </c>
      <c r="C103" s="15" t="s">
        <v>1060</v>
      </c>
      <c r="D103" s="15" t="n">
        <v>65</v>
      </c>
      <c r="E103" s="15" t="n">
        <v>96</v>
      </c>
      <c r="F103" s="15" t="n">
        <v>5.1</v>
      </c>
      <c r="G103" s="15" t="n">
        <v>8.16</v>
      </c>
      <c r="H103" s="15" t="n">
        <v>59.9</v>
      </c>
      <c r="I103" s="15" t="n">
        <v>85.84</v>
      </c>
      <c r="J103" s="15" t="s">
        <v>1061</v>
      </c>
      <c r="K103" s="15" t="s">
        <v>1062</v>
      </c>
      <c r="L103" s="15" t="n">
        <v>1000</v>
      </c>
      <c r="M103" s="15" t="n">
        <v>6000</v>
      </c>
      <c r="N103" s="15" t="n">
        <v>57.068</v>
      </c>
      <c r="O103" s="15" t="n">
        <v>85.33</v>
      </c>
      <c r="P103" s="15" t="n">
        <v>51.404</v>
      </c>
      <c r="Q103" s="15" t="n">
        <v>83.31</v>
      </c>
      <c r="R103" s="15"/>
      <c r="S103" s="15"/>
      <c r="T103" s="15"/>
      <c r="U103" s="15"/>
      <c r="V103" s="15"/>
    </row>
    <row r="104" customFormat="false" ht="12.8" hidden="false" customHeight="false" outlineLevel="0" collapsed="false">
      <c r="A104" s="13" t="s">
        <v>1015</v>
      </c>
      <c r="B104" s="13" t="s">
        <v>229</v>
      </c>
      <c r="C104" s="13" t="s">
        <v>1063</v>
      </c>
      <c r="D104" s="13" t="s">
        <v>1064</v>
      </c>
      <c r="E104" s="13" t="s">
        <v>1065</v>
      </c>
      <c r="F104" s="13" t="n">
        <v>152</v>
      </c>
      <c r="G104" s="13" t="n">
        <v>253</v>
      </c>
      <c r="H104" s="13" t="s">
        <v>1066</v>
      </c>
      <c r="I104" s="13" t="s">
        <v>1067</v>
      </c>
      <c r="J104" s="13" t="s">
        <v>1068</v>
      </c>
      <c r="K104" s="13" t="s">
        <v>1069</v>
      </c>
      <c r="L104" s="13" t="s">
        <v>1070</v>
      </c>
      <c r="M104" s="15" t="s">
        <v>1070</v>
      </c>
      <c r="N104" s="15" t="s">
        <v>1071</v>
      </c>
      <c r="O104" s="15" t="s">
        <v>1072</v>
      </c>
      <c r="P104" s="15" t="s">
        <v>1073</v>
      </c>
      <c r="Q104" s="15" t="s">
        <v>1074</v>
      </c>
      <c r="R104" s="15"/>
      <c r="S104" s="15"/>
      <c r="T104" s="15"/>
      <c r="U104" s="15"/>
      <c r="V104" s="15"/>
    </row>
    <row r="105" customFormat="false" ht="12.8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3"/>
    </row>
    <row r="107" customFormat="false" ht="12.8" hidden="false" customHeight="false" outlineLevel="0" collapsed="false">
      <c r="A107" s="18"/>
    </row>
  </sheetData>
  <mergeCells count="968">
    <mergeCell ref="A4:Q4"/>
    <mergeCell ref="R4:AH4"/>
    <mergeCell ref="AI4:AY4"/>
    <mergeCell ref="AZ4:BP4"/>
    <mergeCell ref="BQ4:CG4"/>
    <mergeCell ref="CH4:CX4"/>
    <mergeCell ref="CY4:DO4"/>
    <mergeCell ref="DP4:EF4"/>
    <mergeCell ref="EG4:EW4"/>
    <mergeCell ref="EX4:FN4"/>
    <mergeCell ref="FO4:GE4"/>
    <mergeCell ref="GF4:GV4"/>
    <mergeCell ref="GW4:HM4"/>
    <mergeCell ref="HN4:ID4"/>
    <mergeCell ref="IE4:IU4"/>
    <mergeCell ref="IV4:JL4"/>
    <mergeCell ref="JM4:KC4"/>
    <mergeCell ref="KD4:KT4"/>
    <mergeCell ref="KU4:LK4"/>
    <mergeCell ref="LL4:MB4"/>
    <mergeCell ref="MC4:MS4"/>
    <mergeCell ref="MT4:NJ4"/>
    <mergeCell ref="NK4:OA4"/>
    <mergeCell ref="OB4:OR4"/>
    <mergeCell ref="OS4:PI4"/>
    <mergeCell ref="PJ4:PZ4"/>
    <mergeCell ref="QA4:QQ4"/>
    <mergeCell ref="QR4:RH4"/>
    <mergeCell ref="RI4:RY4"/>
    <mergeCell ref="RZ4:SP4"/>
    <mergeCell ref="SQ4:TG4"/>
    <mergeCell ref="TH4:TX4"/>
    <mergeCell ref="TY4:UO4"/>
    <mergeCell ref="UP4:VF4"/>
    <mergeCell ref="VG4:VW4"/>
    <mergeCell ref="VX4:WN4"/>
    <mergeCell ref="WO4:XE4"/>
    <mergeCell ref="XF4:XV4"/>
    <mergeCell ref="XW4:YM4"/>
    <mergeCell ref="YN4:ZD4"/>
    <mergeCell ref="ZE4:ZU4"/>
    <mergeCell ref="ZV4:AAL4"/>
    <mergeCell ref="AAM4:ABC4"/>
    <mergeCell ref="ABD4:ABT4"/>
    <mergeCell ref="ABU4:ACK4"/>
    <mergeCell ref="ACL4:ADB4"/>
    <mergeCell ref="ADC4:ADS4"/>
    <mergeCell ref="ADT4:AEJ4"/>
    <mergeCell ref="AEK4:AFA4"/>
    <mergeCell ref="AFB4:AFR4"/>
    <mergeCell ref="AFS4:AGI4"/>
    <mergeCell ref="AGJ4:AGZ4"/>
    <mergeCell ref="AHA4:AHQ4"/>
    <mergeCell ref="AHR4:AIH4"/>
    <mergeCell ref="AII4:AIY4"/>
    <mergeCell ref="AIZ4:AJP4"/>
    <mergeCell ref="AJQ4:AKG4"/>
    <mergeCell ref="AKH4:AKX4"/>
    <mergeCell ref="AKY4:ALO4"/>
    <mergeCell ref="ALP4:AMF4"/>
    <mergeCell ref="AMG4:AMW4"/>
    <mergeCell ref="AMX4:ANN4"/>
    <mergeCell ref="ANO4:AOE4"/>
    <mergeCell ref="AOF4:AOV4"/>
    <mergeCell ref="AOW4:APM4"/>
    <mergeCell ref="APN4:AQD4"/>
    <mergeCell ref="AQE4:AQU4"/>
    <mergeCell ref="AQV4:ARL4"/>
    <mergeCell ref="ARM4:ASC4"/>
    <mergeCell ref="ASD4:AST4"/>
    <mergeCell ref="ASU4:ATK4"/>
    <mergeCell ref="ATL4:AUB4"/>
    <mergeCell ref="AUC4:AUS4"/>
    <mergeCell ref="AUT4:AVJ4"/>
    <mergeCell ref="AVK4:AWA4"/>
    <mergeCell ref="AWB4:AWR4"/>
    <mergeCell ref="AWS4:AXI4"/>
    <mergeCell ref="AXJ4:AXZ4"/>
    <mergeCell ref="AYA4:AYQ4"/>
    <mergeCell ref="AYR4:AZH4"/>
    <mergeCell ref="AZI4:AZY4"/>
    <mergeCell ref="AZZ4:BAP4"/>
    <mergeCell ref="BAQ4:BBG4"/>
    <mergeCell ref="BBH4:BBX4"/>
    <mergeCell ref="BBY4:BCO4"/>
    <mergeCell ref="BCP4:BDF4"/>
    <mergeCell ref="BDG4:BDW4"/>
    <mergeCell ref="BDX4:BEN4"/>
    <mergeCell ref="BEO4:BFE4"/>
    <mergeCell ref="BFF4:BFV4"/>
    <mergeCell ref="BFW4:BGM4"/>
    <mergeCell ref="BGN4:BHD4"/>
    <mergeCell ref="BHE4:BHU4"/>
    <mergeCell ref="BHV4:BIL4"/>
    <mergeCell ref="BIM4:BJC4"/>
    <mergeCell ref="BJD4:BJT4"/>
    <mergeCell ref="BJU4:BKK4"/>
    <mergeCell ref="BKL4:BLB4"/>
    <mergeCell ref="BLC4:BLS4"/>
    <mergeCell ref="BLT4:BMJ4"/>
    <mergeCell ref="BMK4:BNA4"/>
    <mergeCell ref="BNB4:BNR4"/>
    <mergeCell ref="BNS4:BOI4"/>
    <mergeCell ref="BOJ4:BOZ4"/>
    <mergeCell ref="BPA4:BPQ4"/>
    <mergeCell ref="BPR4:BQH4"/>
    <mergeCell ref="BQI4:BQY4"/>
    <mergeCell ref="BQZ4:BRP4"/>
    <mergeCell ref="BRQ4:BSG4"/>
    <mergeCell ref="BSH4:BSX4"/>
    <mergeCell ref="BSY4:BTO4"/>
    <mergeCell ref="BTP4:BUF4"/>
    <mergeCell ref="BUG4:BUW4"/>
    <mergeCell ref="BUX4:BVN4"/>
    <mergeCell ref="BVO4:BWE4"/>
    <mergeCell ref="BWF4:BWV4"/>
    <mergeCell ref="BWW4:BXM4"/>
    <mergeCell ref="BXN4:BYD4"/>
    <mergeCell ref="BYE4:BYU4"/>
    <mergeCell ref="BYV4:BZL4"/>
    <mergeCell ref="BZM4:CAC4"/>
    <mergeCell ref="CAD4:CAT4"/>
    <mergeCell ref="CAU4:CBK4"/>
    <mergeCell ref="CBL4:CCB4"/>
    <mergeCell ref="CCC4:CCS4"/>
    <mergeCell ref="CCT4:CDJ4"/>
    <mergeCell ref="CDK4:CEA4"/>
    <mergeCell ref="CEB4:CER4"/>
    <mergeCell ref="CES4:CFI4"/>
    <mergeCell ref="CFJ4:CFZ4"/>
    <mergeCell ref="CGA4:CGQ4"/>
    <mergeCell ref="CGR4:CHH4"/>
    <mergeCell ref="CHI4:CHY4"/>
    <mergeCell ref="CHZ4:CIP4"/>
    <mergeCell ref="CIQ4:CJG4"/>
    <mergeCell ref="CJH4:CJX4"/>
    <mergeCell ref="CJY4:CKO4"/>
    <mergeCell ref="CKP4:CLF4"/>
    <mergeCell ref="CLG4:CLW4"/>
    <mergeCell ref="CLX4:CMN4"/>
    <mergeCell ref="CMO4:CNE4"/>
    <mergeCell ref="CNF4:CNV4"/>
    <mergeCell ref="CNW4:COM4"/>
    <mergeCell ref="CON4:CPD4"/>
    <mergeCell ref="CPE4:CPU4"/>
    <mergeCell ref="CPV4:CQL4"/>
    <mergeCell ref="CQM4:CRC4"/>
    <mergeCell ref="CRD4:CRT4"/>
    <mergeCell ref="CRU4:CSK4"/>
    <mergeCell ref="CSL4:CTB4"/>
    <mergeCell ref="CTC4:CTS4"/>
    <mergeCell ref="CTT4:CUJ4"/>
    <mergeCell ref="CUK4:CVA4"/>
    <mergeCell ref="CVB4:CVR4"/>
    <mergeCell ref="CVS4:CWI4"/>
    <mergeCell ref="CWJ4:CWZ4"/>
    <mergeCell ref="CXA4:CXQ4"/>
    <mergeCell ref="CXR4:CYH4"/>
    <mergeCell ref="CYI4:CYY4"/>
    <mergeCell ref="CYZ4:CZP4"/>
    <mergeCell ref="CZQ4:DAG4"/>
    <mergeCell ref="DAH4:DAX4"/>
    <mergeCell ref="DAY4:DBO4"/>
    <mergeCell ref="DBP4:DCF4"/>
    <mergeCell ref="DCG4:DCW4"/>
    <mergeCell ref="DCX4:DDN4"/>
    <mergeCell ref="DDO4:DEE4"/>
    <mergeCell ref="DEF4:DEV4"/>
    <mergeCell ref="DEW4:DFM4"/>
    <mergeCell ref="DFN4:DGD4"/>
    <mergeCell ref="DGE4:DGU4"/>
    <mergeCell ref="DGV4:DHL4"/>
    <mergeCell ref="DHM4:DIC4"/>
    <mergeCell ref="DID4:DIT4"/>
    <mergeCell ref="DIU4:DJK4"/>
    <mergeCell ref="DJL4:DKB4"/>
    <mergeCell ref="DKC4:DKS4"/>
    <mergeCell ref="DKT4:DLJ4"/>
    <mergeCell ref="DLK4:DMA4"/>
    <mergeCell ref="DMB4:DMR4"/>
    <mergeCell ref="DMS4:DNI4"/>
    <mergeCell ref="DNJ4:DNZ4"/>
    <mergeCell ref="DOA4:DOQ4"/>
    <mergeCell ref="DOR4:DPH4"/>
    <mergeCell ref="DPI4:DPY4"/>
    <mergeCell ref="DPZ4:DQP4"/>
    <mergeCell ref="DQQ4:DRG4"/>
    <mergeCell ref="DRH4:DRX4"/>
    <mergeCell ref="DRY4:DSO4"/>
    <mergeCell ref="DSP4:DTF4"/>
    <mergeCell ref="DTG4:DTW4"/>
    <mergeCell ref="DTX4:DUN4"/>
    <mergeCell ref="DUO4:DVE4"/>
    <mergeCell ref="DVF4:DVV4"/>
    <mergeCell ref="DVW4:DWM4"/>
    <mergeCell ref="DWN4:DXD4"/>
    <mergeCell ref="DXE4:DXU4"/>
    <mergeCell ref="DXV4:DYL4"/>
    <mergeCell ref="DYM4:DZC4"/>
    <mergeCell ref="DZD4:DZT4"/>
    <mergeCell ref="DZU4:EAK4"/>
    <mergeCell ref="EAL4:EBB4"/>
    <mergeCell ref="EBC4:EBS4"/>
    <mergeCell ref="EBT4:ECJ4"/>
    <mergeCell ref="ECK4:EDA4"/>
    <mergeCell ref="EDB4:EDR4"/>
    <mergeCell ref="EDS4:EEI4"/>
    <mergeCell ref="EEJ4:EEZ4"/>
    <mergeCell ref="EFA4:EFQ4"/>
    <mergeCell ref="EFR4:EGH4"/>
    <mergeCell ref="EGI4:EGY4"/>
    <mergeCell ref="EGZ4:EHP4"/>
    <mergeCell ref="EHQ4:EIG4"/>
    <mergeCell ref="EIH4:EIX4"/>
    <mergeCell ref="EIY4:EJO4"/>
    <mergeCell ref="EJP4:EKF4"/>
    <mergeCell ref="EKG4:EKW4"/>
    <mergeCell ref="EKX4:ELN4"/>
    <mergeCell ref="ELO4:EME4"/>
    <mergeCell ref="EMF4:EMV4"/>
    <mergeCell ref="EMW4:ENM4"/>
    <mergeCell ref="ENN4:EOD4"/>
    <mergeCell ref="EOE4:EOU4"/>
    <mergeCell ref="EOV4:EPL4"/>
    <mergeCell ref="EPM4:EQC4"/>
    <mergeCell ref="EQD4:EQT4"/>
    <mergeCell ref="EQU4:ERK4"/>
    <mergeCell ref="ERL4:ESB4"/>
    <mergeCell ref="ESC4:ESS4"/>
    <mergeCell ref="EST4:ETJ4"/>
    <mergeCell ref="ETK4:EUA4"/>
    <mergeCell ref="EUB4:EUR4"/>
    <mergeCell ref="EUS4:EVI4"/>
    <mergeCell ref="EVJ4:EVZ4"/>
    <mergeCell ref="EWA4:EWQ4"/>
    <mergeCell ref="EWR4:EXH4"/>
    <mergeCell ref="EXI4:EXY4"/>
    <mergeCell ref="EXZ4:EYP4"/>
    <mergeCell ref="EYQ4:EZG4"/>
    <mergeCell ref="EZH4:EZX4"/>
    <mergeCell ref="EZY4:FAO4"/>
    <mergeCell ref="FAP4:FBF4"/>
    <mergeCell ref="FBG4:FBW4"/>
    <mergeCell ref="FBX4:FCN4"/>
    <mergeCell ref="FCO4:FDE4"/>
    <mergeCell ref="FDF4:FDV4"/>
    <mergeCell ref="FDW4:FEM4"/>
    <mergeCell ref="FEN4:FFD4"/>
    <mergeCell ref="FFE4:FFU4"/>
    <mergeCell ref="FFV4:FGL4"/>
    <mergeCell ref="FGM4:FHC4"/>
    <mergeCell ref="FHD4:FHT4"/>
    <mergeCell ref="FHU4:FIK4"/>
    <mergeCell ref="FIL4:FJB4"/>
    <mergeCell ref="FJC4:FJS4"/>
    <mergeCell ref="FJT4:FKJ4"/>
    <mergeCell ref="FKK4:FLA4"/>
    <mergeCell ref="FLB4:FLR4"/>
    <mergeCell ref="FLS4:FMI4"/>
    <mergeCell ref="FMJ4:FMZ4"/>
    <mergeCell ref="FNA4:FNQ4"/>
    <mergeCell ref="FNR4:FOH4"/>
    <mergeCell ref="FOI4:FOY4"/>
    <mergeCell ref="FOZ4:FPP4"/>
    <mergeCell ref="FPQ4:FQG4"/>
    <mergeCell ref="FQH4:FQX4"/>
    <mergeCell ref="FQY4:FRO4"/>
    <mergeCell ref="FRP4:FSF4"/>
    <mergeCell ref="FSG4:FSW4"/>
    <mergeCell ref="FSX4:FTN4"/>
    <mergeCell ref="FTO4:FUE4"/>
    <mergeCell ref="FUF4:FUV4"/>
    <mergeCell ref="FUW4:FVM4"/>
    <mergeCell ref="FVN4:FWD4"/>
    <mergeCell ref="FWE4:FWU4"/>
    <mergeCell ref="FWV4:FXL4"/>
    <mergeCell ref="FXM4:FYC4"/>
    <mergeCell ref="FYD4:FYT4"/>
    <mergeCell ref="FYU4:FZK4"/>
    <mergeCell ref="FZL4:GAB4"/>
    <mergeCell ref="GAC4:GAS4"/>
    <mergeCell ref="GAT4:GBJ4"/>
    <mergeCell ref="GBK4:GCA4"/>
    <mergeCell ref="GCB4:GCR4"/>
    <mergeCell ref="GCS4:GDI4"/>
    <mergeCell ref="GDJ4:GDZ4"/>
    <mergeCell ref="GEA4:GEQ4"/>
    <mergeCell ref="GER4:GFH4"/>
    <mergeCell ref="GFI4:GFY4"/>
    <mergeCell ref="GFZ4:GGP4"/>
    <mergeCell ref="GGQ4:GHG4"/>
    <mergeCell ref="GHH4:GHX4"/>
    <mergeCell ref="GHY4:GIO4"/>
    <mergeCell ref="GIP4:GJF4"/>
    <mergeCell ref="GJG4:GJW4"/>
    <mergeCell ref="GJX4:GKN4"/>
    <mergeCell ref="GKO4:GLE4"/>
    <mergeCell ref="GLF4:GLV4"/>
    <mergeCell ref="GLW4:GMM4"/>
    <mergeCell ref="GMN4:GND4"/>
    <mergeCell ref="GNE4:GNU4"/>
    <mergeCell ref="GNV4:GOL4"/>
    <mergeCell ref="GOM4:GPC4"/>
    <mergeCell ref="GPD4:GPT4"/>
    <mergeCell ref="GPU4:GQK4"/>
    <mergeCell ref="GQL4:GRB4"/>
    <mergeCell ref="GRC4:GRS4"/>
    <mergeCell ref="GRT4:GSJ4"/>
    <mergeCell ref="GSK4:GTA4"/>
    <mergeCell ref="GTB4:GTR4"/>
    <mergeCell ref="GTS4:GUI4"/>
    <mergeCell ref="GUJ4:GUZ4"/>
    <mergeCell ref="GVA4:GVQ4"/>
    <mergeCell ref="GVR4:GWH4"/>
    <mergeCell ref="GWI4:GWY4"/>
    <mergeCell ref="GWZ4:GXP4"/>
    <mergeCell ref="GXQ4:GYG4"/>
    <mergeCell ref="GYH4:GYX4"/>
    <mergeCell ref="GYY4:GZO4"/>
    <mergeCell ref="GZP4:HAF4"/>
    <mergeCell ref="HAG4:HAW4"/>
    <mergeCell ref="HAX4:HBN4"/>
    <mergeCell ref="HBO4:HCE4"/>
    <mergeCell ref="HCF4:HCV4"/>
    <mergeCell ref="HCW4:HDM4"/>
    <mergeCell ref="HDN4:HED4"/>
    <mergeCell ref="HEE4:HEU4"/>
    <mergeCell ref="HEV4:HFL4"/>
    <mergeCell ref="HFM4:HGC4"/>
    <mergeCell ref="HGD4:HGT4"/>
    <mergeCell ref="HGU4:HHK4"/>
    <mergeCell ref="HHL4:HIB4"/>
    <mergeCell ref="HIC4:HIS4"/>
    <mergeCell ref="HIT4:HJJ4"/>
    <mergeCell ref="HJK4:HKA4"/>
    <mergeCell ref="HKB4:HKR4"/>
    <mergeCell ref="HKS4:HLI4"/>
    <mergeCell ref="HLJ4:HLZ4"/>
    <mergeCell ref="HMA4:HMQ4"/>
    <mergeCell ref="HMR4:HNH4"/>
    <mergeCell ref="HNI4:HNY4"/>
    <mergeCell ref="HNZ4:HOP4"/>
    <mergeCell ref="HOQ4:HPG4"/>
    <mergeCell ref="HPH4:HPX4"/>
    <mergeCell ref="HPY4:HQO4"/>
    <mergeCell ref="HQP4:HRF4"/>
    <mergeCell ref="HRG4:HRW4"/>
    <mergeCell ref="HRX4:HSN4"/>
    <mergeCell ref="HSO4:HTE4"/>
    <mergeCell ref="HTF4:HTV4"/>
    <mergeCell ref="HTW4:HUM4"/>
    <mergeCell ref="HUN4:HVD4"/>
    <mergeCell ref="HVE4:HVU4"/>
    <mergeCell ref="HVV4:HWL4"/>
    <mergeCell ref="HWM4:HXC4"/>
    <mergeCell ref="HXD4:HXT4"/>
    <mergeCell ref="HXU4:HYK4"/>
    <mergeCell ref="HYL4:HZB4"/>
    <mergeCell ref="HZC4:HZS4"/>
    <mergeCell ref="HZT4:IAJ4"/>
    <mergeCell ref="IAK4:IBA4"/>
    <mergeCell ref="IBB4:IBR4"/>
    <mergeCell ref="IBS4:ICI4"/>
    <mergeCell ref="ICJ4:ICZ4"/>
    <mergeCell ref="IDA4:IDQ4"/>
    <mergeCell ref="IDR4:IEH4"/>
    <mergeCell ref="IEI4:IEY4"/>
    <mergeCell ref="IEZ4:IFP4"/>
    <mergeCell ref="IFQ4:IGG4"/>
    <mergeCell ref="IGH4:IGX4"/>
    <mergeCell ref="IGY4:IHO4"/>
    <mergeCell ref="IHP4:IIF4"/>
    <mergeCell ref="IIG4:IIW4"/>
    <mergeCell ref="IIX4:IJN4"/>
    <mergeCell ref="IJO4:IKE4"/>
    <mergeCell ref="IKF4:IKV4"/>
    <mergeCell ref="IKW4:ILM4"/>
    <mergeCell ref="ILN4:IMD4"/>
    <mergeCell ref="IME4:IMU4"/>
    <mergeCell ref="IMV4:INL4"/>
    <mergeCell ref="INM4:IOC4"/>
    <mergeCell ref="IOD4:IOT4"/>
    <mergeCell ref="IOU4:IPK4"/>
    <mergeCell ref="IPL4:IQB4"/>
    <mergeCell ref="IQC4:IQS4"/>
    <mergeCell ref="IQT4:IRJ4"/>
    <mergeCell ref="IRK4:ISA4"/>
    <mergeCell ref="ISB4:ISR4"/>
    <mergeCell ref="ISS4:ITI4"/>
    <mergeCell ref="ITJ4:ITZ4"/>
    <mergeCell ref="IUA4:IUQ4"/>
    <mergeCell ref="IUR4:IVH4"/>
    <mergeCell ref="IVI4:IVY4"/>
    <mergeCell ref="IVZ4:IWP4"/>
    <mergeCell ref="IWQ4:IXG4"/>
    <mergeCell ref="IXH4:IXX4"/>
    <mergeCell ref="IXY4:IYO4"/>
    <mergeCell ref="IYP4:IZF4"/>
    <mergeCell ref="IZG4:IZW4"/>
    <mergeCell ref="IZX4:JAN4"/>
    <mergeCell ref="JAO4:JBE4"/>
    <mergeCell ref="JBF4:JBV4"/>
    <mergeCell ref="JBW4:JCM4"/>
    <mergeCell ref="JCN4:JDD4"/>
    <mergeCell ref="JDE4:JDU4"/>
    <mergeCell ref="JDV4:JEL4"/>
    <mergeCell ref="JEM4:JFC4"/>
    <mergeCell ref="JFD4:JFT4"/>
    <mergeCell ref="JFU4:JGK4"/>
    <mergeCell ref="JGL4:JHB4"/>
    <mergeCell ref="JHC4:JHS4"/>
    <mergeCell ref="JHT4:JIJ4"/>
    <mergeCell ref="JIK4:JJA4"/>
    <mergeCell ref="JJB4:JJR4"/>
    <mergeCell ref="JJS4:JKI4"/>
    <mergeCell ref="JKJ4:JKZ4"/>
    <mergeCell ref="JLA4:JLQ4"/>
    <mergeCell ref="JLR4:JMH4"/>
    <mergeCell ref="JMI4:JMY4"/>
    <mergeCell ref="JMZ4:JNP4"/>
    <mergeCell ref="JNQ4:JOG4"/>
    <mergeCell ref="JOH4:JOX4"/>
    <mergeCell ref="JOY4:JPO4"/>
    <mergeCell ref="JPP4:JQF4"/>
    <mergeCell ref="JQG4:JQW4"/>
    <mergeCell ref="JQX4:JRN4"/>
    <mergeCell ref="JRO4:JSE4"/>
    <mergeCell ref="JSF4:JSV4"/>
    <mergeCell ref="JSW4:JTM4"/>
    <mergeCell ref="JTN4:JUD4"/>
    <mergeCell ref="JUE4:JUU4"/>
    <mergeCell ref="JUV4:JVL4"/>
    <mergeCell ref="JVM4:JWC4"/>
    <mergeCell ref="JWD4:JWT4"/>
    <mergeCell ref="JWU4:JXK4"/>
    <mergeCell ref="JXL4:JYB4"/>
    <mergeCell ref="JYC4:JYS4"/>
    <mergeCell ref="JYT4:JZJ4"/>
    <mergeCell ref="JZK4:KAA4"/>
    <mergeCell ref="KAB4:KAR4"/>
    <mergeCell ref="KAS4:KBI4"/>
    <mergeCell ref="KBJ4:KBZ4"/>
    <mergeCell ref="KCA4:KCQ4"/>
    <mergeCell ref="KCR4:KDH4"/>
    <mergeCell ref="KDI4:KDY4"/>
    <mergeCell ref="KDZ4:KEP4"/>
    <mergeCell ref="KEQ4:KFG4"/>
    <mergeCell ref="KFH4:KFX4"/>
    <mergeCell ref="KFY4:KGO4"/>
    <mergeCell ref="KGP4:KHF4"/>
    <mergeCell ref="KHG4:KHW4"/>
    <mergeCell ref="KHX4:KIN4"/>
    <mergeCell ref="KIO4:KJE4"/>
    <mergeCell ref="KJF4:KJV4"/>
    <mergeCell ref="KJW4:KKM4"/>
    <mergeCell ref="KKN4:KLD4"/>
    <mergeCell ref="KLE4:KLU4"/>
    <mergeCell ref="KLV4:KML4"/>
    <mergeCell ref="KMM4:KNC4"/>
    <mergeCell ref="KND4:KNT4"/>
    <mergeCell ref="KNU4:KOK4"/>
    <mergeCell ref="KOL4:KPB4"/>
    <mergeCell ref="KPC4:KPS4"/>
    <mergeCell ref="KPT4:KQJ4"/>
    <mergeCell ref="KQK4:KRA4"/>
    <mergeCell ref="KRB4:KRR4"/>
    <mergeCell ref="KRS4:KSI4"/>
    <mergeCell ref="KSJ4:KSZ4"/>
    <mergeCell ref="KTA4:KTQ4"/>
    <mergeCell ref="KTR4:KUH4"/>
    <mergeCell ref="KUI4:KUY4"/>
    <mergeCell ref="KUZ4:KVP4"/>
    <mergeCell ref="KVQ4:KWG4"/>
    <mergeCell ref="KWH4:KWX4"/>
    <mergeCell ref="KWY4:KXO4"/>
    <mergeCell ref="KXP4:KYF4"/>
    <mergeCell ref="KYG4:KYW4"/>
    <mergeCell ref="KYX4:KZN4"/>
    <mergeCell ref="KZO4:LAE4"/>
    <mergeCell ref="LAF4:LAV4"/>
    <mergeCell ref="LAW4:LBM4"/>
    <mergeCell ref="LBN4:LCD4"/>
    <mergeCell ref="LCE4:LCU4"/>
    <mergeCell ref="LCV4:LDL4"/>
    <mergeCell ref="LDM4:LEC4"/>
    <mergeCell ref="LED4:LET4"/>
    <mergeCell ref="LEU4:LFK4"/>
    <mergeCell ref="LFL4:LGB4"/>
    <mergeCell ref="LGC4:LGS4"/>
    <mergeCell ref="LGT4:LHJ4"/>
    <mergeCell ref="LHK4:LIA4"/>
    <mergeCell ref="LIB4:LIR4"/>
    <mergeCell ref="LIS4:LJI4"/>
    <mergeCell ref="LJJ4:LJZ4"/>
    <mergeCell ref="LKA4:LKQ4"/>
    <mergeCell ref="LKR4:LLH4"/>
    <mergeCell ref="LLI4:LLY4"/>
    <mergeCell ref="LLZ4:LMP4"/>
    <mergeCell ref="LMQ4:LNG4"/>
    <mergeCell ref="LNH4:LNX4"/>
    <mergeCell ref="LNY4:LOO4"/>
    <mergeCell ref="LOP4:LPF4"/>
    <mergeCell ref="LPG4:LPW4"/>
    <mergeCell ref="LPX4:LQN4"/>
    <mergeCell ref="LQO4:LRE4"/>
    <mergeCell ref="LRF4:LRV4"/>
    <mergeCell ref="LRW4:LSM4"/>
    <mergeCell ref="LSN4:LTD4"/>
    <mergeCell ref="LTE4:LTU4"/>
    <mergeCell ref="LTV4:LUL4"/>
    <mergeCell ref="LUM4:LVC4"/>
    <mergeCell ref="LVD4:LVT4"/>
    <mergeCell ref="LVU4:LWK4"/>
    <mergeCell ref="LWL4:LXB4"/>
    <mergeCell ref="LXC4:LXS4"/>
    <mergeCell ref="LXT4:LYJ4"/>
    <mergeCell ref="LYK4:LZA4"/>
    <mergeCell ref="LZB4:LZR4"/>
    <mergeCell ref="LZS4:MAI4"/>
    <mergeCell ref="MAJ4:MAZ4"/>
    <mergeCell ref="MBA4:MBQ4"/>
    <mergeCell ref="MBR4:MCH4"/>
    <mergeCell ref="MCI4:MCY4"/>
    <mergeCell ref="MCZ4:MDP4"/>
    <mergeCell ref="MDQ4:MEG4"/>
    <mergeCell ref="MEH4:MEX4"/>
    <mergeCell ref="MEY4:MFO4"/>
    <mergeCell ref="MFP4:MGF4"/>
    <mergeCell ref="MGG4:MGW4"/>
    <mergeCell ref="MGX4:MHN4"/>
    <mergeCell ref="MHO4:MIE4"/>
    <mergeCell ref="MIF4:MIV4"/>
    <mergeCell ref="MIW4:MJM4"/>
    <mergeCell ref="MJN4:MKD4"/>
    <mergeCell ref="MKE4:MKU4"/>
    <mergeCell ref="MKV4:MLL4"/>
    <mergeCell ref="MLM4:MMC4"/>
    <mergeCell ref="MMD4:MMT4"/>
    <mergeCell ref="MMU4:MNK4"/>
    <mergeCell ref="MNL4:MOB4"/>
    <mergeCell ref="MOC4:MOS4"/>
    <mergeCell ref="MOT4:MPJ4"/>
    <mergeCell ref="MPK4:MQA4"/>
    <mergeCell ref="MQB4:MQR4"/>
    <mergeCell ref="MQS4:MRI4"/>
    <mergeCell ref="MRJ4:MRZ4"/>
    <mergeCell ref="MSA4:MSQ4"/>
    <mergeCell ref="MSR4:MTH4"/>
    <mergeCell ref="MTI4:MTY4"/>
    <mergeCell ref="MTZ4:MUP4"/>
    <mergeCell ref="MUQ4:MVG4"/>
    <mergeCell ref="MVH4:MVX4"/>
    <mergeCell ref="MVY4:MWO4"/>
    <mergeCell ref="MWP4:MXF4"/>
    <mergeCell ref="MXG4:MXW4"/>
    <mergeCell ref="MXX4:MYN4"/>
    <mergeCell ref="MYO4:MZE4"/>
    <mergeCell ref="MZF4:MZV4"/>
    <mergeCell ref="MZW4:NAM4"/>
    <mergeCell ref="NAN4:NBD4"/>
    <mergeCell ref="NBE4:NBU4"/>
    <mergeCell ref="NBV4:NCL4"/>
    <mergeCell ref="NCM4:NDC4"/>
    <mergeCell ref="NDD4:NDT4"/>
    <mergeCell ref="NDU4:NEK4"/>
    <mergeCell ref="NEL4:NFB4"/>
    <mergeCell ref="NFC4:NFS4"/>
    <mergeCell ref="NFT4:NGJ4"/>
    <mergeCell ref="NGK4:NHA4"/>
    <mergeCell ref="NHB4:NHR4"/>
    <mergeCell ref="NHS4:NII4"/>
    <mergeCell ref="NIJ4:NIZ4"/>
    <mergeCell ref="NJA4:NJQ4"/>
    <mergeCell ref="NJR4:NKH4"/>
    <mergeCell ref="NKI4:NKY4"/>
    <mergeCell ref="NKZ4:NLP4"/>
    <mergeCell ref="NLQ4:NMG4"/>
    <mergeCell ref="NMH4:NMX4"/>
    <mergeCell ref="NMY4:NNO4"/>
    <mergeCell ref="NNP4:NOF4"/>
    <mergeCell ref="NOG4:NOW4"/>
    <mergeCell ref="NOX4:NPN4"/>
    <mergeCell ref="NPO4:NQE4"/>
    <mergeCell ref="NQF4:NQV4"/>
    <mergeCell ref="NQW4:NRM4"/>
    <mergeCell ref="NRN4:NSD4"/>
    <mergeCell ref="NSE4:NSU4"/>
    <mergeCell ref="NSV4:NTL4"/>
    <mergeCell ref="NTM4:NUC4"/>
    <mergeCell ref="NUD4:NUT4"/>
    <mergeCell ref="NUU4:NVK4"/>
    <mergeCell ref="NVL4:NWB4"/>
    <mergeCell ref="NWC4:NWS4"/>
    <mergeCell ref="NWT4:NXJ4"/>
    <mergeCell ref="NXK4:NYA4"/>
    <mergeCell ref="NYB4:NYR4"/>
    <mergeCell ref="NYS4:NZI4"/>
    <mergeCell ref="NZJ4:NZZ4"/>
    <mergeCell ref="OAA4:OAQ4"/>
    <mergeCell ref="OAR4:OBH4"/>
    <mergeCell ref="OBI4:OBY4"/>
    <mergeCell ref="OBZ4:OCP4"/>
    <mergeCell ref="OCQ4:ODG4"/>
    <mergeCell ref="ODH4:ODX4"/>
    <mergeCell ref="ODY4:OEO4"/>
    <mergeCell ref="OEP4:OFF4"/>
    <mergeCell ref="OFG4:OFW4"/>
    <mergeCell ref="OFX4:OGN4"/>
    <mergeCell ref="OGO4:OHE4"/>
    <mergeCell ref="OHF4:OHV4"/>
    <mergeCell ref="OHW4:OIM4"/>
    <mergeCell ref="OIN4:OJD4"/>
    <mergeCell ref="OJE4:OJU4"/>
    <mergeCell ref="OJV4:OKL4"/>
    <mergeCell ref="OKM4:OLC4"/>
    <mergeCell ref="OLD4:OLT4"/>
    <mergeCell ref="OLU4:OMK4"/>
    <mergeCell ref="OML4:ONB4"/>
    <mergeCell ref="ONC4:ONS4"/>
    <mergeCell ref="ONT4:OOJ4"/>
    <mergeCell ref="OOK4:OPA4"/>
    <mergeCell ref="OPB4:OPR4"/>
    <mergeCell ref="OPS4:OQI4"/>
    <mergeCell ref="OQJ4:OQZ4"/>
    <mergeCell ref="ORA4:ORQ4"/>
    <mergeCell ref="ORR4:OSH4"/>
    <mergeCell ref="OSI4:OSY4"/>
    <mergeCell ref="OSZ4:OTP4"/>
    <mergeCell ref="OTQ4:OUG4"/>
    <mergeCell ref="OUH4:OUX4"/>
    <mergeCell ref="OUY4:OVO4"/>
    <mergeCell ref="OVP4:OWF4"/>
    <mergeCell ref="OWG4:OWW4"/>
    <mergeCell ref="OWX4:OXN4"/>
    <mergeCell ref="OXO4:OYE4"/>
    <mergeCell ref="OYF4:OYV4"/>
    <mergeCell ref="OYW4:OZM4"/>
    <mergeCell ref="OZN4:PAD4"/>
    <mergeCell ref="PAE4:PAU4"/>
    <mergeCell ref="PAV4:PBL4"/>
    <mergeCell ref="PBM4:PCC4"/>
    <mergeCell ref="PCD4:PCT4"/>
    <mergeCell ref="PCU4:PDK4"/>
    <mergeCell ref="PDL4:PEB4"/>
    <mergeCell ref="PEC4:PES4"/>
    <mergeCell ref="PET4:PFJ4"/>
    <mergeCell ref="PFK4:PGA4"/>
    <mergeCell ref="PGB4:PGR4"/>
    <mergeCell ref="PGS4:PHI4"/>
    <mergeCell ref="PHJ4:PHZ4"/>
    <mergeCell ref="PIA4:PIQ4"/>
    <mergeCell ref="PIR4:PJH4"/>
    <mergeCell ref="PJI4:PJY4"/>
    <mergeCell ref="PJZ4:PKP4"/>
    <mergeCell ref="PKQ4:PLG4"/>
    <mergeCell ref="PLH4:PLX4"/>
    <mergeCell ref="PLY4:PMO4"/>
    <mergeCell ref="PMP4:PNF4"/>
    <mergeCell ref="PNG4:PNW4"/>
    <mergeCell ref="PNX4:PON4"/>
    <mergeCell ref="POO4:PPE4"/>
    <mergeCell ref="PPF4:PPV4"/>
    <mergeCell ref="PPW4:PQM4"/>
    <mergeCell ref="PQN4:PRD4"/>
    <mergeCell ref="PRE4:PRU4"/>
    <mergeCell ref="PRV4:PSL4"/>
    <mergeCell ref="PSM4:PTC4"/>
    <mergeCell ref="PTD4:PTT4"/>
    <mergeCell ref="PTU4:PUK4"/>
    <mergeCell ref="PUL4:PVB4"/>
    <mergeCell ref="PVC4:PVS4"/>
    <mergeCell ref="PVT4:PWJ4"/>
    <mergeCell ref="PWK4:PXA4"/>
    <mergeCell ref="PXB4:PXR4"/>
    <mergeCell ref="PXS4:PYI4"/>
    <mergeCell ref="PYJ4:PYZ4"/>
    <mergeCell ref="PZA4:PZQ4"/>
    <mergeCell ref="PZR4:QAH4"/>
    <mergeCell ref="QAI4:QAY4"/>
    <mergeCell ref="QAZ4:QBP4"/>
    <mergeCell ref="QBQ4:QCG4"/>
    <mergeCell ref="QCH4:QCX4"/>
    <mergeCell ref="QCY4:QDO4"/>
    <mergeCell ref="QDP4:QEF4"/>
    <mergeCell ref="QEG4:QEW4"/>
    <mergeCell ref="QEX4:QFN4"/>
    <mergeCell ref="QFO4:QGE4"/>
    <mergeCell ref="QGF4:QGV4"/>
    <mergeCell ref="QGW4:QHM4"/>
    <mergeCell ref="QHN4:QID4"/>
    <mergeCell ref="QIE4:QIU4"/>
    <mergeCell ref="QIV4:QJL4"/>
    <mergeCell ref="QJM4:QKC4"/>
    <mergeCell ref="QKD4:QKT4"/>
    <mergeCell ref="QKU4:QLK4"/>
    <mergeCell ref="QLL4:QMB4"/>
    <mergeCell ref="QMC4:QMS4"/>
    <mergeCell ref="QMT4:QNJ4"/>
    <mergeCell ref="QNK4:QOA4"/>
    <mergeCell ref="QOB4:QOR4"/>
    <mergeCell ref="QOS4:QPI4"/>
    <mergeCell ref="QPJ4:QPZ4"/>
    <mergeCell ref="QQA4:QQQ4"/>
    <mergeCell ref="QQR4:QRH4"/>
    <mergeCell ref="QRI4:QRY4"/>
    <mergeCell ref="QRZ4:QSP4"/>
    <mergeCell ref="QSQ4:QTG4"/>
    <mergeCell ref="QTH4:QTX4"/>
    <mergeCell ref="QTY4:QUO4"/>
    <mergeCell ref="QUP4:QVF4"/>
    <mergeCell ref="QVG4:QVW4"/>
    <mergeCell ref="QVX4:QWN4"/>
    <mergeCell ref="QWO4:QXE4"/>
    <mergeCell ref="QXF4:QXV4"/>
    <mergeCell ref="QXW4:QYM4"/>
    <mergeCell ref="QYN4:QZD4"/>
    <mergeCell ref="QZE4:QZU4"/>
    <mergeCell ref="QZV4:RAL4"/>
    <mergeCell ref="RAM4:RBC4"/>
    <mergeCell ref="RBD4:RBT4"/>
    <mergeCell ref="RBU4:RCK4"/>
    <mergeCell ref="RCL4:RDB4"/>
    <mergeCell ref="RDC4:RDS4"/>
    <mergeCell ref="RDT4:REJ4"/>
    <mergeCell ref="REK4:RFA4"/>
    <mergeCell ref="RFB4:RFR4"/>
    <mergeCell ref="RFS4:RGI4"/>
    <mergeCell ref="RGJ4:RGZ4"/>
    <mergeCell ref="RHA4:RHQ4"/>
    <mergeCell ref="RHR4:RIH4"/>
    <mergeCell ref="RII4:RIY4"/>
    <mergeCell ref="RIZ4:RJP4"/>
    <mergeCell ref="RJQ4:RKG4"/>
    <mergeCell ref="RKH4:RKX4"/>
    <mergeCell ref="RKY4:RLO4"/>
    <mergeCell ref="RLP4:RMF4"/>
    <mergeCell ref="RMG4:RMW4"/>
    <mergeCell ref="RMX4:RNN4"/>
    <mergeCell ref="RNO4:ROE4"/>
    <mergeCell ref="ROF4:ROV4"/>
    <mergeCell ref="ROW4:RPM4"/>
    <mergeCell ref="RPN4:RQD4"/>
    <mergeCell ref="RQE4:RQU4"/>
    <mergeCell ref="RQV4:RRL4"/>
    <mergeCell ref="RRM4:RSC4"/>
    <mergeCell ref="RSD4:RST4"/>
    <mergeCell ref="RSU4:RTK4"/>
    <mergeCell ref="RTL4:RUB4"/>
    <mergeCell ref="RUC4:RUS4"/>
    <mergeCell ref="RUT4:RVJ4"/>
    <mergeCell ref="RVK4:RWA4"/>
    <mergeCell ref="RWB4:RWR4"/>
    <mergeCell ref="RWS4:RXI4"/>
    <mergeCell ref="RXJ4:RXZ4"/>
    <mergeCell ref="RYA4:RYQ4"/>
    <mergeCell ref="RYR4:RZH4"/>
    <mergeCell ref="RZI4:RZY4"/>
    <mergeCell ref="RZZ4:SAP4"/>
    <mergeCell ref="SAQ4:SBG4"/>
    <mergeCell ref="SBH4:SBX4"/>
    <mergeCell ref="SBY4:SCO4"/>
    <mergeCell ref="SCP4:SDF4"/>
    <mergeCell ref="SDG4:SDW4"/>
    <mergeCell ref="SDX4:SEN4"/>
    <mergeCell ref="SEO4:SFE4"/>
    <mergeCell ref="SFF4:SFV4"/>
    <mergeCell ref="SFW4:SGM4"/>
    <mergeCell ref="SGN4:SHD4"/>
    <mergeCell ref="SHE4:SHU4"/>
    <mergeCell ref="SHV4:SIL4"/>
    <mergeCell ref="SIM4:SJC4"/>
    <mergeCell ref="SJD4:SJT4"/>
    <mergeCell ref="SJU4:SKK4"/>
    <mergeCell ref="SKL4:SLB4"/>
    <mergeCell ref="SLC4:SLS4"/>
    <mergeCell ref="SLT4:SMJ4"/>
    <mergeCell ref="SMK4:SNA4"/>
    <mergeCell ref="SNB4:SNR4"/>
    <mergeCell ref="SNS4:SOI4"/>
    <mergeCell ref="SOJ4:SOZ4"/>
    <mergeCell ref="SPA4:SPQ4"/>
    <mergeCell ref="SPR4:SQH4"/>
    <mergeCell ref="SQI4:SQY4"/>
    <mergeCell ref="SQZ4:SRP4"/>
    <mergeCell ref="SRQ4:SSG4"/>
    <mergeCell ref="SSH4:SSX4"/>
    <mergeCell ref="SSY4:STO4"/>
    <mergeCell ref="STP4:SUF4"/>
    <mergeCell ref="SUG4:SUW4"/>
    <mergeCell ref="SUX4:SVN4"/>
    <mergeCell ref="SVO4:SWE4"/>
    <mergeCell ref="SWF4:SWV4"/>
    <mergeCell ref="SWW4:SXM4"/>
    <mergeCell ref="SXN4:SYD4"/>
    <mergeCell ref="SYE4:SYU4"/>
    <mergeCell ref="SYV4:SZL4"/>
    <mergeCell ref="SZM4:TAC4"/>
    <mergeCell ref="TAD4:TAT4"/>
    <mergeCell ref="TAU4:TBK4"/>
    <mergeCell ref="TBL4:TCB4"/>
    <mergeCell ref="TCC4:TCS4"/>
    <mergeCell ref="TCT4:TDJ4"/>
    <mergeCell ref="TDK4:TEA4"/>
    <mergeCell ref="TEB4:TER4"/>
    <mergeCell ref="TES4:TFI4"/>
    <mergeCell ref="TFJ4:TFZ4"/>
    <mergeCell ref="TGA4:TGQ4"/>
    <mergeCell ref="TGR4:THH4"/>
    <mergeCell ref="THI4:THY4"/>
    <mergeCell ref="THZ4:TIP4"/>
    <mergeCell ref="TIQ4:TJG4"/>
    <mergeCell ref="TJH4:TJX4"/>
    <mergeCell ref="TJY4:TKO4"/>
    <mergeCell ref="TKP4:TLF4"/>
    <mergeCell ref="TLG4:TLW4"/>
    <mergeCell ref="TLX4:TMN4"/>
    <mergeCell ref="TMO4:TNE4"/>
    <mergeCell ref="TNF4:TNV4"/>
    <mergeCell ref="TNW4:TOM4"/>
    <mergeCell ref="TON4:TPD4"/>
    <mergeCell ref="TPE4:TPU4"/>
    <mergeCell ref="TPV4:TQL4"/>
    <mergeCell ref="TQM4:TRC4"/>
    <mergeCell ref="TRD4:TRT4"/>
    <mergeCell ref="TRU4:TSK4"/>
    <mergeCell ref="TSL4:TTB4"/>
    <mergeCell ref="TTC4:TTS4"/>
    <mergeCell ref="TTT4:TUJ4"/>
    <mergeCell ref="TUK4:TVA4"/>
    <mergeCell ref="TVB4:TVR4"/>
    <mergeCell ref="TVS4:TWI4"/>
    <mergeCell ref="TWJ4:TWZ4"/>
    <mergeCell ref="TXA4:TXQ4"/>
    <mergeCell ref="TXR4:TYH4"/>
    <mergeCell ref="TYI4:TYY4"/>
    <mergeCell ref="TYZ4:TZP4"/>
    <mergeCell ref="TZQ4:UAG4"/>
    <mergeCell ref="UAH4:UAX4"/>
    <mergeCell ref="UAY4:UBO4"/>
    <mergeCell ref="UBP4:UCF4"/>
    <mergeCell ref="UCG4:UCW4"/>
    <mergeCell ref="UCX4:UDN4"/>
    <mergeCell ref="UDO4:UEE4"/>
    <mergeCell ref="UEF4:UEV4"/>
    <mergeCell ref="UEW4:UFM4"/>
    <mergeCell ref="UFN4:UGD4"/>
    <mergeCell ref="UGE4:UGU4"/>
    <mergeCell ref="UGV4:UHL4"/>
    <mergeCell ref="UHM4:UIC4"/>
    <mergeCell ref="UID4:UIT4"/>
    <mergeCell ref="UIU4:UJK4"/>
    <mergeCell ref="UJL4:UKB4"/>
    <mergeCell ref="UKC4:UKS4"/>
    <mergeCell ref="UKT4:ULJ4"/>
    <mergeCell ref="ULK4:UMA4"/>
    <mergeCell ref="UMB4:UMR4"/>
    <mergeCell ref="UMS4:UNI4"/>
    <mergeCell ref="UNJ4:UNZ4"/>
    <mergeCell ref="UOA4:UOQ4"/>
    <mergeCell ref="UOR4:UPH4"/>
    <mergeCell ref="UPI4:UPY4"/>
    <mergeCell ref="UPZ4:UQP4"/>
    <mergeCell ref="UQQ4:URG4"/>
    <mergeCell ref="URH4:URX4"/>
    <mergeCell ref="URY4:USO4"/>
    <mergeCell ref="USP4:UTF4"/>
    <mergeCell ref="UTG4:UTW4"/>
    <mergeCell ref="UTX4:UUN4"/>
    <mergeCell ref="UUO4:UVE4"/>
    <mergeCell ref="UVF4:UVV4"/>
    <mergeCell ref="UVW4:UWM4"/>
    <mergeCell ref="UWN4:UXD4"/>
    <mergeCell ref="UXE4:UXU4"/>
    <mergeCell ref="UXV4:UYL4"/>
    <mergeCell ref="UYM4:UZC4"/>
    <mergeCell ref="UZD4:UZT4"/>
    <mergeCell ref="UZU4:VAK4"/>
    <mergeCell ref="VAL4:VBB4"/>
    <mergeCell ref="VBC4:VBS4"/>
    <mergeCell ref="VBT4:VCJ4"/>
    <mergeCell ref="VCK4:VDA4"/>
    <mergeCell ref="VDB4:VDR4"/>
    <mergeCell ref="VDS4:VEI4"/>
    <mergeCell ref="VEJ4:VEZ4"/>
    <mergeCell ref="VFA4:VFQ4"/>
    <mergeCell ref="VFR4:VGH4"/>
    <mergeCell ref="VGI4:VGY4"/>
    <mergeCell ref="VGZ4:VHP4"/>
    <mergeCell ref="VHQ4:VIG4"/>
    <mergeCell ref="VIH4:VIX4"/>
    <mergeCell ref="VIY4:VJO4"/>
    <mergeCell ref="VJP4:VKF4"/>
    <mergeCell ref="VKG4:VKW4"/>
    <mergeCell ref="VKX4:VLN4"/>
    <mergeCell ref="VLO4:VME4"/>
    <mergeCell ref="VMF4:VMV4"/>
    <mergeCell ref="VMW4:VNM4"/>
    <mergeCell ref="VNN4:VOD4"/>
    <mergeCell ref="VOE4:VOU4"/>
    <mergeCell ref="VOV4:VPL4"/>
    <mergeCell ref="VPM4:VQC4"/>
    <mergeCell ref="VQD4:VQT4"/>
    <mergeCell ref="VQU4:VRK4"/>
    <mergeCell ref="VRL4:VSB4"/>
    <mergeCell ref="VSC4:VSS4"/>
    <mergeCell ref="VST4:VTJ4"/>
    <mergeCell ref="VTK4:VUA4"/>
    <mergeCell ref="VUB4:VUR4"/>
    <mergeCell ref="VUS4:VVI4"/>
    <mergeCell ref="VVJ4:VVZ4"/>
    <mergeCell ref="VWA4:VWQ4"/>
    <mergeCell ref="VWR4:VXH4"/>
    <mergeCell ref="VXI4:VXY4"/>
    <mergeCell ref="VXZ4:VYP4"/>
    <mergeCell ref="VYQ4:VZG4"/>
    <mergeCell ref="VZH4:VZX4"/>
    <mergeCell ref="VZY4:WAO4"/>
    <mergeCell ref="WAP4:WBF4"/>
    <mergeCell ref="WBG4:WBW4"/>
    <mergeCell ref="WBX4:WCN4"/>
    <mergeCell ref="WCO4:WDE4"/>
    <mergeCell ref="WDF4:WDV4"/>
    <mergeCell ref="WDW4:WEM4"/>
    <mergeCell ref="WEN4:WFD4"/>
    <mergeCell ref="WFE4:WFU4"/>
    <mergeCell ref="WFV4:WGL4"/>
    <mergeCell ref="WGM4:WHC4"/>
    <mergeCell ref="WHD4:WHT4"/>
    <mergeCell ref="WHU4:WIK4"/>
    <mergeCell ref="WIL4:WJB4"/>
    <mergeCell ref="WJC4:WJS4"/>
    <mergeCell ref="WJT4:WKJ4"/>
    <mergeCell ref="WKK4:WLA4"/>
    <mergeCell ref="WLB4:WLR4"/>
    <mergeCell ref="WLS4:WMI4"/>
    <mergeCell ref="WMJ4:WMZ4"/>
    <mergeCell ref="WNA4:WNQ4"/>
    <mergeCell ref="WNR4:WOH4"/>
    <mergeCell ref="WOI4:WOY4"/>
    <mergeCell ref="WOZ4:WPP4"/>
    <mergeCell ref="WPQ4:WQG4"/>
    <mergeCell ref="WQH4:WQX4"/>
    <mergeCell ref="WQY4:WRO4"/>
    <mergeCell ref="WRP4:WSF4"/>
    <mergeCell ref="WSG4:WSW4"/>
    <mergeCell ref="WSX4:WTN4"/>
    <mergeCell ref="WTO4:WUE4"/>
    <mergeCell ref="WUF4:WUV4"/>
    <mergeCell ref="WUW4:WVM4"/>
    <mergeCell ref="WVN4:WWD4"/>
    <mergeCell ref="WWE4:WWU4"/>
    <mergeCell ref="WWV4:WXL4"/>
    <mergeCell ref="WXM4:WYC4"/>
    <mergeCell ref="WYD4:WYT4"/>
    <mergeCell ref="WYU4:WZK4"/>
    <mergeCell ref="WZL4:XAB4"/>
    <mergeCell ref="XAC4:XAS4"/>
    <mergeCell ref="XAT4:XBJ4"/>
    <mergeCell ref="XBK4:XCA4"/>
    <mergeCell ref="XCB4:XCR4"/>
    <mergeCell ref="XCS4:XDI4"/>
    <mergeCell ref="XDJ4:XDZ4"/>
    <mergeCell ref="XEA4:XEQ4"/>
    <mergeCell ref="A12:Q12"/>
    <mergeCell ref="A19:S19"/>
    <mergeCell ref="A69:S69"/>
    <mergeCell ref="A93:Q93"/>
    <mergeCell ref="A101:Q10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7" activeCellId="0" sqref="A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1075</v>
      </c>
    </row>
    <row r="2" customFormat="false" ht="12.8" hidden="false" customHeight="true" outlineLevel="0" collapsed="false">
      <c r="A2" s="2" t="n">
        <v>1</v>
      </c>
      <c r="B2" s="13" t="s">
        <v>1076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customFormat="false" ht="12.8" hidden="false" customHeight="true" outlineLevel="0" collapsed="false">
      <c r="A3" s="15" t="s">
        <v>1077</v>
      </c>
      <c r="B3" s="13" t="s">
        <v>1078</v>
      </c>
      <c r="C3" s="13" t="s">
        <v>1079</v>
      </c>
      <c r="D3" s="13" t="s">
        <v>1080</v>
      </c>
      <c r="E3" s="13" t="s">
        <v>1081</v>
      </c>
      <c r="F3" s="13" t="s">
        <v>1082</v>
      </c>
      <c r="G3" s="13" t="s">
        <v>1083</v>
      </c>
      <c r="H3" s="13" t="s">
        <v>1084</v>
      </c>
      <c r="I3" s="13" t="s">
        <v>1085</v>
      </c>
      <c r="J3" s="13" t="s">
        <v>1086</v>
      </c>
      <c r="K3" s="13" t="s">
        <v>1087</v>
      </c>
      <c r="L3" s="13" t="s">
        <v>1088</v>
      </c>
      <c r="M3" s="13" t="s">
        <v>1089</v>
      </c>
      <c r="N3" s="13" t="s">
        <v>1090</v>
      </c>
      <c r="O3" s="13" t="s">
        <v>1091</v>
      </c>
      <c r="P3" s="13" t="s">
        <v>1092</v>
      </c>
      <c r="Q3" s="13" t="s">
        <v>1093</v>
      </c>
      <c r="R3" s="13" t="s">
        <v>1094</v>
      </c>
      <c r="S3" s="13" t="s">
        <v>1095</v>
      </c>
      <c r="T3" s="13" t="s">
        <v>1096</v>
      </c>
      <c r="U3" s="13" t="s">
        <v>1097</v>
      </c>
      <c r="V3" s="13" t="s">
        <v>1098</v>
      </c>
    </row>
    <row r="4" customFormat="false" ht="12.8" hidden="false" customHeight="true" outlineLevel="0" collapsed="false">
      <c r="A4" s="15" t="n">
        <v>0</v>
      </c>
      <c r="B4" s="15" t="s">
        <v>1099</v>
      </c>
      <c r="C4" s="13" t="n">
        <v>16100</v>
      </c>
      <c r="D4" s="13" t="n">
        <v>35700</v>
      </c>
      <c r="E4" s="15" t="n">
        <v>7500</v>
      </c>
      <c r="F4" s="15" t="n">
        <v>12500</v>
      </c>
      <c r="G4" s="15" t="n">
        <v>1200</v>
      </c>
      <c r="H4" s="15" t="n">
        <v>2000</v>
      </c>
      <c r="I4" s="15" t="n">
        <v>3200</v>
      </c>
      <c r="J4" s="15" t="n">
        <v>4800</v>
      </c>
      <c r="K4" s="15" t="n">
        <v>1000</v>
      </c>
      <c r="L4" s="15" t="n">
        <v>2200</v>
      </c>
      <c r="M4" s="15" t="n">
        <v>900</v>
      </c>
      <c r="N4" s="15" t="n">
        <v>2500</v>
      </c>
      <c r="O4" s="15" t="n">
        <v>2000</v>
      </c>
      <c r="P4" s="15" t="n">
        <v>4200</v>
      </c>
      <c r="Q4" s="15" t="n">
        <v>0</v>
      </c>
      <c r="R4" s="15" t="n">
        <v>1800</v>
      </c>
      <c r="S4" s="15" t="n">
        <v>300</v>
      </c>
      <c r="T4" s="15" t="n">
        <v>1200</v>
      </c>
      <c r="U4" s="15" t="n">
        <v>0</v>
      </c>
      <c r="V4" s="15" t="n">
        <v>4500</v>
      </c>
    </row>
    <row r="5" customFormat="false" ht="12.8" hidden="false" customHeight="true" outlineLevel="0" collapsed="false">
      <c r="A5" s="15" t="n">
        <v>1</v>
      </c>
      <c r="B5" s="15" t="s">
        <v>1100</v>
      </c>
      <c r="C5" s="13" t="n">
        <v>17500</v>
      </c>
      <c r="D5" s="13" t="n">
        <v>39100</v>
      </c>
      <c r="E5" s="15" t="n">
        <v>8000</v>
      </c>
      <c r="F5" s="15" t="n">
        <v>13500</v>
      </c>
      <c r="G5" s="15" t="n">
        <v>1300</v>
      </c>
      <c r="H5" s="15" t="n">
        <v>2300</v>
      </c>
      <c r="I5" s="15" t="n">
        <v>3400</v>
      </c>
      <c r="J5" s="15" t="n">
        <v>5000</v>
      </c>
      <c r="K5" s="15" t="n">
        <v>1100</v>
      </c>
      <c r="L5" s="15" t="n">
        <v>2400</v>
      </c>
      <c r="M5" s="15" t="n">
        <v>1000</v>
      </c>
      <c r="N5" s="15" t="n">
        <v>2800</v>
      </c>
      <c r="O5" s="15" t="n">
        <v>2300</v>
      </c>
      <c r="P5" s="15" t="n">
        <v>4800</v>
      </c>
      <c r="Q5" s="15" t="n">
        <v>0</v>
      </c>
      <c r="R5" s="15" t="n">
        <v>2000</v>
      </c>
      <c r="S5" s="15" t="n">
        <v>400</v>
      </c>
      <c r="T5" s="15" t="n">
        <v>1300</v>
      </c>
      <c r="U5" s="15" t="n">
        <v>0</v>
      </c>
      <c r="V5" s="15" t="n">
        <v>5000</v>
      </c>
    </row>
    <row r="6" customFormat="false" ht="12.8" hidden="false" customHeight="true" outlineLevel="0" collapsed="false">
      <c r="A6" s="15" t="n">
        <v>2</v>
      </c>
      <c r="B6" s="15" t="s">
        <v>1101</v>
      </c>
      <c r="C6" s="13" t="n">
        <v>19000</v>
      </c>
      <c r="D6" s="13" t="n">
        <v>43500</v>
      </c>
      <c r="E6" s="15" t="n">
        <v>8800</v>
      </c>
      <c r="F6" s="15" t="n">
        <v>15000</v>
      </c>
      <c r="G6" s="15" t="n">
        <v>1500</v>
      </c>
      <c r="H6" s="15" t="n">
        <v>2600</v>
      </c>
      <c r="I6" s="15" t="n">
        <v>3600</v>
      </c>
      <c r="J6" s="15" t="n">
        <v>5400</v>
      </c>
      <c r="K6" s="15" t="n">
        <v>1200</v>
      </c>
      <c r="L6" s="15" t="n">
        <v>2600</v>
      </c>
      <c r="M6" s="15" t="n">
        <v>1100</v>
      </c>
      <c r="N6" s="15" t="n">
        <v>3200</v>
      </c>
      <c r="O6" s="15" t="n">
        <v>2400</v>
      </c>
      <c r="P6" s="15" t="n">
        <v>5200</v>
      </c>
      <c r="Q6" s="15" t="n">
        <v>0</v>
      </c>
      <c r="R6" s="15" t="n">
        <v>2200</v>
      </c>
      <c r="S6" s="15" t="n">
        <v>400</v>
      </c>
      <c r="T6" s="15" t="n">
        <v>1500</v>
      </c>
      <c r="U6" s="15" t="n">
        <v>0</v>
      </c>
      <c r="V6" s="15" t="n">
        <v>5800</v>
      </c>
    </row>
    <row r="7" customFormat="false" ht="12.8" hidden="false" customHeight="true" outlineLevel="0" collapsed="false">
      <c r="A7" s="15" t="n">
        <v>3</v>
      </c>
      <c r="B7" s="15" t="s">
        <v>1102</v>
      </c>
      <c r="C7" s="13" t="n">
        <v>20000</v>
      </c>
      <c r="D7" s="13" t="n">
        <v>46700</v>
      </c>
      <c r="E7" s="15" t="n">
        <v>9500</v>
      </c>
      <c r="F7" s="15" t="n">
        <v>16500</v>
      </c>
      <c r="G7" s="15" t="n">
        <v>1400</v>
      </c>
      <c r="H7" s="15" t="n">
        <v>2800</v>
      </c>
      <c r="I7" s="15" t="n">
        <v>3700</v>
      </c>
      <c r="J7" s="15" t="n">
        <v>5600</v>
      </c>
      <c r="K7" s="15" t="n">
        <v>1300</v>
      </c>
      <c r="L7" s="15" t="n">
        <v>2800</v>
      </c>
      <c r="M7" s="15" t="n">
        <v>1100</v>
      </c>
      <c r="N7" s="15" t="n">
        <v>3300</v>
      </c>
      <c r="O7" s="15" t="n">
        <v>2600</v>
      </c>
      <c r="P7" s="15" t="n">
        <v>5500</v>
      </c>
      <c r="Q7" s="15" t="n">
        <v>0</v>
      </c>
      <c r="R7" s="15" t="n">
        <v>2400</v>
      </c>
      <c r="S7" s="15" t="n">
        <v>400</v>
      </c>
      <c r="T7" s="15" t="n">
        <v>1600</v>
      </c>
      <c r="U7" s="15" t="n">
        <v>0</v>
      </c>
      <c r="V7" s="15" t="n">
        <v>6200</v>
      </c>
    </row>
    <row r="8" customFormat="false" ht="12.8" hidden="false" customHeight="true" outlineLevel="0" collapsed="false">
      <c r="A8" s="15" t="n">
        <v>4</v>
      </c>
      <c r="B8" s="15" t="s">
        <v>1103</v>
      </c>
      <c r="C8" s="13" t="n">
        <v>21800</v>
      </c>
      <c r="D8" s="13" t="n">
        <v>51300</v>
      </c>
      <c r="E8" s="15" t="n">
        <v>10500</v>
      </c>
      <c r="F8" s="15" t="n">
        <v>18500</v>
      </c>
      <c r="G8" s="15" t="n">
        <v>1500</v>
      </c>
      <c r="H8" s="15" t="n">
        <v>3000</v>
      </c>
      <c r="I8" s="15" t="n">
        <v>3900</v>
      </c>
      <c r="J8" s="15" t="n">
        <v>5900</v>
      </c>
      <c r="K8" s="15" t="n">
        <v>1400</v>
      </c>
      <c r="L8" s="15" t="n">
        <v>3000</v>
      </c>
      <c r="M8" s="15" t="n">
        <v>1200</v>
      </c>
      <c r="N8" s="15" t="n">
        <v>3600</v>
      </c>
      <c r="O8" s="15" t="n">
        <v>2800</v>
      </c>
      <c r="P8" s="15" t="n">
        <v>6000</v>
      </c>
      <c r="Q8" s="15" t="n">
        <v>0</v>
      </c>
      <c r="R8" s="15" t="n">
        <v>2700</v>
      </c>
      <c r="S8" s="15" t="n">
        <v>500</v>
      </c>
      <c r="T8" s="15" t="n">
        <v>1800</v>
      </c>
      <c r="U8" s="15" t="n">
        <v>0</v>
      </c>
      <c r="V8" s="15" t="n">
        <v>6800</v>
      </c>
    </row>
    <row r="9" customFormat="false" ht="12.8" hidden="false" customHeight="true" outlineLevel="0" collapsed="false">
      <c r="A9" s="15" t="n">
        <v>5</v>
      </c>
      <c r="B9" s="15" t="s">
        <v>1104</v>
      </c>
      <c r="C9" s="13" t="n">
        <v>23400</v>
      </c>
      <c r="D9" s="13" t="n">
        <v>55600</v>
      </c>
      <c r="E9" s="15" t="n">
        <v>11500</v>
      </c>
      <c r="F9" s="15" t="n">
        <v>20000</v>
      </c>
      <c r="G9" s="15" t="n">
        <v>1600</v>
      </c>
      <c r="H9" s="15" t="n">
        <v>3200</v>
      </c>
      <c r="I9" s="15" t="n">
        <v>4000</v>
      </c>
      <c r="J9" s="15" t="n">
        <v>6200</v>
      </c>
      <c r="K9" s="15" t="n">
        <v>1500</v>
      </c>
      <c r="L9" s="15" t="n">
        <v>3200</v>
      </c>
      <c r="M9" s="15" t="n">
        <v>1300</v>
      </c>
      <c r="N9" s="15" t="n">
        <v>4000</v>
      </c>
      <c r="O9" s="15" t="n">
        <v>2900</v>
      </c>
      <c r="P9" s="15" t="n">
        <v>6500</v>
      </c>
      <c r="Q9" s="15" t="n">
        <v>0</v>
      </c>
      <c r="R9" s="15" t="n">
        <v>3000</v>
      </c>
      <c r="S9" s="15" t="n">
        <v>600</v>
      </c>
      <c r="T9" s="15" t="n">
        <v>2000</v>
      </c>
      <c r="U9" s="15" t="n">
        <v>0</v>
      </c>
      <c r="V9" s="15" t="n">
        <v>7500</v>
      </c>
    </row>
    <row r="10" customFormat="false" ht="12.8" hidden="false" customHeight="true" outlineLevel="0" collapsed="false">
      <c r="A10" s="15" t="n">
        <v>6</v>
      </c>
      <c r="B10" s="15" t="s">
        <v>1105</v>
      </c>
      <c r="C10" s="13" t="n">
        <v>25100</v>
      </c>
      <c r="D10" s="13" t="n">
        <v>60000</v>
      </c>
      <c r="E10" s="15" t="n">
        <v>12500</v>
      </c>
      <c r="F10" s="15" t="n">
        <v>22000</v>
      </c>
      <c r="G10" s="15" t="n">
        <v>1700</v>
      </c>
      <c r="H10" s="15" t="n">
        <v>3400</v>
      </c>
      <c r="I10" s="15" t="n">
        <v>4200</v>
      </c>
      <c r="J10" s="15" t="n">
        <v>6500</v>
      </c>
      <c r="K10" s="15" t="n">
        <v>1600</v>
      </c>
      <c r="L10" s="15" t="n">
        <v>3400</v>
      </c>
      <c r="M10" s="15" t="n">
        <v>1400</v>
      </c>
      <c r="N10" s="15" t="n">
        <v>4300</v>
      </c>
      <c r="O10" s="15" t="n">
        <v>3000</v>
      </c>
      <c r="P10" s="15" t="n">
        <v>6800</v>
      </c>
      <c r="Q10" s="15" t="n">
        <v>0</v>
      </c>
      <c r="R10" s="15" t="n">
        <v>3200</v>
      </c>
      <c r="S10" s="15" t="n">
        <v>700</v>
      </c>
      <c r="T10" s="15" t="n">
        <v>2200</v>
      </c>
      <c r="U10" s="15" t="n">
        <v>0</v>
      </c>
      <c r="V10" s="15" t="n">
        <v>8200</v>
      </c>
    </row>
    <row r="11" customFormat="false" ht="12.8" hidden="false" customHeight="true" outlineLevel="0" collapsed="false">
      <c r="A11" s="15" t="n">
        <v>7</v>
      </c>
      <c r="B11" s="15" t="s">
        <v>1106</v>
      </c>
      <c r="C11" s="13" t="n">
        <v>28100</v>
      </c>
      <c r="D11" s="13" t="n">
        <v>67900</v>
      </c>
      <c r="E11" s="15" t="n">
        <v>14500</v>
      </c>
      <c r="F11" s="15" t="n">
        <v>26000</v>
      </c>
      <c r="G11" s="15" t="n">
        <v>1800</v>
      </c>
      <c r="H11" s="15" t="n">
        <v>3600</v>
      </c>
      <c r="I11" s="15" t="n">
        <v>4500</v>
      </c>
      <c r="J11" s="15" t="n">
        <v>7000</v>
      </c>
      <c r="K11" s="15" t="n">
        <v>1800</v>
      </c>
      <c r="L11" s="15" t="n">
        <v>3800</v>
      </c>
      <c r="M11" s="15" t="n">
        <v>1500</v>
      </c>
      <c r="N11" s="15" t="n">
        <v>4800</v>
      </c>
      <c r="O11" s="15" t="n">
        <v>3200</v>
      </c>
      <c r="P11" s="15" t="n">
        <v>7200</v>
      </c>
      <c r="Q11" s="15" t="n">
        <v>0</v>
      </c>
      <c r="R11" s="15" t="n">
        <v>3500</v>
      </c>
      <c r="S11" s="15" t="n">
        <v>800</v>
      </c>
      <c r="T11" s="15" t="n">
        <v>2500</v>
      </c>
      <c r="U11" s="15" t="n">
        <v>0</v>
      </c>
      <c r="V11" s="15" t="n">
        <v>9500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5" activeCellId="0" sqref="A15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3" width="11.53"/>
    <col collapsed="false" customWidth="true" hidden="false" outlineLevel="0" max="2" min="2" style="3" width="36.9"/>
    <col collapsed="false" customWidth="true" hidden="false" outlineLevel="0" max="3" min="3" style="3" width="32.29"/>
    <col collapsed="false" customWidth="true" hidden="false" outlineLevel="0" max="4" min="4" style="3" width="18.45"/>
    <col collapsed="false" customWidth="true" hidden="false" outlineLevel="0" max="5" min="5" style="3" width="20.76"/>
    <col collapsed="false" customWidth="true" hidden="false" outlineLevel="0" max="7" min="6" style="3" width="18.45"/>
    <col collapsed="false" customWidth="true" hidden="false" outlineLevel="0" max="8" min="8" style="3" width="25.37"/>
    <col collapsed="false" customWidth="true" hidden="false" outlineLevel="0" max="9" min="9" style="3" width="23.07"/>
    <col collapsed="false" customWidth="false" hidden="false" outlineLevel="0" max="10" min="10" style="3" width="11.53"/>
  </cols>
  <sheetData>
    <row r="1" customFormat="false" ht="12.8" hidden="false" customHeight="false" outlineLevel="0" collapsed="false">
      <c r="A1" s="2" t="s">
        <v>1107</v>
      </c>
    </row>
    <row r="2" customFormat="false" ht="12.8" hidden="false" customHeight="false" outlineLevel="0" collapsed="false">
      <c r="A2" s="2" t="n">
        <v>1</v>
      </c>
      <c r="B2" s="2" t="s">
        <v>1108</v>
      </c>
    </row>
    <row r="3" customFormat="false" ht="12.8" hidden="false" customHeight="false" outlineLevel="0" collapsed="false">
      <c r="A3" s="2" t="s">
        <v>137</v>
      </c>
      <c r="B3" s="2" t="s">
        <v>138</v>
      </c>
      <c r="C3" s="2" t="s">
        <v>1109</v>
      </c>
      <c r="D3" s="2" t="s">
        <v>1110</v>
      </c>
      <c r="E3" s="2" t="s">
        <v>1111</v>
      </c>
      <c r="F3" s="2" t="s">
        <v>1112</v>
      </c>
      <c r="G3" s="2" t="s">
        <v>1113</v>
      </c>
      <c r="H3" s="2" t="s">
        <v>1111</v>
      </c>
      <c r="I3" s="2" t="s">
        <v>1112</v>
      </c>
    </row>
    <row r="4" customFormat="false" ht="12.8" hidden="false" customHeight="false" outlineLevel="0" collapsed="false">
      <c r="A4" s="5" t="s">
        <v>1114</v>
      </c>
      <c r="B4" s="5" t="s">
        <v>149</v>
      </c>
      <c r="C4" s="5" t="s">
        <v>1115</v>
      </c>
      <c r="D4" s="5" t="s">
        <v>1116</v>
      </c>
      <c r="E4" s="5" t="s">
        <v>261</v>
      </c>
      <c r="F4" s="5" t="s">
        <v>1117</v>
      </c>
      <c r="G4" s="5" t="s">
        <v>1116</v>
      </c>
      <c r="H4" s="5" t="s">
        <v>261</v>
      </c>
      <c r="I4" s="5" t="s">
        <v>1117</v>
      </c>
    </row>
    <row r="5" customFormat="false" ht="12.8" hidden="false" customHeight="false" outlineLevel="0" collapsed="false">
      <c r="A5" s="5" t="s">
        <v>1118</v>
      </c>
      <c r="B5" s="5" t="s">
        <v>158</v>
      </c>
      <c r="C5" s="5" t="s">
        <v>1119</v>
      </c>
      <c r="D5" s="5" t="s">
        <v>1120</v>
      </c>
      <c r="E5" s="5" t="s">
        <v>400</v>
      </c>
      <c r="F5" s="5" t="s">
        <v>1121</v>
      </c>
      <c r="G5" s="5" t="s">
        <v>1122</v>
      </c>
      <c r="H5" s="5" t="s">
        <v>1123</v>
      </c>
      <c r="I5" s="5" t="s">
        <v>1124</v>
      </c>
    </row>
    <row r="6" customFormat="false" ht="12.8" hidden="false" customHeight="false" outlineLevel="0" collapsed="false">
      <c r="A6" s="5" t="s">
        <v>1125</v>
      </c>
      <c r="B6" s="5" t="s">
        <v>167</v>
      </c>
      <c r="C6" s="5" t="s">
        <v>1126</v>
      </c>
      <c r="D6" s="5" t="s">
        <v>1127</v>
      </c>
      <c r="E6" s="5" t="s">
        <v>494</v>
      </c>
      <c r="F6" s="5" t="s">
        <v>1128</v>
      </c>
      <c r="G6" s="5" t="s">
        <v>1127</v>
      </c>
      <c r="H6" s="5" t="s">
        <v>494</v>
      </c>
      <c r="I6" s="5" t="s">
        <v>1128</v>
      </c>
    </row>
    <row r="7" customFormat="false" ht="12.8" hidden="false" customHeight="false" outlineLevel="0" collapsed="false">
      <c r="A7" s="5" t="s">
        <v>1129</v>
      </c>
      <c r="B7" s="5" t="s">
        <v>176</v>
      </c>
      <c r="C7" s="5" t="s">
        <v>1130</v>
      </c>
      <c r="D7" s="5" t="s">
        <v>1131</v>
      </c>
      <c r="E7" s="5" t="s">
        <v>554</v>
      </c>
      <c r="F7" s="5" t="s">
        <v>1132</v>
      </c>
      <c r="G7" s="5" t="s">
        <v>1133</v>
      </c>
      <c r="H7" s="5" t="s">
        <v>1134</v>
      </c>
      <c r="I7" s="5" t="s">
        <v>1135</v>
      </c>
    </row>
    <row r="8" customFormat="false" ht="12.8" hidden="false" customHeight="false" outlineLevel="0" collapsed="false">
      <c r="A8" s="5" t="s">
        <v>1136</v>
      </c>
      <c r="B8" s="5" t="s">
        <v>185</v>
      </c>
      <c r="C8" s="5" t="s">
        <v>1137</v>
      </c>
      <c r="D8" s="5" t="s">
        <v>1138</v>
      </c>
      <c r="E8" s="5" t="s">
        <v>666</v>
      </c>
      <c r="F8" s="5" t="s">
        <v>1139</v>
      </c>
      <c r="G8" s="5" t="s">
        <v>1140</v>
      </c>
      <c r="H8" s="5" t="s">
        <v>1141</v>
      </c>
      <c r="I8" s="5" t="s">
        <v>1139</v>
      </c>
    </row>
    <row r="9" customFormat="false" ht="12.8" hidden="false" customHeight="false" outlineLevel="0" collapsed="false">
      <c r="A9" s="5" t="s">
        <v>1142</v>
      </c>
      <c r="B9" s="5" t="s">
        <v>195</v>
      </c>
      <c r="C9" s="5" t="s">
        <v>1143</v>
      </c>
      <c r="D9" s="5" t="s">
        <v>1144</v>
      </c>
      <c r="E9" s="5" t="s">
        <v>803</v>
      </c>
      <c r="F9" s="5" t="s">
        <v>1145</v>
      </c>
      <c r="G9" s="5" t="s">
        <v>1144</v>
      </c>
      <c r="H9" s="5" t="s">
        <v>803</v>
      </c>
      <c r="I9" s="5" t="s">
        <v>1145</v>
      </c>
    </row>
    <row r="10" customFormat="false" ht="12.8" hidden="false" customHeight="false" outlineLevel="0" collapsed="false">
      <c r="A10" s="5" t="s">
        <v>1146</v>
      </c>
      <c r="B10" s="5" t="s">
        <v>203</v>
      </c>
      <c r="C10" s="5" t="s">
        <v>1147</v>
      </c>
      <c r="D10" s="5" t="s">
        <v>1148</v>
      </c>
      <c r="E10" s="5" t="s">
        <v>844</v>
      </c>
      <c r="F10" s="5" t="s">
        <v>1149</v>
      </c>
      <c r="G10" s="5" t="s">
        <v>205</v>
      </c>
      <c r="H10" s="5" t="s">
        <v>1150</v>
      </c>
      <c r="I10" s="5" t="s">
        <v>830</v>
      </c>
    </row>
    <row r="11" customFormat="false" ht="12.8" hidden="false" customHeight="false" outlineLevel="0" collapsed="false">
      <c r="A11" s="5" t="s">
        <v>1151</v>
      </c>
      <c r="B11" s="5" t="s">
        <v>213</v>
      </c>
      <c r="C11" s="5" t="s">
        <v>1152</v>
      </c>
      <c r="D11" s="5" t="s">
        <v>1153</v>
      </c>
      <c r="E11" s="5" t="s">
        <v>860</v>
      </c>
      <c r="F11" s="5" t="s">
        <v>1154</v>
      </c>
      <c r="G11" s="5" t="s">
        <v>1153</v>
      </c>
      <c r="H11" s="5" t="s">
        <v>860</v>
      </c>
      <c r="I11" s="5" t="s">
        <v>1154</v>
      </c>
    </row>
    <row r="12" customFormat="false" ht="12.8" hidden="false" customHeight="false" outlineLevel="0" collapsed="false">
      <c r="A12" s="5" t="s">
        <v>1155</v>
      </c>
      <c r="B12" s="5" t="s">
        <v>221</v>
      </c>
      <c r="C12" s="5" t="s">
        <v>1156</v>
      </c>
      <c r="D12" s="5" t="s">
        <v>1157</v>
      </c>
      <c r="E12" s="5" t="s">
        <v>921</v>
      </c>
      <c r="F12" s="5" t="s">
        <v>1158</v>
      </c>
      <c r="G12" s="5" t="s">
        <v>1159</v>
      </c>
      <c r="H12" s="5" t="s">
        <v>1160</v>
      </c>
      <c r="I12" s="5" t="s">
        <v>1161</v>
      </c>
    </row>
    <row r="13" customFormat="false" ht="12.8" hidden="false" customHeight="false" outlineLevel="0" collapsed="false">
      <c r="A13" s="5" t="s">
        <v>228</v>
      </c>
      <c r="B13" s="5" t="s">
        <v>1162</v>
      </c>
      <c r="C13" s="5" t="s">
        <v>1163</v>
      </c>
      <c r="D13" s="2" t="s">
        <v>1164</v>
      </c>
      <c r="E13" s="5" t="s">
        <v>1017</v>
      </c>
      <c r="F13" s="5" t="s">
        <v>205</v>
      </c>
      <c r="G13" s="2" t="s">
        <v>1165</v>
      </c>
      <c r="H13" s="2" t="s">
        <v>1166</v>
      </c>
      <c r="I13" s="2" t="s">
        <v>205</v>
      </c>
    </row>
    <row r="15" customFormat="false" ht="12.8" hidden="false" customHeight="false" outlineLevel="0" collapsed="false">
      <c r="A15" s="2" t="n">
        <v>2</v>
      </c>
      <c r="B15" s="2" t="s">
        <v>1167</v>
      </c>
    </row>
    <row r="16" customFormat="false" ht="12.8" hidden="false" customHeight="false" outlineLevel="0" collapsed="false">
      <c r="A16" s="2" t="s">
        <v>137</v>
      </c>
      <c r="B16" s="2" t="s">
        <v>138</v>
      </c>
      <c r="C16" s="2" t="s">
        <v>1168</v>
      </c>
      <c r="D16" s="2" t="s">
        <v>1169</v>
      </c>
      <c r="E16" s="2" t="s">
        <v>1170</v>
      </c>
      <c r="F16" s="2" t="s">
        <v>1171</v>
      </c>
    </row>
    <row r="17" customFormat="false" ht="12.8" hidden="false" customHeight="false" outlineLevel="0" collapsed="false">
      <c r="A17" s="5" t="s">
        <v>1114</v>
      </c>
      <c r="B17" s="5" t="s">
        <v>149</v>
      </c>
      <c r="C17" s="5" t="s">
        <v>1172</v>
      </c>
      <c r="D17" s="5" t="s">
        <v>1173</v>
      </c>
      <c r="E17" s="5" t="s">
        <v>1174</v>
      </c>
      <c r="F17" s="5" t="s">
        <v>1175</v>
      </c>
    </row>
    <row r="18" customFormat="false" ht="12.8" hidden="false" customHeight="false" outlineLevel="0" collapsed="false">
      <c r="A18" s="5" t="s">
        <v>1118</v>
      </c>
      <c r="B18" s="5" t="s">
        <v>158</v>
      </c>
      <c r="C18" s="5" t="s">
        <v>1176</v>
      </c>
      <c r="D18" s="5" t="s">
        <v>1177</v>
      </c>
      <c r="E18" s="5" t="s">
        <v>1178</v>
      </c>
      <c r="F18" s="5" t="s">
        <v>1179</v>
      </c>
    </row>
    <row r="19" customFormat="false" ht="12.8" hidden="false" customHeight="false" outlineLevel="0" collapsed="false">
      <c r="A19" s="5" t="s">
        <v>1125</v>
      </c>
      <c r="B19" s="5" t="s">
        <v>167</v>
      </c>
      <c r="C19" s="5" t="s">
        <v>1180</v>
      </c>
      <c r="D19" s="5" t="s">
        <v>1181</v>
      </c>
      <c r="E19" s="5" t="s">
        <v>1182</v>
      </c>
      <c r="F19" s="5" t="s">
        <v>1175</v>
      </c>
    </row>
    <row r="20" customFormat="false" ht="12.8" hidden="false" customHeight="false" outlineLevel="0" collapsed="false">
      <c r="A20" s="5" t="s">
        <v>1129</v>
      </c>
      <c r="B20" s="5" t="s">
        <v>176</v>
      </c>
      <c r="C20" s="5" t="s">
        <v>1183</v>
      </c>
      <c r="D20" s="5" t="s">
        <v>1184</v>
      </c>
      <c r="E20" s="5" t="s">
        <v>1185</v>
      </c>
      <c r="F20" s="5" t="s">
        <v>1175</v>
      </c>
    </row>
    <row r="21" customFormat="false" ht="12.8" hidden="false" customHeight="false" outlineLevel="0" collapsed="false">
      <c r="A21" s="5" t="s">
        <v>1136</v>
      </c>
      <c r="B21" s="5" t="s">
        <v>185</v>
      </c>
      <c r="C21" s="5" t="s">
        <v>1186</v>
      </c>
      <c r="D21" s="5" t="s">
        <v>1187</v>
      </c>
      <c r="E21" s="5" t="s">
        <v>1188</v>
      </c>
      <c r="F21" s="5" t="s">
        <v>1189</v>
      </c>
    </row>
    <row r="22" customFormat="false" ht="12.8" hidden="false" customHeight="false" outlineLevel="0" collapsed="false">
      <c r="A22" s="5" t="s">
        <v>1142</v>
      </c>
      <c r="B22" s="5" t="s">
        <v>195</v>
      </c>
      <c r="C22" s="5" t="s">
        <v>1190</v>
      </c>
      <c r="D22" s="5" t="s">
        <v>1191</v>
      </c>
      <c r="E22" s="5" t="s">
        <v>1192</v>
      </c>
      <c r="F22" s="5" t="s">
        <v>1179</v>
      </c>
    </row>
    <row r="23" customFormat="false" ht="12.8" hidden="false" customHeight="false" outlineLevel="0" collapsed="false">
      <c r="A23" s="5" t="s">
        <v>1146</v>
      </c>
      <c r="B23" s="5" t="s">
        <v>203</v>
      </c>
      <c r="C23" s="5" t="s">
        <v>1193</v>
      </c>
      <c r="D23" s="5" t="s">
        <v>1194</v>
      </c>
      <c r="E23" s="5" t="s">
        <v>1195</v>
      </c>
      <c r="F23" s="5" t="s">
        <v>1196</v>
      </c>
    </row>
    <row r="24" customFormat="false" ht="12.8" hidden="false" customHeight="false" outlineLevel="0" collapsed="false">
      <c r="A24" s="5" t="s">
        <v>1151</v>
      </c>
      <c r="B24" s="5" t="s">
        <v>213</v>
      </c>
      <c r="C24" s="5" t="s">
        <v>1183</v>
      </c>
      <c r="D24" s="5" t="s">
        <v>1197</v>
      </c>
      <c r="E24" s="5" t="s">
        <v>1198</v>
      </c>
      <c r="F24" s="5" t="s">
        <v>1199</v>
      </c>
    </row>
    <row r="25" customFormat="false" ht="12.8" hidden="false" customHeight="false" outlineLevel="0" collapsed="false">
      <c r="A25" s="5" t="s">
        <v>1155</v>
      </c>
      <c r="B25" s="5" t="s">
        <v>221</v>
      </c>
      <c r="C25" s="5" t="s">
        <v>1177</v>
      </c>
      <c r="D25" s="5" t="s">
        <v>1200</v>
      </c>
      <c r="E25" s="5" t="s">
        <v>1201</v>
      </c>
      <c r="F25" s="5" t="s">
        <v>1175</v>
      </c>
    </row>
    <row r="26" customFormat="false" ht="12.8" hidden="false" customHeight="false" outlineLevel="0" collapsed="false">
      <c r="A26" s="5" t="s">
        <v>228</v>
      </c>
      <c r="B26" s="5" t="s">
        <v>1202</v>
      </c>
      <c r="C26" s="2" t="s">
        <v>1203</v>
      </c>
      <c r="D26" s="2" t="s">
        <v>1204</v>
      </c>
      <c r="E26" s="5" t="s">
        <v>1205</v>
      </c>
      <c r="F26" s="5" t="s">
        <v>1206</v>
      </c>
    </row>
    <row r="28" customFormat="false" ht="12.8" hidden="false" customHeight="false" outlineLevel="0" collapsed="false">
      <c r="A28" s="2" t="n">
        <v>3</v>
      </c>
      <c r="B28" s="2" t="s">
        <v>1207</v>
      </c>
    </row>
    <row r="29" customFormat="false" ht="12.8" hidden="false" customHeight="false" outlineLevel="0" collapsed="false">
      <c r="A29" s="2" t="s">
        <v>137</v>
      </c>
      <c r="B29" s="2" t="s">
        <v>138</v>
      </c>
      <c r="C29" s="2" t="s">
        <v>1208</v>
      </c>
      <c r="D29" s="2" t="s">
        <v>1209</v>
      </c>
      <c r="E29" s="2" t="s">
        <v>1210</v>
      </c>
      <c r="F29" s="2" t="s">
        <v>1211</v>
      </c>
      <c r="G29" s="2" t="s">
        <v>1212</v>
      </c>
      <c r="H29" s="2" t="s">
        <v>1213</v>
      </c>
      <c r="I29" s="2" t="s">
        <v>1212</v>
      </c>
    </row>
    <row r="30" customFormat="false" ht="12.8" hidden="false" customHeight="false" outlineLevel="0" collapsed="false">
      <c r="A30" s="5" t="s">
        <v>1114</v>
      </c>
      <c r="B30" s="5" t="s">
        <v>149</v>
      </c>
      <c r="C30" s="5" t="s">
        <v>1177</v>
      </c>
      <c r="D30" s="5" t="s">
        <v>1200</v>
      </c>
      <c r="E30" s="5" t="s">
        <v>1214</v>
      </c>
      <c r="F30" s="5" t="s">
        <v>1215</v>
      </c>
      <c r="G30" s="5" t="s">
        <v>1216</v>
      </c>
      <c r="H30" s="5" t="s">
        <v>1179</v>
      </c>
      <c r="I30" s="5" t="s">
        <v>1216</v>
      </c>
    </row>
    <row r="31" customFormat="false" ht="12.8" hidden="false" customHeight="false" outlineLevel="0" collapsed="false">
      <c r="A31" s="5" t="s">
        <v>1118</v>
      </c>
      <c r="B31" s="5" t="s">
        <v>158</v>
      </c>
      <c r="C31" s="5" t="s">
        <v>1217</v>
      </c>
      <c r="D31" s="5" t="s">
        <v>1177</v>
      </c>
      <c r="E31" s="5" t="s">
        <v>1218</v>
      </c>
      <c r="F31" s="5" t="s">
        <v>1219</v>
      </c>
      <c r="G31" s="5" t="s">
        <v>1220</v>
      </c>
      <c r="H31" s="5" t="s">
        <v>1221</v>
      </c>
      <c r="I31" s="5" t="s">
        <v>1220</v>
      </c>
    </row>
    <row r="32" customFormat="false" ht="12.8" hidden="false" customHeight="false" outlineLevel="0" collapsed="false">
      <c r="A32" s="5" t="s">
        <v>1125</v>
      </c>
      <c r="B32" s="5" t="s">
        <v>167</v>
      </c>
      <c r="C32" s="5" t="s">
        <v>1222</v>
      </c>
      <c r="D32" s="5" t="s">
        <v>1223</v>
      </c>
      <c r="E32" s="5" t="s">
        <v>1224</v>
      </c>
      <c r="F32" s="5" t="s">
        <v>1225</v>
      </c>
      <c r="G32" s="5" t="s">
        <v>1226</v>
      </c>
      <c r="H32" s="5" t="s">
        <v>1179</v>
      </c>
      <c r="I32" s="5" t="s">
        <v>1226</v>
      </c>
    </row>
    <row r="33" customFormat="false" ht="12.8" hidden="false" customHeight="false" outlineLevel="0" collapsed="false">
      <c r="A33" s="5" t="s">
        <v>1129</v>
      </c>
      <c r="B33" s="5" t="s">
        <v>176</v>
      </c>
      <c r="C33" s="5" t="s">
        <v>1193</v>
      </c>
      <c r="D33" s="5" t="s">
        <v>1227</v>
      </c>
      <c r="E33" s="5" t="s">
        <v>1228</v>
      </c>
      <c r="F33" s="5" t="s">
        <v>1229</v>
      </c>
      <c r="G33" s="5" t="s">
        <v>1230</v>
      </c>
      <c r="H33" s="5" t="s">
        <v>324</v>
      </c>
      <c r="I33" s="5" t="s">
        <v>1230</v>
      </c>
    </row>
    <row r="34" customFormat="false" ht="12.8" hidden="false" customHeight="false" outlineLevel="0" collapsed="false">
      <c r="A34" s="5" t="s">
        <v>1136</v>
      </c>
      <c r="B34" s="5" t="s">
        <v>185</v>
      </c>
      <c r="C34" s="5" t="s">
        <v>1231</v>
      </c>
      <c r="D34" s="5" t="s">
        <v>1232</v>
      </c>
      <c r="E34" s="5" t="s">
        <v>1233</v>
      </c>
      <c r="F34" s="5" t="s">
        <v>1234</v>
      </c>
      <c r="G34" s="5" t="s">
        <v>1235</v>
      </c>
      <c r="H34" s="5" t="s">
        <v>1236</v>
      </c>
      <c r="I34" s="5" t="s">
        <v>1237</v>
      </c>
    </row>
    <row r="35" customFormat="false" ht="12.8" hidden="false" customHeight="false" outlineLevel="0" collapsed="false">
      <c r="A35" s="5" t="s">
        <v>1142</v>
      </c>
      <c r="B35" s="5" t="s">
        <v>195</v>
      </c>
      <c r="C35" s="5" t="s">
        <v>1238</v>
      </c>
      <c r="D35" s="5" t="s">
        <v>1239</v>
      </c>
      <c r="E35" s="5" t="s">
        <v>1240</v>
      </c>
      <c r="F35" s="5" t="s">
        <v>1241</v>
      </c>
      <c r="G35" s="5" t="s">
        <v>1242</v>
      </c>
      <c r="H35" s="5" t="s">
        <v>1221</v>
      </c>
      <c r="I35" s="5" t="s">
        <v>1242</v>
      </c>
    </row>
    <row r="36" customFormat="false" ht="12.8" hidden="false" customHeight="false" outlineLevel="0" collapsed="false">
      <c r="A36" s="5" t="s">
        <v>1146</v>
      </c>
      <c r="B36" s="5" t="s">
        <v>203</v>
      </c>
      <c r="C36" s="5" t="s">
        <v>1243</v>
      </c>
      <c r="D36" s="5" t="s">
        <v>1197</v>
      </c>
      <c r="E36" s="5" t="s">
        <v>1244</v>
      </c>
      <c r="F36" s="5" t="s">
        <v>1245</v>
      </c>
      <c r="G36" s="5" t="s">
        <v>1246</v>
      </c>
      <c r="H36" s="5" t="s">
        <v>1247</v>
      </c>
      <c r="I36" s="5" t="s">
        <v>1248</v>
      </c>
    </row>
    <row r="37" customFormat="false" ht="12.8" hidden="false" customHeight="false" outlineLevel="0" collapsed="false">
      <c r="A37" s="5" t="s">
        <v>1151</v>
      </c>
      <c r="B37" s="5" t="s">
        <v>213</v>
      </c>
      <c r="C37" s="5" t="s">
        <v>1227</v>
      </c>
      <c r="D37" s="5" t="s">
        <v>1249</v>
      </c>
      <c r="E37" s="5" t="s">
        <v>1250</v>
      </c>
      <c r="F37" s="5" t="s">
        <v>1251</v>
      </c>
      <c r="G37" s="5" t="s">
        <v>1252</v>
      </c>
      <c r="H37" s="5" t="s">
        <v>1236</v>
      </c>
      <c r="I37" s="5" t="s">
        <v>1253</v>
      </c>
    </row>
    <row r="38" customFormat="false" ht="12.8" hidden="false" customHeight="false" outlineLevel="0" collapsed="false">
      <c r="A38" s="5" t="s">
        <v>1155</v>
      </c>
      <c r="B38" s="5" t="s">
        <v>221</v>
      </c>
      <c r="C38" s="5" t="s">
        <v>1239</v>
      </c>
      <c r="D38" s="5" t="s">
        <v>1254</v>
      </c>
      <c r="E38" s="5" t="s">
        <v>1255</v>
      </c>
      <c r="F38" s="5" t="s">
        <v>1256</v>
      </c>
      <c r="G38" s="5" t="s">
        <v>1257</v>
      </c>
      <c r="H38" s="5" t="s">
        <v>1247</v>
      </c>
      <c r="I38" s="5" t="s">
        <v>1258</v>
      </c>
    </row>
    <row r="39" customFormat="false" ht="12.8" hidden="false" customHeight="false" outlineLevel="0" collapsed="false">
      <c r="A39" s="5" t="s">
        <v>228</v>
      </c>
      <c r="B39" s="5" t="s">
        <v>1070</v>
      </c>
      <c r="C39" s="2" t="s">
        <v>1259</v>
      </c>
      <c r="D39" s="2" t="s">
        <v>1260</v>
      </c>
      <c r="E39" s="5" t="s">
        <v>1070</v>
      </c>
      <c r="F39" s="5" t="s">
        <v>1070</v>
      </c>
      <c r="G39" s="5" t="s">
        <v>1261</v>
      </c>
    </row>
    <row r="40" customFormat="false" ht="12.8" hidden="false" customHeight="false" outlineLevel="0" collapsed="false">
      <c r="A40" s="5"/>
      <c r="B40" s="5"/>
      <c r="C40" s="2"/>
      <c r="D40" s="2"/>
      <c r="E40" s="5"/>
      <c r="F40" s="5"/>
      <c r="G40" s="5"/>
    </row>
    <row r="41" customFormat="false" ht="12.8" hidden="false" customHeight="false" outlineLevel="0" collapsed="false">
      <c r="A41" s="5"/>
      <c r="B41" s="5"/>
      <c r="C41" s="2"/>
      <c r="D41" s="2"/>
      <c r="E41" s="5"/>
      <c r="F41" s="5"/>
      <c r="G41" s="5"/>
    </row>
    <row r="42" customFormat="false" ht="12.8" hidden="false" customHeight="false" outlineLevel="0" collapsed="false">
      <c r="A42" s="2" t="n">
        <v>4</v>
      </c>
      <c r="B42" s="15" t="s">
        <v>1262</v>
      </c>
    </row>
    <row r="43" customFormat="false" ht="12.8" hidden="false" customHeight="false" outlineLevel="0" collapsed="false">
      <c r="A43" s="2" t="s">
        <v>1263</v>
      </c>
      <c r="B43" s="2" t="s">
        <v>1264</v>
      </c>
      <c r="C43" s="2" t="s">
        <v>1265</v>
      </c>
      <c r="D43" s="2" t="s">
        <v>1266</v>
      </c>
      <c r="E43" s="2" t="s">
        <v>1267</v>
      </c>
      <c r="F43" s="2" t="s">
        <v>1268</v>
      </c>
      <c r="G43" s="2" t="s">
        <v>1269</v>
      </c>
      <c r="H43" s="2" t="s">
        <v>1268</v>
      </c>
      <c r="I43" s="2" t="s">
        <v>1270</v>
      </c>
      <c r="J43" s="2" t="s">
        <v>1269</v>
      </c>
    </row>
    <row r="44" customFormat="false" ht="12.8" hidden="false" customHeight="false" outlineLevel="0" collapsed="false">
      <c r="A44" s="5" t="n">
        <v>0</v>
      </c>
      <c r="B44" s="5" t="s">
        <v>1271</v>
      </c>
      <c r="C44" s="5" t="s">
        <v>1272</v>
      </c>
      <c r="D44" s="5" t="s">
        <v>1273</v>
      </c>
      <c r="E44" s="5" t="s">
        <v>1274</v>
      </c>
      <c r="F44" s="5" t="s">
        <v>1275</v>
      </c>
      <c r="G44" s="5" t="s">
        <v>1276</v>
      </c>
      <c r="H44" s="5" t="s">
        <v>1277</v>
      </c>
      <c r="I44" s="5" t="s">
        <v>1278</v>
      </c>
      <c r="J44" s="5" t="s">
        <v>1279</v>
      </c>
    </row>
    <row r="45" customFormat="false" ht="12.8" hidden="false" customHeight="false" outlineLevel="0" collapsed="false">
      <c r="A45" s="5" t="n">
        <v>1</v>
      </c>
      <c r="B45" s="5" t="s">
        <v>1280</v>
      </c>
      <c r="C45" s="5" t="s">
        <v>1281</v>
      </c>
      <c r="D45" s="5" t="s">
        <v>1282</v>
      </c>
      <c r="E45" s="5" t="s">
        <v>1260</v>
      </c>
      <c r="F45" s="5" t="s">
        <v>1283</v>
      </c>
      <c r="G45" s="5" t="s">
        <v>1284</v>
      </c>
      <c r="H45" s="5" t="s">
        <v>1285</v>
      </c>
      <c r="I45" s="5" t="s">
        <v>1286</v>
      </c>
      <c r="J45" s="5" t="s">
        <v>1287</v>
      </c>
    </row>
    <row r="46" customFormat="false" ht="12.8" hidden="false" customHeight="false" outlineLevel="0" collapsed="false">
      <c r="A46" s="5" t="n">
        <v>2</v>
      </c>
      <c r="B46" s="5" t="s">
        <v>1288</v>
      </c>
      <c r="C46" s="5" t="s">
        <v>1289</v>
      </c>
      <c r="D46" s="5" t="s">
        <v>1164</v>
      </c>
      <c r="E46" s="5" t="n">
        <v>3081</v>
      </c>
      <c r="F46" s="5" t="s">
        <v>1290</v>
      </c>
      <c r="G46" s="5" t="s">
        <v>1291</v>
      </c>
      <c r="H46" s="5" t="s">
        <v>1292</v>
      </c>
      <c r="I46" s="5" t="s">
        <v>1293</v>
      </c>
      <c r="J46" s="5" t="s">
        <v>1294</v>
      </c>
    </row>
    <row r="47" customFormat="false" ht="12.8" hidden="false" customHeight="false" outlineLevel="0" collapsed="false">
      <c r="A47" s="5" t="n">
        <v>3</v>
      </c>
      <c r="B47" s="5" t="s">
        <v>1295</v>
      </c>
      <c r="C47" s="5" t="s">
        <v>1296</v>
      </c>
      <c r="D47" s="2" t="s">
        <v>1297</v>
      </c>
      <c r="E47" s="2" t="s">
        <v>1298</v>
      </c>
      <c r="F47" s="5" t="s">
        <v>1299</v>
      </c>
      <c r="G47" s="5" t="s">
        <v>1300</v>
      </c>
      <c r="H47" s="5" t="s">
        <v>1301</v>
      </c>
      <c r="I47" s="5" t="s">
        <v>1302</v>
      </c>
      <c r="J47" s="5" t="s">
        <v>1300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3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24" activeCellId="0" sqref="A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1" width="16.14"/>
    <col collapsed="false" customWidth="true" hidden="false" outlineLevel="0" max="3" min="3" style="1" width="34.59"/>
  </cols>
  <sheetData>
    <row r="1" customFormat="false" ht="12.8" hidden="false" customHeight="false" outlineLevel="0" collapsed="false">
      <c r="A1" s="1" t="s">
        <v>1303</v>
      </c>
    </row>
    <row r="2" customFormat="false" ht="12.8" hidden="false" customHeight="false" outlineLevel="0" collapsed="false">
      <c r="A2" s="6" t="s">
        <v>1304</v>
      </c>
    </row>
    <row r="3" customFormat="false" ht="12.8" hidden="false" customHeight="false" outlineLevel="0" collapsed="false">
      <c r="A3" s="1" t="s">
        <v>1305</v>
      </c>
      <c r="B3" s="19" t="s">
        <v>1306</v>
      </c>
      <c r="C3" s="19" t="s">
        <v>1307</v>
      </c>
    </row>
    <row r="4" customFormat="false" ht="12.8" hidden="false" customHeight="false" outlineLevel="0" collapsed="false">
      <c r="A4" s="20" t="n">
        <v>0</v>
      </c>
      <c r="B4" s="21" t="s">
        <v>1308</v>
      </c>
      <c r="C4" s="6" t="s">
        <v>1309</v>
      </c>
    </row>
    <row r="5" customFormat="false" ht="12.8" hidden="false" customHeight="false" outlineLevel="0" collapsed="false">
      <c r="A5" s="20" t="n">
        <v>1</v>
      </c>
      <c r="B5" s="21" t="s">
        <v>1310</v>
      </c>
      <c r="C5" s="6" t="s">
        <v>1311</v>
      </c>
    </row>
    <row r="6" customFormat="false" ht="12.8" hidden="false" customHeight="false" outlineLevel="0" collapsed="false">
      <c r="A6" s="20" t="n">
        <v>2</v>
      </c>
      <c r="B6" s="21" t="s">
        <v>1312</v>
      </c>
      <c r="C6" s="6" t="s">
        <v>1313</v>
      </c>
    </row>
    <row r="7" customFormat="false" ht="12.8" hidden="false" customHeight="false" outlineLevel="0" collapsed="false">
      <c r="A7" s="20" t="n">
        <v>3</v>
      </c>
      <c r="B7" s="21" t="s">
        <v>1314</v>
      </c>
      <c r="C7" s="6" t="s">
        <v>1315</v>
      </c>
    </row>
    <row r="8" customFormat="false" ht="12.8" hidden="false" customHeight="false" outlineLevel="0" collapsed="false">
      <c r="A8" s="20" t="n">
        <v>4</v>
      </c>
      <c r="B8" s="21" t="s">
        <v>1316</v>
      </c>
      <c r="C8" s="6" t="s">
        <v>1317</v>
      </c>
    </row>
    <row r="9" customFormat="false" ht="12.8" hidden="false" customHeight="false" outlineLevel="0" collapsed="false">
      <c r="A9" s="20" t="n">
        <v>5</v>
      </c>
      <c r="B9" s="21" t="s">
        <v>1318</v>
      </c>
      <c r="C9" s="2" t="s">
        <v>1319</v>
      </c>
    </row>
    <row r="10" customFormat="false" ht="12.8" hidden="false" customHeight="false" outlineLevel="0" collapsed="false">
      <c r="A10" s="20" t="n">
        <v>6</v>
      </c>
      <c r="B10" s="21" t="s">
        <v>1320</v>
      </c>
      <c r="C10" s="6" t="s">
        <v>1321</v>
      </c>
    </row>
    <row r="11" customFormat="false" ht="12.8" hidden="false" customHeight="false" outlineLevel="0" collapsed="false">
      <c r="A11" s="20" t="n">
        <v>7</v>
      </c>
      <c r="B11" s="9" t="s">
        <v>1322</v>
      </c>
      <c r="C11" s="6" t="s">
        <v>1323</v>
      </c>
    </row>
    <row r="12" customFormat="false" ht="12.8" hidden="false" customHeight="false" outlineLevel="0" collapsed="false">
      <c r="A12" s="20" t="n">
        <v>8</v>
      </c>
      <c r="B12" s="21" t="n">
        <v>70</v>
      </c>
      <c r="C12" s="6" t="s">
        <v>1324</v>
      </c>
    </row>
    <row r="13" customFormat="false" ht="12.8" hidden="false" customHeight="false" outlineLevel="0" collapsed="false">
      <c r="A13" s="20" t="n">
        <v>9</v>
      </c>
      <c r="B13" s="9" t="s">
        <v>1325</v>
      </c>
      <c r="C13" s="6" t="s">
        <v>1326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1" activeCellId="0" sqref="A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43.82"/>
  </cols>
  <sheetData>
    <row r="1" customFormat="false" ht="12.8" hidden="false" customHeight="false" outlineLevel="0" collapsed="false">
      <c r="A1" s="3" t="s">
        <v>1327</v>
      </c>
      <c r="B1" s="3"/>
      <c r="C1" s="3"/>
    </row>
    <row r="2" customFormat="false" ht="23.85" hidden="false" customHeight="false" outlineLevel="0" collapsed="false">
      <c r="A2" s="22" t="s">
        <v>1328</v>
      </c>
      <c r="B2" s="3"/>
      <c r="C2" s="3"/>
    </row>
    <row r="3" customFormat="false" ht="12.8" hidden="false" customHeight="false" outlineLevel="0" collapsed="false">
      <c r="A3" s="2" t="s">
        <v>1329</v>
      </c>
      <c r="B3" s="2" t="s">
        <v>1330</v>
      </c>
      <c r="C3" s="2" t="s">
        <v>1331</v>
      </c>
    </row>
    <row r="4" customFormat="false" ht="12.8" hidden="false" customHeight="false" outlineLevel="0" collapsed="false">
      <c r="A4" s="5" t="s">
        <v>1114</v>
      </c>
      <c r="B4" s="5" t="s">
        <v>1332</v>
      </c>
      <c r="C4" s="5" t="s">
        <v>1333</v>
      </c>
    </row>
    <row r="5" customFormat="false" ht="12.8" hidden="false" customHeight="false" outlineLevel="0" collapsed="false">
      <c r="A5" s="5" t="s">
        <v>1118</v>
      </c>
      <c r="B5" s="5" t="s">
        <v>1334</v>
      </c>
      <c r="C5" s="5" t="s">
        <v>1335</v>
      </c>
    </row>
    <row r="6" customFormat="false" ht="12.8" hidden="false" customHeight="false" outlineLevel="0" collapsed="false">
      <c r="A6" s="5" t="s">
        <v>1125</v>
      </c>
      <c r="B6" s="5" t="s">
        <v>1336</v>
      </c>
      <c r="C6" s="5" t="s">
        <v>1337</v>
      </c>
    </row>
    <row r="7" customFormat="false" ht="12.8" hidden="false" customHeight="false" outlineLevel="0" collapsed="false">
      <c r="A7" s="5" t="s">
        <v>1129</v>
      </c>
      <c r="B7" s="5" t="s">
        <v>1338</v>
      </c>
      <c r="C7" s="5" t="s">
        <v>1339</v>
      </c>
    </row>
    <row r="8" customFormat="false" ht="12.8" hidden="false" customHeight="false" outlineLevel="0" collapsed="false">
      <c r="A8" s="5" t="s">
        <v>1136</v>
      </c>
      <c r="B8" s="5" t="s">
        <v>1340</v>
      </c>
      <c r="C8" s="5" t="s">
        <v>1341</v>
      </c>
    </row>
    <row r="9" customFormat="false" ht="12.8" hidden="false" customHeight="false" outlineLevel="0" collapsed="false">
      <c r="A9" s="5" t="s">
        <v>1142</v>
      </c>
      <c r="B9" s="5" t="s">
        <v>1342</v>
      </c>
      <c r="C9" s="5" t="s">
        <v>1343</v>
      </c>
    </row>
    <row r="10" customFormat="false" ht="12.8" hidden="false" customHeight="false" outlineLevel="0" collapsed="false">
      <c r="A10" s="5" t="s">
        <v>1146</v>
      </c>
      <c r="B10" s="5" t="s">
        <v>1344</v>
      </c>
      <c r="C10" s="5" t="s">
        <v>1345</v>
      </c>
    </row>
    <row r="11" customFormat="false" ht="12.8" hidden="false" customHeight="false" outlineLevel="0" collapsed="false">
      <c r="A11" s="5" t="s">
        <v>1151</v>
      </c>
      <c r="B11" s="5" t="s">
        <v>1346</v>
      </c>
      <c r="C11" s="5" t="s">
        <v>1347</v>
      </c>
    </row>
    <row r="12" customFormat="false" ht="12.8" hidden="false" customHeight="false" outlineLevel="0" collapsed="false">
      <c r="A12" s="5" t="s">
        <v>1155</v>
      </c>
      <c r="B12" s="5" t="s">
        <v>1348</v>
      </c>
      <c r="C12" s="5" t="s">
        <v>1349</v>
      </c>
    </row>
    <row r="13" customFormat="false" ht="12.8" hidden="false" customHeight="false" outlineLevel="0" collapsed="false">
      <c r="A13" s="5" t="s">
        <v>1350</v>
      </c>
      <c r="B13" s="5" t="s">
        <v>1351</v>
      </c>
      <c r="C13" s="5" t="s">
        <v>1352</v>
      </c>
    </row>
    <row r="14" customFormat="false" ht="12.8" hidden="false" customHeight="false" outlineLevel="0" collapsed="false">
      <c r="A14" s="5" t="s">
        <v>1353</v>
      </c>
      <c r="B14" s="5" t="s">
        <v>1354</v>
      </c>
      <c r="C14" s="5" t="s">
        <v>1355</v>
      </c>
    </row>
    <row r="15" customFormat="false" ht="12.8" hidden="false" customHeight="false" outlineLevel="0" collapsed="false">
      <c r="A15" s="5" t="s">
        <v>1356</v>
      </c>
      <c r="B15" s="5" t="s">
        <v>1357</v>
      </c>
      <c r="C15" s="5" t="s">
        <v>1358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53.06"/>
  </cols>
  <sheetData>
    <row r="1" customFormat="false" ht="12.8" hidden="false" customHeight="false" outlineLevel="0" collapsed="false">
      <c r="A1" s="1" t="s">
        <v>1359</v>
      </c>
    </row>
    <row r="2" customFormat="false" ht="35.05" hidden="false" customHeight="false" outlineLevel="0" collapsed="false">
      <c r="A2" s="3" t="n">
        <v>1</v>
      </c>
      <c r="B2" s="23" t="s">
        <v>1360</v>
      </c>
    </row>
    <row r="3" customFormat="false" ht="12.8" hidden="false" customHeight="false" outlineLevel="0" collapsed="false">
      <c r="A3" s="6" t="s">
        <v>1361</v>
      </c>
      <c r="B3" s="6" t="s">
        <v>1362</v>
      </c>
      <c r="C3" s="6" t="s">
        <v>1363</v>
      </c>
    </row>
    <row r="4" customFormat="false" ht="12.8" hidden="false" customHeight="false" outlineLevel="0" collapsed="false">
      <c r="A4" s="6" t="s">
        <v>1364</v>
      </c>
      <c r="B4" s="1" t="s">
        <v>1365</v>
      </c>
      <c r="C4" s="1" t="s">
        <v>1366</v>
      </c>
    </row>
    <row r="5" customFormat="false" ht="12.8" hidden="false" customHeight="false" outlineLevel="0" collapsed="false">
      <c r="A5" s="6" t="s">
        <v>1367</v>
      </c>
      <c r="B5" s="1" t="s">
        <v>1368</v>
      </c>
      <c r="C5" s="1" t="s">
        <v>1369</v>
      </c>
    </row>
    <row r="6" customFormat="false" ht="12.8" hidden="false" customHeight="false" outlineLevel="0" collapsed="false">
      <c r="A6" s="6" t="s">
        <v>1370</v>
      </c>
      <c r="B6" s="1" t="s">
        <v>1371</v>
      </c>
      <c r="C6" s="1" t="s">
        <v>1372</v>
      </c>
    </row>
    <row r="7" customFormat="false" ht="12.8" hidden="false" customHeight="false" outlineLevel="0" collapsed="false">
      <c r="A7" s="6" t="s">
        <v>1373</v>
      </c>
      <c r="B7" s="1" t="s">
        <v>1374</v>
      </c>
      <c r="C7" s="1" t="s">
        <v>1375</v>
      </c>
    </row>
    <row r="8" customFormat="false" ht="12.8" hidden="false" customHeight="false" outlineLevel="0" collapsed="false">
      <c r="A8" s="6" t="s">
        <v>1376</v>
      </c>
      <c r="B8" s="1" t="s">
        <v>1377</v>
      </c>
      <c r="C8" s="1" t="s">
        <v>1378</v>
      </c>
    </row>
    <row r="9" customFormat="false" ht="12.8" hidden="false" customHeight="false" outlineLevel="0" collapsed="false">
      <c r="A9" s="6" t="s">
        <v>1379</v>
      </c>
      <c r="B9" s="1" t="s">
        <v>1380</v>
      </c>
      <c r="C9" s="1" t="s">
        <v>1381</v>
      </c>
    </row>
    <row r="10" customFormat="false" ht="12.8" hidden="false" customHeight="false" outlineLevel="0" collapsed="false">
      <c r="A10" s="6" t="s">
        <v>1382</v>
      </c>
      <c r="B10" s="1" t="s">
        <v>1383</v>
      </c>
      <c r="C10" s="1" t="s">
        <v>1384</v>
      </c>
    </row>
    <row r="11" customFormat="false" ht="12.8" hidden="false" customHeight="false" outlineLevel="0" collapsed="false">
      <c r="A11" s="6" t="s">
        <v>1385</v>
      </c>
      <c r="B11" s="1" t="s">
        <v>1386</v>
      </c>
      <c r="C11" s="1" t="s">
        <v>1387</v>
      </c>
    </row>
    <row r="12" customFormat="false" ht="12.8" hidden="false" customHeight="false" outlineLevel="0" collapsed="false">
      <c r="A12" s="6" t="s">
        <v>1388</v>
      </c>
      <c r="B12" s="1" t="s">
        <v>1389</v>
      </c>
      <c r="C12" s="1" t="s">
        <v>1390</v>
      </c>
    </row>
    <row r="13" customFormat="false" ht="12.8" hidden="false" customHeight="false" outlineLevel="0" collapsed="false">
      <c r="A13" s="6" t="s">
        <v>1391</v>
      </c>
      <c r="B13" s="1" t="s">
        <v>1392</v>
      </c>
      <c r="C13" s="1" t="s">
        <v>1393</v>
      </c>
    </row>
    <row r="14" customFormat="false" ht="12.8" hidden="false" customHeight="false" outlineLevel="0" collapsed="false">
      <c r="A14" s="6" t="s">
        <v>1394</v>
      </c>
      <c r="B14" s="1" t="s">
        <v>1395</v>
      </c>
      <c r="C14" s="1" t="s">
        <v>1396</v>
      </c>
    </row>
    <row r="15" customFormat="false" ht="12.8" hidden="false" customHeight="false" outlineLevel="0" collapsed="false">
      <c r="A15" s="6" t="s">
        <v>1397</v>
      </c>
      <c r="B15" s="1" t="s">
        <v>1398</v>
      </c>
      <c r="C15" s="1" t="s">
        <v>1399</v>
      </c>
    </row>
    <row r="16" customFormat="false" ht="12.8" hidden="false" customHeight="false" outlineLevel="0" collapsed="false">
      <c r="A16" s="6" t="s">
        <v>1400</v>
      </c>
      <c r="B16" s="1" t="s">
        <v>1401</v>
      </c>
      <c r="C16" s="1" t="s">
        <v>1402</v>
      </c>
    </row>
    <row r="17" customFormat="false" ht="12.8" hidden="false" customHeight="false" outlineLevel="0" collapsed="false">
      <c r="A17" s="6" t="s">
        <v>1403</v>
      </c>
      <c r="B17" s="1" t="s">
        <v>1404</v>
      </c>
      <c r="C17" s="1" t="s">
        <v>1405</v>
      </c>
    </row>
    <row r="18" customFormat="false" ht="12.8" hidden="false" customHeight="false" outlineLevel="0" collapsed="false">
      <c r="A18" s="6" t="s">
        <v>1406</v>
      </c>
      <c r="B18" s="1" t="s">
        <v>1407</v>
      </c>
      <c r="C18" s="1" t="s">
        <v>1408</v>
      </c>
    </row>
    <row r="19" customFormat="false" ht="12.8" hidden="false" customHeight="false" outlineLevel="0" collapsed="false">
      <c r="A19" s="6" t="s">
        <v>1409</v>
      </c>
      <c r="B19" s="1" t="s">
        <v>1410</v>
      </c>
      <c r="C19" s="1" t="s">
        <v>1411</v>
      </c>
    </row>
    <row r="20" customFormat="false" ht="12.8" hidden="false" customHeight="false" outlineLevel="0" collapsed="false">
      <c r="A20" s="6" t="s">
        <v>1412</v>
      </c>
      <c r="B20" s="1" t="s">
        <v>1413</v>
      </c>
      <c r="C20" s="1" t="s">
        <v>1414</v>
      </c>
    </row>
    <row r="21" customFormat="false" ht="12.8" hidden="false" customHeight="false" outlineLevel="0" collapsed="false">
      <c r="A21" s="6" t="s">
        <v>1415</v>
      </c>
      <c r="B21" s="1" t="s">
        <v>1416</v>
      </c>
      <c r="C21" s="1" t="s">
        <v>1417</v>
      </c>
    </row>
    <row r="22" customFormat="false" ht="12.8" hidden="false" customHeight="false" outlineLevel="0" collapsed="false">
      <c r="A22" s="6" t="s">
        <v>1418</v>
      </c>
      <c r="B22" s="1" t="s">
        <v>1419</v>
      </c>
      <c r="C22" s="1" t="s">
        <v>1420</v>
      </c>
    </row>
    <row r="23" customFormat="false" ht="12.8" hidden="false" customHeight="false" outlineLevel="0" collapsed="false">
      <c r="A23" s="6" t="s">
        <v>1421</v>
      </c>
      <c r="B23" s="1" t="s">
        <v>1422</v>
      </c>
      <c r="C23" s="1" t="s">
        <v>1423</v>
      </c>
    </row>
    <row r="24" customFormat="false" ht="12.8" hidden="false" customHeight="false" outlineLevel="0" collapsed="false">
      <c r="A24" s="6" t="s">
        <v>1424</v>
      </c>
      <c r="B24" s="1" t="s">
        <v>1425</v>
      </c>
      <c r="C24" s="1" t="s">
        <v>1426</v>
      </c>
    </row>
    <row r="25" customFormat="false" ht="12.8" hidden="false" customHeight="false" outlineLevel="0" collapsed="false">
      <c r="A25" s="6" t="s">
        <v>1427</v>
      </c>
      <c r="B25" s="1" t="s">
        <v>1428</v>
      </c>
      <c r="C25" s="1" t="s">
        <v>1429</v>
      </c>
    </row>
    <row r="26" customFormat="false" ht="12.8" hidden="false" customHeight="false" outlineLevel="0" collapsed="false">
      <c r="A26" s="6" t="s">
        <v>1430</v>
      </c>
      <c r="B26" s="1" t="s">
        <v>1431</v>
      </c>
      <c r="C26" s="1" t="s">
        <v>1432</v>
      </c>
    </row>
    <row r="27" customFormat="false" ht="12.8" hidden="false" customHeight="false" outlineLevel="0" collapsed="false">
      <c r="A27" s="6" t="s">
        <v>1433</v>
      </c>
      <c r="B27" s="1" t="s">
        <v>1434</v>
      </c>
      <c r="C27" s="1" t="s">
        <v>1435</v>
      </c>
    </row>
    <row r="28" customFormat="false" ht="12.8" hidden="false" customHeight="false" outlineLevel="0" collapsed="false">
      <c r="A28" s="6" t="s">
        <v>1436</v>
      </c>
      <c r="B28" s="1" t="s">
        <v>1437</v>
      </c>
      <c r="C28" s="1" t="s">
        <v>1438</v>
      </c>
    </row>
    <row r="29" customFormat="false" ht="12.8" hidden="false" customHeight="false" outlineLevel="0" collapsed="false">
      <c r="A29" s="6" t="s">
        <v>1439</v>
      </c>
      <c r="B29" s="1" t="s">
        <v>1440</v>
      </c>
      <c r="C29" s="1" t="s">
        <v>1441</v>
      </c>
    </row>
    <row r="30" customFormat="false" ht="12.8" hidden="false" customHeight="false" outlineLevel="0" collapsed="false">
      <c r="A30" s="6" t="s">
        <v>1442</v>
      </c>
      <c r="B30" s="1" t="s">
        <v>1443</v>
      </c>
      <c r="C30" s="1" t="s">
        <v>1444</v>
      </c>
    </row>
    <row r="31" customFormat="false" ht="12.8" hidden="false" customHeight="false" outlineLevel="0" collapsed="false">
      <c r="A31" s="6" t="s">
        <v>1445</v>
      </c>
      <c r="B31" s="1" t="s">
        <v>1446</v>
      </c>
      <c r="C31" s="1" t="s">
        <v>1447</v>
      </c>
    </row>
    <row r="32" customFormat="false" ht="12.8" hidden="false" customHeight="false" outlineLevel="0" collapsed="false">
      <c r="A32" s="6" t="s">
        <v>1448</v>
      </c>
      <c r="B32" s="1" t="s">
        <v>1449</v>
      </c>
      <c r="C32" s="1" t="s">
        <v>1450</v>
      </c>
    </row>
    <row r="33" customFormat="false" ht="12.8" hidden="false" customHeight="false" outlineLevel="0" collapsed="false">
      <c r="A33" s="6" t="s">
        <v>1451</v>
      </c>
      <c r="B33" s="1" t="s">
        <v>1452</v>
      </c>
      <c r="C33" s="1" t="s">
        <v>1453</v>
      </c>
    </row>
    <row r="34" customFormat="false" ht="12.8" hidden="false" customHeight="false" outlineLevel="0" collapsed="false">
      <c r="A34" s="6" t="s">
        <v>1454</v>
      </c>
      <c r="B34" s="1" t="s">
        <v>1455</v>
      </c>
      <c r="C34" s="1" t="s">
        <v>1456</v>
      </c>
    </row>
    <row r="35" customFormat="false" ht="12.8" hidden="false" customHeight="false" outlineLevel="0" collapsed="false">
      <c r="A35" s="6" t="s">
        <v>1457</v>
      </c>
      <c r="B35" s="1" t="s">
        <v>1458</v>
      </c>
      <c r="C35" s="1" t="s">
        <v>1459</v>
      </c>
    </row>
    <row r="36" customFormat="false" ht="12.8" hidden="false" customHeight="false" outlineLevel="0" collapsed="false">
      <c r="A36" s="6" t="s">
        <v>1460</v>
      </c>
      <c r="B36" s="1" t="s">
        <v>1461</v>
      </c>
      <c r="C36" s="1" t="s">
        <v>1462</v>
      </c>
    </row>
    <row r="37" customFormat="false" ht="12.8" hidden="false" customHeight="false" outlineLevel="0" collapsed="false">
      <c r="A37" s="6" t="s">
        <v>1463</v>
      </c>
      <c r="B37" s="1" t="s">
        <v>1464</v>
      </c>
      <c r="C37" s="1" t="s">
        <v>1465</v>
      </c>
    </row>
    <row r="38" customFormat="false" ht="12.8" hidden="false" customHeight="false" outlineLevel="0" collapsed="false">
      <c r="A38" s="6" t="s">
        <v>1466</v>
      </c>
      <c r="B38" s="1" t="s">
        <v>1467</v>
      </c>
      <c r="C38" s="1" t="s">
        <v>1468</v>
      </c>
    </row>
    <row r="39" customFormat="false" ht="12.8" hidden="false" customHeight="false" outlineLevel="0" collapsed="false">
      <c r="A39" s="6" t="s">
        <v>1469</v>
      </c>
      <c r="B39" s="1" t="s">
        <v>1470</v>
      </c>
      <c r="C39" s="1" t="s">
        <v>1471</v>
      </c>
    </row>
    <row r="40" customFormat="false" ht="12.8" hidden="false" customHeight="false" outlineLevel="0" collapsed="false">
      <c r="A40" s="6" t="s">
        <v>1472</v>
      </c>
      <c r="B40" s="1" t="s">
        <v>1473</v>
      </c>
      <c r="C40" s="1" t="s">
        <v>1474</v>
      </c>
    </row>
    <row r="41" customFormat="false" ht="12.8" hidden="false" customHeight="false" outlineLevel="0" collapsed="false">
      <c r="A41" s="6" t="s">
        <v>1475</v>
      </c>
      <c r="B41" s="1" t="s">
        <v>1476</v>
      </c>
      <c r="C41" s="1" t="s">
        <v>1477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43.82"/>
    <col collapsed="false" customWidth="true" hidden="false" outlineLevel="0" max="3" min="3" style="1" width="39.2"/>
    <col collapsed="false" customWidth="true" hidden="false" outlineLevel="0" max="4" min="4" style="1" width="25.37"/>
  </cols>
  <sheetData>
    <row r="1" customFormat="false" ht="12.8" hidden="false" customHeight="false" outlineLevel="0" collapsed="false">
      <c r="A1" s="1" t="s">
        <v>1478</v>
      </c>
    </row>
    <row r="2" s="1" customFormat="true" ht="12.8" hidden="false" customHeight="false" outlineLevel="0" collapsed="false">
      <c r="A2" s="1" t="n">
        <v>1</v>
      </c>
      <c r="B2" s="1" t="s">
        <v>1479</v>
      </c>
    </row>
    <row r="3" s="1" customFormat="true" ht="12.8" hidden="false" customHeight="false" outlineLevel="0" collapsed="false">
      <c r="A3" s="5" t="s">
        <v>1480</v>
      </c>
      <c r="B3" s="2" t="s">
        <v>1481</v>
      </c>
      <c r="C3" s="2" t="s">
        <v>1482</v>
      </c>
      <c r="D3" s="2" t="s">
        <v>1483</v>
      </c>
      <c r="E3" s="2" t="s">
        <v>1484</v>
      </c>
      <c r="F3" s="2" t="s">
        <v>1485</v>
      </c>
      <c r="G3" s="2" t="s">
        <v>1486</v>
      </c>
      <c r="H3" s="2" t="s">
        <v>1487</v>
      </c>
    </row>
    <row r="4" s="1" customFormat="true" ht="12.8" hidden="false" customHeight="false" outlineLevel="0" collapsed="false">
      <c r="A4" s="5" t="n">
        <v>0</v>
      </c>
      <c r="B4" s="2" t="s">
        <v>1488</v>
      </c>
      <c r="C4" s="5" t="s">
        <v>1489</v>
      </c>
      <c r="D4" s="2" t="s">
        <v>1490</v>
      </c>
      <c r="E4" s="5" t="s">
        <v>1491</v>
      </c>
      <c r="F4" s="5" t="s">
        <v>1492</v>
      </c>
      <c r="G4" s="5" t="s">
        <v>1493</v>
      </c>
      <c r="H4" s="5" t="s">
        <v>1494</v>
      </c>
    </row>
    <row r="5" s="1" customFormat="true" ht="12.8" hidden="false" customHeight="false" outlineLevel="0" collapsed="false">
      <c r="A5" s="5" t="n">
        <v>1</v>
      </c>
      <c r="B5" s="2" t="s">
        <v>1495</v>
      </c>
      <c r="C5" s="5" t="s">
        <v>1496</v>
      </c>
      <c r="D5" s="2" t="s">
        <v>1497</v>
      </c>
      <c r="E5" s="5" t="s">
        <v>1498</v>
      </c>
      <c r="F5" s="5" t="s">
        <v>1499</v>
      </c>
      <c r="G5" s="24" t="s">
        <v>1500</v>
      </c>
      <c r="H5" s="5" t="s">
        <v>1501</v>
      </c>
    </row>
    <row r="6" s="1" customFormat="true" ht="12.8" hidden="false" customHeight="false" outlineLevel="0" collapsed="false">
      <c r="A6" s="5" t="n">
        <v>2</v>
      </c>
      <c r="B6" s="2" t="s">
        <v>1502</v>
      </c>
      <c r="C6" s="5" t="s">
        <v>1503</v>
      </c>
      <c r="D6" s="2" t="s">
        <v>1504</v>
      </c>
      <c r="E6" s="5" t="s">
        <v>1505</v>
      </c>
      <c r="F6" s="5" t="s">
        <v>1506</v>
      </c>
      <c r="G6" s="5" t="s">
        <v>1507</v>
      </c>
      <c r="H6" s="5" t="s">
        <v>1508</v>
      </c>
    </row>
    <row r="7" s="1" customFormat="true" ht="12.8" hidden="false" customHeight="false" outlineLevel="0" collapsed="false">
      <c r="A7" s="5" t="n">
        <v>3</v>
      </c>
      <c r="B7" s="2" t="s">
        <v>1509</v>
      </c>
      <c r="C7" s="5" t="s">
        <v>1510</v>
      </c>
      <c r="D7" s="2" t="s">
        <v>1511</v>
      </c>
      <c r="E7" s="2" t="s">
        <v>1512</v>
      </c>
      <c r="F7" s="5" t="s">
        <v>1513</v>
      </c>
      <c r="G7" s="5" t="s">
        <v>1514</v>
      </c>
      <c r="H7" s="5" t="s">
        <v>1515</v>
      </c>
    </row>
    <row r="8" s="1" customFormat="true" ht="12.8" hidden="false" customHeight="false" outlineLevel="0" collapsed="false">
      <c r="A8" s="5" t="n">
        <v>4</v>
      </c>
      <c r="B8" s="2" t="s">
        <v>1516</v>
      </c>
      <c r="C8" s="5" t="s">
        <v>1517</v>
      </c>
      <c r="D8" s="2" t="s">
        <v>1518</v>
      </c>
      <c r="E8" s="5" t="s">
        <v>1519</v>
      </c>
      <c r="F8" s="5" t="s">
        <v>1520</v>
      </c>
      <c r="G8" s="5" t="s">
        <v>830</v>
      </c>
      <c r="H8" s="5" t="s">
        <v>1521</v>
      </c>
    </row>
    <row r="9" customFormat="false" ht="12.8" hidden="false" customHeight="false" outlineLevel="0" collapsed="false">
      <c r="A9" s="5" t="n">
        <v>5</v>
      </c>
      <c r="B9" s="2" t="s">
        <v>1357</v>
      </c>
      <c r="C9" s="5" t="s">
        <v>1522</v>
      </c>
      <c r="D9" s="2" t="s">
        <v>1523</v>
      </c>
      <c r="E9" s="2" t="s">
        <v>1524</v>
      </c>
      <c r="F9" s="5" t="s">
        <v>1525</v>
      </c>
      <c r="G9" s="5" t="s">
        <v>1526</v>
      </c>
      <c r="H9" s="5" t="s">
        <v>1527</v>
      </c>
    </row>
    <row r="10" customFormat="false" ht="12.8" hidden="false" customHeight="false" outlineLevel="0" collapsed="false">
      <c r="A10" s="5" t="n">
        <v>6</v>
      </c>
      <c r="B10" s="2" t="s">
        <v>1528</v>
      </c>
      <c r="C10" s="5" t="s">
        <v>1529</v>
      </c>
      <c r="D10" s="2" t="s">
        <v>1530</v>
      </c>
      <c r="E10" s="2" t="s">
        <v>1531</v>
      </c>
      <c r="F10" s="5" t="s">
        <v>1532</v>
      </c>
      <c r="G10" s="5" t="s">
        <v>1493</v>
      </c>
      <c r="H10" s="5" t="s">
        <v>1533</v>
      </c>
    </row>
    <row r="11" customFormat="false" ht="12.8" hidden="false" customHeight="false" outlineLevel="0" collapsed="false">
      <c r="A11" s="5"/>
      <c r="B11" s="2"/>
      <c r="C11" s="5"/>
      <c r="D11" s="2"/>
      <c r="E11" s="2"/>
      <c r="F11" s="5"/>
      <c r="G11" s="5"/>
      <c r="H11" s="5"/>
    </row>
    <row r="12" customFormat="false" ht="12.8" hidden="false" customHeight="false" outlineLevel="0" collapsed="false">
      <c r="A12" s="1" t="n">
        <v>2</v>
      </c>
      <c r="B12" s="1" t="s">
        <v>1534</v>
      </c>
    </row>
    <row r="13" customFormat="false" ht="12.8" hidden="false" customHeight="false" outlineLevel="0" collapsed="false">
      <c r="A13" s="1" t="s">
        <v>1535</v>
      </c>
      <c r="B13" s="1" t="s">
        <v>1264</v>
      </c>
    </row>
    <row r="14" customFormat="false" ht="13.8" hidden="false" customHeight="false" outlineLevel="0" collapsed="false">
      <c r="A14" s="25" t="n">
        <v>1</v>
      </c>
      <c r="B14" s="25" t="s">
        <v>1536</v>
      </c>
    </row>
    <row r="15" customFormat="false" ht="12.8" hidden="false" customHeight="false" outlineLevel="0" collapsed="false">
      <c r="A15" s="6" t="s">
        <v>1537</v>
      </c>
      <c r="B15" s="8" t="s">
        <v>1538</v>
      </c>
    </row>
    <row r="16" customFormat="false" ht="12.8" hidden="false" customHeight="false" outlineLevel="0" collapsed="false">
      <c r="A16" s="6" t="s">
        <v>1539</v>
      </c>
      <c r="B16" s="8" t="s">
        <v>1540</v>
      </c>
    </row>
    <row r="17" customFormat="false" ht="12.8" hidden="false" customHeight="false" outlineLevel="0" collapsed="false">
      <c r="A17" s="6" t="s">
        <v>1541</v>
      </c>
      <c r="B17" s="8" t="s">
        <v>1542</v>
      </c>
    </row>
    <row r="18" customFormat="false" ht="12.8" hidden="false" customHeight="false" outlineLevel="0" collapsed="false">
      <c r="A18" s="6" t="s">
        <v>1543</v>
      </c>
      <c r="B18" s="8" t="s">
        <v>1544</v>
      </c>
    </row>
    <row r="19" customFormat="false" ht="13.8" hidden="false" customHeight="false" outlineLevel="0" collapsed="false">
      <c r="A19" s="25" t="n">
        <v>2</v>
      </c>
      <c r="B19" s="25" t="s">
        <v>1545</v>
      </c>
    </row>
    <row r="20" customFormat="false" ht="12.8" hidden="false" customHeight="false" outlineLevel="0" collapsed="false">
      <c r="A20" s="6" t="s">
        <v>237</v>
      </c>
      <c r="B20" s="8" t="s">
        <v>1546</v>
      </c>
    </row>
    <row r="21" customFormat="false" ht="12.8" hidden="false" customHeight="false" outlineLevel="0" collapsed="false">
      <c r="A21" s="6" t="s">
        <v>1032</v>
      </c>
      <c r="B21" s="8" t="s">
        <v>1547</v>
      </c>
    </row>
    <row r="22" customFormat="false" ht="12.8" hidden="false" customHeight="false" outlineLevel="0" collapsed="false">
      <c r="A22" s="6" t="s">
        <v>1548</v>
      </c>
      <c r="B22" s="8" t="s">
        <v>1549</v>
      </c>
    </row>
    <row r="23" customFormat="false" ht="12.8" hidden="false" customHeight="false" outlineLevel="0" collapsed="false">
      <c r="A23" s="6" t="s">
        <v>1550</v>
      </c>
      <c r="B23" s="8" t="s">
        <v>1551</v>
      </c>
    </row>
    <row r="24" customFormat="false" ht="12.8" hidden="false" customHeight="false" outlineLevel="0" collapsed="false">
      <c r="A24" s="6" t="s">
        <v>1552</v>
      </c>
      <c r="B24" s="8" t="s">
        <v>1553</v>
      </c>
    </row>
    <row r="25" customFormat="false" ht="12.8" hidden="false" customHeight="false" outlineLevel="0" collapsed="false">
      <c r="A25" s="6" t="s">
        <v>1554</v>
      </c>
      <c r="B25" s="8" t="s">
        <v>1555</v>
      </c>
    </row>
    <row r="26" customFormat="false" ht="12.8" hidden="false" customHeight="false" outlineLevel="0" collapsed="false">
      <c r="A26" s="6" t="s">
        <v>1556</v>
      </c>
      <c r="B26" s="8" t="s">
        <v>1557</v>
      </c>
    </row>
    <row r="27" customFormat="false" ht="12.8" hidden="false" customHeight="false" outlineLevel="0" collapsed="false">
      <c r="A27" s="6" t="s">
        <v>1558</v>
      </c>
      <c r="B27" s="8" t="s">
        <v>1559</v>
      </c>
    </row>
    <row r="28" customFormat="false" ht="12.8" hidden="false" customHeight="false" outlineLevel="0" collapsed="false">
      <c r="A28" s="6" t="s">
        <v>1560</v>
      </c>
      <c r="B28" s="8" t="s">
        <v>1561</v>
      </c>
    </row>
    <row r="29" customFormat="false" ht="13.8" hidden="false" customHeight="false" outlineLevel="0" collapsed="false">
      <c r="A29" s="25" t="n">
        <v>3</v>
      </c>
      <c r="B29" s="25" t="s">
        <v>1562</v>
      </c>
    </row>
    <row r="30" customFormat="false" ht="12.8" hidden="false" customHeight="false" outlineLevel="0" collapsed="false">
      <c r="A30" s="6" t="s">
        <v>1563</v>
      </c>
      <c r="B30" s="8" t="s">
        <v>1564</v>
      </c>
    </row>
    <row r="31" customFormat="false" ht="12.8" hidden="false" customHeight="false" outlineLevel="0" collapsed="false">
      <c r="A31" s="6" t="s">
        <v>1565</v>
      </c>
      <c r="B31" s="8" t="s">
        <v>1566</v>
      </c>
    </row>
    <row r="32" customFormat="false" ht="12.8" hidden="false" customHeight="false" outlineLevel="0" collapsed="false">
      <c r="A32" s="6" t="s">
        <v>1567</v>
      </c>
      <c r="B32" s="8" t="s">
        <v>1568</v>
      </c>
    </row>
    <row r="33" customFormat="false" ht="12.8" hidden="false" customHeight="false" outlineLevel="0" collapsed="false">
      <c r="A33" s="6" t="s">
        <v>1569</v>
      </c>
      <c r="B33" s="8" t="s">
        <v>1570</v>
      </c>
    </row>
    <row r="34" customFormat="false" ht="12.8" hidden="false" customHeight="false" outlineLevel="0" collapsed="false">
      <c r="A34" s="6" t="s">
        <v>1571</v>
      </c>
      <c r="B34" s="8" t="s">
        <v>1572</v>
      </c>
    </row>
    <row r="35" customFormat="false" ht="13.8" hidden="false" customHeight="false" outlineLevel="0" collapsed="false">
      <c r="A35" s="25" t="n">
        <v>4</v>
      </c>
      <c r="B35" s="25" t="s">
        <v>1573</v>
      </c>
    </row>
    <row r="36" customFormat="false" ht="12.8" hidden="false" customHeight="false" outlineLevel="0" collapsed="false">
      <c r="A36" s="6" t="s">
        <v>1574</v>
      </c>
      <c r="B36" s="8" t="s">
        <v>1575</v>
      </c>
    </row>
    <row r="37" customFormat="false" ht="12.8" hidden="false" customHeight="false" outlineLevel="0" collapsed="false">
      <c r="A37" s="6" t="s">
        <v>1576</v>
      </c>
      <c r="B37" s="8" t="s">
        <v>1577</v>
      </c>
    </row>
    <row r="38" customFormat="false" ht="12.8" hidden="false" customHeight="false" outlineLevel="0" collapsed="false">
      <c r="A38" s="6" t="s">
        <v>1578</v>
      </c>
      <c r="B38" s="6" t="s">
        <v>1579</v>
      </c>
    </row>
    <row r="39" customFormat="false" ht="12.8" hidden="false" customHeight="false" outlineLevel="0" collapsed="false">
      <c r="A39" s="6" t="s">
        <v>1580</v>
      </c>
      <c r="B39" s="8" t="s">
        <v>1581</v>
      </c>
    </row>
    <row r="40" customFormat="false" ht="13.8" hidden="false" customHeight="false" outlineLevel="0" collapsed="false">
      <c r="A40" s="25" t="n">
        <v>5</v>
      </c>
      <c r="B40" s="25" t="s">
        <v>1582</v>
      </c>
    </row>
    <row r="41" customFormat="false" ht="12.8" hidden="false" customHeight="false" outlineLevel="0" collapsed="false">
      <c r="A41" s="6" t="s">
        <v>1583</v>
      </c>
      <c r="B41" s="8" t="s">
        <v>1584</v>
      </c>
    </row>
    <row r="42" customFormat="false" ht="12.8" hidden="false" customHeight="false" outlineLevel="0" collapsed="false">
      <c r="A42" s="6" t="s">
        <v>1585</v>
      </c>
      <c r="B42" s="8" t="s">
        <v>1586</v>
      </c>
    </row>
    <row r="43" customFormat="false" ht="12.8" hidden="false" customHeight="false" outlineLevel="0" collapsed="false">
      <c r="A43" s="6" t="s">
        <v>1587</v>
      </c>
      <c r="B43" s="8" t="s">
        <v>1588</v>
      </c>
    </row>
    <row r="44" customFormat="false" ht="12.8" hidden="false" customHeight="false" outlineLevel="0" collapsed="false">
      <c r="A44" s="6" t="s">
        <v>1589</v>
      </c>
      <c r="B44" s="8" t="s">
        <v>1590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2026-01-03T12:22:33Z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