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8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FITTER" sheetId="1" state="visible" r:id="rId3"/>
    <sheet name="MENU" sheetId="2" state="visible" r:id="rId4"/>
    <sheet name="MENU-FMW" sheetId="3" state="hidden" r:id="rId5"/>
    <sheet name="MENU-PFIT" sheetId="4" state="hidden" r:id="rId6"/>
    <sheet name="MENU-CFIT" sheetId="5" state="hidden" r:id="rId7"/>
    <sheet name="MENU-PFIT-CFIT" sheetId="6" state="hidden" r:id="rId8"/>
    <sheet name="MENU-PFIT-FMW-0" sheetId="7" state="hidden" r:id="rId9"/>
    <sheet name="MENU-PFIT-FMW-1" sheetId="8" state="hidden" r:id="rId10"/>
    <sheet name="MENU-PFIT-FMW-2" sheetId="9" state="hidden" r:id="rId11"/>
    <sheet name="MENU-PFIT-CFIT-FMW-0" sheetId="10" state="hidden" r:id="rId12"/>
    <sheet name="MENU-PFIT-CFIT-FMW-1" sheetId="11" state="hidden" r:id="rId13"/>
    <sheet name="MENU-PFIT-CFIT-FMW-2" sheetId="12" state="hidden" r:id="rId14"/>
    <sheet name="REGIONAL.SUMMARY" sheetId="13" state="visible" r:id="rId15"/>
    <sheet name="RID.0" sheetId="14" state="visible" r:id="rId16"/>
    <sheet name="RID.1" sheetId="15" state="visible" r:id="rId17"/>
    <sheet name="RID.2" sheetId="16" state="visible" r:id="rId18"/>
    <sheet name="RID.3" sheetId="17" state="visible" r:id="rId19"/>
    <sheet name="RID.4" sheetId="18" state="visible" r:id="rId20"/>
    <sheet name="RID.5" sheetId="19" state="visible" r:id="rId21"/>
    <sheet name="RID.6" sheetId="20" state="visible" r:id="rId22"/>
    <sheet name="RID.7" sheetId="21" state="visible" r:id="rId23"/>
    <sheet name="FMW" sheetId="22" state="visible" r:id="rId24"/>
    <sheet name="PFIT-BRACKETS" sheetId="23" state="visible" r:id="rId25"/>
    <sheet name="PFIT-WITHHOLDINGS" sheetId="24" state="visible" r:id="rId26"/>
    <sheet name="PFIT-CREDITS" sheetId="25" state="visible" r:id="rId27"/>
    <sheet name="CFIT-BRACKETS" sheetId="26" state="visible" r:id="rId28"/>
    <sheet name="CFIT-WITHHOLDINGS" sheetId="27" state="visible" r:id="rId29"/>
    <sheet name="CFIT-CREDITS" sheetId="28" state="visible" r:id="rId30"/>
    <sheet name="FPL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<sst xmlns="http://schemas.openxmlformats.org/spreadsheetml/2006/main" count="19412" uniqueCount="2868">
  <si>
    <t xml:space="preserve">Federal Income, Tax, and Tarriff Economic Restructuring (FITTER)</t>
  </si>
  <si>
    <t xml:space="preserve">1</t>
  </si>
  <si>
    <r>
      <rPr>
        <b val="true"/>
        <sz val="10"/>
        <rFont val="Arial"/>
        <family val="2"/>
        <charset val="1"/>
      </rPr>
      <t xml:space="preserve">FITTER Components
</t>
    </r>
    <r>
      <rPr>
        <sz val="10"/>
        <rFont val="Arial"/>
        <family val="2"/>
        <charset val="1"/>
      </rPr>
      <t xml:space="preserve">Spreadsheet contents. </t>
    </r>
  </si>
  <si>
    <t xml:space="preserve">FCID</t>
  </si>
  <si>
    <t xml:space="preserve">Type</t>
  </si>
  <si>
    <t xml:space="preserve">Tab Name</t>
  </si>
  <si>
    <t xml:space="preserve">Federal Minimum Wage (FMW)</t>
  </si>
  <si>
    <t xml:space="preserve">FMW</t>
  </si>
  <si>
    <t xml:space="preserve">Federal Poverty Level (FPL)</t>
  </si>
  <si>
    <t xml:space="preserve">FPL</t>
  </si>
  <si>
    <t xml:space="preserve">Personal Federal Income Tax (PFIT) - Brackets</t>
  </si>
  <si>
    <t xml:space="preserve">PFIT-BRACKETS</t>
  </si>
  <si>
    <t xml:space="preserve">Personal Federal Income Tax (PFIT) - Withholdings</t>
  </si>
  <si>
    <t xml:space="preserve">PFIT-WITHHOLDINGS</t>
  </si>
  <si>
    <t xml:space="preserve">Personal Federal Income Tax (PFIT) - Credits</t>
  </si>
  <si>
    <t xml:space="preserve">PFIT-CREDITS</t>
  </si>
  <si>
    <t xml:space="preserve">Corporate Federal Income Tax (CFIT) - Brackets</t>
  </si>
  <si>
    <t xml:space="preserve">CFIT-BRACKETS</t>
  </si>
  <si>
    <t xml:space="preserve">Corporate Federal Income Tax (CFIT) - Withholdings</t>
  </si>
  <si>
    <t xml:space="preserve">CFIT-WITHHOLDINGS</t>
  </si>
  <si>
    <t xml:space="preserve">Corporate Federal Income Tax (CFIT) - Credits</t>
  </si>
  <si>
    <t xml:space="preserve">CFIT-CREDITS</t>
  </si>
  <si>
    <t xml:space="preserve">2</t>
  </si>
  <si>
    <r>
      <rPr>
        <b val="true"/>
        <sz val="10"/>
        <rFont val="Arial"/>
        <family val="2"/>
        <charset val="1"/>
      </rPr>
      <t xml:space="preserve">Glossary
</t>
    </r>
    <r>
      <rPr>
        <sz val="10"/>
        <rFont val="Arial"/>
        <family val="2"/>
        <charset val="1"/>
      </rPr>
      <t xml:space="preserve">Keyterms, keyphrases used throughout spreadsheet reference specific data.</t>
    </r>
  </si>
  <si>
    <t xml:space="preserve">KID</t>
  </si>
  <si>
    <t xml:space="preserve">Key</t>
  </si>
  <si>
    <t xml:space="preserve">Table ID</t>
  </si>
  <si>
    <t xml:space="preserve">Table Title</t>
  </si>
  <si>
    <t xml:space="preserve">Current FMW</t>
  </si>
  <si>
    <t xml:space="preserve">Current FMW ($7.25)</t>
  </si>
  <si>
    <t xml:space="preserve">New FMW (4.44% Annual Increase)</t>
  </si>
  <si>
    <t xml:space="preserve">2.A</t>
  </si>
  <si>
    <t xml:space="preserve">New FMW (Annual 4.44% Increase)</t>
  </si>
  <si>
    <t xml:space="preserve">New FMW (3.33% Annual Increase)</t>
  </si>
  <si>
    <t xml:space="preserve">2.B</t>
  </si>
  <si>
    <t xml:space="preserve">New FMW (Annual 3.33% Annual Increase)</t>
  </si>
  <si>
    <t xml:space="preserve">New FMW (2.22% Annual Increase)</t>
  </si>
  <si>
    <t xml:space="preserve">2.C</t>
  </si>
  <si>
    <t xml:space="preserve">New FMW (Annual 2.22% Annual Increase)</t>
  </si>
  <si>
    <t xml:space="preserve">Current PFIT</t>
  </si>
  <si>
    <t xml:space="preserve">Current PFIT Brackets</t>
  </si>
  <si>
    <t xml:space="preserve">New PFIT: 1/6 Elimination</t>
  </si>
  <si>
    <t xml:space="preserve">New PFIT Brackets: Lower 1/6 Tax Elimination</t>
  </si>
  <si>
    <t xml:space="preserve">New PFIT: 1/6 Elimination (Redirects)</t>
  </si>
  <si>
    <t xml:space="preserve">New PFIT Brackets: Lower 1/6 Tax Elimination (Redirects)</t>
  </si>
  <si>
    <t xml:space="preserve">New PFIT: 1/3 Elimination</t>
  </si>
  <si>
    <t xml:space="preserve">3.A</t>
  </si>
  <si>
    <t xml:space="preserve">New PFIT Brackets: Lower 1/3 Tax Elimination</t>
  </si>
  <si>
    <t xml:space="preserve">New PFIT: 1/3 Elimination (Redirects)</t>
  </si>
  <si>
    <t xml:space="preserve">3.B</t>
  </si>
  <si>
    <t xml:space="preserve">New PFIT Brackets: Lower 1/3 Tax Elimination (Redirects)</t>
  </si>
  <si>
    <t xml:space="preserve">New PFIT: 1/6 Elimination Phasing</t>
  </si>
  <si>
    <t xml:space="preserve">4.A</t>
  </si>
  <si>
    <t xml:space="preserve">New PFIT: 1/3 Elimination Phasing</t>
  </si>
  <si>
    <t xml:space="preserve">4.B</t>
  </si>
  <si>
    <t xml:space="preserve">New PFIT: 1/6 to 1/3 Elimination Phasing</t>
  </si>
  <si>
    <t xml:space="preserve">4.C</t>
  </si>
  <si>
    <t xml:space="preserve">New PFIT Brackets: Lower 1/6 To 1/3 Tax Elimination</t>
  </si>
  <si>
    <t xml:space="preserve">New PFIT: 1/6 Elimination Phasing (Redirects)</t>
  </si>
  <si>
    <t xml:space="preserve">4.D</t>
  </si>
  <si>
    <t xml:space="preserve">New PFIT: 1/3 Elimination Phasing (Redirects)</t>
  </si>
  <si>
    <t xml:space="preserve">4.E</t>
  </si>
  <si>
    <t xml:space="preserve">New PFIT: 1/6 to 1/3 Elimination Phasing (Redirects)</t>
  </si>
  <si>
    <t xml:space="preserve">4.F</t>
  </si>
  <si>
    <t xml:space="preserve">New PFIT Brackets: Lower 1/6 To 1/3 Tax Elimination (Redirects)</t>
  </si>
  <si>
    <t xml:space="preserve">Current CFIT</t>
  </si>
  <si>
    <t xml:space="preserve">Current CFIT Brackets</t>
  </si>
  <si>
    <t xml:space="preserve">New CFIT</t>
  </si>
  <si>
    <t xml:space="preserve">New CFIT Brackets</t>
  </si>
  <si>
    <t xml:space="preserve">New CFIT (Redirects)</t>
  </si>
  <si>
    <t xml:space="preserve">New CFIT Brackets (Redirects)</t>
  </si>
  <si>
    <t xml:space="preserve">New CFIT Phasing</t>
  </si>
  <si>
    <t xml:space="preserve">New CFIT Phasing (Redirects)</t>
  </si>
  <si>
    <t xml:space="preserve">FITTER Menu</t>
  </si>
  <si>
    <t xml:space="preserve">MENU</t>
  </si>
  <si>
    <t xml:space="preserve">**</t>
  </si>
  <si>
    <t xml:space="preserve">FITTER - MENU</t>
  </si>
  <si>
    <t xml:space="preserve">FMW Menu</t>
  </si>
  <si>
    <t xml:space="preserve">MENU-FMW</t>
  </si>
  <si>
    <t xml:space="preserve">FITTER: FMW Menu</t>
  </si>
  <si>
    <t xml:space="preserve">FMW Personal</t>
  </si>
  <si>
    <t xml:space="preserve">FMW Corporate</t>
  </si>
  <si>
    <t xml:space="preserve">FMW Government</t>
  </si>
  <si>
    <t xml:space="preserve">FMW Composite</t>
  </si>
  <si>
    <t xml:space="preserve">PFIT Menu</t>
  </si>
  <si>
    <t xml:space="preserve">MENU-PFIT</t>
  </si>
  <si>
    <t xml:space="preserve">FITTER: PFIT Menu</t>
  </si>
  <si>
    <t xml:space="preserve">PFIT Personal</t>
  </si>
  <si>
    <t xml:space="preserve">PFIT Corporate</t>
  </si>
  <si>
    <t xml:space="preserve">PFIT Government</t>
  </si>
  <si>
    <t xml:space="preserve">PFIT Composite</t>
  </si>
  <si>
    <t xml:space="preserve">CFIT Menu</t>
  </si>
  <si>
    <t xml:space="preserve">MENU-CFIT</t>
  </si>
  <si>
    <t xml:space="preserve">FITTER: CFIT Menu</t>
  </si>
  <si>
    <t xml:space="preserve">CFIT Personal</t>
  </si>
  <si>
    <t xml:space="preserve">CFIT Corporate</t>
  </si>
  <si>
    <t xml:space="preserve">CFIT Government</t>
  </si>
  <si>
    <t xml:space="preserve">CFIT Composite</t>
  </si>
  <si>
    <t xml:space="preserve">PFIT, CFIT Menu</t>
  </si>
  <si>
    <t xml:space="preserve">MENU-PFIT-CFIT</t>
  </si>
  <si>
    <t xml:space="preserve">PFIT, CFIT</t>
  </si>
  <si>
    <t xml:space="preserve">PFIT, CFIT Personal</t>
  </si>
  <si>
    <t xml:space="preserve">1.A</t>
  </si>
  <si>
    <t xml:space="preserve">PFIT, CFIT Corporate</t>
  </si>
  <si>
    <t xml:space="preserve">1.B</t>
  </si>
  <si>
    <t xml:space="preserve">PFIT, CFIT Government</t>
  </si>
  <si>
    <t xml:space="preserve">1.C</t>
  </si>
  <si>
    <t xml:space="preserve">PFIT, CFIT Composite</t>
  </si>
  <si>
    <t xml:space="preserve">1.D</t>
  </si>
  <si>
    <t xml:space="preserve">PFIT, FMW</t>
  </si>
  <si>
    <t xml:space="preserve">MENU-PFIT-FMW-0</t>
  </si>
  <si>
    <t xml:space="preserve">PFIT, FMW (2.22% Annual Increase)</t>
  </si>
  <si>
    <t xml:space="preserve">PFIT, FMW Personal</t>
  </si>
  <si>
    <t xml:space="preserve">PFIT, FMW (2.22% Annual Increase) Personal</t>
  </si>
  <si>
    <t xml:space="preserve">PFIT, FMW Corporate</t>
  </si>
  <si>
    <t xml:space="preserve">PFIT, FMW (2.22% Annual Increase) Corporate</t>
  </si>
  <si>
    <t xml:space="preserve">PFIT, FMW Government</t>
  </si>
  <si>
    <t xml:space="preserve">PFIT, FMW (2.22% Annual Increase) Government</t>
  </si>
  <si>
    <t xml:space="preserve">PFIT, FMW Composite</t>
  </si>
  <si>
    <t xml:space="preserve">2.D</t>
  </si>
  <si>
    <t xml:space="preserve">PFIT, FMW (2.22% Annual Increase) Composite</t>
  </si>
  <si>
    <t xml:space="preserve">CFIT, FMW</t>
  </si>
  <si>
    <t xml:space="preserve">MENU-PFIT-FMW-1</t>
  </si>
  <si>
    <t xml:space="preserve">CFIT, FMW (3.33% Annual Increase)</t>
  </si>
  <si>
    <t xml:space="preserve">CFIT, FMW Personal</t>
  </si>
  <si>
    <t xml:space="preserve">CFIT, FMW (3.33% Annual Increase) Personal</t>
  </si>
  <si>
    <t xml:space="preserve">CFIT, FMW Corporate</t>
  </si>
  <si>
    <t xml:space="preserve">CFIT, FMW (3.33% Annual Increase) Corporate</t>
  </si>
  <si>
    <t xml:space="preserve">CFIT, FMW Government</t>
  </si>
  <si>
    <t xml:space="preserve">3.C</t>
  </si>
  <si>
    <t xml:space="preserve">CFIT, FMW (3.33% Annual Increase) Government</t>
  </si>
  <si>
    <t xml:space="preserve">CFIT, FMW Composite</t>
  </si>
  <si>
    <t xml:space="preserve">3.D</t>
  </si>
  <si>
    <t xml:space="preserve">CFIT, FMW (3.33% Annual Increase) Composite</t>
  </si>
  <si>
    <t xml:space="preserve">4</t>
  </si>
  <si>
    <t xml:space="preserve">CFIT, FMW (4.44% Annual Increase)</t>
  </si>
  <si>
    <t xml:space="preserve">CFIT, FMW (4.44% Annual Increase) Personal</t>
  </si>
  <si>
    <t xml:space="preserve">CFIT, FMW (4.44% Annual Increase) Corporate</t>
  </si>
  <si>
    <t xml:space="preserve">CFIT, FMW (4.44% Annual Increase) Government</t>
  </si>
  <si>
    <t xml:space="preserve">CFIT, FMW (4.44% Annual Increase) Composite</t>
  </si>
  <si>
    <t xml:space="preserve">PFIT, CFIT, FMW (2.22% Annual Increase)</t>
  </si>
  <si>
    <t xml:space="preserve">MENU-PFIT-CFIT-FMW-0</t>
  </si>
  <si>
    <t xml:space="preserve">5</t>
  </si>
  <si>
    <t xml:space="preserve">CFIT, FMW (2.22% Annual Increase)</t>
  </si>
  <si>
    <t xml:space="preserve">PFIT, CFIT, FMW Personal (2.22% Annual Increase)</t>
  </si>
  <si>
    <t xml:space="preserve">5.A</t>
  </si>
  <si>
    <t xml:space="preserve">CFIT, FMW (2.22% Annual Increase) Personal</t>
  </si>
  <si>
    <t xml:space="preserve">PFIT, CFIT, FMW Corporate (2.22% Annual Increase)</t>
  </si>
  <si>
    <t xml:space="preserve">5.B</t>
  </si>
  <si>
    <t xml:space="preserve">CFIT, FMW (2.22% Annual Increase) Corporate</t>
  </si>
  <si>
    <t xml:space="preserve">PFIT, CFIT, FMW Government (2.22% Annual Increase)</t>
  </si>
  <si>
    <t xml:space="preserve">5.C</t>
  </si>
  <si>
    <t xml:space="preserve">CFIT, FMW (2.22% Annual Increase) Government</t>
  </si>
  <si>
    <t xml:space="preserve">PFIT, CFIT, FMW Composite (2.22% Annual Increase)</t>
  </si>
  <si>
    <t xml:space="preserve">5.D</t>
  </si>
  <si>
    <t xml:space="preserve">CFIT, FMW (2.22% Annual Increase) Composite</t>
  </si>
  <si>
    <t xml:space="preserve">PFIT, CFIT, FMW (3.33% Annual Increase)</t>
  </si>
  <si>
    <t xml:space="preserve">MENU-PFIT-CFIT-FMW-1</t>
  </si>
  <si>
    <t xml:space="preserve">PFIT, CFIT, FMW Personal (3.33% Annual Increase)</t>
  </si>
  <si>
    <t xml:space="preserve">6.A</t>
  </si>
  <si>
    <t xml:space="preserve">PFIT, CFIT, FMW Corporate (3.33% Annual Increase)</t>
  </si>
  <si>
    <t xml:space="preserve">6.B</t>
  </si>
  <si>
    <t xml:space="preserve">PFIT, CFIT, FMW Government (3.33% Annual Increase)</t>
  </si>
  <si>
    <t xml:space="preserve">6.C</t>
  </si>
  <si>
    <t xml:space="preserve">PFIT, CFIT, FMW Composite (3.33% Annual Increase)</t>
  </si>
  <si>
    <t xml:space="preserve">6.D</t>
  </si>
  <si>
    <t xml:space="preserve">PFIT, CFIT, FMW (4.44% Annual Increase)</t>
  </si>
  <si>
    <t xml:space="preserve">MENU-PFIT-CFIT-FMW-2</t>
  </si>
  <si>
    <t xml:space="preserve">PFIT, CFIT, FMW Personal (4.44% Annual Increase)</t>
  </si>
  <si>
    <t xml:space="preserve">7.A</t>
  </si>
  <si>
    <t xml:space="preserve">PFIT, CFIT, FMW Corporate (4.44% Annual Increase)</t>
  </si>
  <si>
    <t xml:space="preserve">7.B</t>
  </si>
  <si>
    <t xml:space="preserve">PFIT, CFIT, FMW Government (4.44% Annual Increase)</t>
  </si>
  <si>
    <t xml:space="preserve">7.C</t>
  </si>
  <si>
    <t xml:space="preserve">PFIT, CFIT, FMW Composite (4.44% Annual Increase)</t>
  </si>
  <si>
    <t xml:space="preserve">7.D</t>
  </si>
  <si>
    <t xml:space="preserve">Menu Calculations</t>
  </si>
  <si>
    <t xml:space="preserve">MID</t>
  </si>
  <si>
    <t xml:space="preserve">Title</t>
  </si>
  <si>
    <t xml:space="preserve">Subtitle</t>
  </si>
  <si>
    <t xml:space="preserve">Scenario Name</t>
  </si>
  <si>
    <t xml:space="preserve">Scenario Description</t>
  </si>
  <si>
    <t xml:space="preserve">Scenario Phasing</t>
  </si>
  <si>
    <t xml:space="preserve">Display Format</t>
  </si>
  <si>
    <t xml:space="preserve">Display Function</t>
  </si>
  <si>
    <t xml:space="preserve">Display Effects</t>
  </si>
  <si>
    <t xml:space="preserve">Parameter A</t>
  </si>
  <si>
    <t xml:space="preserve">Parameter B</t>
  </si>
  <si>
    <t xml:space="preserve">Measure A</t>
  </si>
  <si>
    <t xml:space="preserve">Measure B</t>
  </si>
  <si>
    <t xml:space="preserve">Metric A</t>
  </si>
  <si>
    <t xml:space="preserve">Metric B</t>
  </si>
  <si>
    <t xml:space="preserve">Metric C</t>
  </si>
  <si>
    <t xml:space="preserve">Metric D</t>
  </si>
  <si>
    <t xml:space="preserve">Metric E</t>
  </si>
  <si>
    <t xml:space="preserve">Metric F</t>
  </si>
  <si>
    <t xml:space="preserve">Metric G</t>
  </si>
  <si>
    <t xml:space="preserve">Formula/Pseudocode</t>
  </si>
  <si>
    <t xml:space="preserve">Inputs</t>
  </si>
  <si>
    <t xml:space="preserve">Outputs</t>
  </si>
  <si>
    <t xml:space="preserve">Dependencies / Assumptions</t>
  </si>
  <si>
    <t xml:space="preserve">Growth_Rate</t>
  </si>
  <si>
    <t xml:space="preserve">Elasticity</t>
  </si>
  <si>
    <t xml:space="preserve">Pass_Through_Rate</t>
  </si>
  <si>
    <t xml:space="preserve">Productivity_Factor</t>
  </si>
  <si>
    <t xml:space="preserve">Inflation_Rate</t>
  </si>
  <si>
    <t xml:space="preserve">Dynamic_Var</t>
  </si>
  <si>
    <t xml:space="preserve">Per_Bracket_Flag</t>
  </si>
  <si>
    <t xml:space="preserve">Tax_Savings_Explicit</t>
  </si>
  <si>
    <t xml:space="preserve">Deportation_Schedule_Rate</t>
  </si>
  <si>
    <t xml:space="preserve">Housing_Cost_Adjustment</t>
  </si>
  <si>
    <t xml:space="preserve">Utilities_Cost_Adjustment</t>
  </si>
  <si>
    <t xml:space="preserve">Transportation_Cost_Adjustment</t>
  </si>
  <si>
    <t xml:space="preserve">Grocery_Cost_Adjustment</t>
  </si>
  <si>
    <t xml:space="preserve">Retail_Cost_Adjustment</t>
  </si>
  <si>
    <t xml:space="preserve">Unemployment_Rate_Delta</t>
  </si>
  <si>
    <t xml:space="preserve">Labor_Supply_Reduction</t>
  </si>
  <si>
    <t xml:space="preserve">Primary_Inputs_List</t>
  </si>
  <si>
    <t xml:space="preserve">Feedback_Category</t>
  </si>
  <si>
    <t xml:space="preserve">6</t>
  </si>
  <si>
    <t xml:space="preserve">Current/New PFIT, CFIT, FMW (3.33% Annual Increase)</t>
  </si>
  <si>
    <t xml:space="preserve">6.A.300</t>
  </si>
  <si>
    <t xml:space="preserve">Current/New: PFIT (Lower 1/6 To 1/3 Tax Elimination), CFIT, FMW (3.33% Annual Increase)</t>
  </si>
  <si>
    <t xml:space="preserve">Personal Annual Earnings</t>
  </si>
  <si>
    <t xml:space="preserve">6.A.301</t>
  </si>
  <si>
    <t xml:space="preserve">Personal Annual Earnings (Average Current PFIT Brackets)</t>
  </si>
  <si>
    <t xml:space="preserve">6.A.301.A</t>
  </si>
  <si>
    <t xml:space="preserve">Standard </t>
  </si>
  <si>
    <t xml:space="preserve">6.A.301.A.0</t>
  </si>
  <si>
    <t xml:space="preserve">Standard Baseline Scenario</t>
  </si>
  <si>
    <t xml:space="preserve">PFIT-BRACKETS#4.C Current through New PFIT: Lower 1/6 Tax Elimination to Lower 1/3 Tax Elimination  
CFIT-BRACKETS#4.A New CFIT Brackets  
FMW#2.B - New FMW (Annual 3.33% Increase)  </t>
  </si>
  <si>
    <t xml:space="preserve">Scenario Analysis (Interactive Line Chart)</t>
  </si>
  <si>
    <t xml:space="preserve">For each scenario create corresponding data visualization, data table, and data summary analysis. Parameters, Measures, and Metrics define Chart Dimensions, Chart Line Groups, and Chart Line Group Lines respectively. **Only** create interactive data visualizations - no static graphics. </t>
  </si>
  <si>
    <t xml:space="preserve">```
**Data Visualization (Line Chart) with 2 Lines**:  
1. Measure A: Metric A  
2. Measure B: Metric A  
**Data Table with 2 Columns**:  
1. Measure A, Metric A  
2. Measure B, Metric A  
**Data Analysis**  
Summary analysis of Metrics for Measure A versus Measure B. 
```</t>
  </si>
  <si>
    <t xml:space="preserve">Y-Axis: Personal Annual Earnings (Average Current PFIT Brackets)</t>
  </si>
  <si>
    <t xml:space="preserve">X-Axis: 20 Years</t>
  </si>
  <si>
    <t xml:space="preserve">New PFIT (Lower 1/6 To 1/3 Tax Elimination)  
New CFIT  
New FMW (Annual 3.33% Increase)</t>
  </si>
  <si>
    <t xml:space="preserve">Current PFIT  
Current CFIT
Current FMW</t>
  </si>
  <si>
    <t xml:space="preserve">Personal Annual Earnings: Average Current PFIT Brackets #1 through #7</t>
  </si>
  <si>
    <t xml:space="preserve">for year in range(21): phase = phasing_logic_4C(year) current_fmw = 7.25 * (1 + inflation_rate)**year new_fmw = FMW#2.B[year] pf_eff_tax_current = PFIT_eff_rate_current(brackets=PFIT-BRACKETS#1) pf_eff_tax_new = PFIT_eff_rate_new(phase, brackets=PFIT-BRACKETS#4.C) base_incomes = [PFIT_avg_income[br] for br in 1 to 7] tax_savings = [inc * (pf_eff_tax_current - pf_eff_tax_new) for inc in base_incomes] adjusted_current = [inc * (1 + growth_rate)**year for inc in base_incomes] fmw_spillover = [(new_fmw / current_fmw - 1) * elasticity * (1 - (br-1)/6) for br in 1 to 7] cfit_spillover = (CFIT_eff_rate_new - CFIT_eff_rate_current) * pass_through_rate * productivity_factor adjusted_new = [adj_cur + tax_save + adj_cur * fmw_spill + adj_cur * cfit_spill for adj_cur, tax_save, fmw_spill in zip(adjusted_current, tax_savings, fmw_spillover)] avg_current = mean(adjusted_current) avg_new = mean(adjusted_new)</t>
  </si>
  <si>
    <t xml:space="preserve">PFIT-BRACKETS#1, #4.C; FMW#2.B; CFIT-BRACKETS#4.A; PFIT avg incomes</t>
  </si>
  <si>
    <t xml:space="preserve">Assumes positive uniform CFIT spillover; FMW effect decays upward; moderate baseline growth/elasticity.</t>
  </si>
  <si>
    <t xml:space="preserve">PFIT-BRACKETS#1,#4.C,FMW#2.B,CFIT-BRACKETS#4.A</t>
  </si>
  <si>
    <t xml:space="preserve">Strong Synergy</t>
  </si>
  <si>
    <t xml:space="preserve">6.A.301.A.1</t>
  </si>
  <si>
    <t xml:space="preserve">Standard Conservative Scenario</t>
  </si>
  <si>
    <t xml:space="preserve">Same loop structure as 6.A.301.A but with conservative parameters.</t>
  </si>
  <si>
    <t xml:space="preserve">Line chart (2 lines), table (2 cols), analysis summary</t>
  </si>
  <si>
    <t xml:space="preserve">Conservative: lower growth, reduced spillovers, higher wage-pressure risk from CFIT/FMW.</t>
  </si>
  <si>
    <t xml:space="preserve">Modest Lift</t>
  </si>
  <si>
    <t xml:space="preserve">6.A.301.A.2</t>
  </si>
  <si>
    <t xml:space="preserve">Standard Dynamic Scenario</t>
  </si>
  <si>
    <t xml:space="preserve">Same loop structure as 6.A.301.A, but add dynamic_var to growth: adjusted_current = [inc * (1 + growth_rate + dynamic_var)**year for inc in base_incomes] dynamic_var = random.uniform(-0.005, 0.005) per year</t>
  </si>
  <si>
    <t xml:space="preserve">Assumes economic cycles introduce volatility; positive interactions dominate in dynamic case.</t>
  </si>
  <si>
    <t xml:space="preserve">±0.005</t>
  </si>
  <si>
    <t xml:space="preserve">Variable Growth</t>
  </si>
  <si>
    <t xml:space="preserve">6.A.301.A.3</t>
  </si>
  <si>
    <t xml:space="preserve">Standard Optimistic Scenario</t>
  </si>
  <si>
    <t xml:space="preserve">Same loop structure as 6.A.301.A but with optimistic parameters.</t>
  </si>
  <si>
    <t xml:space="preserve">Optimistic: high elasticity/productivity; strong lower-bracket equity gains.</t>
  </si>
  <si>
    <t xml:space="preserve">Excellent Synergy</t>
  </si>
  <si>
    <t xml:space="preserve">6.A.301.A.4</t>
  </si>
  <si>
    <t xml:space="preserve">Standard Adverse Scenario</t>
  </si>
  <si>
    <t xml:space="preserve">Same loop structure as 6.A.301.A but with adverse parameters (negative elasticity possible).</t>
  </si>
  <si>
    <t xml:space="preserve">Adverse: negative spillovers, potential recessionary wage pressure from CFIT/FMW.</t>
  </si>
  <si>
    <t xml:space="preserve">Limited / Negative</t>
  </si>
  <si>
    <t xml:space="preserve">6.A.301.B.</t>
  </si>
  <si>
    <t xml:space="preserve">ILLER </t>
  </si>
  <si>
    <t xml:space="preserve">6.A.301.B.0</t>
  </si>
  <si>
    <t xml:space="preserve">ILLER Baseline Scenario</t>
  </si>
  <si>
    <t xml:space="preserve">6.A.301.B.1</t>
  </si>
  <si>
    <t xml:space="preserve">ILLER Conservative Scenario</t>
  </si>
  <si>
    <t xml:space="preserve">6.A.301.B.2</t>
  </si>
  <si>
    <t xml:space="preserve">ILLER Dynamic Scenario</t>
  </si>
  <si>
    <t xml:space="preserve">6.A.301.B.3</t>
  </si>
  <si>
    <t xml:space="preserve">ILLER Optimistic Scenario</t>
  </si>
  <si>
    <t xml:space="preserve">6.A.301.B.4</t>
  </si>
  <si>
    <t xml:space="preserve">ILLER Adverse Scenario</t>
  </si>
  <si>
    <t xml:space="preserve">6.A.302</t>
  </si>
  <si>
    <t xml:space="preserve">Personal Annual Earnings (Separate Current PFIT Brackets)</t>
  </si>
  <si>
    <t xml:space="preserve">6.A.302.A</t>
  </si>
  <si>
    <t xml:space="preserve">Each scenario has corresponding data visualization, data table, and data summary analysis. Parameters, Measures, and Metrics define Chart Dimensions, Chart Line Groups, and Chart Line Group Lines respectively. </t>
  </si>
  <si>
    <t xml:space="preserve">```
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</si>
  <si>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Y-Axis: Personal Annual Earnings (Separate Current PFIT Brackets)</t>
  </si>
  <si>
    <t xml:space="preserve">Personal Annual Earnings: Average Current PFIT Bracket #1</t>
  </si>
  <si>
    <t xml:space="preserve">Personal Annual Earnings: Average Current PFIT Bracket #2</t>
  </si>
  <si>
    <t xml:space="preserve">Personal Annual Earnings: Average Current PFIT Bracket #3</t>
  </si>
  <si>
    <t xml:space="preserve">Personal Annual Earnings: Average Current PFIT Bracket #4</t>
  </si>
  <si>
    <t xml:space="preserve">Personal Annual Earnings: Average Current PFIT Bracket #5</t>
  </si>
  <si>
    <t xml:space="preserve">Personal Annual Earnings: Average Current PFIT Bracket #6</t>
  </si>
  <si>
    <t xml:space="preserve">Personal Annual Earnings: Average Current PFIT Bracket #7</t>
  </si>
  <si>
    <t xml:space="preserve">Same loop structure as 6.A.301.A but compute per bracket (no mean); output 7 pairs (Current/New).</t>
  </si>
  <si>
    <t xml:space="preserve">Line chart (14 lines), table (14 cols), analysis summary</t>
  </si>
  <si>
    <t xml:space="preserve">Bracket-specific FMW decay; uniform CFIT effect; baseline moderate assumptions.</t>
  </si>
  <si>
    <t xml:space="preserve">Strong Lower-Bracket Lift</t>
  </si>
  <si>
    <t xml:space="preserve">6.A.302.B</t>
  </si>
  <si>
    <t xml:space="preserve">Same per-bracket loop as 6.A.302.A, conservative parameters.</t>
  </si>
  <si>
    <t xml:space="preserve">Conservative: reduced spillovers; upper brackets more stagnant.</t>
  </si>
  <si>
    <t xml:space="preserve">Modest Lower-Bracket Lift</t>
  </si>
  <si>
    <t xml:space="preserve">6.A.302.C</t>
  </si>
  <si>
    <t xml:space="preserve">Same per-bracket loop as 6.A.302.A, add dynamic_var to growth per bracket/year.</t>
  </si>
  <si>
    <t xml:space="preserve">Dynamic variability amplifies lower-bracket gains; upper brackets less volatile.</t>
  </si>
  <si>
    <t xml:space="preserve">Variable Lower 10-20%</t>
  </si>
  <si>
    <t xml:space="preserve">6.A.302.D</t>
  </si>
  <si>
    <t xml:space="preserve">Same per-bracket loop as 6.A.302.A, optimistic parameters.</t>
  </si>
  <si>
    <t xml:space="preserve">Optimistic high response; strong equity build in lower brackets.</t>
  </si>
  <si>
    <t xml:space="preserve">Strong Lower &gt;20%</t>
  </si>
  <si>
    <t xml:space="preserve">6.A.302.E</t>
  </si>
  <si>
    <t xml:space="preserve">Same per-bracket loop as 6.A.302.A, adverse parameters.</t>
  </si>
  <si>
    <t xml:space="preserve">Adverse: limited/negative gains; upper brackets most vulnerable to drag.</t>
  </si>
  <si>
    <t xml:space="preserve">Limited / Negative Upper</t>
  </si>
  <si>
    <t xml:space="preserve">6.B.300</t>
  </si>
  <si>
    <t xml:space="preserve">Economic Corporate Net Worth (Replacement-Cost Basis)</t>
  </si>
  <si>
    <t xml:space="preserve">6.B.301</t>
  </si>
  <si>
    <t xml:space="preserve">Economic Corporate Net Worth (Replacement-Cost Basis) (Average Current CFIT Brackets)</t>
  </si>
  <si>
    <t xml:space="preserve">6.B.301.A</t>
  </si>
  <si>
    <t xml:space="preserve">Scenario Analysis (Line Chart)</t>
  </si>
  <si>
    <t xml:space="preserve">Y-Axis: Economic Corporate Net Worth (Replacement-Cost Basis) (Average Current CFIT Brackets)</t>
  </si>
  <si>
    <t xml:space="preserve">Economic Corporate Net Worth (Replacement-Cost Basis): Average Current CFIT Brackets #1 through #5</t>
  </si>
  <si>
    <t xml:space="preserve">for year in range(21): phase = phasing_logic_4C(year) current_fmw = 7.25 * (1 + inflation_rate)**year new_fmw = FMW#2.B[year] base_net_worth = [CFIT_avg_net_worth[br] for br in 1 to 5] cfit_eff_rate_current = CFIT_eff_rate_current(brackets=CFIT-BRACKETS#1) cfit_eff_rate_new = CFIT_eff_rate_new(brackets=CFIT-BRACKETS#4.A) tax_savings = [nw * (cfit_eff_rate_current - cfit_eff_rate_new) for nw in base_net_worth] adjusted_current = [nw * (1 + growth_rate)**year for nw in base_net_worth] fmw_drag = -[(new_fmw / current_fmw - 1) * labor_cost_elasticity * (1 - (br-1)/4) for br in 1 to 5] demand_spill = (pf_tax_reduction_factor * phase) * consumption_boost * productivity_factor cfit_reinvest = tax_savings * reinvest_rate * (1 + productivity_factor) adjusted_new = [adj_cur + ts + adj_cur * fmw_drag + adj_cur * demand_spill + cfit_reinvest for adj_cur, ts, fmw_drag in zip(adjusted_current, tax_savings, fmw_drag)] avg_current = mean(adjusted_current) avg_new = mean(adjusted_new)</t>
  </si>
  <si>
    <t xml:space="preserve">PFIT-BRACKETS#4.C; CFIT-BRACKETS#4.A; FMW#2.B; CFIT avg net worth</t>
  </si>
  <si>
    <t xml:space="preserve">Line chart (2 lines: New vs Current avg), table (2 cols), analysis summary</t>
  </si>
  <si>
    <t xml:space="preserve">Assumes CFIT tax savings reinvested at productivity_factor; FMW raises costs (negative drag, stronger on lower brackets); PFIT cuts provide modest demand lift.</t>
  </si>
  <si>
    <t xml:space="preserve">CFIT-BRACKETS#1,#4.A,FMW#2.B,PFIT-BRACKETS#4.C</t>
  </si>
  <si>
    <t xml:space="preserve">Modest Positive Growth</t>
  </si>
  <si>
    <t xml:space="preserve">6.B.301.B</t>
  </si>
  <si>
    <t xml:space="preserve">Same loop structure as 6.B.301.A but with conservative parameters.</t>
  </si>
  <si>
    <t xml:space="preserve">Conservative: lower reinvestment/productivity, stronger FMW cost drag.</t>
  </si>
  <si>
    <t xml:space="preserve">Flat to Slight Decline</t>
  </si>
  <si>
    <t xml:space="preserve">6.B.301.C</t>
  </si>
  <si>
    <t xml:space="preserve">Same loop structure as 6.B.301.A, add dynamic_var to growth. dynamic_var = random.uniform(-0.007, 0.007) per year (higher volatility for corporate).</t>
  </si>
  <si>
    <t xml:space="preserve">Dynamic: volatility from demand/cost shocks; net positive if CFIT savings dominate.</t>
  </si>
  <si>
    <t xml:space="preserve">±0.007</t>
  </si>
  <si>
    <t xml:space="preserve">Variable / Cyclical Growth</t>
  </si>
  <si>
    <t xml:space="preserve">6.B.301.D</t>
  </si>
  <si>
    <t xml:space="preserve">Same loop structure as 6.B.301.A but with optimistic parameters.</t>
  </si>
  <si>
    <t xml:space="preserve">Optimistic: high reinvestment/productivity; demand boost from PFIT cuts outweighs FMW drag.</t>
  </si>
  <si>
    <t xml:space="preserve">Strong Positive Growth</t>
  </si>
  <si>
    <t xml:space="preserve">6.B.301.E</t>
  </si>
  <si>
    <t xml:space="preserve">Same loop structure as 6.B.301.A but with adverse parameters (negative elasticity).</t>
  </si>
  <si>
    <t xml:space="preserve">Adverse: FMW cost pressure + low productivity/reinvestment; net worth declines.</t>
  </si>
  <si>
    <t xml:space="preserve">Decline / Cost Pressure</t>
  </si>
  <si>
    <t xml:space="preserve">6.B.302</t>
  </si>
  <si>
    <t xml:space="preserve">Economic Corporate Net Worth (Replacement-Cost Basis) (Separate Current CFIT Brackets)</t>
  </si>
  <si>
    <t xml:space="preserve">6.B.302.A</t>
  </si>
  <si>
    <t xml:space="preserve">```
**Data Visualization (Line Chart) with 10 Lines**:  
1. Measure A: Metric A to Metric E  
2. Measure B: Metric A to Metric E  
**Data Table With 10 Columns**:  
1. Measure A: Metric A to Metric E  
2. Measure B: Metric A to Metric E  
*Data Analysis**  
Summary analysis of Metrics for Measure A versus Measure B. 
```</t>
  </si>
  <si>
    <t xml:space="preserve">Y-Axis: Economic Corporate Net Worth (Replacement-Cost Basis) (Separate Current CFIT Brackets)</t>
  </si>
  <si>
    <t xml:space="preserve">Economic Corporate Net Worth (Replacement-Cost Basis): Average Current CFIT Bracket #1</t>
  </si>
  <si>
    <t xml:space="preserve">Economic Corporate Net Worth (Replacement-Cost Basis): Average Current CFIT Bracket #2</t>
  </si>
  <si>
    <t xml:space="preserve">Economic Corporate Net Worth (Replacement-Cost Basis): Average Current CFIT Bracket #3</t>
  </si>
  <si>
    <t xml:space="preserve">Economic Corporate Net Worth (Replacement-Cost Basis): Average Current CFIT Bracket #4</t>
  </si>
  <si>
    <t xml:space="preserve">Economic Corporate Net Worth (Replacement-Cost Basis): Average Current CFIT Bracket #5</t>
  </si>
  <si>
    <t xml:space="preserve">Same loop structure as 6.B.301.A but compute per bracket (no mean); output 5 pairs (Current/New).</t>
  </si>
  <si>
    <t xml:space="preserve">Line chart (10 lines), table (10 cols), analysis summary</t>
  </si>
  <si>
    <t xml:space="preserve">Lower CFIT brackets see stronger relative savings; FMW drag strongest on small/medium firms.</t>
  </si>
  <si>
    <t xml:space="preserve">Stronger in Lower Brackets</t>
  </si>
  <si>
    <t xml:space="preserve">6.B.302.B</t>
  </si>
  <si>
    <t xml:space="preserve">Same per-bracket loop as 6.B.302.A, conservative parameters.</t>
  </si>
  <si>
    <t xml:space="preserve">Conservative: limited reinvestment; FMW cost pressure dominates lower brackets.</t>
  </si>
  <si>
    <t xml:space="preserve">Flat / Cost-Led Decline</t>
  </si>
  <si>
    <t xml:space="preserve">6.B.302.C</t>
  </si>
  <si>
    <t xml:space="preserve">Same per-bracket loop as 6.B.302.A, add dynamic_var to growth. dynamic_var = random.uniform(-0.007, 0.007) per year.</t>
  </si>
  <si>
    <t xml:space="preserve">Dynamic: volatility higher in lower brackets due to FMW sensitivity.</t>
  </si>
  <si>
    <t xml:space="preserve">Variable / Cyclical</t>
  </si>
  <si>
    <t xml:space="preserve">6.B.302.D</t>
  </si>
  <si>
    <t xml:space="preserve">Same per-bracket loop as 6.B.302.A, optimistic parameters.</t>
  </si>
  <si>
    <t xml:space="preserve">Optimistic: strong reinvestment; demand boost outweighs FMW costs across brackets.</t>
  </si>
  <si>
    <t xml:space="preserve">Strong Growth All Brackets</t>
  </si>
  <si>
    <t xml:space="preserve">6.B.302.E</t>
  </si>
  <si>
    <t xml:space="preserve">Same per-bracket loop as 6.B.302.A, adverse parameters.</t>
  </si>
  <si>
    <t xml:space="preserve">Adverse: FMW costs + low reinvestment dominate; larger declines in lower brackets.</t>
  </si>
  <si>
    <t xml:space="preserve">Decline Strongest Lower Brackets</t>
  </si>
  <si>
    <t xml:space="preserve">6.C.300</t>
  </si>
  <si>
    <t xml:space="preserve">Current/New PFIT: Lower 1/6 To 1/3 Tax Elimination, CFIT, FMW (3.33% Annual Increase)</t>
  </si>
  <si>
    <t xml:space="preserve">Personal Tax Receipts</t>
  </si>
  <si>
    <t xml:space="preserve">6.C.301</t>
  </si>
  <si>
    <t xml:space="preserve">Personal Tax Receipts (Average Current PFIT)</t>
  </si>
  <si>
    <t xml:space="preserve">6.C.301.A</t>
  </si>
  <si>
    <t xml:space="preserve">Each scenario has corresponding data visualization, data table, and data summary analysis. Parameters, Measures, and Metrics define Chart Dimensions, Chart Line Groups, and Chart Line Group Lines respectively.</t>
  </si>
  <si>
    <t xml:space="preserve">```**Data Visualization (Line Chart) with 2 Lines**:  1. Measure A: Metric A  2. Measure B: Metric A  **Data Table with 2 Columns**:  1. Measure A, Metric A  2. Measure B, Metric A  **Data Analysis**  Summary analysis of Metrics for Measure A versus Measure B. ```</t>
  </si>
  <si>
    <t xml:space="preserve">Y-Axis: Personal Tax Receipts (Average Current PFIT)</t>
  </si>
  <si>
    <t xml:space="preserve">Personal Tax Receipts: Average Current PFIT Brackets #1 through #7</t>
  </si>
  <si>
    <t xml:space="preserve">for year in range(21): phase = phasing_logic_4C(year) current_fmw = 7.25 * (1 + inflation_rate)**year new_fmw = FMW#2.B[year] base_incomes = [PFIT_avg_income[br] for br in 1 to 7] pf_eff_rate_current = PFIT_eff_rate_current(brackets=PFIT-BRACKETS#1) pf_eff_rate_new = PFIT_eff_rate_new(phase, brackets=PFIT-BRACKETS#4.C) adjusted_current = [inc * (1 + growth_rate)**year for inc in base_incomes] fmw_boost = [(new_fmw / current_fmw - 1) * elasticity * (1 - (br-1)/6) for br in 1 to 7] cfit_demand_spill = (CFIT_eff_rate_new - CFIT_eff_rate_current) * pass_through_rate * productivity_factor * demand_multiplier current_receipts = [inc_cur * pf_eff_rate_current for inc_cur in adjusted_current] new_receipts = [inc_new * pf_eff_rate_new for inc_new in [adj_cur * (1 + fmw_b + cfit_demand_spill) for adj_cur, fmw_b in zip(adjusted_current, fmw_boost)]] avg_current = mean(current_receipts) avg_new = mean(new_receipts)</t>
  </si>
  <si>
    <t xml:space="preserve">PFIT-BRACKETS#1,#4.C; FMW#2.B; CFIT-BRACKETS#4.A; PFIT avg incomes</t>
  </si>
  <si>
    <t xml:space="preserve">Line chart (2 lines: New vs Current avg receipts), table (2 cols), analysis summary</t>
  </si>
  <si>
    <t xml:space="preserve">Assumes partial revenue recovery from higher taxable income (FMW + demand effects); lower brackets dominate revenue loss due to elimination.</t>
  </si>
  <si>
    <t xml:space="preserve">Modest Revenue Decline</t>
  </si>
  <si>
    <t xml:space="preserve">6.C.301.B</t>
  </si>
  <si>
    <t xml:space="preserve">Same loop structure as 6.C.301.A but with conservative parameters.</t>
  </si>
  <si>
    <t xml:space="preserve">Conservative: weaker income growth → larger net revenue loss from PFIT cuts.</t>
  </si>
  <si>
    <t xml:space="preserve">Larger Revenue Decline</t>
  </si>
  <si>
    <t xml:space="preserve">6.C.301.C</t>
  </si>
  <si>
    <t xml:space="preserve">Same loop structure as 6.C.301.A, add dynamic_var to growth. dynamic_var = random.uniform(-0.005, 0.005) per year.</t>
  </si>
  <si>
    <t xml:space="preserve">Dynamic: volatility in receipts from income fluctuations; net loss moderated by growth spurts.</t>
  </si>
  <si>
    <t xml:space="preserve">Variable Revenue Path</t>
  </si>
  <si>
    <t xml:space="preserve">6.C.301.D</t>
  </si>
  <si>
    <t xml:space="preserve">Same loop structure as 6.C.301.A but with optimistic parameters.</t>
  </si>
  <si>
    <t xml:space="preserve">Optimistic: strong income growth offsets much of the PFIT revenue loss.</t>
  </si>
  <si>
    <t xml:space="preserve">Minimal Revenue Decline</t>
  </si>
  <si>
    <t xml:space="preserve">6.C.301.E</t>
  </si>
  <si>
    <t xml:space="preserve">Same loop structure as 6.C.301.A but with adverse parameters.</t>
  </si>
  <si>
    <t xml:space="preserve">Adverse: low growth + PFIT cuts → significant revenue shortfall.</t>
  </si>
  <si>
    <t xml:space="preserve">Significant Revenue Decline</t>
  </si>
  <si>
    <t xml:space="preserve">6.C.302</t>
  </si>
  <si>
    <t xml:space="preserve">Personal Tax Receipts (Separate Current PFIT)</t>
  </si>
  <si>
    <t xml:space="preserve">6.C.302.A</t>
  </si>
  <si>
    <t xml:space="preserve">```**Data Visualization (Line Chart) with 14 Lines**:  1. Measure A: Metric A to Metric G  2. Measure B: Metric A to Metric G  **Data Table With 14 Columns**:  1. Measure A: Metric A to Metric G  2. Measure B: Metric A to Metric G  *Data Analysis**  Summary analysis of Metrics for Measure A versus Measure B. ```</t>
  </si>
  <si>
    <t xml:space="preserve">Y-Axis: Personal Tax Receipts (Separate Current PFIT)</t>
  </si>
  <si>
    <t xml:space="preserve">Personal Tax Receipts: Current PFIT Bracket #1</t>
  </si>
  <si>
    <t xml:space="preserve">Personal Tax Receipts: Current PFIT Bracket #2</t>
  </si>
  <si>
    <t xml:space="preserve">Personal Tax Receipts: Current PFIT Bracket #3</t>
  </si>
  <si>
    <t xml:space="preserve">Personal Tax Receipts: Current PFIT Bracket #4</t>
  </si>
  <si>
    <t xml:space="preserve">Personal Tax Receipts: Current PFIT Bracket #5</t>
  </si>
  <si>
    <t xml:space="preserve">Personal Tax Receipts: Average Current PFIT Bracket #6</t>
  </si>
  <si>
    <t xml:space="preserve">Personal Tax Receipts: Average Current PFIT Bracket #7</t>
  </si>
  <si>
    <t xml:space="preserve">Same loop structure as 6.C.301.A but compute per bracket (no mean); output 7 pairs (Current/New).</t>
  </si>
  <si>
    <t xml:space="preserve">Lower brackets show largest % revenue drop; upper brackets may stabilize or grow slightly.</t>
  </si>
  <si>
    <t xml:space="preserve">Largest Drop in Lower Brackets</t>
  </si>
  <si>
    <t xml:space="preserve">6.C.302.B</t>
  </si>
  <si>
    <t xml:space="preserve">Same per-bracket loop as 6.C.302.A, conservative parameters.</t>
  </si>
  <si>
    <t xml:space="preserve">Conservative: deeper revenue losses across brackets due to weaker offsets.</t>
  </si>
  <si>
    <t xml:space="preserve">Deeper Decline All Brackets</t>
  </si>
  <si>
    <t xml:space="preserve">6.C.302.C</t>
  </si>
  <si>
    <t xml:space="preserve">Same per-bracket loop as 6.C.302.A, add dynamic_var to growth. dynamic_var = random.uniform(-0.005, 0.005) per year.</t>
  </si>
  <si>
    <t xml:space="preserve">Dynamic: fluctuating receipts; lower brackets most volatile due to PFIT phase.</t>
  </si>
  <si>
    <t xml:space="preserve">Volatile Lower-Bracket Receipts</t>
  </si>
  <si>
    <t xml:space="preserve">6.C.302.D</t>
  </si>
  <si>
    <t xml:space="preserve">Same per-bracket loop as 6.C.302.A, optimistic parameters.</t>
  </si>
  <si>
    <t xml:space="preserve">Optimistic: strong income growth narrows revenue gap, especially in middle/upper brackets.</t>
  </si>
  <si>
    <t xml:space="preserve">Smallest Revenue Gap</t>
  </si>
  <si>
    <t xml:space="preserve">6.C.302.E</t>
  </si>
  <si>
    <t xml:space="preserve">Same per-bracket loop as 6.C.302.A, adverse parameters.</t>
  </si>
  <si>
    <t xml:space="preserve">Adverse: deep revenue shortfalls, especially lower brackets.</t>
  </si>
  <si>
    <t xml:space="preserve">Largest Revenue Shortfall</t>
  </si>
  <si>
    <t xml:space="preserve">6.D.100</t>
  </si>
  <si>
    <t xml:space="preserve">Current/New PFIT: Lower 1/6 Tax Elimination, CFIT, FMW (3.33% Annual Increase)</t>
  </si>
  <si>
    <t xml:space="preserve">6.D.102</t>
  </si>
  <si>
    <t xml:space="preserve">Net Fiscal Impact</t>
  </si>
  <si>
    <t xml:space="preserve">6.D.102.A</t>
  </si>
  <si>
    <t xml:space="preserve">Y-Axis: Net Fiscal Impact</t>
  </si>
  <si>
    <t xml:space="preserve">X-Axis: 20 years</t>
  </si>
  <si>
    <t xml:space="preserve">6.D.102.B</t>
  </si>
  <si>
    <t xml:space="preserve">6.D.102.C</t>
  </si>
  <si>
    <t xml:space="preserve">6.D.102.D</t>
  </si>
  <si>
    <t xml:space="preserve">6.D.102.E</t>
  </si>
  <si>
    <t xml:space="preserve">6.D.200</t>
  </si>
  <si>
    <t xml:space="preserve">6.D.202</t>
  </si>
  <si>
    <t xml:space="preserve">Gini Coefficient</t>
  </si>
  <si>
    <t xml:space="preserve">6.D.202.A</t>
  </si>
  <si>
    <t xml:space="preserve">Y-Axis: Gini Coefficient</t>
  </si>
  <si>
    <t xml:space="preserve">6.D.202.B</t>
  </si>
  <si>
    <t xml:space="preserve">6.D.202.C</t>
  </si>
  <si>
    <t xml:space="preserve">6.D.202.D</t>
  </si>
  <si>
    <t xml:space="preserve">6.D.202.E</t>
  </si>
  <si>
    <t xml:space="preserve">Scenario A</t>
  </si>
  <si>
    <t xml:space="preserve">Scenario B</t>
  </si>
  <si>
    <t xml:space="preserve">Scenario C</t>
  </si>
  <si>
    <t xml:space="preserve">Scenario D</t>
  </si>
  <si>
    <t xml:space="preserve">Scenario E</t>
  </si>
  <si>
    <t xml:space="preserve">Formula / Pseudocode with Feedback</t>
  </si>
  <si>
    <t xml:space="preserve">Cross-link to FITTER</t>
  </si>
  <si>
    <t xml:space="preserve">Annual Adjustment Method</t>
  </si>
  <si>
    <t xml:space="preserve">Notes</t>
  </si>
  <si>
    <t xml:space="preserve">Personal</t>
  </si>
  <si>
    <t xml:space="preserve">1.100</t>
  </si>
  <si>
    <t xml:space="preserve">Current/New FMW</t>
  </si>
  <si>
    <t xml:space="preserve">1.101</t>
  </si>
  <si>
    <t xml:space="preserve">Current/New FMW (4.44% Annual Increase)</t>
  </si>
  <si>
    <t xml:space="preserve">Y-Axis: Personal Annual Earnings</t>
  </si>
  <si>
    <t xml:space="preserve">New FMW</t>
  </si>
  <si>
    <t xml:space="preserve">Personal annual earnings: Average Current PFIT Brackets #1 through #7</t>
  </si>
  <si>
    <t xml:space="preserve">Baseline</t>
  </si>
  <si>
    <t xml:space="preserve">Conservative</t>
  </si>
  <si>
    <t xml:space="preserve">Dynamic</t>
  </si>
  <si>
    <t xml:space="preserve">Optimistic</t>
  </si>
  <si>
    <t xml:space="preserve">Adverse</t>
  </si>
  <si>
    <t xml:space="preserve">1.102</t>
  </si>
  <si>
    <t xml:space="preserve">Current/New FMW (3.33% Annual Increase)</t>
  </si>
  <si>
    <t xml:space="preserve">1.103</t>
  </si>
  <si>
    <t xml:space="preserve">Current/New FMW (2.22% Annual Increase)</t>
  </si>
  <si>
    <t xml:space="preserve">1.200</t>
  </si>
  <si>
    <t xml:space="preserve">1.201</t>
  </si>
  <si>
    <t xml:space="preserve">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</si>
  <si>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</si>
  <si>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</si>
  <si>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</si>
  <si>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</si>
  <si>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</si>
  <si>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Personal annual earnings: Current PFIT Bracket #6</t>
  </si>
  <si>
    <t xml:space="preserve">Personal annual earnings: Current PFIT Bracket #7</t>
  </si>
  <si>
    <t xml:space="preserve">1.202</t>
  </si>
  <si>
    <t xml:space="preserve">1.203</t>
  </si>
  <si>
    <t xml:space="preserve">1.300</t>
  </si>
  <si>
    <t xml:space="preserve">Real Hourly Wage Growth (Average Current PFIT Brackets)</t>
  </si>
  <si>
    <t xml:space="preserve">1.301</t>
  </si>
  <si>
    <t xml:space="preserve">Y-Axis: Real Hourly Wage Growth</t>
  </si>
  <si>
    <t xml:space="preserve">1.302</t>
  </si>
  <si>
    <t xml:space="preserve">1.303</t>
  </si>
  <si>
    <t xml:space="preserve">1.400</t>
  </si>
  <si>
    <t xml:space="preserve">Real Hourly Wage Growth (Separate Current PFIT Brackets)</t>
  </si>
  <si>
    <t xml:space="preserve">1.401</t>
  </si>
  <si>
    <t xml:space="preserve">Real Hourly Wage Growth: Current PFIT Bracket #1</t>
  </si>
  <si>
    <t xml:space="preserve">Real Hourly Wage Growth: Current PFIT Bracket #2</t>
  </si>
  <si>
    <t xml:space="preserve">Real Hourly Wage Growth: Current PFIT Bracket #3</t>
  </si>
  <si>
    <t xml:space="preserve">Real Hourly Wage Growth: Current PFIT Bracket #4</t>
  </si>
  <si>
    <t xml:space="preserve">Real Hourly Wage Growth: Current PFIT Bracket #5</t>
  </si>
  <si>
    <t xml:space="preserve">Real Hourly Wage Growth: Current PFIT Bracket #6</t>
  </si>
  <si>
    <t xml:space="preserve">Real Hourly Wage Growth: Current PFIT Bracket #7</t>
  </si>
  <si>
    <t xml:space="preserve">1.402</t>
  </si>
  <si>
    <t xml:space="preserve">1.403</t>
  </si>
  <si>
    <t xml:space="preserve">1.500</t>
  </si>
  <si>
    <t xml:space="preserve">Employment Rate (Average Current PFIT Brackets)</t>
  </si>
  <si>
    <t xml:space="preserve">1.501</t>
  </si>
  <si>
    <t xml:space="preserve">Y-Axis: Employment Rate</t>
  </si>
  <si>
    <t xml:space="preserve">Employment Rate - Average Current PFIT Brackets #1 through #7</t>
  </si>
  <si>
    <t xml:space="preserve">1.502</t>
  </si>
  <si>
    <t xml:space="preserve">Employment Rate: Average Current PFIT Brackets #1 through #7</t>
  </si>
  <si>
    <t xml:space="preserve">1.503</t>
  </si>
  <si>
    <t xml:space="preserve">1.600</t>
  </si>
  <si>
    <t xml:space="preserve">Employment Rate (Separate Current PFIT Brackets)</t>
  </si>
  <si>
    <t xml:space="preserve">1.601</t>
  </si>
  <si>
    <t xml:space="preserve">Employment Rate Growth: Current PFIT Bracket #1</t>
  </si>
  <si>
    <t xml:space="preserve">Employment Rate Growth: Current PFIT Bracket #2</t>
  </si>
  <si>
    <t xml:space="preserve">Employment Rate Growth: Current PFIT Bracket #3</t>
  </si>
  <si>
    <t xml:space="preserve">Employment Rate Growth: Current PFIT Bracket #4</t>
  </si>
  <si>
    <t xml:space="preserve">Employment Rate Growth: Current PFIT Bracket #5</t>
  </si>
  <si>
    <t xml:space="preserve">Employment Rate Growth: Current PFIT Bracket #6</t>
  </si>
  <si>
    <t xml:space="preserve">Employment Rate Growth: Current PFIT Bracket #7</t>
  </si>
  <si>
    <t xml:space="preserve">1.602</t>
  </si>
  <si>
    <t xml:space="preserve">1.603</t>
  </si>
  <si>
    <t xml:space="preserve">1.700</t>
  </si>
  <si>
    <t xml:space="preserve">Average Weekly Hours (Average Current PFIT Brackets)</t>
  </si>
  <si>
    <t xml:space="preserve">1.701</t>
  </si>
  <si>
    <t xml:space="preserve">Y-Axis: Average Weekly Hours</t>
  </si>
  <si>
    <t xml:space="preserve">Average Weekly Hours - Average Current PFIT Brackets #1 through #7</t>
  </si>
  <si>
    <t xml:space="preserve">1.702</t>
  </si>
  <si>
    <t xml:space="preserve">Average Weekly Hours: Average Current PFIT Brackets #1 through #7</t>
  </si>
  <si>
    <t xml:space="preserve">1.703</t>
  </si>
  <si>
    <t xml:space="preserve">1.800</t>
  </si>
  <si>
    <t xml:space="preserve">Average Weekly Hours (Separate Current PFIT Brackets)</t>
  </si>
  <si>
    <t xml:space="preserve">1.801</t>
  </si>
  <si>
    <t xml:space="preserve">Average Weekly Hours: Current PFIT Bracket #1</t>
  </si>
  <si>
    <t xml:space="preserve">Average Weekly Hours: Current PFIT Bracket #2</t>
  </si>
  <si>
    <t xml:space="preserve">Average Weekly Hours: Current PFIT Bracket #3</t>
  </si>
  <si>
    <t xml:space="preserve">Average Weekly Hours: Current PFIT Bracket #4</t>
  </si>
  <si>
    <t xml:space="preserve">Average Weekly Hours: Current PFIT Bracket #5</t>
  </si>
  <si>
    <t xml:space="preserve">Average Weekly Hours: Current PFIT Bracket #6</t>
  </si>
  <si>
    <t xml:space="preserve">Average Weekly Hours: Current PFIT Bracket #7</t>
  </si>
  <si>
    <t xml:space="preserve">1.802</t>
  </si>
  <si>
    <t xml:space="preserve">1.803</t>
  </si>
  <si>
    <t xml:space="preserve">Corporate</t>
  </si>
  <si>
    <t xml:space="preserve">2.100</t>
  </si>
  <si>
    <t xml:space="preserve">2.101</t>
  </si>
  <si>
    <t xml:space="preserve">Y-Axis: Economic Corporate Net Worth (Replacement-Cost Basis)</t>
  </si>
  <si>
    <t xml:space="preserve">Economic Corporate Net Worth (Replacement-Cost Basis) - Average Current CFIT Brackets #1 through #5</t>
  </si>
  <si>
    <t xml:space="preserve">2.102</t>
  </si>
  <si>
    <t xml:space="preserve">2.103</t>
  </si>
  <si>
    <t xml:space="preserve">2.200</t>
  </si>
  <si>
    <t xml:space="preserve">2.201</t>
  </si>
  <si>
    <t xml:space="preserve">```
**Data Visualization (Line Chart) with 10 Lines**:  
1. Measure A: Metric A to Metric E  
2. Measure B: Metric A to Metric E  
**Data Table With with 10 Columns**:  
1. Measure A: Metric A to Metric E  
2. Measure B: Metric A to Metric E  
**Data Analysis**  
Summary analysis of Metrics for Measure A versus Measure B. 
```</t>
  </si>
  <si>
    <t xml:space="preserve">Economic Corporate Net Worth (Replacement-Cost Basis): Current CFIT Brackets #1</t>
  </si>
  <si>
    <t xml:space="preserve">Economic Corporate Net Worth (Replacement-Cost Basis): Current CFIT Bracket #2</t>
  </si>
  <si>
    <t xml:space="preserve">Economic Corporate Net Worth (Replacement-Cost Basis): Current CFIT Bracket #3</t>
  </si>
  <si>
    <t xml:space="preserve">Economic Corporate Net Worth (Replacement-Cost Basis): Current CFIT Bracket #4</t>
  </si>
  <si>
    <t xml:space="preserve">Economic Corporate Net Worth (Replacement-Cost Basis): Current CFIT Bracket #5</t>
  </si>
  <si>
    <t xml:space="preserve">2.202</t>
  </si>
  <si>
    <t xml:space="preserve">2.203</t>
  </si>
  <si>
    <t xml:space="preserve">2.300</t>
  </si>
  <si>
    <t xml:space="preserve">Economic Corporate Profits (Real, Pre-Tax) (Average Current CFIT Brackets)</t>
  </si>
  <si>
    <t xml:space="preserve">2.301</t>
  </si>
  <si>
    <t xml:space="preserve">Y-Axis: Economic Corporate Profits (Real, Pre-Tax)</t>
  </si>
  <si>
    <t xml:space="preserve">Economic Corporate Profits (Real, Pre-Tax) - Average Current CFIT Brackets #1 through #5</t>
  </si>
  <si>
    <t xml:space="preserve">2.302</t>
  </si>
  <si>
    <t xml:space="preserve">Economic Corporate Profits (Real, Pre-Tax): Average Current CFIT Brackets #1 through #5</t>
  </si>
  <si>
    <t xml:space="preserve">2.303</t>
  </si>
  <si>
    <t xml:space="preserve">2.400</t>
  </si>
  <si>
    <t xml:space="preserve">Economic Corporate Profits (Real, Pre-Tax) (Separate Current CFIT Brackets)</t>
  </si>
  <si>
    <t xml:space="preserve">2.401</t>
  </si>
  <si>
    <t xml:space="preserve">Economic Corporate Profits (Real, Pre-Tax): Current CFIT Brackets #1</t>
  </si>
  <si>
    <t xml:space="preserve">Economic Corporate Profits (Real, Pre-Tax): Current CFIT Bracket #2</t>
  </si>
  <si>
    <t xml:space="preserve">Economic Corporate Profits (Real, Pre-Tax): Current CFIT Bracket #3</t>
  </si>
  <si>
    <t xml:space="preserve">Economic Corporate Profits (Real, Pre-Tax): Current CFIT Bracket #4</t>
  </si>
  <si>
    <t xml:space="preserve">Economic Corporate Profits (Real, Pre-Tax): Current CFIT Bracket #5</t>
  </si>
  <si>
    <t xml:space="preserve">2.402</t>
  </si>
  <si>
    <t xml:space="preserve">2.403</t>
  </si>
  <si>
    <t xml:space="preserve">2.500</t>
  </si>
  <si>
    <t xml:space="preserve">2.501</t>
  </si>
  <si>
    <t xml:space="preserve">Intangible Capital Stock (Average Current CFIT Brackets)</t>
  </si>
  <si>
    <t xml:space="preserve">Y-Axis: Intangible Capital Stock</t>
  </si>
  <si>
    <t xml:space="preserve">Intangible Capital Stock - Average Current CFIT Brackets #1 through #5</t>
  </si>
  <si>
    <t xml:space="preserve">2.502</t>
  </si>
  <si>
    <t xml:space="preserve">Intangible Capital Stock: Average Current CFIT Brackets #1 through #5</t>
  </si>
  <si>
    <t xml:space="preserve">2.503</t>
  </si>
  <si>
    <t xml:space="preserve">2.600</t>
  </si>
  <si>
    <t xml:space="preserve">Intangible Capital Stock (Separate Current CFIT Brackets)</t>
  </si>
  <si>
    <t xml:space="preserve">2.601</t>
  </si>
  <si>
    <t xml:space="preserve">Intangible Capital Stock: Current CFIT Brackets #1</t>
  </si>
  <si>
    <t xml:space="preserve">Intangible Capital Stock: Current CFIT Bracket #2</t>
  </si>
  <si>
    <t xml:space="preserve">Intangible Capital Stock: Current CFIT Bracket #3</t>
  </si>
  <si>
    <t xml:space="preserve">Intangible Capital Stock: Current CFIT Bracket #4</t>
  </si>
  <si>
    <t xml:space="preserve">Intangible Capital Stock: Current CFIT Bracket #5</t>
  </si>
  <si>
    <t xml:space="preserve">2.602</t>
  </si>
  <si>
    <t xml:space="preserve">2.603</t>
  </si>
  <si>
    <t xml:space="preserve">2.700</t>
  </si>
  <si>
    <t xml:space="preserve">Profit Share of GDP (Corporate Income Share) (Average Current CFIT Brackets)</t>
  </si>
  <si>
    <t xml:space="preserve">2.701</t>
  </si>
  <si>
    <t xml:space="preserve">Y-Axis: Profit Share of GDP (Corporate Income Share)</t>
  </si>
  <si>
    <t xml:space="preserve">Profit Share of GDP (Corporate Income Share) - Average Current CFIT Brackets #1 through #5</t>
  </si>
  <si>
    <t xml:space="preserve">2.702</t>
  </si>
  <si>
    <t xml:space="preserve">Profit Share of GDP (Corporate Income Share): Average Current CFIT Brackets #1 through #5</t>
  </si>
  <si>
    <t xml:space="preserve">2.703</t>
  </si>
  <si>
    <t xml:space="preserve">2.800</t>
  </si>
  <si>
    <t xml:space="preserve">Profit Share of GDP (Corporate Income Share) (Separate Current CFIT Brackets)</t>
  </si>
  <si>
    <t xml:space="preserve">2.801</t>
  </si>
  <si>
    <t xml:space="preserve">Profit Share of GDP (Corporate Income Share): Current CFIT Brackets #1</t>
  </si>
  <si>
    <t xml:space="preserve">Profit Share of GDP (Corporate Income Share): Current CFIT Bracket #2</t>
  </si>
  <si>
    <t xml:space="preserve">Profit Share of GDP (Corporate Income Share): Current CFIT Bracket #3</t>
  </si>
  <si>
    <t xml:space="preserve">Profit Share of GDP (Corporate Income Share): Current CFIT Bracket #4</t>
  </si>
  <si>
    <t xml:space="preserve">Profit Share of GDP (Corporate Income Share): Current CFIT Bracket #5</t>
  </si>
  <si>
    <t xml:space="preserve">2.802</t>
  </si>
  <si>
    <t xml:space="preserve">2.803</t>
  </si>
  <si>
    <t xml:space="preserve">3</t>
  </si>
  <si>
    <t xml:space="preserve">Government</t>
  </si>
  <si>
    <t xml:space="preserve">3.100</t>
  </si>
  <si>
    <t xml:space="preserve">Personal Tax Receipts (Average Current PFIT Brackets)</t>
  </si>
  <si>
    <t xml:space="preserve">3.101</t>
  </si>
  <si>
    <t xml:space="preserve">Y-Axis: Personal Tax Receipts</t>
  </si>
  <si>
    <t xml:space="preserve">Personal Tax Receipts - Average Current PFIT Brackets #1 through #7</t>
  </si>
  <si>
    <t xml:space="preserve">3.102</t>
  </si>
  <si>
    <t xml:space="preserve">3.103</t>
  </si>
  <si>
    <t xml:space="preserve">3.200</t>
  </si>
  <si>
    <t xml:space="preserve">Personal Tax Receipts (Separate Current PFIT Brackets)</t>
  </si>
  <si>
    <t xml:space="preserve">3.201</t>
  </si>
  <si>
    <t xml:space="preserve">Personal Tax Receipts: Current PFIT Bracket #6</t>
  </si>
  <si>
    <t xml:space="preserve">Personal Tax Receipts: Current PFIT Bracket #7</t>
  </si>
  <si>
    <t xml:space="preserve">3.202</t>
  </si>
  <si>
    <t xml:space="preserve">3.203</t>
  </si>
  <si>
    <t xml:space="preserve">3.400</t>
  </si>
  <si>
    <t xml:space="preserve">Corporate Tax Receipts (Average Current CFIT Brackets)</t>
  </si>
  <si>
    <t xml:space="preserve">3.401</t>
  </si>
  <si>
    <t xml:space="preserve">Y-Axis: Corporate Tax Receipts</t>
  </si>
  <si>
    <t xml:space="preserve">Corporate Tax Receipts - Average Current CFIT Brackets #1 through #5</t>
  </si>
  <si>
    <t xml:space="preserve">3.402</t>
  </si>
  <si>
    <t xml:space="preserve">Corporate Tax Receipts: Average Current CFIT Brackets #1 through #5</t>
  </si>
  <si>
    <t xml:space="preserve">3.403</t>
  </si>
  <si>
    <t xml:space="preserve">3.500</t>
  </si>
  <si>
    <t xml:space="preserve">Corporate Tax Receipts (Separate Current CFIT Brackets)</t>
  </si>
  <si>
    <t xml:space="preserve">3.501</t>
  </si>
  <si>
    <t xml:space="preserve">Corporate Tax Receipts: Current CFIT Brackets #1</t>
  </si>
  <si>
    <t xml:space="preserve">Corporate Tax Receipts: Current CFIT Bracket #2</t>
  </si>
  <si>
    <t xml:space="preserve">Corporate Tax Receipts: Current CFIT Bracket #3</t>
  </si>
  <si>
    <t xml:space="preserve">Corporate Tax Receipts: Current CFIT Bracket #4</t>
  </si>
  <si>
    <t xml:space="preserve">Corporate Tax Receipts: Current CFIT Bracket #5</t>
  </si>
  <si>
    <t xml:space="preserve">3.502</t>
  </si>
  <si>
    <t xml:space="preserve">3.503</t>
  </si>
  <si>
    <t xml:space="preserve">3.600</t>
  </si>
  <si>
    <t xml:space="preserve">Public Debt-To-GDP</t>
  </si>
  <si>
    <t xml:space="preserve">3.601</t>
  </si>
  <si>
    <t xml:space="preserve">Y-Axis: Public Debt-To-GDP</t>
  </si>
  <si>
    <t xml:space="preserve">Public Debt-To-GDP Ratio</t>
  </si>
  <si>
    <t xml:space="preserve">3.602</t>
  </si>
  <si>
    <t xml:space="preserve">3.603</t>
  </si>
  <si>
    <t xml:space="preserve">3.700</t>
  </si>
  <si>
    <t xml:space="preserve">Net Public Savings</t>
  </si>
  <si>
    <t xml:space="preserve">3.701</t>
  </si>
  <si>
    <t xml:space="preserve">Y-Axis: Net Public Savings</t>
  </si>
  <si>
    <t xml:space="preserve">Net Public Savings Ratio</t>
  </si>
  <si>
    <t xml:space="preserve">3.702</t>
  </si>
  <si>
    <t xml:space="preserve">3.703</t>
  </si>
  <si>
    <t xml:space="preserve">3.800</t>
  </si>
  <si>
    <t xml:space="preserve">Primary Budget Balance</t>
  </si>
  <si>
    <t xml:space="preserve">3.801</t>
  </si>
  <si>
    <t xml:space="preserve">Y-Axis: Primary Budget Balance</t>
  </si>
  <si>
    <t xml:space="preserve">Primary Budget Balance Ratio</t>
  </si>
  <si>
    <t xml:space="preserve">3.802</t>
  </si>
  <si>
    <t xml:space="preserve">3.803</t>
  </si>
  <si>
    <t xml:space="preserve">Composite</t>
  </si>
  <si>
    <t xml:space="preserve">4.100</t>
  </si>
  <si>
    <t xml:space="preserve">4.200</t>
  </si>
  <si>
    <t xml:space="preserve">4.300</t>
  </si>
  <si>
    <t xml:space="preserve">Employment Elasticity</t>
  </si>
  <si>
    <t xml:space="preserve">Y-Axis: Employment Elasticity</t>
  </si>
  <si>
    <t xml:space="preserve">4.400</t>
  </si>
  <si>
    <t xml:space="preserve">Tax Base Elasticity (Aggregate)</t>
  </si>
  <si>
    <t xml:space="preserve">Y-Axis: Tax Base Elasticity (Aggregate)</t>
  </si>
  <si>
    <t xml:space="preserve">4.500</t>
  </si>
  <si>
    <t xml:space="preserve">Bottom 40% Wealth Share</t>
  </si>
  <si>
    <t xml:space="preserve">Y-Axis: Bottom 40% Wealth Share</t>
  </si>
  <si>
    <t xml:space="preserve">Phasing</t>
  </si>
  <si>
    <t xml:space="preserve">PFIT</t>
  </si>
  <si>
    <t xml:space="preserve">Current/New PFIT: Lower 1/6 Tax Elimination</t>
  </si>
  <si>
    <t xml:space="preserve">Personal Annual Earnings (Average Current PFIT)</t>
  </si>
  <si>
    <t xml:space="preserve">&lt;br&gt;**Data Visualization (Line Chart) with 2 Lines**: &lt;br&gt;1. Measure A: Metric A &lt;br&gt;2. Measure B: Metric A &lt;br&gt;**Data Table with 2 Columns**: &lt;br&gt;1. Measure A, Metric A &lt;br&gt;2. Measure B, Metric A &lt;br&gt;**Data Analysis** &lt;br&gt;Summary analysis of Metrics for Measure A versus Measure B. &lt;br&gt;</t>
  </si>
  <si>
    <t xml:space="preserve">4.A - Current to New PFIT: Lower 1/6 Tax Elimination</t>
  </si>
  <si>
    <t xml:space="preserve">Y-Axis: Personal Annual Earnings (Average Current PFIT)</t>
  </si>
  <si>
    <t xml:space="preserve">New PFIT: Lower 1/6 Tax Elimination</t>
  </si>
  <si>
    <t xml:space="preserve">Personal Annual Earnings (Separate Current PFIT)</t>
  </si>
  <si>
    <t xml:space="preserve">&lt;br&gt;**Data Visualization (Line Chart) with 14 Lines**: &lt;br&gt;1. Measure A: Metric A to Metric G &lt;br&gt;2. Measure B: Metric A to Metric G &lt;br&gt;**Data Table With 14 Columns**: &lt;br&gt;1. Measure A: Metric A to Metric G &lt;br&gt;2. Measure B: Metric A to Metric G &lt;br&gt;*Data Analysis** &lt;br&gt;Summary analysis of Metrics for Measure A versus Measure B. &lt;br&gt;</t>
  </si>
  <si>
    <t xml:space="preserve">Y-Axis: Personal Annual Earnings (Separate Current PFIT)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</si>
  <si>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</si>
  <si>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</si>
  <si>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</si>
  <si>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</si>
  <si>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</si>
  <si>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Current/New PFIT: Lower 1/3 Tax Elimination</t>
  </si>
  <si>
    <t xml:space="preserve">4.B - Current to New PFIT: Lower 1/3 Tax Elimination</t>
  </si>
  <si>
    <t xml:space="preserve">New PFIT: Lower 1/3 Tax Elimination</t>
  </si>
  <si>
    <t xml:space="preserve">Each scenario has corresponding data visualization, data table, and data summary analysis. Parameters, Measures, and Metrics define Chart Dimensions, Chart Line Group Lines respectively.</t>
  </si>
  <si>
    <t xml:space="preserve">Current/New PFIT: Lower 1/6 To 1/3 Tax Elimination</t>
  </si>
  <si>
    <t xml:space="preserve">4.C - Current to New PFIT: Lower 1/6 To 1/3 Tax Elimination</t>
  </si>
  <si>
    <t xml:space="preserve">New PFIT: Lower 1/6 To 1/3 Tax Elimination</t>
  </si>
  <si>
    <t xml:space="preserve">Real Hourly Wage Growth</t>
  </si>
  <si>
    <t xml:space="preserve">Real Hourly Wage Growth (Average Current PFIT)</t>
  </si>
  <si>
    <t xml:space="preserve">Y-Axis: Real Hourly Wage Growth (Average Current PFIT)</t>
  </si>
  <si>
    <t xml:space="preserve">Real Hourly Wage Growth: Average Current PFIT Brackets #1 through #7</t>
  </si>
  <si>
    <t xml:space="preserve">Real Hourly Wage Growth (Separate Current PFIT)</t>
  </si>
  <si>
    <t xml:space="preserve">Y-Axis: Real Hourly Wage Growth (Separate Current PFIT)</t>
  </si>
  <si>
    <t xml:space="preserve">Real Hourly Wage Growth: Average Current PFIT Bracket #6</t>
  </si>
  <si>
    <t xml:space="preserve">Real Hourly Wage Growth: Average Current PFIT Bracket #7</t>
  </si>
  <si>
    <t xml:space="preserve">Employment Rate</t>
  </si>
  <si>
    <t xml:space="preserve">Employment Rate (Average Current PFIT)</t>
  </si>
  <si>
    <t xml:space="preserve">Y-Axis: Employment Rate (Average Current PFIT)</t>
  </si>
  <si>
    <t xml:space="preserve">Employment Rate (Separate Current PFIT)</t>
  </si>
  <si>
    <t xml:space="preserve">Y-Axis: Employment Rate (Separate Current PFIT)</t>
  </si>
  <si>
    <t xml:space="preserve">Employment Rate: Current PFIT Bracket #1</t>
  </si>
  <si>
    <t xml:space="preserve">Employment Rate: Current PFIT Bracket #2</t>
  </si>
  <si>
    <t xml:space="preserve">Employment Rate: Current PFIT Bracket #3</t>
  </si>
  <si>
    <t xml:space="preserve">Employment Rate: Current PFIT Bracket #4</t>
  </si>
  <si>
    <t xml:space="preserve">Employment Rate: Current PFIT Bracket #5</t>
  </si>
  <si>
    <t xml:space="preserve">Employment Rate: Average Current PFIT Bracket #6</t>
  </si>
  <si>
    <t xml:space="preserve">Employment Rate: Average Current PFIT Bracket #7</t>
  </si>
  <si>
    <t xml:space="preserve">Average Weekly Hours</t>
  </si>
  <si>
    <t xml:space="preserve">Average Weekly Hours (Average Current PFIT)</t>
  </si>
  <si>
    <t xml:space="preserve">Y-Axis: Average Weekly Hours (Average Current PFIT)</t>
  </si>
  <si>
    <t xml:space="preserve">Average Weekly Hours (Separate Current PFIT)</t>
  </si>
  <si>
    <t xml:space="preserve">Y-Axis: Average Weekly Hours (Separate Current PFIT)</t>
  </si>
  <si>
    <t xml:space="preserve">Average Weekly Hours: Average Current PFIT Bracket #6</t>
  </si>
  <si>
    <t xml:space="preserve">Average Weekly Hours: Average Current PFIT Bracket #7</t>
  </si>
  <si>
    <t xml:space="preserve">NaN</t>
  </si>
  <si>
    <t xml:space="preserve">Economic Corporate Net Worth (Replacement-Cost Basis) (Average Current CFIT)</t>
  </si>
  <si>
    <t xml:space="preserve">Y-Axis: Economic Corporate Net Worth (Replacement-Cost Basis) (Average Current CFIT)</t>
  </si>
  <si>
    <t xml:space="preserve">None</t>
  </si>
  <si>
    <t xml:space="preserve">Economic Corporate Net Worth (Replacement-Cost Basis) (Separate Current CFIT)</t>
  </si>
  <si>
    <t xml:space="preserve">Y-Axis: Economic Corporate Net Worth (Replacement-Cost Basis) (Separate Current CFIT)</t>
  </si>
  <si>
    <t xml:space="preserve">Economic Corporate Profits (Real, Pre-Tax)</t>
  </si>
  <si>
    <t xml:space="preserve">Economic Corporate Profits (Real, Pre-Tax) (Average Current CFIT)</t>
  </si>
  <si>
    <t xml:space="preserve">Y-Axis: Economic Corporate Profits (Real, Pre-Tax) (Average Current CFIT)</t>
  </si>
  <si>
    <t xml:space="preserve">Economic Corporate Profits (Real, Pre-Tax) (Separate Current CFIT)</t>
  </si>
  <si>
    <t xml:space="preserve">Y-Axis: Economic Corporate Profits (Real, Pre-Tax) (Separate Current CFIT)</t>
  </si>
  <si>
    <t xml:space="preserve">Corporate Tax Receipts: Average Current CFIT Bracket #1</t>
  </si>
  <si>
    <t xml:space="preserve">Corporate Tax Receipts: Average Current CFIT Bracket #2</t>
  </si>
  <si>
    <t xml:space="preserve">Corporate Tax Receipts: Average Current CFIT Bracket #3</t>
  </si>
  <si>
    <t xml:space="preserve">Corporate Tax Receipts: Average Current CFIT Bracket #4</t>
  </si>
  <si>
    <t xml:space="preserve">Corporate Tax Receipts: Average Current CFIT Bracket #5</t>
  </si>
  <si>
    <t xml:space="preserve">Intangible Capital Stock</t>
  </si>
  <si>
    <t xml:space="preserve">Intangible Capital Stock (Average Current CFIT)</t>
  </si>
  <si>
    <t xml:space="preserve">Y-Axis: Intangible Capital Stock (Average Current CFIT)</t>
  </si>
  <si>
    <t xml:space="preserve">Intangible Capital Stock (Separate Current CFIT)</t>
  </si>
  <si>
    <t xml:space="preserve">Y-Axis: Intangible Capital Stock (Separate Current CFIT)</t>
  </si>
  <si>
    <t xml:space="preserve">Profit Share of GDP (Corporate Income Share)</t>
  </si>
  <si>
    <t xml:space="preserve">Profit Share of GDP (Corporate Income Share) (Average Current CFIT)</t>
  </si>
  <si>
    <t xml:space="preserve">Y-Axis: Profit Share of GDP (Corporate Income Share) (Average Current CFIT)</t>
  </si>
  <si>
    <t xml:space="preserve">Profit Share of GDP (Corporate Income Share) (Separate Current CFIT)</t>
  </si>
  <si>
    <t xml:space="preserve">Y-Axis: Profit Share of GDP (Corporate Income Share) (Separate Current CFIT)</t>
  </si>
  <si>
    <t xml:space="preserve">Highlights progressive revenue impact</t>
  </si>
  <si>
    <t xml:space="preserve">Corporate Tax Receipts</t>
  </si>
  <si>
    <t xml:space="preserve">Corporate Tax Receipts (Average Current CFIT)</t>
  </si>
  <si>
    <t xml:space="preserve">Y-Axis: Corporate Tax Receipts (Average Current CFIT)</t>
  </si>
  <si>
    <t xml:space="preserve">Corporate Tax Receipts (Separate Current CFIT)</t>
  </si>
  <si>
    <t xml:space="preserve">Y-Axis: Corporate Tax Receipts (Separate Current CFIT)</t>
  </si>
  <si>
    <t xml:space="preserve">Same as 3.401; bracket-specific demand sensitivity</t>
  </si>
  <si>
    <t xml:space="preserve">CFIT-BRACKETS#1, PFIT#4.B</t>
  </si>
  <si>
    <t xml:space="preserve">CFIT-BRACKETS#1, PFIT#4.C</t>
  </si>
  <si>
    <t xml:space="preserve">Aggregate base response</t>
  </si>
  <si>
    <t xml:space="preserve">CFIT</t>
  </si>
  <si>
    <t xml:space="preserve">Current/New CFIT</t>
  </si>
  <si>
    <t xml:space="preserve">4.A - Current, New CFIT Phasing</t>
  </si>
  <si>
    <t xml:space="preserve">3.300</t>
  </si>
  <si>
    <t xml:space="preserve">Log A</t>
  </si>
  <si>
    <t xml:space="preserve">Current/New: PFIT, CFIT</t>
  </si>
  <si>
    <t xml:space="preserve">1.A.100</t>
  </si>
  <si>
    <t xml:space="preserve">Current/New: PFIT (Lower 1/6 Tax Elimination), CFIT</t>
  </si>
  <si>
    <t xml:space="preserve">for year in range(21): pf_earnings_new = PFIT_MENU_1.A.101_adjusted_new[year] # lower 1/6 PFIT cfit_spillover = CFIT_MENU_1.A.101_investment_wage_boost[year] # capital → wage/productivity gains net_earnings_new = pf_earnings_new + cfit_spillover * (1 - pf_eff_tax_new) net_current = current_earnings Feedback: PFIT tax cut + CFIT spillover create strong synergy → very high net earnings lift; excellent across all scenarios, stronger than PFIT-only.</t>
  </si>
  <si>
    <t xml:space="preserve">PFIT MENU 1.A.101 earnings (lower 1/6), CFIT MENU 1.A.101 wage/investment spillover, hours ~2080, eff_tax from PFIT-BRACKETS#4.A.</t>
  </si>
  <si>
    <t xml:space="preserve">Line chart (2 lines: New vs Current over 20 years), table (2 cols: New, Current), analysis summary (e.g., "Net earnings up 7-18% in baseline from PFIT+CFIT synergy").</t>
  </si>
  <si>
    <t xml:space="preserve">CFIT boosts capital productivity → indirect wage gains; scenarios vary spillover (highest optimistic).</t>
  </si>
  <si>
    <t xml:space="preserve">PFIT#4.A, CFIT#4.A</t>
  </si>
  <si>
    <t xml:space="preserve">CPI inflation + scenario growth</t>
  </si>
  <si>
    <t xml:space="preserve">Strong personal earnings synergy with PFIT+CFIT.</t>
  </si>
  <si>
    <t xml:space="preserve">1.A.101</t>
  </si>
  <si>
    <t xml:space="preserve">PFIT-BRACKETS#4.A - Current, New PFIT Phasing: Lower 1/6 Tax Elimination  
CFIT-BRACKETS#4.A - Current, New CFIT Phasing</t>
  </si>
  <si>
    <t xml:space="preserve">New PFIT (Lower 1/6 Tax Elimination)  
New CFIT</t>
  </si>
  <si>
    <t xml:space="preserve">Current PFIT  
Current CFIT</t>
  </si>
  <si>
    <t xml:space="preserve">Similar to 1.A.101 but per PFIT bracket: net[br] = pf_earnings[br] + cfit_spillover[br] * (1 - tax[br]); plot 14 lines. Feedback: Lower brackets gain significantly from progressive PFIT + CFIT indirect spillover.</t>
  </si>
  <si>
    <t xml:space="preserve">Same as 1.A.101.</t>
  </si>
  <si>
    <t xml:space="preserve">Line chart (14 lines), table (14 cols), per-bracket analysis.</t>
  </si>
  <si>
    <t xml:space="preserve">Bracket-specific CFIT spillovers (strong lower); assumes broad capital reallocation benefits.</t>
  </si>
  <si>
    <t xml:space="preserve">Same.</t>
  </si>
  <si>
    <t xml:space="preserve">Progressive full-policy effect.</t>
  </si>
  <si>
    <t xml:space="preserve">1.A.102</t>
  </si>
  <si>
    <t xml:space="preserve">1.A.200</t>
  </si>
  <si>
    <t xml:space="preserve">Current/New: PFIT (Lower 1/3 Tax Elimination), CFIT</t>
  </si>
  <si>
    <t xml:space="preserve">Similar to 1.A.101 but PFIT lower 1/3 phasing (4.B). Feedback: Deeper PFIT + CFIT = largest net earnings gain among variants.</t>
  </si>
  <si>
    <t xml:space="preserve">PFIT MENU 1.A.201 earnings (lower 1/3), CFIT MENU 1.A.101 spillover.</t>
  </si>
  <si>
    <t xml:space="preserve">Largest PFIT tax savings amplify CFIT benefits.</t>
  </si>
  <si>
    <t xml:space="preserve">PFIT#4.B, CFIT#4.A</t>
  </si>
  <si>
    <t xml:space="preserve">Peak synergy with deeper PFIT + CFIT.</t>
  </si>
  <si>
    <t xml:space="preserve">1.A.201</t>
  </si>
  <si>
    <t xml:space="preserve">PFIT-BRACKETS#4.A - Current, New PFIT Phasing: Lower 1/3 Tax Elimination  
CFIT-BRACKETS#4.A - Current, New CFIT Phasing</t>
  </si>
  <si>
    <t xml:space="preserve">New PFIT (Lower 1/3 Tax Elimination)  
New CFIT</t>
  </si>
  <si>
    <t xml:space="preserve">Similar to 1.A.102 for PFIT lower 1/3. Feedback: Stronger bracket-level gains.</t>
  </si>
  <si>
    <t xml:space="preserve">Same as 1.A.201.</t>
  </si>
  <si>
    <t xml:space="preserve">Same as 1.A.102.</t>
  </si>
  <si>
    <t xml:space="preserve">-</t>
  </si>
  <si>
    <t xml:space="preserve">1.A.202</t>
  </si>
  <si>
    <t xml:space="preserve">1.A.300</t>
  </si>
  <si>
    <t xml:space="preserve">Current/New: PFIT (Lower 1/6 To 1/3 Tax Elimination), CFIT</t>
  </si>
  <si>
    <t xml:space="preserve">Similar to 1.A.101 but PFIT 1/6 to 1/3 phasing (4.C). Feedback: Gradual PFIT + CFIT = smooth yet strong net earnings increase.</t>
  </si>
  <si>
    <t xml:space="preserve">PFIT MENU 1.A.301 earnings (1/6 to 1/3), CFIT MENU 1.A.101 spillover.</t>
  </si>
  <si>
    <t xml:space="preserve">Phased PFIT reduces volatility.</t>
  </si>
  <si>
    <t xml:space="preserve">PFIT#4.C, CFIT#4.A</t>
  </si>
  <si>
    <t xml:space="preserve">Balanced full-policy transition.</t>
  </si>
  <si>
    <t xml:space="preserve">1.A.301</t>
  </si>
  <si>
    <t xml:space="preserve">PFIT-BRACKETS#4.A - Current, New PFIT Phasing: Lower 1/6 To 1/3 Tax Elimination  
CFIT-BRACKETS#4.A - Current, New CFIT Phasing</t>
  </si>
  <si>
    <t xml:space="preserve">New PFIT (Lower 1/6 To 1/3 Tax Elimination)  
New CFIT</t>
  </si>
  <si>
    <t xml:space="preserve">Similar to 1.A.102 for PFIT 1/6 to 1/3. Feedback: Gradual bracket improvements.</t>
  </si>
  <si>
    <t xml:space="preserve">Same as 1.A.301.</t>
  </si>
  <si>
    <t xml:space="preserve">1.A.302</t>
  </si>
  <si>
    <t xml:space="preserve">1.A.400</t>
  </si>
  <si>
    <t xml:space="preserve">net_real_growth = (net_earnings_new - net_current) / net_current - inflation Feedback: Very strong positive real wage growth from PFIT+CFIT effects.</t>
  </si>
  <si>
    <t xml:space="preserve">Same as 1.A.101 + inflation rate.</t>
  </si>
  <si>
    <t xml:space="preserve">Line chart (2 lines: growth rates), table, analysis.</t>
  </si>
  <si>
    <t xml:space="preserve">Real terms after all effects; constant hours assumed.</t>
  </si>
  <si>
    <t xml:space="preserve">CPI real adjustment.</t>
  </si>
  <si>
    <t xml:space="preserve">Net real earnings growth with PFIT+CFIT.</t>
  </si>
  <si>
    <t xml:space="preserve">1.A.401</t>
  </si>
  <si>
    <t xml:space="preserve">Similar to 1.A.401 but per bracket; plot 14 growth lines. Feedback: Lower brackets show very strong real growth.</t>
  </si>
  <si>
    <t xml:space="preserve">Same as 1.A.401.</t>
  </si>
  <si>
    <t xml:space="preserve">Same as 1.A.102 but for growth.</t>
  </si>
  <si>
    <t xml:space="preserve">Bracket-specific real effect.</t>
  </si>
  <si>
    <t xml:space="preserve">Progressive real wage lift.</t>
  </si>
  <si>
    <t xml:space="preserve">1.A.402</t>
  </si>
  <si>
    <t xml:space="preserve">Real Hourly Wage Growth: Average Current PFIT Bracket #1</t>
  </si>
  <si>
    <t xml:space="preserve">Real Hourly Wage Growth: Average Current PFIT Bracket #2</t>
  </si>
  <si>
    <t xml:space="preserve">Real Hourly Wage Growth: Average Current PFIT Bracket #3</t>
  </si>
  <si>
    <t xml:space="preserve">Real Hourly Wage Growth: Average Current PFIT Bracket #4</t>
  </si>
  <si>
    <t xml:space="preserve">Real Hourly Wage Growth: Average Current PFIT Bracket #5</t>
  </si>
  <si>
    <t xml:space="preserve">1.A.500</t>
  </si>
  <si>
    <t xml:space="preserve">Similar to 1.A.401 for PFIT lower 1/3 (4.B). Feedback: Strongest real growth from deepest PFIT + CFIT.</t>
  </si>
  <si>
    <t xml:space="preserve">PFIT MENU 1.A.501, CFIT MENU 1.A.101 spillover, inflation.</t>
  </si>
  <si>
    <t xml:space="preserve">Largest PFIT benefit.</t>
  </si>
  <si>
    <t xml:space="preserve">Peak real earnings outcome.</t>
  </si>
  <si>
    <t xml:space="preserve">1.A.501</t>
  </si>
  <si>
    <t xml:space="preserve">Similar to 1.A.402 for 1/3 PFIT. Feedback: Strong bracket real gains.</t>
  </si>
  <si>
    <t xml:space="preserve">Same as 1.A.501.</t>
  </si>
  <si>
    <t xml:space="preserve">Same as 1.A.402.</t>
  </si>
  <si>
    <t xml:space="preserve">1.A.502</t>
  </si>
  <si>
    <t xml:space="preserve">1.A.600</t>
  </si>
  <si>
    <t xml:space="preserve">Similar to 1.A.401 for PFIT 1/6 to 1/3 (4.C). Feedback: Gradual but strong real growth build from phased PFIT + CFIT.</t>
  </si>
  <si>
    <t xml:space="preserve">PFIT MENU 1.A.601, CFIT MENU 1.A.101 spillover, inflation.</t>
  </si>
  <si>
    <t xml:space="preserve">Steady real earnings trajectory.</t>
  </si>
  <si>
    <t xml:space="preserve">1.A.601</t>
  </si>
  <si>
    <t xml:space="preserve">Similar to 1.A.402 for 1/6 to 1/3 PFIT. Feedback: Gradual bracket strong real improvement.</t>
  </si>
  <si>
    <t xml:space="preserve">Same as 1.A.601.</t>
  </si>
  <si>
    <t xml:space="preserve">1.A.602</t>
  </si>
  <si>
    <t xml:space="preserve">1.A.700</t>
  </si>
  <si>
    <t xml:space="preserve">net_emp_impact = PFIT_emp_boost + CFIT_emp_boost net_emp_new = base_emp * (1 + net_impact) Feedback: Strong net employment boost from PFIT labor supply + CFIT capital/labor demand.</t>
  </si>
  <si>
    <t xml:space="preserve">PFIT MENU 1.A.701 emp impact, CFIT MENU 1.A.701 emp impact, base emp 60%.</t>
  </si>
  <si>
    <t xml:space="preserve">Line chart (2 lines), table, analysis.</t>
  </si>
  <si>
    <t xml:space="preserve">Combined supply + demand; elasticity 0.15-0.45 net.</t>
  </si>
  <si>
    <t xml:space="preserve">Labor growth.</t>
  </si>
  <si>
    <t xml:space="preserve">Net employment rate.</t>
  </si>
  <si>
    <t xml:space="preserve">1.A.701</t>
  </si>
  <si>
    <t xml:space="preserve">Similar to 1.A.701 per bracket. Feedback: Lower brackets net highest employment gain.</t>
  </si>
  <si>
    <t xml:space="preserve">Same as 1.A.701.</t>
  </si>
  <si>
    <t xml:space="preserve">Bracket-specific elasticity.</t>
  </si>
  <si>
    <t xml:space="preserve">Bracket-level net emp.</t>
  </si>
  <si>
    <t xml:space="preserve">1.A.702</t>
  </si>
  <si>
    <t xml:space="preserve">Employment Rate: Average Current PFIT Bracket #1</t>
  </si>
  <si>
    <t xml:space="preserve">Employment Rate: Average Current PFIT Bracket #2</t>
  </si>
  <si>
    <t xml:space="preserve">Employment Rate: Average Current PFIT Bracket #3</t>
  </si>
  <si>
    <t xml:space="preserve">Employment Rate: Average Current PFIT Bracket #4</t>
  </si>
  <si>
    <t xml:space="preserve">Employment Rate: Average Current PFIT Bracket #5</t>
  </si>
  <si>
    <t xml:space="preserve">1.A.800</t>
  </si>
  <si>
    <t xml:space="preserve">Similar to 1.A.701 for PFIT lower 1/3 (4.B). Feedback: Strongest net emp boost from deepest PFIT + CFIT.</t>
  </si>
  <si>
    <t xml:space="preserve">PFIT MENU 1.A.801, CFIT MENU 1.A.701.</t>
  </si>
  <si>
    <t xml:space="preserve">Largest PFIT labor supply response.</t>
  </si>
  <si>
    <t xml:space="preserve">Peak employment effect.</t>
  </si>
  <si>
    <t xml:space="preserve">1.A.801</t>
  </si>
  <si>
    <t xml:space="preserve">Similar to 1.A.702 for 1/3 PFIT. Feedback: Strong bracket gains.</t>
  </si>
  <si>
    <t xml:space="preserve">Same as 1.A.801.</t>
  </si>
  <si>
    <t xml:space="preserve">Same as 1.A.702.</t>
  </si>
  <si>
    <t xml:space="preserve">1.A.802</t>
  </si>
  <si>
    <t xml:space="preserve">1.A.900</t>
  </si>
  <si>
    <t xml:space="preserve">Similar to 1.A.701 for PFIT 1/6 to 1/3 (4.C). Feedback: Gradual strong net employment increase.</t>
  </si>
  <si>
    <t xml:space="preserve">PFIT MENU 1.A.901, CFIT MENU 1.A.701.</t>
  </si>
  <si>
    <t xml:space="preserve">Phased PFIT labor supply.</t>
  </si>
  <si>
    <t xml:space="preserve">Steady strong employment trajectory.</t>
  </si>
  <si>
    <t xml:space="preserve">1.A.901</t>
  </si>
  <si>
    <t xml:space="preserve">Similar to 1.A.702 for 1/6 to 1/3 PFIT. Feedback: Gradual bracket strong net emp gains.</t>
  </si>
  <si>
    <t xml:space="preserve">Same as 1.A.901.</t>
  </si>
  <si>
    <t xml:space="preserve">1.A.902</t>
  </si>
  <si>
    <t xml:space="preserve">1.A.1000</t>
  </si>
  <si>
    <t xml:space="preserve">net_hours_impact = PFIT_hours_boost + CFIT_hours_impact net_hours_new = base_hours * (1 + net_impact) Feedback: Strong net hours increase from PFIT incentive + CFIT productivity.</t>
  </si>
  <si>
    <t xml:space="preserve">PFIT MENU 1.A.1001 hours impact, CFIT MENU 1.A.1001 hours impact, base hours 35.</t>
  </si>
  <si>
    <t xml:space="preserve">Combined income/substitution effects; net positive 0.08-0.25.</t>
  </si>
  <si>
    <t xml:space="preserve">Productivity adj.</t>
  </si>
  <si>
    <t xml:space="preserve">Net average weekly hours.</t>
  </si>
  <si>
    <t xml:space="preserve">1.A.1001</t>
  </si>
  <si>
    <t xml:space="preserve">Similar to 1.A.1001 per bracket. Feedback: Lower brackets net highest hours gain.</t>
  </si>
  <si>
    <t xml:space="preserve">Same as 1.A.1001.</t>
  </si>
  <si>
    <t xml:space="preserve">Bracket-specific incentive.</t>
  </si>
  <si>
    <t xml:space="preserve">Bracket-level net hours.</t>
  </si>
  <si>
    <t xml:space="preserve">1.A.1002</t>
  </si>
  <si>
    <t xml:space="preserve">Average Weekly Hours: Average Current PFIT Bracket #1</t>
  </si>
  <si>
    <t xml:space="preserve">Average Weekly Hours: Average Current PFIT Bracket #2</t>
  </si>
  <si>
    <t xml:space="preserve">Average Weekly Hours: Average Current PFIT Bracket #3</t>
  </si>
  <si>
    <t xml:space="preserve">Average Weekly Hours: Average Current PFIT Bracket #4</t>
  </si>
  <si>
    <t xml:space="preserve">Average Weekly Hours: Average Current PFIT Bracket #5</t>
  </si>
  <si>
    <t xml:space="preserve">1.A.1100</t>
  </si>
  <si>
    <t xml:space="preserve">Similar to 1.A.1001 for PFIT lower 1/3 (4.B). Feedback: Strong net hours boost from deepest PFIT + CFIT.</t>
  </si>
  <si>
    <t xml:space="preserve">PFIT MENU 1.A.1101, CFIT MENU 1.A.1001.</t>
  </si>
  <si>
    <t xml:space="preserve">Largest PFIT incentive.</t>
  </si>
  <si>
    <t xml:space="preserve">Enhanced hours effect.</t>
  </si>
  <si>
    <t xml:space="preserve">1.A.1101</t>
  </si>
  <si>
    <t xml:space="preserve">Similar to 1.A.1002 for 1/3 PFIT. Feedback: Strong bracket gains.</t>
  </si>
  <si>
    <t xml:space="preserve">Same as 1.A.1101.</t>
  </si>
  <si>
    <t xml:space="preserve">Same as 1.A.1002.</t>
  </si>
  <si>
    <t xml:space="preserve">1.A.1102</t>
  </si>
  <si>
    <t xml:space="preserve">1.A.1200</t>
  </si>
  <si>
    <t xml:space="preserve">Similar to 1.A.1001 for PFIT 1/6 to 1/3 (4.C). Feedback: Gradual strong net hours increase.</t>
  </si>
  <si>
    <t xml:space="preserve">PFIT MENU 1.A.1201, CFIT MENU 1.A.1001.</t>
  </si>
  <si>
    <t xml:space="preserve">Phased PFIT incentive.</t>
  </si>
  <si>
    <t xml:space="preserve">Steady strong hours trajectory.</t>
  </si>
  <si>
    <t xml:space="preserve">1.A.1201</t>
  </si>
  <si>
    <t xml:space="preserve">Similar to 1.A.1002 for 1/6 to 1/3 PFIT. Feedback: Gradual bracket strong net hours gains.</t>
  </si>
  <si>
    <t xml:space="preserve">Same as 1.A.1201.</t>
  </si>
  <si>
    <t xml:space="preserve">1.A.1202</t>
  </si>
  <si>
    <t xml:space="preserve">1.B.100</t>
  </si>
  <si>
    <t xml:space="preserve">1.B.101</t>
  </si>
  <si>
    <t xml:space="preserve">for year in range(21): pf_demand_boost = PFIT_MENU_1.B.101_demand_boost[year] # lower 1/6 cfit_profit_boost = CFIT_MENU_1.B.101_profit_boost[year] cf_profit_new = base_profit * (1 + pf_demand_boost * sales_elasticity + cfit_profit_boost * investment_elasticity) net_worth_new = base_net_worth + cf_profit_new * (1 - new_corp_tax_rate) * retention_rate Feedback: PFIT demand + CFIT incentives create strong synergy → accelerated replacement-cost net worth accumulation; very positive in dynamic/optimistic.</t>
  </si>
  <si>
    <t xml:space="preserve">PFIT MENU 1.B.101 demand (1/6), CFIT MENU 1.B.101 profit boost, sales/investment elasticities 0.3-0.8, retention rate 0.5-0.7, new tax rate from CFIT-BRACKETS#4.A.</t>
  </si>
  <si>
    <t xml:space="preserve">Line chart (2 lines: New vs Current), table (2 cols), analysis summary (e.g., "Net worth growth accelerates 6-18% cumulatively in baseline from PFIT+CFIT synergy").</t>
  </si>
  <si>
    <t xml:space="preserve">Replacement-cost basis; synergistic pass-through 0.5-0.9; scenarios vary combined elasticity.</t>
  </si>
  <si>
    <t xml:space="preserve">Inflation + scenario growth + depreciation</t>
  </si>
  <si>
    <t xml:space="preserve">Economic corporate net worth after PFIT 1/6 + CFIT.</t>
  </si>
  <si>
    <t xml:space="preserve">1.B.102</t>
  </si>
  <si>
    <t xml:space="preserve">```
**Data Visualization (Line Chart) with 10 Lines**:  
1. Measure A: Metric A to Metric E  
2. Measure B: Metric A to Metric E  
**Data Table With 14 Columns**:  
1. Measure A: Metric A to Metric E  
2. Measure B: Metric A to Metric E  
*Data Analysis**  
Summary analysis of Metrics for Measure A versus Measure B. 
```</t>
  </si>
  <si>
    <t xml:space="preserve">Similar to 1.B.101 but per CFIT bracket; plot 10 lines. Feedback: Larger brackets benefit most from combined PFIT demand + CFIT incentives → strongest net worth acceleration.</t>
  </si>
  <si>
    <t xml:space="preserve">Same as 1.B.101.</t>
  </si>
  <si>
    <t xml:space="preserve">Line chart (10 lines), table (10 cols), per-bracket analysis.</t>
  </si>
  <si>
    <t xml:space="preserve">Bracket-specific exposure (larger firms more demand/investment-sensitive).</t>
  </si>
  <si>
    <t xml:space="preserve">Bracket-level net worth.</t>
  </si>
  <si>
    <t xml:space="preserve">1.B.200</t>
  </si>
  <si>
    <t xml:space="preserve">1.B.201</t>
  </si>
  <si>
    <t xml:space="preserve">Similar to 1.B.101 but PFIT lower 1/3 phasing (4.B). Feedback: Deeper PFIT demand + CFIT → maximum net worth acceleration among variants.</t>
  </si>
  <si>
    <t xml:space="preserve">PFIT MENU 1.B.201 demand (1/3), CFIT MENU 1.B.101 profit boost.</t>
  </si>
  <si>
    <t xml:space="preserve">Largest PFIT demand amplification.</t>
  </si>
  <si>
    <t xml:space="preserve">Peak net worth from deepest PFIT + CFIT.</t>
  </si>
  <si>
    <t xml:space="preserve">1.B.202</t>
  </si>
  <si>
    <t xml:space="preserve">Similar to 1.B.102 for PFIT lower 1/3. Feedback: Maximum bracket-level acceleration.</t>
  </si>
  <si>
    <t xml:space="preserve">Same as 1.B.201.</t>
  </si>
  <si>
    <t xml:space="preserve">Same as 1.B.102.</t>
  </si>
  <si>
    <t xml:space="preserve">Bracket-level with deepest PFIT.</t>
  </si>
  <si>
    <t xml:space="preserve">1.B.300</t>
  </si>
  <si>
    <t xml:space="preserve">1.B.301</t>
  </si>
  <si>
    <t xml:space="preserve">Similar to 1.B.101 but PFIT 1/6 to 1/3 phasing (4.C). Feedback: Gradual PFIT demand + CFIT → smooth yet very strong net worth growth trajectory.</t>
  </si>
  <si>
    <t xml:space="preserve">PFIT MENU 1.B.301 demand (1/6 to 1/3), CFIT MENU 1.B.101 profit boost.</t>
  </si>
  <si>
    <t xml:space="preserve">Phased demand reduces volatility.</t>
  </si>
  <si>
    <t xml:space="preserve">Phased net worth acceleration.</t>
  </si>
  <si>
    <t xml:space="preserve">1.B.302</t>
  </si>
  <si>
    <t xml:space="preserve">Similar to 1.B.102 for PFIT 1/6 to 1/3. Feedback: Gradual bracket-level improvements.</t>
  </si>
  <si>
    <t xml:space="preserve">Same as 1.B.301.</t>
  </si>
  <si>
    <t xml:space="preserve">Bracket-level phased growth.</t>
  </si>
  <si>
    <t xml:space="preserve">1.B.400</t>
  </si>
  <si>
    <t xml:space="preserve">1.B.401</t>
  </si>
  <si>
    <t xml:space="preserve">real_profit_new = base_profit * (1 + pf_demand_boost * sales_elasticity + cfit_profit_boost * investment_elasticity) - inflation_adj Feedback: PFIT demand + CFIT incentives synergize for strong real pre-tax profit growth; very positive in dynamic/optimistic.</t>
  </si>
  <si>
    <t xml:space="preserve">PFIT MENU 1.B.401 demand (1/6), CFIT MENU 1.B.401 profit boost, elasticities, inflation rate.</t>
  </si>
  <si>
    <t xml:space="preserve">Line chart (2 lines), table, analysis summary (e.g., "Real profits up 5-16% in baseline from PFIT+CFIT").</t>
  </si>
  <si>
    <t xml:space="preserve">Real terms; synergistic pass-through 0.5-0.9.</t>
  </si>
  <si>
    <t xml:space="preserve">CPI real adjustment + growth</t>
  </si>
  <si>
    <t xml:space="preserve">Real pre-tax corporate profits after PFIT 1/6 + CFIT.</t>
  </si>
  <si>
    <t xml:space="preserve">1.B.402</t>
  </si>
  <si>
    <t xml:space="preserve">Similar to 1.B.401 but per CFIT bracket; plot 10 lines. Feedback: Larger brackets show strongest real profit gains from combined effects.</t>
  </si>
  <si>
    <t xml:space="preserve">Same as 1.B.401.</t>
  </si>
  <si>
    <t xml:space="preserve">Bracket-specific sensitivities.</t>
  </si>
  <si>
    <t xml:space="preserve">Bracket-level real profits.</t>
  </si>
  <si>
    <t xml:space="preserve">1.B.500</t>
  </si>
  <si>
    <t xml:space="preserve">1.B.501</t>
  </si>
  <si>
    <t xml:space="preserve">Similar to 1.B.401 but PFIT lower 1/3 (4.B). Feedback: Deeper PFIT + CFIT → maximum real profit boost.</t>
  </si>
  <si>
    <t xml:space="preserve">PFIT MENU 1.B.501 demand (1/3), CFIT MENU 1.B.401 profit boost.</t>
  </si>
  <si>
    <t xml:space="preserve">Largest demand amplification.</t>
  </si>
  <si>
    <t xml:space="preserve">Peak real profits from deepest PFIT + CFIT.</t>
  </si>
  <si>
    <t xml:space="preserve">1.B.502</t>
  </si>
  <si>
    <t xml:space="preserve">Similar to 1.B.402 for PFIT lower 1/3. Feedback: Maximum bracket-level gains.</t>
  </si>
  <si>
    <t xml:space="preserve">Same as 1.B.501.</t>
  </si>
  <si>
    <t xml:space="preserve">Same as 1.B.402.</t>
  </si>
  <si>
    <t xml:space="preserve">1.B.600</t>
  </si>
  <si>
    <t xml:space="preserve">1.B.601</t>
  </si>
  <si>
    <t xml:space="preserve">Similar to 1.B.401 but PFIT 1/6 to 1/3 (4.C). Feedback: Gradual PFIT demand + CFIT → steady real profit growth.</t>
  </si>
  <si>
    <t xml:space="preserve">PFIT MENU 1.B.601 demand (1/6 to 1/3), CFIT MENU 1.B.401 profit boost.</t>
  </si>
  <si>
    <t xml:space="preserve">Phased demand build-up.</t>
  </si>
  <si>
    <t xml:space="preserve">Phased real profits.</t>
  </si>
  <si>
    <t xml:space="preserve">1.B.602</t>
  </si>
  <si>
    <t xml:space="preserve">Similar to 1.B.402 for PFIT 1/6 to 1/3. Feedback: Gradual bracket-level gains.</t>
  </si>
  <si>
    <t xml:space="preserve">Same as 1.B.601.</t>
  </si>
  <si>
    <t xml:space="preserve">Bracket-level phased profits.</t>
  </si>
  <si>
    <t xml:space="preserve">1.B.700</t>
  </si>
  <si>
    <t xml:space="preserve">1.B.701</t>
  </si>
  <si>
    <t xml:space="preserve">intangible_stock_new = base_intangible + r&amp;d_investment_new r&amp;d_investment_new = retained_earnings_new * r&amp;d_share retained_earnings_new = real_profit_new * (1 - new_tax_rate) Feedback: PFIT demand + CFIT boost after-tax profits → higher intangible investment; very strong in dynamic/optimistic.</t>
  </si>
  <si>
    <t xml:space="preserve">PFIT MENU 1.B.701 demand (1/6), CFIT MENU 1.B.701 profit boost, r&amp;d share 0.3-0.5, new tax rate.</t>
  </si>
  <si>
    <t xml:space="preserve">Line chart (2 lines), table, analysis summary (e.g., "Intangible stock up 7-20% cumulatively in baseline").</t>
  </si>
  <si>
    <t xml:space="preserve">Intangible accumulation tied to after-tax profits; scenarios vary r&amp;d elasticity.</t>
  </si>
  <si>
    <t xml:space="preserve">Growth + depreciation</t>
  </si>
  <si>
    <t xml:space="preserve">Intangible capital stock after PFIT 1/6 + CFIT.</t>
  </si>
  <si>
    <t xml:space="preserve">1.B.702</t>
  </si>
  <si>
    <t xml:space="preserve">Similar to 1.B.701 but per CFIT bracket; plot 10 lines. Feedback: Larger brackets show strongest intangible growth from combined PFIT+CFIT.</t>
  </si>
  <si>
    <t xml:space="preserve">Same as 1.B.701.</t>
  </si>
  <si>
    <t xml:space="preserve">Bracket-specific r&amp;d intensity.</t>
  </si>
  <si>
    <t xml:space="preserve">Bracket-level intangible stock.</t>
  </si>
  <si>
    <t xml:space="preserve">1.B.800</t>
  </si>
  <si>
    <t xml:space="preserve">1.B.801</t>
  </si>
  <si>
    <t xml:space="preserve">Similar to 1.B.701 but PFIT lower 1/3 (4.B). Feedback: Deeper PFIT + CFIT → maximum intangible stock growth.</t>
  </si>
  <si>
    <t xml:space="preserve">PFIT MENU 1.B.801 demand (1/3), CFIT MENU 1.B.701 profit boost.</t>
  </si>
  <si>
    <t xml:space="preserve">Largest combined effect.</t>
  </si>
  <si>
    <t xml:space="preserve">Peak intangible growth from deepest PFIT + CFIT.</t>
  </si>
  <si>
    <t xml:space="preserve">1.B.802</t>
  </si>
  <si>
    <t xml:space="preserve">Similar to 1.B.702 for PFIT lower 1/3. Feedback: Maximum bracket-level intangible gains.</t>
  </si>
  <si>
    <t xml:space="preserve">Same as 1.B.801.</t>
  </si>
  <si>
    <t xml:space="preserve">Same as 1.B.702.</t>
  </si>
  <si>
    <t xml:space="preserve">1.B.900</t>
  </si>
  <si>
    <t xml:space="preserve">1.B.901</t>
  </si>
  <si>
    <t xml:space="preserve">Similar to 1.B.701 but PFIT 1/6 to 1/3 (4.C). Feedback: Gradual PFIT demand + CFIT → steady intangible stock growth.</t>
  </si>
  <si>
    <t xml:space="preserve">PFIT MENU 1.B.901 demand (1/6 to 1/3), CFIT MENU 1.B.701 profit boost.</t>
  </si>
  <si>
    <t xml:space="preserve">Phased intangible growth.</t>
  </si>
  <si>
    <t xml:space="preserve">1.B.902</t>
  </si>
  <si>
    <t xml:space="preserve">Similar to 1.B.702 for PFIT 1/6 to 1/3. Feedback: Gradual bracket-level intangible gains.</t>
  </si>
  <si>
    <t xml:space="preserve">Same as 1.B.901.</t>
  </si>
  <si>
    <t xml:space="preserve">Bracket-level phased intangible.</t>
  </si>
  <si>
    <t xml:space="preserve">1.B.1000</t>
  </si>
  <si>
    <t xml:space="preserve">1.B.1001</t>
  </si>
  <si>
    <t xml:space="preserve">profit_share_new = real_profit_new / gdp_new Feedback: PFIT demand + CFIT incentives synergize to boost profit share of GDP; very strong in dynamic/optimistic.</t>
  </si>
  <si>
    <t xml:space="preserve">PFIT MENU 1.B.1001 demand (1/6), CFIT MENU 1.B.1001 profit boost, gdp_new from scenario growth.</t>
  </si>
  <si>
    <t xml:space="preserve">Line chart (2 lines), table, analysis summary (e.g., "Profit share rises 1.2-4.5 pp in baseline from PFIT+CFIT").</t>
  </si>
  <si>
    <t xml:space="preserve">Profit share = corporate income / GDP; synergistic increases numerator.</t>
  </si>
  <si>
    <t xml:space="preserve">Real GDP growth adj.</t>
  </si>
  <si>
    <t xml:space="preserve">Profit share of GDP after PFIT 1/6 + CFIT.</t>
  </si>
  <si>
    <t xml:space="preserve">1.B.1002</t>
  </si>
  <si>
    <t xml:space="preserve">Similar to 1.B.1001 but per CFIT bracket; plot 10 lines. Feedback: Larger brackets show strongest profit share increase from combined effects.</t>
  </si>
  <si>
    <t xml:space="preserve">Same as 1.B.1001.</t>
  </si>
  <si>
    <t xml:space="preserve">Bracket-level profit share.</t>
  </si>
  <si>
    <t xml:space="preserve">1.B.1100</t>
  </si>
  <si>
    <t xml:space="preserve">1.B.1101</t>
  </si>
  <si>
    <t xml:space="preserve">Similar to 1.B.1001 but PFIT lower 1/3 (4.B). Feedback: Deeper PFIT + CFIT → maximum profit share increase.</t>
  </si>
  <si>
    <t xml:space="preserve">PFIT MENU 1.B.1101 demand (1/3), CFIT MENU 1.B.1001 profit boost.</t>
  </si>
  <si>
    <t xml:space="preserve">Peak profit share from deepest PFIT + CFIT.</t>
  </si>
  <si>
    <t xml:space="preserve">1.B.1102</t>
  </si>
  <si>
    <t xml:space="preserve">Similar to 1.B.1002 for PFIT lower 1/3. Feedback: Maximum bracket-level profit share gains.</t>
  </si>
  <si>
    <t xml:space="preserve">Same as 1.B.1101.</t>
  </si>
  <si>
    <t xml:space="preserve">Same as 1.B.1002.</t>
  </si>
  <si>
    <t xml:space="preserve">1.B.1200</t>
  </si>
  <si>
    <t xml:space="preserve">1.B.1201</t>
  </si>
  <si>
    <t xml:space="preserve">Similar to 1.B.1001 but PFIT 1/6 to 1/3 (4.C). Feedback: Gradual PFIT demand + CFIT → steady profit share increase.</t>
  </si>
  <si>
    <t xml:space="preserve">PFIT MENU 1.B.1201 demand (1/6 to 1/3), CFIT MENU 1.B.1001 profit boost.</t>
  </si>
  <si>
    <t xml:space="preserve">Phased profit share.</t>
  </si>
  <si>
    <t xml:space="preserve">1.B.1202</t>
  </si>
  <si>
    <t xml:space="preserve">Similar to 1.B.1002 for PFIT 1/6 to 1/3. Feedback: Gradual bracket-level profit share gains.</t>
  </si>
  <si>
    <t xml:space="preserve">Same as 1.B.1201.</t>
  </si>
  <si>
    <t xml:space="preserve">Bracket-level phased profit share.</t>
  </si>
  <si>
    <t xml:space="preserve">1.C.100</t>
  </si>
  <si>
    <t xml:space="preserve">1.C.101</t>
  </si>
  <si>
    <t xml:space="preserve">for year in range(21): pf_receipts_new = PFIT_MENU_3.101_receipts_new[year] # lower 1/6 cut cf_indirect_personal = CFIT_MENU_3.101_indirect[year] # slight wage suppression effect net_personal_receipts_new = pf_receipts_new + cf_indirect_personal net_current = PFIT_current + CFIT_current_indirect Feedback: Net personal receipts lower due to PFIT cuts; CFIT indirect drag minimal.</t>
  </si>
  <si>
    <t xml:space="preserve">PFIT MENU 3.101 personal receipts (lower 1/6), CFIT MENU 3.101 indirect personal impact, taxpayers &amp; eff rates from PFIT-BRACKETS.</t>
  </si>
  <si>
    <t xml:space="preserve">Line chart (2 lines: New vs Current), table (2 cols), analysis summary (e.g., "Net personal receipts down 8-15% in baseline, offset by growth in optimistic").</t>
  </si>
  <si>
    <t xml:space="preserve">Behavioral adj from net revenue; CFIT wage suppression small (0.1-0.3 elasticity); scenarios vary behavioral response.</t>
  </si>
  <si>
    <t xml:space="preserve">PFIT#4.A, CFIT#4.A, PFIT-BRACKETS</t>
  </si>
  <si>
    <t xml:space="preserve">Bracket inflation adj + growth.</t>
  </si>
  <si>
    <t xml:space="preserve">Net personal tax after PFIT+CFIT interaction.</t>
  </si>
  <si>
    <t xml:space="preserve">1.C.102</t>
  </si>
  <si>
    <t xml:space="preserve">Similar to 1.C.101 but per PFIT bracket: net[br] = pf_receipts_new[br] + cf_indirect[br]; plot 14 lines. Feedback: Lower brackets see steeper relative drop from PFIT cuts.</t>
  </si>
  <si>
    <t xml:space="preserve">Same as 1.C.101.</t>
  </si>
  <si>
    <t xml:space="preserve">Bracket-specific behavioral adj; lower brackets more sensitive to rate cuts.</t>
  </si>
  <si>
    <t xml:space="preserve">Bracket-level net personal receipts.</t>
  </si>
  <si>
    <t xml:space="preserve">1.C.200</t>
  </si>
  <si>
    <t xml:space="preserve">1.C.201</t>
  </si>
  <si>
    <t xml:space="preserve">Similar to 1.C.101 but PFIT lower 1/3 phasing (4.B). Feedback: Larger PFIT revenue loss → deeper net personal receipts decline.</t>
  </si>
  <si>
    <t xml:space="preserve">PFIT MENU 3.201 receipts (lower 1/3), CFIT MENU 3.101 indirect.</t>
  </si>
  <si>
    <t xml:space="preserve">Deeper PFIT cuts increase revenue gap.</t>
  </si>
  <si>
    <t xml:space="preserve">Stronger personal tax impact.</t>
  </si>
  <si>
    <t xml:space="preserve">1.C.202</t>
  </si>
  <si>
    <t xml:space="preserve">Similar to 1.C.102 for PFIT lower 1/3. Feedback: Enhanced bracket-level declines.</t>
  </si>
  <si>
    <t xml:space="preserve">Same as 1.C.201.</t>
  </si>
  <si>
    <t xml:space="preserve">Same as 1.C.102.</t>
  </si>
  <si>
    <t xml:space="preserve">1.C.300</t>
  </si>
  <si>
    <t xml:space="preserve">1.C.301</t>
  </si>
  <si>
    <t xml:space="preserve">Similar to 1.C.101 but PFIT 1/6 to 1/3 phasing (4.C). Feedback: Gradual PFIT revenue loss → smoother net personal receipts trajectory.</t>
  </si>
  <si>
    <t xml:space="preserve">PFIT MENU 3.301 receipts (1/6 to 1/3), CFIT MENU 3.101 indirect.</t>
  </si>
  <si>
    <t xml:space="preserve">Multi-phase PFIT change reduces shock.</t>
  </si>
  <si>
    <t xml:space="preserve">Phased personal receipts impact.</t>
  </si>
  <si>
    <t xml:space="preserve">1.C.302</t>
  </si>
  <si>
    <t xml:space="preserve">Similar to 1.C.102 for PFIT 1/6 to 1/3. Feedback: Gradual bracket-level changes.</t>
  </si>
  <si>
    <t xml:space="preserve">Same as 1.C.301.</t>
  </si>
  <si>
    <t xml:space="preserve">1.C.400</t>
  </si>
  <si>
    <t xml:space="preserve">1.C.401</t>
  </si>
  <si>
    <t xml:space="preserve">for year in range(21): cf_receipts_new = CFIT_MENU_3.201_receipts_new[year] pf_indirect_corp = PFIT_MENU_3.401_indirect[year] # demand boost effect net_corp_receipts_new = cf_receipts_new + pf_indirect_corp net_current = CFIT_current + PFIT_current_indirect Feedback: Net corp receipts higher due to CFIT rate increase + PFIT demand gain.</t>
  </si>
  <si>
    <t xml:space="preserve">CFIT MENU 3.201 corp receipts, PFIT MENU 3.401 indirect corp impact (demand from tax cuts).</t>
  </si>
  <si>
    <t xml:space="preserve">Line chart (2 lines), table (2 cols), analysis summary (e.g., "Net corp receipts up 5-18% in baseline from CFIT hike").</t>
  </si>
  <si>
    <t xml:space="preserve">Demand elasticity 0.2-0.5 from PFIT; CFIT progressive rates; scenarios vary demand (higher optimistic).</t>
  </si>
  <si>
    <t xml:space="preserve">Inflation + growth.</t>
  </si>
  <si>
    <t xml:space="preserve">Net corporate tax after indirect PFIT effect.</t>
  </si>
  <si>
    <t xml:space="preserve">1.C.402</t>
  </si>
  <si>
    <t xml:space="preserve">Similar to 1.C.401 but per CFIT bracket: net[br] = cf_receipts_new[br] + pf_indirect[br]; plot 10 lines. Feedback: Larger brackets net higher gain from demand.</t>
  </si>
  <si>
    <t xml:space="preserve">Same as 1.C.401.</t>
  </si>
  <si>
    <t xml:space="preserve">Bracket-specific demand sensitivity.</t>
  </si>
  <si>
    <t xml:space="preserve">Bracket-level net corp receipts.</t>
  </si>
  <si>
    <t xml:space="preserve">1.C.500</t>
  </si>
  <si>
    <t xml:space="preserve">1.C.501</t>
  </si>
  <si>
    <t xml:space="preserve">Similar to 1.C.401 but PFIT lower 1/3 phasing (4.B). Feedback: Larger PFIT demand → stronger net corp receipts boost.</t>
  </si>
  <si>
    <t xml:space="preserve">PFIT MENU 3.501 indirect, CFIT MENU 3.201.</t>
  </si>
  <si>
    <t xml:space="preserve">Deeper PFIT cuts increase demand effect.</t>
  </si>
  <si>
    <t xml:space="preserve">Enhanced corp revenue.</t>
  </si>
  <si>
    <t xml:space="preserve">1.C.502</t>
  </si>
  <si>
    <t xml:space="preserve">Similar to 1.C.402 for PFIT lower 1/3. Feedback: Stronger bracket-level gains.</t>
  </si>
  <si>
    <t xml:space="preserve">Same as 1.C.501.</t>
  </si>
  <si>
    <t xml:space="preserve">Same as 1.C.402.</t>
  </si>
  <si>
    <t xml:space="preserve">1.C.600</t>
  </si>
  <si>
    <t xml:space="preserve">1.C.601</t>
  </si>
  <si>
    <t xml:space="preserve">Similar to 1.C.401 but PFIT 1/6 to 1/3 phasing (4.C). Feedback: Gradual PFIT demand → steady net corp receipts increase.</t>
  </si>
  <si>
    <t xml:space="preserve">PFIT MENU 3.601 indirect, CFIT MENU 3.201.</t>
  </si>
  <si>
    <t xml:space="preserve">Phased corporate revenue.</t>
  </si>
  <si>
    <t xml:space="preserve">1.C.602</t>
  </si>
  <si>
    <t xml:space="preserve">Similar to 1.C.402 for PFIT 1/6 to 1/3. Feedback: Gradual bracket improvements.</t>
  </si>
  <si>
    <t xml:space="preserve">Same as 1.C.601.</t>
  </si>
  <si>
    <t xml:space="preserve">1.C.700</t>
  </si>
  <si>
    <t xml:space="preserve">for year in range(21): pf_receipts_new = PFIT_MENU_3.101_receipts_new[year] # lower 1/6 cf_receipts_new = CFIT_MENU_3.201_receipts_new[year] net_receipts_new = pf_receipts_new + cf_receipts_new net_savings_new = net_receipts_new - base_spending + credit_savings # from eliminated credits net_current = current_receipts - spending Feedback: Net savings improve if CFIT revenue gain + credit elimination &gt; PFIT revenue loss; positive long-term in dynamic/optimistic.</t>
  </si>
  <si>
    <t xml:space="preserve">PFIT MENU 3.101 personal receipts (lower 1/6), CFIT MENU 3.201 corp receipts, base spending, PFIT-CREDITS elimination/redirects.</t>
  </si>
  <si>
    <t xml:space="preserve">Line chart (2 lines: New vs Current over 20 years), table (2 cols: New, Current), analysis summary (e.g., "Net public savings turn positive after year 6-8 in baseline via CFIT + credits").</t>
  </si>
  <si>
    <t xml:space="preserve">Spending assumed constant; credits from PFIT-CREDITS#2.A/#2.B; behavioral adj from receipts; scenarios vary credit recapture (higher optimistic).</t>
  </si>
  <si>
    <t xml:space="preserve">PFIT#4.A, CFIT#4.A, PFIT-CREDITS</t>
  </si>
  <si>
    <t xml:space="preserve">Fiscal rules + bracket inflation adj + growth</t>
  </si>
  <si>
    <t xml:space="preserve">Net public savings after PFIT cuts, CFIT increases, and credit redirects.</t>
  </si>
  <si>
    <t xml:space="preserve">1.C.701</t>
  </si>
  <si>
    <t xml:space="preserve">Similar to 1.C.700 but using PFIT lower 1/3 phasing (4.B). Feedback: Larger PFIT revenue loss but potentially higher credit recapture → net savings depend more heavily on credit elimination efficiency.</t>
  </si>
  <si>
    <t xml:space="preserve">PFIT MENU 3.201 receipts (lower 1/3), CFIT MENU 3.201, credits.</t>
  </si>
  <si>
    <t xml:space="preserve">Same as 1.C.700.</t>
  </si>
  <si>
    <t xml:space="preserve">Deeper PFIT cuts increase revenue gap; assumes full credit recapture in optimistic.</t>
  </si>
  <si>
    <t xml:space="preserve">PFIT#4.B, CFIT#4.A, PFIT-CREDITS</t>
  </si>
  <si>
    <t xml:space="preserve">Stronger credit offset needed for net positive.</t>
  </si>
  <si>
    <t xml:space="preserve">1.C.702</t>
  </si>
  <si>
    <t xml:space="preserve">Similar to 1.C.700 but using PFIT 1/6 to 1/3 phasing (4.C). Feedback: Gradual PFIT revenue reduction + steady CFIT gain → smoother path to net positive savings.</t>
  </si>
  <si>
    <t xml:space="preserve">PFIT MENU 3.301 receipts (1/6 to 1/3), CFIT MENU 3.201, credits.</t>
  </si>
  <si>
    <t xml:space="preserve">Multi-phase PFIT → less initial shock; phased credit redirects.</t>
  </si>
  <si>
    <t xml:space="preserve">PFIT#4.C, CFIT#4.A, PFIT-CREDITS</t>
  </si>
  <si>
    <t xml:space="preserve">Balanced, gradual fiscal savings trajectory.</t>
  </si>
  <si>
    <t xml:space="preserve">1.C.800</t>
  </si>
  <si>
    <t xml:space="preserve">1.C.801</t>
  </si>
  <si>
    <t xml:space="preserve">primary_balance_new = net_savings_new - interest_new interest_new = cumulative_debt * interest_rate cumulative_debt updated from prior year balance Feedback: Primary balance turns positive if net savings exceed interest costs; improves long-term as debt stabilizes in optimistic scenarios.</t>
  </si>
  <si>
    <t xml:space="preserve">From 1.C.700 net savings (lower 1/6), interest rate 2-4% by scenario, debt dynamics (cumulative from prior balances).</t>
  </si>
  <si>
    <t xml:space="preserve">Line chart (2 lines: New vs Current), table (2 cols), analysis summary (e.g., "Primary surplus achieved after year 10 in dynamic; adverse shows persistent deficit").</t>
  </si>
  <si>
    <t xml:space="preserve">Debt cumulative from prior primary balances + interest; rate higher in adverse; excludes interest in primary definition.</t>
  </si>
  <si>
    <t xml:space="preserve">PFIT#4.A, CFIT#4.A, PFIT-CREDITS, macro debt assumptions</t>
  </si>
  <si>
    <t xml:space="preserve">Interest rate update + fiscal adj</t>
  </si>
  <si>
    <t xml:space="preserve">Net primary budget balance after all PFIT/CFIT changes.</t>
  </si>
  <si>
    <t xml:space="preserve">1.C.802</t>
  </si>
  <si>
    <t xml:space="preserve">Similar to 1.C.801 but PFIT lower 1/3 phasing (4.B). Feedback: Deeper PFIT loss may delay or reduce primary surplus; stronger credit recapture critical.</t>
  </si>
  <si>
    <t xml:space="preserve">From 1.C.701 net savings (lower 1/3), interest &amp; debt.</t>
  </si>
  <si>
    <t xml:space="preserve">Same as 1.C.801.</t>
  </si>
  <si>
    <t xml:space="preserve">Larger initial deficit possible; credit offset more important.</t>
  </si>
  <si>
    <t xml:space="preserve">PFIT#4.B, CFIT#4.A, macro debt</t>
  </si>
  <si>
    <t xml:space="preserve">Deeper fiscal restructuring impact on balance.</t>
  </si>
  <si>
    <t xml:space="preserve">Current/New PFIT, CFIT</t>
  </si>
  <si>
    <t xml:space="preserve">1.D.100</t>
  </si>
  <si>
    <t xml:space="preserve">for year in range(21): net_fiscal_new = (PFIT_personal_receipts_new + CFIT_corp_receipts_new + PFIT_indirect + CFIT_indirect) - spending + credit_redirects + behavioral_adj net_current = current_total_receipts - spending Feedback: Net fiscal impact positive long-term if CFIT revenue + credits &gt; PFIT loss; strong in dynamic/optimistic via growth &amp; behavior.</t>
  </si>
  <si>
    <t xml:space="preserve">All PFIT &amp; CFIT receipt sections (personal/corp/gov), spending base, PFIT-CREDITS redirects, behavioral adj from elasticity.</t>
  </si>
  <si>
    <t xml:space="preserve">Line chart (2 lines: New vs Current over 20 years), table (2 cols: New, Current), analysis summary (e.g., "Net fiscal positive after year 7-9 in baseline; adverse shows deficit").</t>
  </si>
  <si>
    <t xml:space="preserve">Full macro integration; behavioral responses key (Laffer/elasticity); spending constant; scenarios vary growth &amp; credit recapture.</t>
  </si>
  <si>
    <t xml:space="preserve">All PFIT &amp; CFIT sections (#4.A phasing), PFIT-CREDITS, macro</t>
  </si>
  <si>
    <t xml:space="preserve">Comprehensive annual (CPI + growth + fiscal adj)</t>
  </si>
  <si>
    <t xml:space="preserve">Overall net fiscal impact of PFIT (Lower 1/6) + CFIT combination.</t>
  </si>
  <si>
    <t xml:space="preserve">1.D.101</t>
  </si>
  <si>
    <t xml:space="preserve">Similar to 1.D.100 but using PFIT lower 1/3 phasing (4.B). Feedback: Deeper PFIT revenue loss → larger initial deficit, but higher credit recapture may accelerate long-term positive net fiscal.</t>
  </si>
  <si>
    <t xml:space="preserve">Same as 1.D.100 but PFIT linked to #4.B phasing sections.</t>
  </si>
  <si>
    <t xml:space="preserve">Same as 1.D.100.</t>
  </si>
  <si>
    <t xml:space="preserve">Larger PFIT cut increases revenue gap; assumes aggressive credit redirect in optimistic.</t>
  </si>
  <si>
    <t xml:space="preserve">All PFIT &amp; CFIT sections, PFIT#4.B</t>
  </si>
  <si>
    <t xml:space="preserve">Deeper PFIT restructuring effect on net fiscal.</t>
  </si>
  <si>
    <t xml:space="preserve">1.D.102</t>
  </si>
  <si>
    <t xml:space="preserve">Similar to 1.D.100 but using PFIT 1/6 to 1/3 phasing (4.C). Feedback: Gradual PFIT changes → smoother fiscal trajectory with less early volatility; steady path to net positive.</t>
  </si>
  <si>
    <t xml:space="preserve">Same as 1.D.100 but PFIT linked to #4.C phasing sections.</t>
  </si>
  <si>
    <t xml:space="preserve">Multi-phase PFIT reduces shock; phased credit redirects.</t>
  </si>
  <si>
    <t xml:space="preserve">All PFIT &amp; CFIT sections, PFIT#4.C</t>
  </si>
  <si>
    <t xml:space="preserve">Balanced, gradual net fiscal impact.</t>
  </si>
  <si>
    <t xml:space="preserve">1.D.200</t>
  </si>
  <si>
    <t xml:space="preserve">net_gini_new = base_gini - PFIT_redistribution_factor + CFIT_gini_effect Feedback: Net Gini reduction driven by PFIT progressive cuts; CFIT may slightly increase inequality (ownership concentration), but overall net decrease.</t>
  </si>
  <si>
    <t xml:space="preserve">PFIT MENU 4.200 gini reduction (progressive cuts), CFIT MENU 4.200 gini effect (small increase), base gini ~0.41.</t>
  </si>
  <si>
    <t xml:space="preserve">Line chart (2 lines: New vs Current), table (2 cols), analysis summary (e.g., "Net Gini drops 0.015-0.045 in baseline/optimistic").</t>
  </si>
  <si>
    <t xml:space="preserve">Lorenz approximation; PFIT effect dominant; CFIT assumes top ownership; scenarios vary redistribution strength.</t>
  </si>
  <si>
    <t xml:space="preserve">PFIT &amp; CFIT distribution sections</t>
  </si>
  <si>
    <t xml:space="preserve">Income growth adj.</t>
  </si>
  <si>
    <t xml:space="preserve">Net inequality impact of PFIT + CFIT.</t>
  </si>
  <si>
    <t xml:space="preserve">1.D.201</t>
  </si>
  <si>
    <t xml:space="preserve">Similar to 1.D.200 but PFIT lower 1/3 phasing (4.B). Feedback: Deeper PFIT cuts → stronger net Gini reduction.</t>
  </si>
  <si>
    <t xml:space="preserve">Same as 1.D.200 but PFIT #4.B linked.</t>
  </si>
  <si>
    <t xml:space="preserve">Same as 1.D.200.</t>
  </si>
  <si>
    <t xml:space="preserve">Larger progressive effect from 1/3 elimination.</t>
  </si>
  <si>
    <t xml:space="preserve">PFIT#4.B, CFIT distribution</t>
  </si>
  <si>
    <t xml:space="preserve">Enhanced equity outcome.</t>
  </si>
  <si>
    <t xml:space="preserve">1.D.202</t>
  </si>
  <si>
    <t xml:space="preserve">Similar to 1.D.200 but PFIT 1/6 to 1/3 phasing (4.C). Feedback: Gradual PFIT → steady net Gini improvement.</t>
  </si>
  <si>
    <t xml:space="preserve">Same as 1.D.200 but PFIT #4.C linked.</t>
  </si>
  <si>
    <t xml:space="preserve">Phased progressive cuts reduce inequality smoothly.</t>
  </si>
  <si>
    <t xml:space="preserve">PFIT#4.C, CFIT distribution</t>
  </si>
  <si>
    <t xml:space="preserve">Phased inequality reduction.</t>
  </si>
  <si>
    <t xml:space="preserve">1.D.300</t>
  </si>
  <si>
    <t xml:space="preserve">net_emp_elasticity = (net_emp_new - base_emp) / net_tax_rate_change_combined Feedback: Positive net elasticity if PFIT labor supply boost &gt; CFIT drag; small positive overall.</t>
  </si>
  <si>
    <t xml:space="preserve">PFIT MENU 4.300 emp elasticity, CFIT MENU 4.300 emp elasticity, combined rate change.</t>
  </si>
  <si>
    <t xml:space="preserve">Line chart (2 lines), table, analysis summary (e.g., "Net elasticity 0.08-0.25 positive in baseline").</t>
  </si>
  <si>
    <t xml:space="preserve">Literature-based range; stronger low-income PFIT response; scenarios vary net effect.</t>
  </si>
  <si>
    <t xml:space="preserve">PFIT + CFIT labor sections</t>
  </si>
  <si>
    <t xml:space="preserve">Wage changes adj.</t>
  </si>
  <si>
    <t xml:space="preserve">Net employment elasticity of combined policy.</t>
  </si>
  <si>
    <t xml:space="preserve">1.D.301</t>
  </si>
  <si>
    <t xml:space="preserve">Similar to 1.D.300 but PFIT lower 1/3 phasing. Feedback: Stronger net positive elasticity from deeper PFIT incentive.</t>
  </si>
  <si>
    <t xml:space="preserve">Same as 1.D.300 but PFIT #4.B linked.</t>
  </si>
  <si>
    <t xml:space="preserve">Same as 1.D.300.</t>
  </si>
  <si>
    <t xml:space="preserve">Larger PFIT labor supply response.</t>
  </si>
  <si>
    <t xml:space="preserve">PFIT#4.B, CFIT labor</t>
  </si>
  <si>
    <t xml:space="preserve">Enhanced labor response.</t>
  </si>
  <si>
    <t xml:space="preserve">1.D.302</t>
  </si>
  <si>
    <t xml:space="preserve">Similar to 1.D.300 but PFIT 1/6 to 1/3 phasing. Feedback: Gradual build-up of net positive elasticity.</t>
  </si>
  <si>
    <t xml:space="preserve">Same as 1.D.300 but PFIT #4.C linked.</t>
  </si>
  <si>
    <t xml:space="preserve">Phased labor supply improvement.</t>
  </si>
  <si>
    <t xml:space="preserve">PFIT#4.C, CFIT labor</t>
  </si>
  <si>
    <t xml:space="preserve">Steady labor elasticity.</t>
  </si>
  <si>
    <t xml:space="preserve">1.D.400</t>
  </si>
  <si>
    <t xml:space="preserve">net_tax_base_elasticity = (net_tax_base_new - base) / net_rate_change_combined Feedback: Positive net elasticity if growth from PFIT cuts &gt; deadweight loss from CFIT hike; long-term positive.</t>
  </si>
  <si>
    <t xml:space="preserve">PFIT &amp; CFIT tax bases (earnings + profits), combined rate change.</t>
  </si>
  <si>
    <t xml:space="preserve">Line chart (2 lines), table, analysis summary (e.g., "Net elasticity 0.15-0.45 positive in dynamic").</t>
  </si>
  <si>
    <t xml:space="preserve">Behavioral responses (Laffer negative short-term, growth positive long-term); scenarios vary.</t>
  </si>
  <si>
    <t xml:space="preserve">PFIT + CFIT bases</t>
  </si>
  <si>
    <t xml:space="preserve">Growth rates adj.</t>
  </si>
  <si>
    <t xml:space="preserve">Net aggregate tax base elasticity.</t>
  </si>
  <si>
    <t xml:space="preserve">1.D.401</t>
  </si>
  <si>
    <t xml:space="preserve">Similar to 1.D.400 but PFIT lower 1/3 phasing. Feedback: Stronger net positive from deeper PFIT growth effect.</t>
  </si>
  <si>
    <t xml:space="preserve">Same as 1.D.400 but PFIT #4.B linked.</t>
  </si>
  <si>
    <t xml:space="preserve">Same as 1.D.400.</t>
  </si>
  <si>
    <t xml:space="preserve">Larger PFIT base expansion.</t>
  </si>
  <si>
    <t xml:space="preserve">PFIT#4.B, CFIT bases</t>
  </si>
  <si>
    <t xml:space="preserve">Enhanced base response.</t>
  </si>
  <si>
    <t xml:space="preserve">1.D.402</t>
  </si>
  <si>
    <t xml:space="preserve">Similar to 1.D.400 but PFIT 1/6 to 1/3 phasing. Feedback: Gradual net positive base elasticity build.</t>
  </si>
  <si>
    <t xml:space="preserve">Same as 1.D.400 but PFIT #4.C linked.</t>
  </si>
  <si>
    <t xml:space="preserve">Phased base growth.</t>
  </si>
  <si>
    <t xml:space="preserve">PFIT#4.C, CFIT bases</t>
  </si>
  <si>
    <t xml:space="preserve">Steady base elasticity.</t>
  </si>
  <si>
    <t xml:space="preserve">1.D.500</t>
  </si>
  <si>
    <t xml:space="preserve">net_bottom40_share_new = base_share + (PFIT_lower_earnings_gain - CFIT_lower_effect) / total_wealth * savings_rate Feedback: Net increase in bottom 40% wealth share driven by PFIT progressive gains; CFIT small negative offset.</t>
  </si>
  <si>
    <t xml:space="preserve">PFIT MENU 4.500 bottom gain, CFIT MENU 4.500 bottom effect, base share ~3%, savings_rate 0.1-0.2.</t>
  </si>
  <si>
    <t xml:space="preserve">Line chart (2 lines), table, analysis summary (e.g., "Net share rises 0.4-1.8% in optimistic").</t>
  </si>
  <si>
    <t xml:space="preserve">Wealth accumulation from income; PFIT effect dominant; scenarios vary savings rate.</t>
  </si>
  <si>
    <t xml:space="preserve">PFIT + CFIT macro sections</t>
  </si>
  <si>
    <t xml:space="preserve">Investment returns adj.</t>
  </si>
  <si>
    <t xml:space="preserve">Net bottom 40% wealth share impact.</t>
  </si>
  <si>
    <t xml:space="preserve">1.D.501</t>
  </si>
  <si>
    <t xml:space="preserve">Similar to 1.D.500 but PFIT lower 1/3 phasing. Feedback: Stronger net increase from deeper PFIT gains.</t>
  </si>
  <si>
    <t xml:space="preserve">Same as 1.D.500 but PFIT #4.B linked.</t>
  </si>
  <si>
    <t xml:space="preserve">Same as 1.D.500.</t>
  </si>
  <si>
    <t xml:space="preserve">Larger PFIT income gain for bottom.</t>
  </si>
  <si>
    <t xml:space="preserve">PFIT#4.B, CFIT macro</t>
  </si>
  <si>
    <t xml:space="preserve">Enhanced bottom wealth shift.</t>
  </si>
  <si>
    <t xml:space="preserve">1.D.502</t>
  </si>
  <si>
    <t xml:space="preserve">Similar to 1.D.500 but PFIT 1/6 to 1/3 phasing. Feedback: Gradual net increase in bottom 40% share.</t>
  </si>
  <si>
    <t xml:space="preserve">Same as 1.D.500 but PFIT #4.C linked.</t>
  </si>
  <si>
    <t xml:space="preserve">Phased income gains.</t>
  </si>
  <si>
    <t xml:space="preserve">PFIT#4.C, CFIT macro</t>
  </si>
  <si>
    <t xml:space="preserve">Steady equity build for bottom 40%.</t>
  </si>
  <si>
    <t xml:space="preserve">Current/New PFIT, FMW (2.22% Annual Increase)</t>
  </si>
  <si>
    <t xml:space="preserve">2.A.100</t>
  </si>
  <si>
    <t xml:space="preserve">Current/New: PFIT (Lower 1/6 Tax Elimination), FMW (2.22% Annual Increase)</t>
  </si>
  <si>
    <t xml:space="preserve">2.A.101</t>
  </si>
  <si>
    <t xml:space="preserve">PFIT-BRACKETS#4.A - Current, New PFIT Phasing: Lower 1/6 Tax Elimination  
FMW#2.C - New FMW (Annual 2.22% Increase)</t>
  </si>
  <si>
    <t xml:space="preserve">New PFIT (Lower 1/6 Tax Elimination)  
New FMW (Annual 2.22% Increase)</t>
  </si>
  <si>
    <t xml:space="preserve">for year in range(21): pf_earnings_new = PFIT_MENU_1.101_adjusted_new[year] # lower 1/6 PFIT fmw_wage_new = FMW_MENU_1.101_avg_new[year] # 2.22% annual net_earnings_new = pf_earnings_new + (fmw_wage_new - fmw_current) * hours * (1 - pf_eff_tax_new) net_current = pf_current + (fmw_current - fmw_current) * hours * (1 - pf_eff_tax_current) Feedback: Modest FMW growth + PFIT tax cut = solid net earnings lift for lower brackets; positive in all scenarios.</t>
  </si>
  <si>
    <t xml:space="preserve">PFIT MENU 1.101 earnings (lower 1/6), FMW MENU 1.101 wage (2.22% growth), hours ~2080, eff_tax from PFIT-BRACKETS.</t>
  </si>
  <si>
    <t xml:space="preserve">Line chart (2 lines: New vs Current over 20 years), table (2 cols: New, Current), analysis summary (e.g., "Net earnings up 5-12% in baseline from combined wage + tax relief").</t>
  </si>
  <si>
    <t xml:space="preserve">Assumes full-time hours; tax rate applies to FMW increase; scenarios vary spillover (higher optimistic).</t>
  </si>
  <si>
    <t xml:space="preserve">PFIT#4.A, FMW#2.C</t>
  </si>
  <si>
    <t xml:space="preserve">Strong synergy for lower-income workers.</t>
  </si>
  <si>
    <t xml:space="preserve">2.A.102</t>
  </si>
  <si>
    <t xml:space="preserve">Similar to 2.A.101 but per PFIT bracket: net[br] = pf_earnings[br] + fmw_spillover[br] * (1 - tax[br]); plot 14 lines. Feedback: Lower brackets gain most from FMW wage boost + PFIT rate cut.</t>
  </si>
  <si>
    <t xml:space="preserve">Same as 2.A.101.</t>
  </si>
  <si>
    <t xml:space="preserve">Bracket-specific FMW spillover (strongest in lower brackets); assumes no major job displacement.</t>
  </si>
  <si>
    <t xml:space="preserve">Progressive combined wage-tax effect.</t>
  </si>
  <si>
    <t xml:space="preserve">2.A.200</t>
  </si>
  <si>
    <t xml:space="preserve">Current/New: PFIT (Lower 1/3 Tax Elimination), FMW (2.22% Annual Increase)</t>
  </si>
  <si>
    <t xml:space="preserve">2.A.201</t>
  </si>
  <si>
    <t xml:space="preserve">PFIT-BRACKETS#4.A - Current, New PFIT Phasing: Lower 1/3 Tax Elimination  
FMW#2.C - New FMW (Annual 2.22% Increase)</t>
  </si>
  <si>
    <t xml:space="preserve">New PFIT (Lower 1/3 Tax Elimination)  
New FMW (Annual 2.22% Increase)</t>
  </si>
  <si>
    <t xml:space="preserve">Similar to 2.A.101 but PFIT lower 1/3 phasing (4.B). Feedback: Deeper PFIT cut + modest FMW = larger net earnings gain.</t>
  </si>
  <si>
    <t xml:space="preserve">PFIT MENU 1.201 earnings (lower 1/3), FMW MENU 1.101 (2.22%).</t>
  </si>
  <si>
    <t xml:space="preserve">Larger PFIT tax savings amplify FMW benefit.</t>
  </si>
  <si>
    <t xml:space="preserve">PFIT#4.B, FMW#2.C</t>
  </si>
  <si>
    <t xml:space="preserve">Maximum synergy variant.</t>
  </si>
  <si>
    <t xml:space="preserve">2.A.202</t>
  </si>
  <si>
    <t xml:space="preserve">Similar to 2.A.102 for PFIT lower 1/3. Feedback: Enhanced bracket-level gains.</t>
  </si>
  <si>
    <t xml:space="preserve">Same as 2.A.201.</t>
  </si>
  <si>
    <t xml:space="preserve">Same as 2.A.102.</t>
  </si>
  <si>
    <t xml:space="preserve">2.A.300</t>
  </si>
  <si>
    <t xml:space="preserve">Current/New: PFIT (Lower 1/6 To 1/3 Tax Elimination), FMW (2.22% Annual Increase)</t>
  </si>
  <si>
    <t xml:space="preserve">2.A.301</t>
  </si>
  <si>
    <t xml:space="preserve">PFIT-BRACKETS#4.A - Current, New PFIT Phasing: Lower 1/6 To 1/3 Tax Elimination  
FMW#2.C - New FMW (Annual 2.22% Increase)</t>
  </si>
  <si>
    <t xml:space="preserve">New PFIT (Lower 1/6 To 1/3 Tax Elimination)  
New FMW (Annual 2.22% Increase)</t>
  </si>
  <si>
    <t xml:space="preserve">Similar to 2.A.101 but PFIT 1/6 to 1/3 phasing (4.C). Feedback: Gradual PFIT + steady FMW = smooth net earnings increase.</t>
  </si>
  <si>
    <t xml:space="preserve">PFIT MENU 1.301 earnings (1/6 to 1/3), FMW MENU 1.101 (2.22%).</t>
  </si>
  <si>
    <t xml:space="preserve">Multi-phase PFIT → less initial shock.</t>
  </si>
  <si>
    <t xml:space="preserve">PFIT#4.C, FMW#2.C</t>
  </si>
  <si>
    <t xml:space="preserve">Balanced transition.</t>
  </si>
  <si>
    <t xml:space="preserve">2.A.302</t>
  </si>
  <si>
    <t xml:space="preserve">Similar to 2.A.102 for PFIT 1/6 to 1/3. Feedback: Gradual bracket improvements.</t>
  </si>
  <si>
    <t xml:space="preserve">Same as 2.A.301.</t>
  </si>
  <si>
    <t xml:space="preserve">2.A.400</t>
  </si>
  <si>
    <t xml:space="preserve">2.A.401</t>
  </si>
  <si>
    <t xml:space="preserve">net_real_growth = (net_earnings_new - net_current) / net_current - inflation Feedback: Positive real wage growth from combined FMW + PFIT effects.</t>
  </si>
  <si>
    <t xml:space="preserve">Same as 2.A.101 + inflation rate.</t>
  </si>
  <si>
    <t xml:space="preserve">Real terms after wage-tax combo; constant hours assumed.</t>
  </si>
  <si>
    <t xml:space="preserve">Net real earnings growth.</t>
  </si>
  <si>
    <t xml:space="preserve">2.A.402</t>
  </si>
  <si>
    <t xml:space="preserve">Similar to 2.A.401 but per bracket; plot 14 growth lines. Feedback: Lower brackets show strongest real growth.</t>
  </si>
  <si>
    <t xml:space="preserve">Same as 2.A.401.</t>
  </si>
  <si>
    <t xml:space="preserve">Same as 2.A.102 but for growth.</t>
  </si>
  <si>
    <t xml:space="preserve">2.A.500</t>
  </si>
  <si>
    <t xml:space="preserve">2.A.501</t>
  </si>
  <si>
    <t xml:space="preserve">Similar to 2.A.401 for PFIT lower 1/3 (4.B). Feedback: Stronger real growth from deeper PFIT + FMW.</t>
  </si>
  <si>
    <t xml:space="preserve">PFIT MENU 1.501, FMW MENU 1.101 (2.22%), inflation.</t>
  </si>
  <si>
    <t xml:space="preserve">Larger PFIT benefit.</t>
  </si>
  <si>
    <t xml:space="preserve">Enhanced real earnings.</t>
  </si>
  <si>
    <t xml:space="preserve">2.A.502</t>
  </si>
  <si>
    <t xml:space="preserve">Similar to 2.A.402 for 1/3 PFIT. Feedback: Stronger bracket real gains.</t>
  </si>
  <si>
    <t xml:space="preserve">Same as 2.A.501.</t>
  </si>
  <si>
    <t xml:space="preserve">Same as 2.A.402.</t>
  </si>
  <si>
    <t xml:space="preserve">2.A.600</t>
  </si>
  <si>
    <t xml:space="preserve">2.A.601</t>
  </si>
  <si>
    <t xml:space="preserve">Similar to 2.A.401 for PFIT 1/6 to 1/3 (4.C). Feedback: Gradual real growth build from phased PFIT + steady FMW.</t>
  </si>
  <si>
    <t xml:space="preserve">PFIT MENU 1.601, FMW MENU 1.101 (2.22%), inflation.</t>
  </si>
  <si>
    <t xml:space="preserve">2.A.602</t>
  </si>
  <si>
    <t xml:space="preserve">Similar to 2.A.402 for 1/6 to 1/3 PFIT. Feedback: Gradual bracket real improvement.</t>
  </si>
  <si>
    <t xml:space="preserve">Same as 2.A.601.</t>
  </si>
  <si>
    <t xml:space="preserve">2.A.700</t>
  </si>
  <si>
    <t xml:space="preserve">2.A.701</t>
  </si>
  <si>
    <t xml:space="preserve">net_emp_impact = PFIT_emp_boost + FMW_emp_boost net_emp_new = base_emp * (1 + net_impact) Feedback: Net employment boost from PFIT supply + FMW demand effects.</t>
  </si>
  <si>
    <t xml:space="preserve">PFIT MENU 1.701 emp impact, FMW MENU 1.501 emp impact, base emp 60%.</t>
  </si>
  <si>
    <t xml:space="preserve">Combined supply (PFIT) + demand (FMW); elasticity 0.1-0.4 net.</t>
  </si>
  <si>
    <t xml:space="preserve">2.A.702</t>
  </si>
  <si>
    <t xml:space="preserve">Similar to 2.A.701 per bracket. Feedback: Lower brackets net higher employment gain.</t>
  </si>
  <si>
    <t xml:space="preserve">Same as 2.A.701.</t>
  </si>
  <si>
    <t xml:space="preserve">2.A.800</t>
  </si>
  <si>
    <t xml:space="preserve">2.A.801</t>
  </si>
  <si>
    <t xml:space="preserve">Similar to 2.A.701 for PFIT lower 1/3 (4.B). Feedback: Stronger net emp boost from deeper PFIT + FMW.</t>
  </si>
  <si>
    <t xml:space="preserve">PFIT MENU 1.801, FMW MENU 1.501.</t>
  </si>
  <si>
    <t xml:space="preserve">Enhanced employment effect.</t>
  </si>
  <si>
    <t xml:space="preserve">2.A.802</t>
  </si>
  <si>
    <t xml:space="preserve">Similar to 2.A.702 for 1/3 PFIT. Feedback: Stronger bracket gains.</t>
  </si>
  <si>
    <t xml:space="preserve">Same as 2.A.801.</t>
  </si>
  <si>
    <t xml:space="preserve">Same as 2.A.702.</t>
  </si>
  <si>
    <t xml:space="preserve">2.A.900</t>
  </si>
  <si>
    <t xml:space="preserve">2.A.901</t>
  </si>
  <si>
    <t xml:space="preserve">Similar to 2.A.701 for PFIT 1/6 to 1/3 (4.C). Feedback: Gradual net employment increase.</t>
  </si>
  <si>
    <t xml:space="preserve">PFIT MENU 1.901, FMW MENU 1.501.</t>
  </si>
  <si>
    <t xml:space="preserve">Steady employment trajectory.</t>
  </si>
  <si>
    <t xml:space="preserve">2.A.902</t>
  </si>
  <si>
    <t xml:space="preserve">Similar to 2.A.702 for 1/6 to 1/3 PFIT. Feedback: Gradual bracket net emp gains.</t>
  </si>
  <si>
    <t xml:space="preserve">Same as 2.A.901.</t>
  </si>
  <si>
    <t xml:space="preserve">2.A.1000</t>
  </si>
  <si>
    <t xml:space="preserve">2.A.1001</t>
  </si>
  <si>
    <t xml:space="preserve">net_hours_impact = PFIT_hours_boost + FMW_hours_impact net_hours_new = base_hours * (1 + net_impact) Feedback: Net hours increase from PFIT incentive + FMW wage pull.</t>
  </si>
  <si>
    <t xml:space="preserve">PFIT MENU 1.1001 hours impact, FMW MENU 1.701 hours impact, base hours 35.</t>
  </si>
  <si>
    <t xml:space="preserve">Combined income/substitution effects; net positive 0.05-0.2.</t>
  </si>
  <si>
    <t xml:space="preserve">2.A.1002</t>
  </si>
  <si>
    <t xml:space="preserve">Similar to 2.A.1001 per bracket. Feedback: Lower brackets net higher hours gain.</t>
  </si>
  <si>
    <t xml:space="preserve">Same as 2.A.1001.</t>
  </si>
  <si>
    <t xml:space="preserve">2.A.1100</t>
  </si>
  <si>
    <t xml:space="preserve">2.A.1101</t>
  </si>
  <si>
    <t xml:space="preserve">Similar to 2.A.1001 for PFIT lower 1/3 (4.B). Feedback: Stronger net hours boost from deeper PFIT + FMW.</t>
  </si>
  <si>
    <t xml:space="preserve">PFIT MENU 1.1101, FMW MENU 1.701.</t>
  </si>
  <si>
    <t xml:space="preserve">Larger PFIT incentive.</t>
  </si>
  <si>
    <t xml:space="preserve">2.A.1102</t>
  </si>
  <si>
    <t xml:space="preserve">Similar to 2.A.1002 for 1/3 PFIT. Feedback: Stronger bracket gains.</t>
  </si>
  <si>
    <t xml:space="preserve">Same as 2.A.1101.</t>
  </si>
  <si>
    <t xml:space="preserve">Same as 2.A.1002.</t>
  </si>
  <si>
    <t xml:space="preserve">2.A.1200</t>
  </si>
  <si>
    <t xml:space="preserve">2.A.1201</t>
  </si>
  <si>
    <t xml:space="preserve">Similar to 2.A.1001 for PFIT 1/6 to 1/3 (4.C). Feedback: Gradual net hours increase.</t>
  </si>
  <si>
    <t xml:space="preserve">PFIT MENU 1.1201, FMW MENU 1.701.</t>
  </si>
  <si>
    <t xml:space="preserve">Steady hours trajectory.</t>
  </si>
  <si>
    <t xml:space="preserve">2.A.1202</t>
  </si>
  <si>
    <t xml:space="preserve">Similar to 2.A.1002 for 1/6 to 1/3 PFIT. Feedback: Gradual bracket net hours gains.</t>
  </si>
  <si>
    <t xml:space="preserve">Same as 2.A.1201.</t>
  </si>
  <si>
    <t xml:space="preserve">2.B.100</t>
  </si>
  <si>
    <t xml:space="preserve">2.B.101</t>
  </si>
  <si>
    <t xml:space="preserve">for year in range(21): pf_demand_boost = PFIT_MENU_2.B.101_demand_boost[year] # lower 1/6 fmw_cost_increase = FMW_MENU_2.101_cost_impact[year] # 2.22% cf_profit_new = base_profit * (1 + pf_demand_boost * sales_elasticity - fmw_cost_increase * labor_share) net_worth_new = base_net_worth + cf_profit_new * (1 - corp_tax_rate) * retention_rate Feedback: PFIT demand strongly offsets modest FMW costs → net positive replacement-cost net worth accumulation; balanced in baseline, strong positive in optimistic.</t>
  </si>
  <si>
    <t xml:space="preserve">PFIT MENU 2.B.101 demand (1/6), FMW MENU 2.101 cost (2.22%), sales elasticity 0.3-0.7, labor share ~30-50%, retention rate 0.4-0.6, corp tax rate.</t>
  </si>
  <si>
    <t xml:space="preserve">Line chart (2 lines: New vs Current), table (2 cols), analysis summary (e.g., "Net worth growth up 2-8% cumulatively in baseline from PFIT demand offsetting modest FMW").</t>
  </si>
  <si>
    <t xml:space="preserve">Replacement-cost basis; net elasticity 0.2-0.5; scenarios vary demand vs cost balance.</t>
  </si>
  <si>
    <t xml:space="preserve">Economic corporate net worth after PFIT 1/6 + modest FMW.</t>
  </si>
  <si>
    <t xml:space="preserve">2.B.102</t>
  </si>
  <si>
    <t xml:space="preserve">Similar to 2.B.101 but per CFIT bracket; plot 10 lines. Feedback: Larger brackets (demand-sensitive) net positive from PFIT; small brackets (labor-intensive) more offset by FMW costs.</t>
  </si>
  <si>
    <t xml:space="preserve">Same as 2.B.101.</t>
  </si>
  <si>
    <t xml:space="preserve">Bracket-specific demand/labor exposure.</t>
  </si>
  <si>
    <t xml:space="preserve">2.B.200</t>
  </si>
  <si>
    <t xml:space="preserve">2.B.201</t>
  </si>
  <si>
    <t xml:space="preserve">Similar to 2.B.101 but PFIT lower 1/3 phasing (4.B). Feedback: Deeper PFIT demand strongly outweighs modest FMW costs → larger net positive net worth growth.</t>
  </si>
  <si>
    <t xml:space="preserve">PFIT MENU 2.B.201 demand (1/3), FMW MENU 2.101 cost (2.22%).</t>
  </si>
  <si>
    <t xml:space="preserve">Stronger demand dominance.</t>
  </si>
  <si>
    <t xml:space="preserve">Enhanced net worth from deeper PFIT + modest FMW.</t>
  </si>
  <si>
    <t xml:space="preserve">2.B.202</t>
  </si>
  <si>
    <t xml:space="preserve">Similar to 2.B.102 for PFIT lower 1/3. Feedback: Stronger bracket-level net positives.</t>
  </si>
  <si>
    <t xml:space="preserve">Same as 2.B.201.</t>
  </si>
  <si>
    <t xml:space="preserve">Same as 2.B.102.</t>
  </si>
  <si>
    <t xml:space="preserve">Bracket-level with deeper PFIT.</t>
  </si>
  <si>
    <t xml:space="preserve">2.B.300</t>
  </si>
  <si>
    <t xml:space="preserve">2.B.301</t>
  </si>
  <si>
    <t xml:space="preserve">Similar to 2.B.101 but PFIT 1/6 to 1/3 phasing (4.C). Feedback: Gradual PFIT demand offsets modest FMW costs → smooth net positive net worth trajectory.</t>
  </si>
  <si>
    <t xml:space="preserve">PFIT MENU 2.B.301 demand (1/6 to 1/3), FMW MENU 2.101 cost (2.22%).</t>
  </si>
  <si>
    <t xml:space="preserve">Phased net worth growth.</t>
  </si>
  <si>
    <t xml:space="preserve">2.B.302</t>
  </si>
  <si>
    <t xml:space="preserve">Similar to 2.B.102 for PFIT 1/6 to 1/3. Feedback: Gradual bracket-level net positives.</t>
  </si>
  <si>
    <t xml:space="preserve">Same as 2.B.301.</t>
  </si>
  <si>
    <t xml:space="preserve">2.B.400</t>
  </si>
  <si>
    <t xml:space="preserve">2.B.401</t>
  </si>
  <si>
    <t xml:space="preserve">real_profit_new = base_profit * (1 + pf_demand_boost * sales_elasticity - fmw_cost_increase * labor_share) - inflation_adj Feedback: PFIT demand offsets modest FMW costs → net positive real pre-tax profits; balanced in baseline.</t>
  </si>
  <si>
    <t xml:space="preserve">PFIT MENU 2.B.401 demand (1/6), FMW MENU 2.401 cost (2.22%), elasticities, inflation rate.</t>
  </si>
  <si>
    <t xml:space="preserve">Line chart (2 lines), table, analysis summary (e.g., "Real profits up 3-7% in baseline from PFIT offsetting modest FMW").</t>
  </si>
  <si>
    <t xml:space="preserve">Real terms; net pass-through 0.2-0.5.</t>
  </si>
  <si>
    <t xml:space="preserve">Real pre-tax corporate profits after PFIT 1/6 + modest FMW.</t>
  </si>
  <si>
    <t xml:space="preserve">2.B.402</t>
  </si>
  <si>
    <t xml:space="preserve">Similar to 2.B.401 but per CFIT bracket; plot 10 lines. Feedback: Larger brackets net positive real profits from PFIT demand; small more affected by FMW costs.</t>
  </si>
  <si>
    <t xml:space="preserve">Same as 2.B.401.</t>
  </si>
  <si>
    <t xml:space="preserve">2.B.500</t>
  </si>
  <si>
    <t xml:space="preserve">2.B.501</t>
  </si>
  <si>
    <t xml:space="preserve">Similar to 2.B.401 but PFIT lower 1/3 (4.B). Feedback: Deeper PFIT → larger net positive real profits despite modest FMW.</t>
  </si>
  <si>
    <t xml:space="preserve">PFIT MENU 2.B.501 demand (1/3), FMW MENU 2.401 cost (2.22%).</t>
  </si>
  <si>
    <t xml:space="preserve">Stronger demand offset.</t>
  </si>
  <si>
    <t xml:space="preserve">Enhanced real profits from deeper PFIT + modest FMW.</t>
  </si>
  <si>
    <t xml:space="preserve">2.B.502</t>
  </si>
  <si>
    <t xml:space="preserve">Similar to 2.B.402 for PFIT lower 1/3. Feedback: Larger net bracket-level gains.</t>
  </si>
  <si>
    <t xml:space="preserve">Same as 2.B.501.</t>
  </si>
  <si>
    <t xml:space="preserve">Same as 2.B.402.</t>
  </si>
  <si>
    <t xml:space="preserve">2.B.600</t>
  </si>
  <si>
    <t xml:space="preserve">2.B.601</t>
  </si>
  <si>
    <t xml:space="preserve">Similar to 2.B.401 but PFIT 1/6 to 1/3 (4.C). Feedback: Gradual PFIT demand → steady net positive real profits.</t>
  </si>
  <si>
    <t xml:space="preserve">PFIT MENU 2.B.601 demand (1/6 to 1/3), FMW MENU 2.401 cost (2.22%).</t>
  </si>
  <si>
    <t xml:space="preserve">Phased offset.</t>
  </si>
  <si>
    <t xml:space="preserve">2.B.602</t>
  </si>
  <si>
    <t xml:space="preserve">Similar to 2.B.402 for PFIT 1/6 to 1/3. Feedback: Gradual bracket-level net gains.</t>
  </si>
  <si>
    <t xml:space="preserve">Same as 2.B.601.</t>
  </si>
  <si>
    <t xml:space="preserve">2.B.700</t>
  </si>
  <si>
    <t xml:space="preserve">2.B.701</t>
  </si>
  <si>
    <t xml:space="preserve">intangible_stock_new = base_intangible + r&amp;d_investment_new r&amp;d_investment_new = retained_earnings_new * r&amp;d_share retained_earnings_new = real_profit_new * (1 - tax_rate) Feedback: PFIT demand offsets modest FMW costs → net positive intangible investment; balanced in baseline.</t>
  </si>
  <si>
    <t xml:space="preserve">PFIT MENU 2.B.701 demand (1/6), FMW MENU 2.701 cost (2.22%), r&amp;d share 0.3-0.5.</t>
  </si>
  <si>
    <t xml:space="preserve">Line chart (2 lines), table, analysis summary (e.g., "Intangible stock up 4-10% cumulatively in baseline").</t>
  </si>
  <si>
    <t xml:space="preserve">Intangible capital stock after PFIT 1/6 + modest FMW.</t>
  </si>
  <si>
    <t xml:space="preserve">2.B.702</t>
  </si>
  <si>
    <t xml:space="preserve">Similar to 2.B.701 but per CFIT bracket; plot 10 lines. Feedback: Larger brackets show strongest net intangible growth from PFIT demand offset.</t>
  </si>
  <si>
    <t xml:space="preserve">Same as 2.B.701.</t>
  </si>
  <si>
    <t xml:space="preserve">2.B.800</t>
  </si>
  <si>
    <t xml:space="preserve">2.B.801</t>
  </si>
  <si>
    <t xml:space="preserve">Similar to 2.B.701 but PFIT lower 1/3 (4.B). Feedback: Deeper PFIT → larger net positive intangible growth despite modest FMW.</t>
  </si>
  <si>
    <t xml:space="preserve">PFIT MENU 2.B.801 demand (1/3), FMW MENU 2.701 cost (2.22%).</t>
  </si>
  <si>
    <t xml:space="preserve">Enhanced intangible from deeper PFIT + modest FMW.</t>
  </si>
  <si>
    <t xml:space="preserve">2.B.802</t>
  </si>
  <si>
    <t xml:space="preserve">Similar to 2.B.702 for PFIT lower 1/3. Feedback: Larger net bracket-level intangible gains.</t>
  </si>
  <si>
    <t xml:space="preserve">Same as 2.B.801.</t>
  </si>
  <si>
    <t xml:space="preserve">Same as 2.B.702.</t>
  </si>
  <si>
    <t xml:space="preserve">2.B.900</t>
  </si>
  <si>
    <t xml:space="preserve">2.B.901</t>
  </si>
  <si>
    <t xml:space="preserve">Similar to 2.B.701 but PFIT 1/6 to 1/3 (4.C). Feedback: Gradual PFIT demand → steady net positive intangible growth.</t>
  </si>
  <si>
    <t xml:space="preserve">PFIT MENU 2.B.901 demand (1/6 to 1/3), FMW MENU 2.701 cost (2.22%).</t>
  </si>
  <si>
    <t xml:space="preserve">2.B.902</t>
  </si>
  <si>
    <t xml:space="preserve">Similar to 2.B.702 for PFIT 1/6 to 1/3. Feedback: Gradual bracket-level net gains.</t>
  </si>
  <si>
    <t xml:space="preserve">Same as 2.B.901.</t>
  </si>
  <si>
    <t xml:space="preserve">2.B.1000</t>
  </si>
  <si>
    <t xml:space="preserve">2.B.1001</t>
  </si>
  <si>
    <t xml:space="preserve">profit_share_new = real_profit_new / gdp_new Feedback: PFIT demand offsets modest FMW costs → net positive profit share of GDP; balanced in baseline.</t>
  </si>
  <si>
    <t xml:space="preserve">PFIT MENU 2.B.1001 demand (1/6), FMW MENU 2.1001 cost (2.22%), gdp_new from scenario growth.</t>
  </si>
  <si>
    <t xml:space="preserve">Line chart (2 lines), table, analysis summary (e.g., "Profit share rises 0.6-2.2 pp in baseline from PFIT offsetting modest FMW").</t>
  </si>
  <si>
    <t xml:space="preserve">Profit share = corporate income / GDP; net increase in numerator.</t>
  </si>
  <si>
    <t xml:space="preserve">Profit share of GDP after PFIT 1/6 + modest FMW.</t>
  </si>
  <si>
    <t xml:space="preserve">2.B.1002</t>
  </si>
  <si>
    <t xml:space="preserve">Similar to 2.B.1001 but per CFIT bracket; plot 10 lines. Feedback: Larger brackets show strongest net profit share increase from PFIT demand offset.</t>
  </si>
  <si>
    <t xml:space="preserve">Same as 2.B.1001.</t>
  </si>
  <si>
    <t xml:space="preserve">2.B.1100</t>
  </si>
  <si>
    <t xml:space="preserve">2.B.1101</t>
  </si>
  <si>
    <t xml:space="preserve">Similar to 2.B.1001 but PFIT lower 1/3 (4.B). Feedback: Deeper PFIT → larger net positive profit share despite modest FMW.</t>
  </si>
  <si>
    <t xml:space="preserve">PFIT MENU 2.B.1101 demand (1/3), FMW MENU 2.1001 cost (2.22%).</t>
  </si>
  <si>
    <t xml:space="preserve">Enhanced profit share from deeper PFIT + modest FMW.</t>
  </si>
  <si>
    <t xml:space="preserve">2.B.1102</t>
  </si>
  <si>
    <t xml:space="preserve">Similar to 2.B.1002 for PFIT lower 1/3. Feedback: Larger net bracket-level profit share gains.</t>
  </si>
  <si>
    <t xml:space="preserve">Same as 2.B.1101.</t>
  </si>
  <si>
    <t xml:space="preserve">Same as 2.B.1002.</t>
  </si>
  <si>
    <t xml:space="preserve">2.B.1200</t>
  </si>
  <si>
    <t xml:space="preserve">2.B.1201</t>
  </si>
  <si>
    <t xml:space="preserve">Similar to 2.B.1001 but PFIT 1/6 to 1/3 (4.C). Feedback: Gradual PFIT demand → steady net positive profit share.</t>
  </si>
  <si>
    <t xml:space="preserve">PFIT MENU 2.B.1201 demand (1/6 to 1/3), FMW MENU 2.1001 cost (2.22%).</t>
  </si>
  <si>
    <t xml:space="preserve">2.B.1202</t>
  </si>
  <si>
    <t xml:space="preserve">Similar to 2.B.1002 for PFIT 1/6 to 1/3. Feedback: Gradual bracket-level net gains.</t>
  </si>
  <si>
    <t xml:space="preserve">Same as 2.B.1201.</t>
  </si>
  <si>
    <t xml:space="preserve">2.C.100</t>
  </si>
  <si>
    <t xml:space="preserve">Current/New PFIT: Lower 1/6 Tax Elimination, FMW (2.22% Annual Increase)</t>
  </si>
  <si>
    <t xml:space="preserve">2.C.101</t>
  </si>
  <si>
    <t xml:space="preserve">for year in range(21): pf_receipts_new = PFIT_MENU_3.101_receipts_new[year] # lower 1/6 cut fmw_tax_boost = FMW_MENU_3.101_indirect_personal[year] # modest wage increase raises taxable base net_personal_receipts_new = pf_receipts_new + fmw_tax_boost net_current = current_personal_receipts Feedback: Net personal receipts still decline due to PFIT cuts; modest FMW wage growth provides small offset.</t>
  </si>
  <si>
    <t xml:space="preserve">PFIT MENU 3.101 personal receipts (lower 1/6), FMW MENU 3.101 indirect personal tax impact (2.22% wage), taxpayers &amp; eff rates from PFIT-BRACKETS.</t>
  </si>
  <si>
    <t xml:space="preserve">Line chart (2 lines: New vs Current), table (2 cols), analysis summary (e.g., "Net personal receipts down 7-14% in baseline; FMW provides ~1-3% offset").</t>
  </si>
  <si>
    <t xml:space="preserve">FMW wage boost increases taxable income modestly (elasticity 0.1-0.3); PFIT cut dominant; scenarios vary behavioral response.</t>
  </si>
  <si>
    <t xml:space="preserve">Bracket inflation adj + growth</t>
  </si>
  <si>
    <t xml:space="preserve">Net personal tax after PFIT cut + modest FMW wage effect.</t>
  </si>
  <si>
    <t xml:space="preserve">2.C.102</t>
  </si>
  <si>
    <t xml:space="preserve">Similar to 2.C.101 but per PFIT bracket: net[br] = pf_receipts_new[br] + fmw_tax_boost[br]; plot 14 lines. Feedback: Lower brackets see smaller relative decline due to FMW wage boost.</t>
  </si>
  <si>
    <t xml:space="preserve">Same as 2.C.101.</t>
  </si>
  <si>
    <t xml:space="preserve">Bracket-specific FMW spillover (strongest lower); assumes no major bracket migration.</t>
  </si>
  <si>
    <t xml:space="preserve">2.C.200</t>
  </si>
  <si>
    <t xml:space="preserve">Current/New PFIT: Lower 1/3 Tax Elimination, FMW (2.22% Annual Increase)</t>
  </si>
  <si>
    <t xml:space="preserve">2.C.201</t>
  </si>
  <si>
    <t xml:space="preserve">Similar to 2.C.101 but PFIT lower 1/3 phasing (4.B). Feedback: Deeper PFIT cut → larger net personal receipts decline; FMW offset remains modest.</t>
  </si>
  <si>
    <t xml:space="preserve">PFIT MENU 3.201 receipts (lower 1/3), FMW MENU 3.101 indirect.</t>
  </si>
  <si>
    <t xml:space="preserve">Larger PFIT revenue loss dominates.</t>
  </si>
  <si>
    <t xml:space="preserve">2.C.202</t>
  </si>
  <si>
    <t xml:space="preserve">Similar to 2.C.102 for PFIT lower 1/3. Feedback: Enhanced bracket-level declines despite FMW.</t>
  </si>
  <si>
    <t xml:space="preserve">Same as 2.C.201.</t>
  </si>
  <si>
    <t xml:space="preserve">Same as 2.C.102.</t>
  </si>
  <si>
    <t xml:space="preserve">2.C.300</t>
  </si>
  <si>
    <t xml:space="preserve">Current/New PFIT: Lower 1/6 To 1/3 Tax Elimination, FMW (2.22% Annual Increase)</t>
  </si>
  <si>
    <t xml:space="preserve">2.C.301</t>
  </si>
  <si>
    <t xml:space="preserve">Similar to 2.C.101 but PFIT 1/6 to 1/3 phasing (4.C). Feedback: Gradual PFIT revenue loss → smoother net personal receipts trajectory; modest FMW offset steady.</t>
  </si>
  <si>
    <t xml:space="preserve">PFIT MENU 3.301 receipts (1/6 to 1/3), FMW MENU 3.101 indirect.</t>
  </si>
  <si>
    <t xml:space="preserve">Multi-phase PFIT reduces early shock.</t>
  </si>
  <si>
    <t xml:space="preserve">2.C.302</t>
  </si>
  <si>
    <t xml:space="preserve">Similar to 2.C.102 for PFIT 1/6 to 1/3. Feedback: Gradual bracket-level changes.</t>
  </si>
  <si>
    <t xml:space="preserve">Same as 2.C.301.</t>
  </si>
  <si>
    <t xml:space="preserve">2.C.400</t>
  </si>
  <si>
    <t xml:space="preserve">2.C.401</t>
  </si>
  <si>
    <t xml:space="preserve">net_corp_receipts_new = CFIT_MENU_3.201_receipts_new[year] + PFIT_indirect_demand[year] - FMW_cost_drag[year] Feedback: Net corp receipts rise from PFIT demand; modest FMW cost drag small offset.</t>
  </si>
  <si>
    <t xml:space="preserve">CFIT MENU 3.201 corp receipts, PFIT MENU 3.401 indirect demand, FMW MENU 3.401 cost drag (2.22%).</t>
  </si>
  <si>
    <t xml:space="preserve">Line chart (2 lines), table (2 cols), analysis summary (e.g., "Net corp receipts up 4-13% in baseline").</t>
  </si>
  <si>
    <t xml:space="preserve">Demand elasticity 0.2-0.5 from PFIT; FMW cost pass-through limited; scenarios vary demand vs cost.</t>
  </si>
  <si>
    <t xml:space="preserve">PFIT#4.A, FMW#2.C, CFIT#4.A</t>
  </si>
  <si>
    <t xml:space="preserve">Inflation + growth</t>
  </si>
  <si>
    <t xml:space="preserve">Net corporate tax after PFIT demand + modest FMW cost.</t>
  </si>
  <si>
    <t xml:space="preserve">2.C.402</t>
  </si>
  <si>
    <t xml:space="preserve">Similar to 2.C.401 but per CFIT bracket; plot 10 lines. Feedback: Larger brackets net higher gain from demand; small brackets more FMW cost-sensitive.</t>
  </si>
  <si>
    <t xml:space="preserve">Same as 2.C.401.</t>
  </si>
  <si>
    <t xml:space="preserve">Bracket-specific demand and labor cost exposure.</t>
  </si>
  <si>
    <t xml:space="preserve">2.C.500</t>
  </si>
  <si>
    <t xml:space="preserve">2.C.501</t>
  </si>
  <si>
    <t xml:space="preserve">Similar to 2.C.401 but PFIT lower 1/3 phasing (4.B). Feedback: Deeper PFIT demand → stronger net corp receipts despite modest FMW cost.</t>
  </si>
  <si>
    <t xml:space="preserve">PFIT MENU 3.501 indirect, FMW MENU 3.401, CFIT MENU 3.201.</t>
  </si>
  <si>
    <t xml:space="preserve">Larger PFIT demand effect.</t>
  </si>
  <si>
    <t xml:space="preserve">PFIT#4.B, FMW#2.C, CFIT#4.A</t>
  </si>
  <si>
    <t xml:space="preserve">2.C.502</t>
  </si>
  <si>
    <t xml:space="preserve">Similar to 2.C.402 for PFIT lower 1/3. Feedback: Stronger bracket-level gains.</t>
  </si>
  <si>
    <t xml:space="preserve">Same as 2.C.501.</t>
  </si>
  <si>
    <t xml:space="preserve">Same as 2.C.402.</t>
  </si>
  <si>
    <t xml:space="preserve">2.C.600</t>
  </si>
  <si>
    <t xml:space="preserve">2.C.601</t>
  </si>
  <si>
    <t xml:space="preserve">Similar to 2.C.401 but PFIT 1/6 to 1/3 phasing (4.C). Feedback: Gradual PFIT demand → steady net corp receipts increase.</t>
  </si>
  <si>
    <t xml:space="preserve">PFIT MENU 3.601 indirect, FMW MENU 3.401, CFIT MENU 3.201.</t>
  </si>
  <si>
    <t xml:space="preserve">PFIT#4.C, FMW#2.C, CFIT#4.A</t>
  </si>
  <si>
    <t xml:space="preserve">2.C.602</t>
  </si>
  <si>
    <t xml:space="preserve">Similar to 2.C.402 for PFIT 1/6 to 1/3. Feedback: Gradual bracket improvements.</t>
  </si>
  <si>
    <t xml:space="preserve">Same as 2.C.601.</t>
  </si>
  <si>
    <t xml:space="preserve">2.C.700</t>
  </si>
  <si>
    <t xml:space="preserve">net_savings_new = net_personal_receipts_new + net_corp_receipts_new - spending + credit_savings Feedback: Net savings improve long-term if CFIT gain + credits &gt; PFIT loss; modest FMW boost provides small additional offset.</t>
  </si>
  <si>
    <t xml:space="preserve">From 2.C.101 + 2.C.401 receipts, spending base, PFIT-CREDITS elimination/redirects.</t>
  </si>
  <si>
    <t xml:space="preserve">Line chart (2 lines), table, analysis (e.g., "Net savings positive after year 7-10 in baseline").</t>
  </si>
  <si>
    <t xml:space="preserve">Spending constant; credits from PFIT-CREDITS; FMW modest income boost; scenarios vary credit recapture.</t>
  </si>
  <si>
    <t xml:space="preserve">PFIT#4.A, FMW#2.C, PFIT-CREDITS</t>
  </si>
  <si>
    <t xml:space="preserve">Fiscal rules + bracket adj</t>
  </si>
  <si>
    <t xml:space="preserve">Net public savings after PFIT/FMW changes.</t>
  </si>
  <si>
    <t xml:space="preserve">2.C.701</t>
  </si>
  <si>
    <t xml:space="preserve">Similar to 2.C.700 but PFIT lower 1/3 (4.B). Feedback: Larger PFIT loss but higher credit recapture → net savings vary by scenario.</t>
  </si>
  <si>
    <t xml:space="preserve">From 2.C.201 + 2.C.501, credits.</t>
  </si>
  <si>
    <t xml:space="preserve">Same as 2.C.700.</t>
  </si>
  <si>
    <t xml:space="preserve">Deeper PFIT increases revenue gap.</t>
  </si>
  <si>
    <t xml:space="preserve">PFIT#4.B, FMW#2.C, PFIT-CREDITS</t>
  </si>
  <si>
    <t xml:space="preserve">Deeper fiscal impact.</t>
  </si>
  <si>
    <t xml:space="preserve">2.C.702</t>
  </si>
  <si>
    <t xml:space="preserve">Similar to 2.C.700 but PFIT 1/6 to 1/3 (4.C). Feedback: Gradual net savings trajectory.</t>
  </si>
  <si>
    <t xml:space="preserve">From 2.C.301 + 2.C.601, credits.</t>
  </si>
  <si>
    <t xml:space="preserve">Phased changes reduce volatility.</t>
  </si>
  <si>
    <t xml:space="preserve">PFIT#4.C, FMW#2.C, PFIT-CREDITS</t>
  </si>
  <si>
    <t xml:space="preserve">Phased fiscal savings.</t>
  </si>
  <si>
    <t xml:space="preserve">2.C.800</t>
  </si>
  <si>
    <t xml:space="preserve">primary_balance_new = net_savings_new - interest_new interest_new = cumulative_debt * rate Feedback: Primary balance improves if net savings exceed interest; modest FMW helps long-term.</t>
  </si>
  <si>
    <t xml:space="preserve">From 2.C.700 savings, interest rate 2-4% by scenario, debt dynamics.</t>
  </si>
  <si>
    <t xml:space="preserve">Line chart (2 lines), table, analysis (e.g., "Primary surplus in dynamic after year 9").</t>
  </si>
  <si>
    <t xml:space="preserve">Debt cumulative; rate higher adverse; excludes interest in primary.</t>
  </si>
  <si>
    <t xml:space="preserve">PFIT#4.A, FMW#2.C, PFIT-CREDITS, macro debt</t>
  </si>
  <si>
    <t xml:space="preserve">Interest rate update</t>
  </si>
  <si>
    <t xml:space="preserve">Net primary budget balance.</t>
  </si>
  <si>
    <t xml:space="preserve">2.C.801</t>
  </si>
  <si>
    <t xml:space="preserve">Similar to 2.C.800 but PFIT lower 1/3 (4.B). Feedback: Deeper PFIT loss may delay surplus.</t>
  </si>
  <si>
    <t xml:space="preserve">From 2.C.701 savings.</t>
  </si>
  <si>
    <t xml:space="preserve">Same as 2.C.800.</t>
  </si>
  <si>
    <t xml:space="preserve">Larger initial deficit possible.</t>
  </si>
  <si>
    <t xml:space="preserve">PFIT#4.B, FMW#2.C, macro debt</t>
  </si>
  <si>
    <t xml:space="preserve">Deeper balance impact.</t>
  </si>
  <si>
    <t xml:space="preserve">2.C.802</t>
  </si>
  <si>
    <t xml:space="preserve">Similar to 2.C.800 but PFIT 1/6 to 1/3 (4.C). Feedback: Gradual path to primary balance improvement.</t>
  </si>
  <si>
    <t xml:space="preserve">From 2.C.702 savings.</t>
  </si>
  <si>
    <t xml:space="preserve">Phased revenue/credit changes.</t>
  </si>
  <si>
    <t xml:space="preserve">PFIT#4.C, FMW#2.C, macro debt</t>
  </si>
  <si>
    <t xml:space="preserve">Phased primary balance.</t>
  </si>
  <si>
    <t xml:space="preserve">2.D.100</t>
  </si>
  <si>
    <t xml:space="preserve">for year in range(21): net_fiscal_new = (PFIT_personal_receipts_new + PFIT_indirect_corp + FMW_indirect_tax_boost) - spending + credit_redirects + behavioral_adj net_current = current_total_receipts - spending Feedback: Net fiscal impact negative short-term due to PFIT revenue loss; modest FMW wage boost and credit redirects provide partial offset; long-term positive in dynamic/optimistic via growth.</t>
  </si>
  <si>
    <t xml:space="preserve">All PFIT receipt sections (personal/corp/gov), FMW indirect tax boost (2.22% wage), spending base, PFIT-CREDITS redirects, behavioral adj from elasticity.</t>
  </si>
  <si>
    <t xml:space="preserve">Line chart (2 lines: New vs Current over 20 years), table (2 cols: New, Current), analysis summary (e.g., "Net fiscal deficit narrows after year 8-10 in baseline; positive in optimistic").</t>
  </si>
  <si>
    <t xml:space="preserve">Full macro integration; FMW modest income boost adds small revenue; spending constant; scenarios vary growth &amp; credit recapture.</t>
  </si>
  <si>
    <t xml:space="preserve">All PFIT sections (#4.A phasing), FMW#2.C, PFIT-CREDITS, macro</t>
  </si>
  <si>
    <t xml:space="preserve">Overall net fiscal impact of PFIT (Lower 1/6) + modest FMW combination.</t>
  </si>
  <si>
    <t xml:space="preserve">2.D.101</t>
  </si>
  <si>
    <t xml:space="preserve">Similar to 2.D.100 but using PFIT lower 1/3 phasing (4.B). Feedback: Deeper PFIT revenue loss → larger initial deficit; modest FMW offset limited; long-term positive depends heavily on credit recapture and growth.</t>
  </si>
  <si>
    <t xml:space="preserve">Same as 2.D.100 but PFIT linked to #4.B phasing sections.</t>
  </si>
  <si>
    <t xml:space="preserve">Same as 2.D.100.</t>
  </si>
  <si>
    <t xml:space="preserve">Larger PFIT cut increases revenue gap; FMW remains modest.</t>
  </si>
  <si>
    <t xml:space="preserve">All PFIT sections, PFIT#4.B, FMW#2.C</t>
  </si>
  <si>
    <t xml:space="preserve">2.D.102</t>
  </si>
  <si>
    <t xml:space="preserve">Similar to 2.D.100 but using PFIT 1/6 to 1/3 phasing (4.C). Feedback: Gradual PFIT revenue reduction → smoother fiscal trajectory with less early deficit; modest FMW provides steady small boost.</t>
  </si>
  <si>
    <t xml:space="preserve">Same as 2.D.100 but PFIT linked to #4.C phasing sections.</t>
  </si>
  <si>
    <t xml:space="preserve">All PFIT sections, PFIT#4.C, FMW#2.C</t>
  </si>
  <si>
    <t xml:space="preserve">2.D.200</t>
  </si>
  <si>
    <t xml:space="preserve">net_gini_new = base_gini - PFIT_redistribution_factor + FMW_gini_effect Feedback: Net Gini reduction driven by PFIT progressive cuts + modest FMW wage boost for lower earners; overall significant equity improvement.</t>
  </si>
  <si>
    <t xml:space="preserve">PFIT MENU 4.200 gini reduction (progressive cuts), FMW MENU 4.200 gini effect (small reduction from wage floor), base gini ~0.41.</t>
  </si>
  <si>
    <t xml:space="preserve">Line chart (2 lines: New vs Current), table (2 cols), analysis summary (e.g., "Net Gini drops 0.02-0.06 in baseline/optimistic").</t>
  </si>
  <si>
    <t xml:space="preserve">Lorenz approximation; PFIT effect dominant; FMW adds modest low-end lift; scenarios vary redistribution strength.</t>
  </si>
  <si>
    <t xml:space="preserve">PFIT &amp; FMW distribution sections</t>
  </si>
  <si>
    <t xml:space="preserve">Net inequality impact of PFIT + modest FMW.</t>
  </si>
  <si>
    <t xml:space="preserve">2.D.201</t>
  </si>
  <si>
    <t xml:space="preserve">Similar to 2.D.200 but PFIT lower 1/3 phasing (4.B). Feedback: Deeper PFIT cuts → stronger net Gini reduction; FMW adds complementary low-end boost.</t>
  </si>
  <si>
    <t xml:space="preserve">Same as 2.D.200 but PFIT #4.B linked.</t>
  </si>
  <si>
    <t xml:space="preserve">Same as 2.D.200.</t>
  </si>
  <si>
    <t xml:space="preserve">PFIT#4.B, FMW distribution</t>
  </si>
  <si>
    <t xml:space="preserve">2.D.202</t>
  </si>
  <si>
    <t xml:space="preserve">Similar to 2.D.200 but PFIT 1/6 to 1/3 phasing (4.C). Feedback: Gradual PFIT → steady net Gini improvement; FMW provides consistent support.</t>
  </si>
  <si>
    <t xml:space="preserve">Same as 2.D.200 but PFIT #4.C linked.</t>
  </si>
  <si>
    <t xml:space="preserve">PFIT#4.C, FMW distribution</t>
  </si>
  <si>
    <t xml:space="preserve">2.D.300</t>
  </si>
  <si>
    <t xml:space="preserve">net_emp_elasticity = (net_emp_new - base_emp) / net_tax_rate_change_combined Feedback: Positive net elasticity from PFIT labor supply boost + modest FMW demand pull; small but positive overall.</t>
  </si>
  <si>
    <t xml:space="preserve">PFIT MENU 4.300 emp elasticity, FMW MENU 4.300 emp elasticity, combined rate/wage change.</t>
  </si>
  <si>
    <t xml:space="preserve">Line chart (2 lines), table, analysis summary (e.g., "Net elasticity 0.1-0.3 positive in baseline").</t>
  </si>
  <si>
    <t xml:space="preserve">Literature-based range; stronger low-income PFIT + FMW response; scenarios vary net effect.</t>
  </si>
  <si>
    <t xml:space="preserve">PFIT + FMW labor sections</t>
  </si>
  <si>
    <t xml:space="preserve">2.D.301</t>
  </si>
  <si>
    <t xml:space="preserve">Similar to 2.D.300 but PFIT lower 1/3 phasing. Feedback: Stronger net positive elasticity from deeper PFIT incentive + FMW.</t>
  </si>
  <si>
    <t xml:space="preserve">Same as 2.D.300 but PFIT #4.B linked.</t>
  </si>
  <si>
    <t xml:space="preserve">Same as 2.D.300.</t>
  </si>
  <si>
    <t xml:space="preserve">PFIT#4.B, FMW labor</t>
  </si>
  <si>
    <t xml:space="preserve">2.D.302</t>
  </si>
  <si>
    <t xml:space="preserve">Similar to 2.D.300 but PFIT 1/6 to 1/3 phasing. Feedback: Gradual build-up of net positive elasticity.</t>
  </si>
  <si>
    <t xml:space="preserve">Same as 2.D.300 but PFIT #4.C linked.</t>
  </si>
  <si>
    <t xml:space="preserve">PFIT#4.C, FMW labor</t>
  </si>
  <si>
    <t xml:space="preserve">2.D.400</t>
  </si>
  <si>
    <t xml:space="preserve">net_tax_base_elasticity = (net_tax_base_new - base) / net_rate_change_combined Feedback: Positive net elasticity if PFIT growth + modest FMW wage expansion &gt; any deadweight loss; long-term positive.</t>
  </si>
  <si>
    <t xml:space="preserve">PFIT &amp; FMW tax bases (earnings + indirect), combined rate/wage change.</t>
  </si>
  <si>
    <t xml:space="preserve">Line chart (2 lines), table, analysis summary (e.g., "Net elasticity 0.2-0.5 positive in dynamic").</t>
  </si>
  <si>
    <t xml:space="preserve">Behavioral responses (Laffer negative short-term, growth positive long-term); FMW modest base lift.</t>
  </si>
  <si>
    <t xml:space="preserve">PFIT + FMW bases</t>
  </si>
  <si>
    <t xml:space="preserve">2.D.401</t>
  </si>
  <si>
    <t xml:space="preserve">Similar to 2.D.400 but PFIT lower 1/3 phasing. Feedback: Stronger net positive from deeper PFIT growth + FMW.</t>
  </si>
  <si>
    <t xml:space="preserve">Same as 2.D.400 but PFIT #4.B linked.</t>
  </si>
  <si>
    <t xml:space="preserve">Same as 2.D.400.</t>
  </si>
  <si>
    <t xml:space="preserve">PFIT#4.B, FMW bases</t>
  </si>
  <si>
    <t xml:space="preserve">2.D.402</t>
  </si>
  <si>
    <t xml:space="preserve">Similar to 2.D.400 but PFIT 1/6 to 1/3 phasing. Feedback: Gradual net positive base elasticity build.</t>
  </si>
  <si>
    <t xml:space="preserve">Same as 2.D.400 but PFIT #4.C linked.</t>
  </si>
  <si>
    <t xml:space="preserve">PFIT#4.C, FMW bases</t>
  </si>
  <si>
    <t xml:space="preserve">2.D.500</t>
  </si>
  <si>
    <t xml:space="preserve">net_bottom40_share_new = base_share + (PFIT_lower_earnings_gain + FMW_wage_boost) / total_wealth * savings_rate Feedback: Net increase in bottom 40% wealth share driven by PFIT progressive gains + modest FMW wage floor; strong equity effect.</t>
  </si>
  <si>
    <t xml:space="preserve">PFIT MENU 4.500 bottom gain, FMW MENU 4.500 wage boost, base share ~3%, savings_rate 0.1-0.2.</t>
  </si>
  <si>
    <t xml:space="preserve">Line chart (2 lines), table, analysis summary (e.g., "Net share rises 0.6-2.2% in optimistic").</t>
  </si>
  <si>
    <t xml:space="preserve">Wealth accumulation from income; PFIT + FMW both benefit bottom; scenarios vary savings rate.</t>
  </si>
  <si>
    <t xml:space="preserve">PFIT + FMW macro sections</t>
  </si>
  <si>
    <t xml:space="preserve">2.D.501</t>
  </si>
  <si>
    <t xml:space="preserve">Similar to 2.D.500 but PFIT lower 1/3 phasing. Feedback: Stronger net increase from deeper PFIT gains + FMW.</t>
  </si>
  <si>
    <t xml:space="preserve">Same as 2.D.500 but PFIT #4.B linked.</t>
  </si>
  <si>
    <t xml:space="preserve">Same as 2.D.500.</t>
  </si>
  <si>
    <t xml:space="preserve">PFIT#4.B, FMW macro</t>
  </si>
  <si>
    <t xml:space="preserve">2.D.502</t>
  </si>
  <si>
    <t xml:space="preserve">Similar to 2.D.500 but PFIT 1/6 to 1/3 phasing. Feedback: Gradual net increase in bottom 40% share.</t>
  </si>
  <si>
    <t xml:space="preserve">Same as 2.D.500 but PFIT #4.C linked.</t>
  </si>
  <si>
    <t xml:space="preserve">PFIT#4.C, FMW macro</t>
  </si>
  <si>
    <t xml:space="preserve">PFIT, FMW (3.33% Annual Increase)</t>
  </si>
  <si>
    <t xml:space="preserve">Current/New PFIT, FMW (3.33% Annual Increase)</t>
  </si>
  <si>
    <t xml:space="preserve">3.A.100</t>
  </si>
  <si>
    <t xml:space="preserve">Current/New: PFIT (Lower 1/6 Tax Elimination), FMW (3.33% Annual Increase)</t>
  </si>
  <si>
    <t xml:space="preserve">3.A.101</t>
  </si>
  <si>
    <t xml:space="preserve">PFIT-BRACKETS#4.A - Current, New PFIT Phasing: Lower 1/6 Tax Elimination  
FMW#2.C - New FMW (Annual 3.33% Increase)</t>
  </si>
  <si>
    <t xml:space="preserve">New PFIT (Lower 1/6 Tax Elimination)  
New FMW (Annual 3.33% Increase)</t>
  </si>
  <si>
    <t xml:space="preserve">3.A.102</t>
  </si>
  <si>
    <t xml:space="preserve">3.A.200</t>
  </si>
  <si>
    <t xml:space="preserve">Current/New: PFIT (Lower 1/3 Tax Elimination), FMW (3.33% Annual Increase)</t>
  </si>
  <si>
    <t xml:space="preserve">3.A.201</t>
  </si>
  <si>
    <t xml:space="preserve">PFIT-BRACKETS#4.A - Current, New PFIT Phasing: Lower 1/3 Tax Elimination  
FMW#2.C - New FMW (Annual 3.33% Increase)</t>
  </si>
  <si>
    <t xml:space="preserve">New PFIT (Lower 1/3 Tax Elimination)  
New FMW (Annual 3.33% Increase)</t>
  </si>
  <si>
    <t xml:space="preserve">3.A.202</t>
  </si>
  <si>
    <t xml:space="preserve">3.A.300</t>
  </si>
  <si>
    <t xml:space="preserve">Current/New: PFIT (Lower 1/6 To 1/3 Tax Elimination), FMW (3.33% Annual Increase)</t>
  </si>
  <si>
    <t xml:space="preserve">3.A.301</t>
  </si>
  <si>
    <t xml:space="preserve">PFIT-BRACKETS#4.A - Current, New PFIT Phasing: Lower 1/6 To 1/3 Tax Elimination  
FMW#2.C - New FMW (Annual 3.33% Increase)</t>
  </si>
  <si>
    <t xml:space="preserve">New PFIT (Lower 1/6 To 1/3 Tax Elimination)  
New FMW (Annual 3.33% Increase)</t>
  </si>
  <si>
    <t xml:space="preserve">3.A.302</t>
  </si>
  <si>
    <t xml:space="preserve">3.A.400</t>
  </si>
  <si>
    <t xml:space="preserve">3.A.401</t>
  </si>
  <si>
    <t xml:space="preserve">3.A.402</t>
  </si>
  <si>
    <t xml:space="preserve">3.A.500</t>
  </si>
  <si>
    <t xml:space="preserve">3.A.501</t>
  </si>
  <si>
    <t xml:space="preserve">3.A.502</t>
  </si>
  <si>
    <t xml:space="preserve">3.A.600</t>
  </si>
  <si>
    <t xml:space="preserve">3.A.601</t>
  </si>
  <si>
    <t xml:space="preserve">3.A.602</t>
  </si>
  <si>
    <t xml:space="preserve">3.A.700</t>
  </si>
  <si>
    <t xml:space="preserve">3.A.701</t>
  </si>
  <si>
    <t xml:space="preserve">3.A.702</t>
  </si>
  <si>
    <t xml:space="preserve">3.A.800</t>
  </si>
  <si>
    <t xml:space="preserve">3.A.801</t>
  </si>
  <si>
    <t xml:space="preserve">3.A.802</t>
  </si>
  <si>
    <t xml:space="preserve">3.A.900</t>
  </si>
  <si>
    <t xml:space="preserve">3.A.901</t>
  </si>
  <si>
    <t xml:space="preserve">3.A.902</t>
  </si>
  <si>
    <t xml:space="preserve">3.A.1000</t>
  </si>
  <si>
    <t xml:space="preserve">3.A.1001</t>
  </si>
  <si>
    <t xml:space="preserve">3.A.1002</t>
  </si>
  <si>
    <t xml:space="preserve">3.A.1100</t>
  </si>
  <si>
    <t xml:space="preserve">3.A.1101</t>
  </si>
  <si>
    <t xml:space="preserve">3.A.1102</t>
  </si>
  <si>
    <t xml:space="preserve">3.A.1200</t>
  </si>
  <si>
    <t xml:space="preserve">3.A.1201</t>
  </si>
  <si>
    <t xml:space="preserve">3.A.1202</t>
  </si>
  <si>
    <t xml:space="preserve">3.B.100</t>
  </si>
  <si>
    <t xml:space="preserve">3.B.101</t>
  </si>
  <si>
    <t xml:space="preserve">3.B.102</t>
  </si>
  <si>
    <t xml:space="preserve">3.B.200</t>
  </si>
  <si>
    <t xml:space="preserve">3.B.201</t>
  </si>
  <si>
    <t xml:space="preserve">3.B.202</t>
  </si>
  <si>
    <t xml:space="preserve">3.B.300</t>
  </si>
  <si>
    <t xml:space="preserve">3.B.301</t>
  </si>
  <si>
    <t xml:space="preserve">3.B.302</t>
  </si>
  <si>
    <t xml:space="preserve">3.B.400</t>
  </si>
  <si>
    <t xml:space="preserve">3.B.401</t>
  </si>
  <si>
    <t xml:space="preserve">3.B.402</t>
  </si>
  <si>
    <t xml:space="preserve">3.B.500</t>
  </si>
  <si>
    <t xml:space="preserve">3.B.501</t>
  </si>
  <si>
    <t xml:space="preserve">3.B.502</t>
  </si>
  <si>
    <t xml:space="preserve">3.B.600</t>
  </si>
  <si>
    <t xml:space="preserve">3.B.601</t>
  </si>
  <si>
    <t xml:space="preserve">3.B.602</t>
  </si>
  <si>
    <t xml:space="preserve">3.B.700</t>
  </si>
  <si>
    <t xml:space="preserve">3.B.701</t>
  </si>
  <si>
    <t xml:space="preserve">3.B.702</t>
  </si>
  <si>
    <t xml:space="preserve">3.B.800</t>
  </si>
  <si>
    <t xml:space="preserve">3.B.801</t>
  </si>
  <si>
    <t xml:space="preserve">3.B.802</t>
  </si>
  <si>
    <t xml:space="preserve">3.B.900</t>
  </si>
  <si>
    <t xml:space="preserve">3.B.901</t>
  </si>
  <si>
    <t xml:space="preserve">3.B.902</t>
  </si>
  <si>
    <t xml:space="preserve">3.B.1000</t>
  </si>
  <si>
    <t xml:space="preserve">3.B.1001</t>
  </si>
  <si>
    <t xml:space="preserve">3.B.1002</t>
  </si>
  <si>
    <t xml:space="preserve">3.B.1100</t>
  </si>
  <si>
    <t xml:space="preserve">3.B.1101</t>
  </si>
  <si>
    <t xml:space="preserve">3.B.1102</t>
  </si>
  <si>
    <t xml:space="preserve">3.B.1200</t>
  </si>
  <si>
    <t xml:space="preserve">3.B.1201</t>
  </si>
  <si>
    <t xml:space="preserve">3.B.1202</t>
  </si>
  <si>
    <t xml:space="preserve">3.C.100</t>
  </si>
  <si>
    <t xml:space="preserve">Current/New PFIT: Lower 1/6 Tax Elimination, FMW (3.33% Annual Increase)</t>
  </si>
  <si>
    <t xml:space="preserve">3.C.101</t>
  </si>
  <si>
    <t xml:space="preserve">3.C.102</t>
  </si>
  <si>
    <t xml:space="preserve">3.C.200</t>
  </si>
  <si>
    <t xml:space="preserve">Current/New PFIT: Lower 1/3 Tax Elimination, FMW (3.33% Annual Increase)</t>
  </si>
  <si>
    <t xml:space="preserve">3.C.201</t>
  </si>
  <si>
    <t xml:space="preserve">3.C.202</t>
  </si>
  <si>
    <t xml:space="preserve">3.C.300</t>
  </si>
  <si>
    <t xml:space="preserve">Current/New PFIT: Lower 1/6 To 1/3 Tax Elimination, FMW (3.33% Annual Increase)</t>
  </si>
  <si>
    <t xml:space="preserve">3.C.301</t>
  </si>
  <si>
    <t xml:space="preserve">3.C.302</t>
  </si>
  <si>
    <t xml:space="preserve">3.C.400</t>
  </si>
  <si>
    <t xml:space="preserve">3.C.401</t>
  </si>
  <si>
    <t xml:space="preserve">3.C.402</t>
  </si>
  <si>
    <t xml:space="preserve">3.C.500</t>
  </si>
  <si>
    <t xml:space="preserve">3.C.501</t>
  </si>
  <si>
    <t xml:space="preserve">3.C.502</t>
  </si>
  <si>
    <t xml:space="preserve">3.C.600</t>
  </si>
  <si>
    <t xml:space="preserve">3.C.601</t>
  </si>
  <si>
    <t xml:space="preserve">3.C.602</t>
  </si>
  <si>
    <t xml:space="preserve">3.C.700</t>
  </si>
  <si>
    <t xml:space="preserve">3.C.701</t>
  </si>
  <si>
    <t xml:space="preserve">3.C.702</t>
  </si>
  <si>
    <t xml:space="preserve">3.C.800</t>
  </si>
  <si>
    <t xml:space="preserve">3.C.801</t>
  </si>
  <si>
    <t xml:space="preserve">3.C.802</t>
  </si>
  <si>
    <t xml:space="preserve">3.D.100</t>
  </si>
  <si>
    <t xml:space="preserve">3.D.101</t>
  </si>
  <si>
    <t xml:space="preserve">3.D.102</t>
  </si>
  <si>
    <t xml:space="preserve">3.D.200</t>
  </si>
  <si>
    <t xml:space="preserve">3.D.201</t>
  </si>
  <si>
    <t xml:space="preserve">3.D.202</t>
  </si>
  <si>
    <t xml:space="preserve">3.D.300</t>
  </si>
  <si>
    <t xml:space="preserve">3.D.301</t>
  </si>
  <si>
    <t xml:space="preserve">3.D.302</t>
  </si>
  <si>
    <t xml:space="preserve">3.D.400</t>
  </si>
  <si>
    <t xml:space="preserve">3.D.401</t>
  </si>
  <si>
    <t xml:space="preserve">3.D.402</t>
  </si>
  <si>
    <t xml:space="preserve">3.D.500</t>
  </si>
  <si>
    <t xml:space="preserve">3.D.501</t>
  </si>
  <si>
    <t xml:space="preserve">3.D.502</t>
  </si>
  <si>
    <t xml:space="preserve">PFIT, FMW (4.44% Annual Increase)</t>
  </si>
  <si>
    <t xml:space="preserve">Current/New PFIT, FMW (4.44% Annual Increase)</t>
  </si>
  <si>
    <t xml:space="preserve">4.A.100</t>
  </si>
  <si>
    <t xml:space="preserve">Current/New: PFIT (Lower 1/6 Tax Elimination), FMW (4.44% Annual Increase)</t>
  </si>
  <si>
    <t xml:space="preserve">4.A.101</t>
  </si>
  <si>
    <t xml:space="preserve">PFIT-BRACKETS#4.A - Current, New PFIT Phasing: Lower 1/6 Tax Elimination  
FMW#2.C - New FMW (Annual 4.44% Increase)</t>
  </si>
  <si>
    <t xml:space="preserve">New PFIT (Lower 1/6 Tax Elimination)  
New FMW (Annual 4.44% Increase)</t>
  </si>
  <si>
    <t xml:space="preserve">4.A.102</t>
  </si>
  <si>
    <t xml:space="preserve">4.A.200</t>
  </si>
  <si>
    <t xml:space="preserve">Current/New: PFIT (Lower 1/3 Tax Elimination), FMW (4.44% Annual Increase)</t>
  </si>
  <si>
    <t xml:space="preserve">4.A.201</t>
  </si>
  <si>
    <t xml:space="preserve">PFIT-BRACKETS#4.A - Current, New PFIT Phasing: Lower 1/3 Tax Elimination  
FMW#2.C - New FMW (Annual 4.44% Increase)</t>
  </si>
  <si>
    <t xml:space="preserve">New PFIT (Lower 1/3 Tax Elimination)  
New FMW (Annual 4.44% Increase)</t>
  </si>
  <si>
    <t xml:space="preserve">4.A.202</t>
  </si>
  <si>
    <t xml:space="preserve">4.A.300</t>
  </si>
  <si>
    <t xml:space="preserve">Current/New: PFIT (Lower 1/6 To 1/3 Tax Elimination), FMW (4.44% Annual Increase)</t>
  </si>
  <si>
    <t xml:space="preserve">4.A.301</t>
  </si>
  <si>
    <t xml:space="preserve">PFIT-BRACKETS#4.A - Current, New PFIT Phasing: Lower 1/6 To 1/3 Tax Elimination  
FMW#2.C - New FMW (Annual 4.44% Increase)</t>
  </si>
  <si>
    <t xml:space="preserve">New PFIT (Lower 1/6 To 1/3 Tax Elimination)  
New FMW (Annual 4.44% Increase)</t>
  </si>
  <si>
    <t xml:space="preserve">4.A.302</t>
  </si>
  <si>
    <t xml:space="preserve">4.A.400</t>
  </si>
  <si>
    <t xml:space="preserve">4.A.401</t>
  </si>
  <si>
    <t xml:space="preserve">4.A.402</t>
  </si>
  <si>
    <t xml:space="preserve">4.A.500</t>
  </si>
  <si>
    <t xml:space="preserve">4.A.501</t>
  </si>
  <si>
    <t xml:space="preserve">4.A.502</t>
  </si>
  <si>
    <t xml:space="preserve">4.A.600</t>
  </si>
  <si>
    <t xml:space="preserve">4.A.601</t>
  </si>
  <si>
    <t xml:space="preserve">4.A.602</t>
  </si>
  <si>
    <t xml:space="preserve">4.A.700</t>
  </si>
  <si>
    <t xml:space="preserve">4.A.701</t>
  </si>
  <si>
    <t xml:space="preserve">4.A.702</t>
  </si>
  <si>
    <t xml:space="preserve">4.A.800</t>
  </si>
  <si>
    <t xml:space="preserve">4.A.801</t>
  </si>
  <si>
    <t xml:space="preserve">4.A.802</t>
  </si>
  <si>
    <t xml:space="preserve">4.A.900</t>
  </si>
  <si>
    <t xml:space="preserve">4.A.901</t>
  </si>
  <si>
    <t xml:space="preserve">4.A.902</t>
  </si>
  <si>
    <t xml:space="preserve">4.A.1000</t>
  </si>
  <si>
    <t xml:space="preserve">4.A.1001</t>
  </si>
  <si>
    <t xml:space="preserve">4.A.1002</t>
  </si>
  <si>
    <t xml:space="preserve">4.A.1100</t>
  </si>
  <si>
    <t xml:space="preserve">4.A.1101</t>
  </si>
  <si>
    <t xml:space="preserve">4.A.1102</t>
  </si>
  <si>
    <t xml:space="preserve">4.A.1200</t>
  </si>
  <si>
    <t xml:space="preserve">4.A.1201</t>
  </si>
  <si>
    <t xml:space="preserve">4.A.1202</t>
  </si>
  <si>
    <t xml:space="preserve">4.B.100</t>
  </si>
  <si>
    <t xml:space="preserve">4.B.101</t>
  </si>
  <si>
    <t xml:space="preserve">4.B.102</t>
  </si>
  <si>
    <t xml:space="preserve">4.B.200</t>
  </si>
  <si>
    <t xml:space="preserve">4.B.201</t>
  </si>
  <si>
    <t xml:space="preserve">4.B.202</t>
  </si>
  <si>
    <t xml:space="preserve">4.B.300</t>
  </si>
  <si>
    <t xml:space="preserve">4.B.301</t>
  </si>
  <si>
    <t xml:space="preserve">4.B.302</t>
  </si>
  <si>
    <t xml:space="preserve">4.B.400</t>
  </si>
  <si>
    <t xml:space="preserve">4.B.401</t>
  </si>
  <si>
    <t xml:space="preserve">4.B.402</t>
  </si>
  <si>
    <t xml:space="preserve">4.B.500</t>
  </si>
  <si>
    <t xml:space="preserve">4.B.501</t>
  </si>
  <si>
    <t xml:space="preserve">4.B.502</t>
  </si>
  <si>
    <t xml:space="preserve">4.B.600</t>
  </si>
  <si>
    <t xml:space="preserve">4.B.601</t>
  </si>
  <si>
    <t xml:space="preserve">4.B.602</t>
  </si>
  <si>
    <t xml:space="preserve">4.B.700</t>
  </si>
  <si>
    <t xml:space="preserve">4.B.701</t>
  </si>
  <si>
    <t xml:space="preserve">4.B.702</t>
  </si>
  <si>
    <t xml:space="preserve">4.B.800</t>
  </si>
  <si>
    <t xml:space="preserve">4.B.801</t>
  </si>
  <si>
    <t xml:space="preserve">4.B.802</t>
  </si>
  <si>
    <t xml:space="preserve">4.B.900</t>
  </si>
  <si>
    <t xml:space="preserve">4.B.901</t>
  </si>
  <si>
    <t xml:space="preserve">4.B.902</t>
  </si>
  <si>
    <t xml:space="preserve">4.B.1000</t>
  </si>
  <si>
    <t xml:space="preserve">4.B.1001</t>
  </si>
  <si>
    <t xml:space="preserve">4.B.1002</t>
  </si>
  <si>
    <t xml:space="preserve">4.B.1100</t>
  </si>
  <si>
    <t xml:space="preserve">4.B.1101</t>
  </si>
  <si>
    <t xml:space="preserve">4.B.1102</t>
  </si>
  <si>
    <t xml:space="preserve">4.B.1200</t>
  </si>
  <si>
    <t xml:space="preserve">4.B.1201</t>
  </si>
  <si>
    <t xml:space="preserve">4.B.1202</t>
  </si>
  <si>
    <t xml:space="preserve">4.C.100</t>
  </si>
  <si>
    <t xml:space="preserve">Current/New PFIT: Lower 1/6 Tax Elimination, FMW (4.44% Annual Increase)</t>
  </si>
  <si>
    <t xml:space="preserve">4.C.101</t>
  </si>
  <si>
    <t xml:space="preserve">4.C.102</t>
  </si>
  <si>
    <t xml:space="preserve">4.C.200</t>
  </si>
  <si>
    <t xml:space="preserve">Current/New PFIT: Lower 1/3 Tax Elimination, FMW (4.44% Annual Increase)</t>
  </si>
  <si>
    <t xml:space="preserve">4.C.201</t>
  </si>
  <si>
    <t xml:space="preserve">4.C.202</t>
  </si>
  <si>
    <t xml:space="preserve">4.C.300</t>
  </si>
  <si>
    <t xml:space="preserve">Current/New PFIT: Lower 1/6 To 1/3 Tax Elimination, FMW (4.44% Annual Increase)</t>
  </si>
  <si>
    <t xml:space="preserve">4.C.301</t>
  </si>
  <si>
    <t xml:space="preserve">4.C.302</t>
  </si>
  <si>
    <t xml:space="preserve">4.C.400</t>
  </si>
  <si>
    <t xml:space="preserve">4.C.401</t>
  </si>
  <si>
    <t xml:space="preserve">4.C.402</t>
  </si>
  <si>
    <t xml:space="preserve">4.C.500</t>
  </si>
  <si>
    <t xml:space="preserve">4.C.501</t>
  </si>
  <si>
    <t xml:space="preserve">4.C.502</t>
  </si>
  <si>
    <t xml:space="preserve">4.C.600</t>
  </si>
  <si>
    <t xml:space="preserve">4.C.601</t>
  </si>
  <si>
    <t xml:space="preserve">4.C.602</t>
  </si>
  <si>
    <t xml:space="preserve">4.C.700</t>
  </si>
  <si>
    <t xml:space="preserve">4.C.701</t>
  </si>
  <si>
    <t xml:space="preserve">4.C.702</t>
  </si>
  <si>
    <t xml:space="preserve">4.C.800</t>
  </si>
  <si>
    <t xml:space="preserve">4.C.801</t>
  </si>
  <si>
    <t xml:space="preserve">4.C.802</t>
  </si>
  <si>
    <t xml:space="preserve">4.D.100</t>
  </si>
  <si>
    <t xml:space="preserve">4.D.101</t>
  </si>
  <si>
    <t xml:space="preserve">4.D.102</t>
  </si>
  <si>
    <t xml:space="preserve">4.D.200</t>
  </si>
  <si>
    <t xml:space="preserve">4.D.201</t>
  </si>
  <si>
    <t xml:space="preserve">4.D.202</t>
  </si>
  <si>
    <t xml:space="preserve">4.D.300</t>
  </si>
  <si>
    <t xml:space="preserve">4.D.301</t>
  </si>
  <si>
    <t xml:space="preserve">4.D.302</t>
  </si>
  <si>
    <t xml:space="preserve">4.D.400</t>
  </si>
  <si>
    <t xml:space="preserve">4.D.401</t>
  </si>
  <si>
    <t xml:space="preserve">4.D.402</t>
  </si>
  <si>
    <t xml:space="preserve">4.D.500</t>
  </si>
  <si>
    <t xml:space="preserve">4.D.501</t>
  </si>
  <si>
    <t xml:space="preserve">4.D.502</t>
  </si>
  <si>
    <t xml:space="preserve">Current/New PFIT, CFIT, FMW (2.22% Annual Increase)</t>
  </si>
  <si>
    <t xml:space="preserve">5.A.100</t>
  </si>
  <si>
    <t xml:space="preserve">Current/New: PFIT (Lower 1/6 Tax Elimination), CFIT, FMW (2.22% Annual Increase)</t>
  </si>
  <si>
    <t xml:space="preserve">5.A.101</t>
  </si>
  <si>
    <t xml:space="preserve">PFIT-BRACKETS#4.A Current through New PFIT: Lower 1/6 Tax Elimination  
CFIT-BRACKETS#4.A New CFIT Brackets  
FMW#2.B - New FMW (Annual 2.22% Increase)  </t>
  </si>
  <si>
    <t xml:space="preserve">5.A.102</t>
  </si>
  <si>
    <t xml:space="preserve">PFIT-BRACKETS#4.B Current through New PFIT: Lower 1/6 Tax Elimination  
CFIT-BRACKETS#4.A New CFIT Brackets  
FMW#2.B - New FMW (Annual 2.22% Increase) </t>
  </si>
  <si>
    <t xml:space="preserve">5.A.200</t>
  </si>
  <si>
    <t xml:space="preserve">Current/New: PFIT (Lower 1/3 Tax Elimination), CFIT, FMW (2.22% Annual Increase)</t>
  </si>
  <si>
    <t xml:space="preserve">5.A.201</t>
  </si>
  <si>
    <t xml:space="preserve">PFIT-BRACKETS#4.B Current through New PFIT: Lower 1/3 Tax Elimination  
CFIT-BRACKETS#4.A New CFIT Brackets  
FMW#2.B - New FMW (Annual 2.22% Increase)  </t>
  </si>
  <si>
    <t xml:space="preserve">5.A.202</t>
  </si>
  <si>
    <t xml:space="preserve">5.A.300</t>
  </si>
  <si>
    <t xml:space="preserve">Current/New: PFIT (Lower 1/6 To 1/3 Tax Elimination), CFIT, FMW (2.22% Annual Increase)</t>
  </si>
  <si>
    <t xml:space="preserve">5.A.301</t>
  </si>
  <si>
    <t xml:space="preserve">PFIT-BRACKETS#4.C Current through New PFIT: Lower 1/6 Tax Elimination to Lower 1/3 Tax Elimination  
CFIT-BRACKETS#4.A New CFIT Brackets  
FMW#2.B - New FMW (Annual 2.22% Increase)  </t>
  </si>
  <si>
    <t xml:space="preserve">5.A.302</t>
  </si>
  <si>
    <t xml:space="preserve">5.A.400</t>
  </si>
  <si>
    <t xml:space="preserve">5.A.401</t>
  </si>
  <si>
    <t xml:space="preserve">5.A.402</t>
  </si>
  <si>
    <t xml:space="preserve">5.A.500</t>
  </si>
  <si>
    <t xml:space="preserve">5.A.501</t>
  </si>
  <si>
    <t xml:space="preserve">5.A.502</t>
  </si>
  <si>
    <t xml:space="preserve">5.A.600</t>
  </si>
  <si>
    <t xml:space="preserve">5.A.601</t>
  </si>
  <si>
    <t xml:space="preserve">5.A.602</t>
  </si>
  <si>
    <t xml:space="preserve">5.A.700</t>
  </si>
  <si>
    <t xml:space="preserve">5.A.701</t>
  </si>
  <si>
    <t xml:space="preserve">5.A.702</t>
  </si>
  <si>
    <t xml:space="preserve">5.A.800</t>
  </si>
  <si>
    <t xml:space="preserve">5.A.801</t>
  </si>
  <si>
    <t xml:space="preserve">5.A.802</t>
  </si>
  <si>
    <t xml:space="preserve">5.A.900</t>
  </si>
  <si>
    <t xml:space="preserve">5.A.901</t>
  </si>
  <si>
    <t xml:space="preserve">5.A.902</t>
  </si>
  <si>
    <t xml:space="preserve">5.A.1000</t>
  </si>
  <si>
    <t xml:space="preserve">5.A.1001</t>
  </si>
  <si>
    <t xml:space="preserve">5.A.1002</t>
  </si>
  <si>
    <t xml:space="preserve">5.A.1100</t>
  </si>
  <si>
    <t xml:space="preserve">5.A.1101</t>
  </si>
  <si>
    <t xml:space="preserve">5.A.1102</t>
  </si>
  <si>
    <t xml:space="preserve">5.A.1200</t>
  </si>
  <si>
    <t xml:space="preserve">5.A.1201</t>
  </si>
  <si>
    <t xml:space="preserve">5.A.1202</t>
  </si>
  <si>
    <t xml:space="preserve">5.B.100</t>
  </si>
  <si>
    <t xml:space="preserve">5.B.101</t>
  </si>
  <si>
    <t xml:space="preserve">5.B.102</t>
  </si>
  <si>
    <t xml:space="preserve">5.B.200</t>
  </si>
  <si>
    <t xml:space="preserve">5.B.201</t>
  </si>
  <si>
    <t xml:space="preserve">5.B.202</t>
  </si>
  <si>
    <t xml:space="preserve">5.B.300</t>
  </si>
  <si>
    <t xml:space="preserve">5.B.301</t>
  </si>
  <si>
    <t xml:space="preserve">5.B.302</t>
  </si>
  <si>
    <t xml:space="preserve">5.B.400</t>
  </si>
  <si>
    <t xml:space="preserve">5.B.401</t>
  </si>
  <si>
    <t xml:space="preserve">5.B.402</t>
  </si>
  <si>
    <t xml:space="preserve">5.B.500</t>
  </si>
  <si>
    <t xml:space="preserve">5.B.501</t>
  </si>
  <si>
    <t xml:space="preserve">5.B.502</t>
  </si>
  <si>
    <t xml:space="preserve">5.B.600</t>
  </si>
  <si>
    <t xml:space="preserve">5.B.601</t>
  </si>
  <si>
    <t xml:space="preserve">5.B.602</t>
  </si>
  <si>
    <t xml:space="preserve">5.B.700</t>
  </si>
  <si>
    <t xml:space="preserve">5.B.701</t>
  </si>
  <si>
    <t xml:space="preserve">5.B.702</t>
  </si>
  <si>
    <t xml:space="preserve">5.B.800</t>
  </si>
  <si>
    <t xml:space="preserve">5.B.801</t>
  </si>
  <si>
    <t xml:space="preserve">5.B.802</t>
  </si>
  <si>
    <t xml:space="preserve">5.B.900</t>
  </si>
  <si>
    <t xml:space="preserve">5.B.901</t>
  </si>
  <si>
    <t xml:space="preserve">5.B.902</t>
  </si>
  <si>
    <t xml:space="preserve">5.B.1000</t>
  </si>
  <si>
    <t xml:space="preserve">5.B.1001</t>
  </si>
  <si>
    <t xml:space="preserve">5.B.1002</t>
  </si>
  <si>
    <t xml:space="preserve">5.B.1100</t>
  </si>
  <si>
    <t xml:space="preserve">5.B.1101</t>
  </si>
  <si>
    <t xml:space="preserve">5.B.1102</t>
  </si>
  <si>
    <t xml:space="preserve">5.B.1200</t>
  </si>
  <si>
    <t xml:space="preserve">5.B.1201</t>
  </si>
  <si>
    <t xml:space="preserve">5.B.1202</t>
  </si>
  <si>
    <t xml:space="preserve">5.C.100</t>
  </si>
  <si>
    <t xml:space="preserve">Current/New PFIT: Lower 1/6 Tax Elimination, CFIT, FMW (2.22% Annual Increase)</t>
  </si>
  <si>
    <t xml:space="preserve">5.C.101</t>
  </si>
  <si>
    <t xml:space="preserve">5.C.102</t>
  </si>
  <si>
    <t xml:space="preserve">5.C.200</t>
  </si>
  <si>
    <t xml:space="preserve">Current/New PFIT: Lower 1/3 Tax Elimination, CFIT, FMW (2.22% Annual Increase)</t>
  </si>
  <si>
    <t xml:space="preserve">5.C.201</t>
  </si>
  <si>
    <t xml:space="preserve">5.C.202</t>
  </si>
  <si>
    <t xml:space="preserve">5.C.300</t>
  </si>
  <si>
    <t xml:space="preserve">Current/New PFIT: Lower 1/6 To 1/3 Tax Elimination, CFIT, FMW (2.22% Annual Increase)</t>
  </si>
  <si>
    <t xml:space="preserve">5.C.301</t>
  </si>
  <si>
    <t xml:space="preserve">5.C.302</t>
  </si>
  <si>
    <t xml:space="preserve">5.C.400</t>
  </si>
  <si>
    <t xml:space="preserve">5.C.401</t>
  </si>
  <si>
    <t xml:space="preserve">5.C.402</t>
  </si>
  <si>
    <t xml:space="preserve">5.C.500</t>
  </si>
  <si>
    <t xml:space="preserve">5.C.501</t>
  </si>
  <si>
    <t xml:space="preserve">5.C.502</t>
  </si>
  <si>
    <t xml:space="preserve">5.C.600</t>
  </si>
  <si>
    <t xml:space="preserve">5.C.601</t>
  </si>
  <si>
    <t xml:space="preserve">5.C.602</t>
  </si>
  <si>
    <t xml:space="preserve">5.C.700</t>
  </si>
  <si>
    <t xml:space="preserve">5.C.701</t>
  </si>
  <si>
    <t xml:space="preserve">5.C.702</t>
  </si>
  <si>
    <t xml:space="preserve">5.C.800</t>
  </si>
  <si>
    <t xml:space="preserve">5.C.801</t>
  </si>
  <si>
    <t xml:space="preserve">5.C.802</t>
  </si>
  <si>
    <t xml:space="preserve"> </t>
  </si>
  <si>
    <t xml:space="preserve">5.D.100</t>
  </si>
  <si>
    <t xml:space="preserve">5.D.101</t>
  </si>
  <si>
    <t xml:space="preserve">5.D.102</t>
  </si>
  <si>
    <t xml:space="preserve">5.D.200</t>
  </si>
  <si>
    <t xml:space="preserve">5.D.201</t>
  </si>
  <si>
    <t xml:space="preserve">5.D.202</t>
  </si>
  <si>
    <t xml:space="preserve">5.D.300</t>
  </si>
  <si>
    <t xml:space="preserve">5.D.301</t>
  </si>
  <si>
    <t xml:space="preserve">5.D.302</t>
  </si>
  <si>
    <t xml:space="preserve">5.D.400</t>
  </si>
  <si>
    <t xml:space="preserve">5.D.401</t>
  </si>
  <si>
    <t xml:space="preserve">5.D.402</t>
  </si>
  <si>
    <t xml:space="preserve">5.D.500</t>
  </si>
  <si>
    <t xml:space="preserve">5.D.501</t>
  </si>
  <si>
    <t xml:space="preserve">5.D.502</t>
  </si>
  <si>
    <t xml:space="preserve">6.A.100</t>
  </si>
  <si>
    <t xml:space="preserve">Current/New: PFIT (Lower 1/6 Tax Elimination), CFIT, FMW (3.33% Annual Increase)</t>
  </si>
  <si>
    <t xml:space="preserve">6.A.101</t>
  </si>
  <si>
    <t xml:space="preserve">PFIT-BRACKETS#4.A Current through New PFIT: Lower 1/6 Tax Elimination  
CFIT-BRACKETS#4.A New CFIT Brackets  
FMW#2.B - New FMW (Annual 3.33% Increase)  </t>
  </si>
  <si>
    <t xml:space="preserve">New PFIT (Lower 1/6 Tax Elimination)  
New CFIT  
New FMW (Annual 3.33% Increase)</t>
  </si>
  <si>
    <t xml:space="preserve">6.A.102</t>
  </si>
  <si>
    <t xml:space="preserve">PFIT-BRACKETS#4.B Current through New PFIT: Lower 1/6 Tax Elimination  
CFIT-BRACKETS#4.A New CFIT Brackets  
FMW#2.B - New FMW (Annual 3.33% Increase) </t>
  </si>
  <si>
    <t xml:space="preserve">6.A.200</t>
  </si>
  <si>
    <t xml:space="preserve">Current/New: PFIT (Lower 1/3 Tax Elimination), CFIT, FMW (3.33% Annual Increase)</t>
  </si>
  <si>
    <t xml:space="preserve">6.A.201</t>
  </si>
  <si>
    <t xml:space="preserve">PFIT-BRACKETS#4.B Current through New PFIT: Lower 1/3 Tax Elimination  
CFIT-BRACKETS#4.A New CFIT Brackets  
FMW#2.B - New FMW (Annual 3.33% Increase)  </t>
  </si>
  <si>
    <t xml:space="preserve">New PFIT (Lower 1/3 Tax Elimination)  
New CFIT  
New FMW (Annual 3.33% Increase)</t>
  </si>
  <si>
    <t xml:space="preserve">6.A.202</t>
  </si>
  <si>
    <t xml:space="preserve">6.A.400</t>
  </si>
  <si>
    <t xml:space="preserve">6.A.401</t>
  </si>
  <si>
    <t xml:space="preserve">6.A.402</t>
  </si>
  <si>
    <t xml:space="preserve">6.A.500</t>
  </si>
  <si>
    <t xml:space="preserve">6.A.501</t>
  </si>
  <si>
    <t xml:space="preserve">6.A.502</t>
  </si>
  <si>
    <t xml:space="preserve">6.A.600</t>
  </si>
  <si>
    <t xml:space="preserve">6.A.601</t>
  </si>
  <si>
    <t xml:space="preserve">6.A.602</t>
  </si>
  <si>
    <t xml:space="preserve">6.A.700</t>
  </si>
  <si>
    <t xml:space="preserve">6.A.701</t>
  </si>
  <si>
    <t xml:space="preserve">6.A.702</t>
  </si>
  <si>
    <t xml:space="preserve">6.A.800</t>
  </si>
  <si>
    <t xml:space="preserve">6.A.801</t>
  </si>
  <si>
    <t xml:space="preserve">6.A.802</t>
  </si>
  <si>
    <t xml:space="preserve">6.A.900</t>
  </si>
  <si>
    <t xml:space="preserve">6.A.901</t>
  </si>
  <si>
    <t xml:space="preserve">6.A.902</t>
  </si>
  <si>
    <t xml:space="preserve">6.A.1000</t>
  </si>
  <si>
    <t xml:space="preserve">6.A.1001</t>
  </si>
  <si>
    <t xml:space="preserve">6.A.1002</t>
  </si>
  <si>
    <t xml:space="preserve">6.A.1100</t>
  </si>
  <si>
    <t xml:space="preserve">6.A.1101</t>
  </si>
  <si>
    <t xml:space="preserve">6.A.1102</t>
  </si>
  <si>
    <t xml:space="preserve">6.A.1200</t>
  </si>
  <si>
    <t xml:space="preserve">6.A.1201</t>
  </si>
  <si>
    <t xml:space="preserve">6.A.1202</t>
  </si>
  <si>
    <t xml:space="preserve">6.B.100</t>
  </si>
  <si>
    <t xml:space="preserve">6.B.101</t>
  </si>
  <si>
    <t xml:space="preserve">6.B.102</t>
  </si>
  <si>
    <t xml:space="preserve">6.B.200</t>
  </si>
  <si>
    <t xml:space="preserve">6.B.201</t>
  </si>
  <si>
    <t xml:space="preserve">6.B.202</t>
  </si>
  <si>
    <t xml:space="preserve">6.B.400</t>
  </si>
  <si>
    <t xml:space="preserve">6.B.401</t>
  </si>
  <si>
    <t xml:space="preserve">6.B.402</t>
  </si>
  <si>
    <t xml:space="preserve">6.B.500</t>
  </si>
  <si>
    <t xml:space="preserve">6.B.501</t>
  </si>
  <si>
    <t xml:space="preserve">6.B.502</t>
  </si>
  <si>
    <t xml:space="preserve">6.B.600</t>
  </si>
  <si>
    <t xml:space="preserve">6.B.601</t>
  </si>
  <si>
    <t xml:space="preserve">6.B.602</t>
  </si>
  <si>
    <t xml:space="preserve">6.B.700</t>
  </si>
  <si>
    <t xml:space="preserve">6.B.701</t>
  </si>
  <si>
    <t xml:space="preserve">6.B.702</t>
  </si>
  <si>
    <t xml:space="preserve">6.B.800</t>
  </si>
  <si>
    <t xml:space="preserve">6.B.801</t>
  </si>
  <si>
    <t xml:space="preserve">6.B.802</t>
  </si>
  <si>
    <t xml:space="preserve">6.B.900</t>
  </si>
  <si>
    <t xml:space="preserve">6.B.901</t>
  </si>
  <si>
    <t xml:space="preserve">6.B.902</t>
  </si>
  <si>
    <t xml:space="preserve">6.B.1000</t>
  </si>
  <si>
    <t xml:space="preserve">6.B.1001</t>
  </si>
  <si>
    <t xml:space="preserve">6.B.1002</t>
  </si>
  <si>
    <t xml:space="preserve">6.B.1100</t>
  </si>
  <si>
    <t xml:space="preserve">6.B.1101</t>
  </si>
  <si>
    <t xml:space="preserve">6.B.1102</t>
  </si>
  <si>
    <t xml:space="preserve">6.B.1200</t>
  </si>
  <si>
    <t xml:space="preserve">6.B.1201</t>
  </si>
  <si>
    <t xml:space="preserve">6.B.1202</t>
  </si>
  <si>
    <t xml:space="preserve">6.C.100</t>
  </si>
  <si>
    <t xml:space="preserve">6.C.101</t>
  </si>
  <si>
    <t xml:space="preserve">6.C.102</t>
  </si>
  <si>
    <t xml:space="preserve">6.C.200</t>
  </si>
  <si>
    <t xml:space="preserve">Current/New PFIT: Lower 1/3 Tax Elimination, CFIT, FMW (3.33% Annual Increase)</t>
  </si>
  <si>
    <t xml:space="preserve">6.C.201</t>
  </si>
  <si>
    <t xml:space="preserve">6.C.202</t>
  </si>
  <si>
    <t xml:space="preserve">6.C.400</t>
  </si>
  <si>
    <t xml:space="preserve">6.C.401</t>
  </si>
  <si>
    <t xml:space="preserve">6.C.402</t>
  </si>
  <si>
    <t xml:space="preserve">6.C.500</t>
  </si>
  <si>
    <t xml:space="preserve">6.C.501</t>
  </si>
  <si>
    <t xml:space="preserve">6.C.502</t>
  </si>
  <si>
    <t xml:space="preserve">6.C.600</t>
  </si>
  <si>
    <t xml:space="preserve">6.C.601</t>
  </si>
  <si>
    <t xml:space="preserve">6.C.602</t>
  </si>
  <si>
    <t xml:space="preserve">6.C.700</t>
  </si>
  <si>
    <t xml:space="preserve">6.C.701</t>
  </si>
  <si>
    <t xml:space="preserve">6.C.702</t>
  </si>
  <si>
    <t xml:space="preserve">6.C.800</t>
  </si>
  <si>
    <t xml:space="preserve">6.C.801</t>
  </si>
  <si>
    <t xml:space="preserve">6.C.802</t>
  </si>
  <si>
    <t xml:space="preserve">6.D.101</t>
  </si>
  <si>
    <t xml:space="preserve">6.D.201</t>
  </si>
  <si>
    <t xml:space="preserve">6.D.300</t>
  </si>
  <si>
    <t xml:space="preserve">6.D.301</t>
  </si>
  <si>
    <t xml:space="preserve">6.D.302</t>
  </si>
  <si>
    <t xml:space="preserve">6.D.400</t>
  </si>
  <si>
    <t xml:space="preserve">6.D.401</t>
  </si>
  <si>
    <t xml:space="preserve">6.D.402</t>
  </si>
  <si>
    <t xml:space="preserve">6.D.500</t>
  </si>
  <si>
    <t xml:space="preserve">6.D.501</t>
  </si>
  <si>
    <t xml:space="preserve">6.D.502</t>
  </si>
  <si>
    <t xml:space="preserve">7</t>
  </si>
  <si>
    <t xml:space="preserve">Current/New PFIT, CFIT, FMW (4.44% Annual Increase)</t>
  </si>
  <si>
    <t xml:space="preserve">7.A.100</t>
  </si>
  <si>
    <t xml:space="preserve">Current/New: PFIT (Lower 1/6 Tax Elimination), CFIT, FMW (4.44% Annual Increase)</t>
  </si>
  <si>
    <t xml:space="preserve">7.A.101</t>
  </si>
  <si>
    <t xml:space="preserve">PFIT-BRACKETS#4.A Current through New PFIT: Lower 1/6 Tax Elimination  
CFIT-BRACKETS#4.A New CFIT Brackets  
FMW#2.B - New FMW (Annual 4.44% Increase)  </t>
  </si>
  <si>
    <t xml:space="preserve">New PFIT (Lower 1/6 Tax Elimination)  
New CFIT  
New FMW (Annual 4.44% Increase)</t>
  </si>
  <si>
    <t xml:space="preserve">7.A.102</t>
  </si>
  <si>
    <t xml:space="preserve">PFIT-BRACKETS#4.B Current through New PFIT: Lower 1/6 Tax Elimination  
CFIT-BRACKETS#4.A New CFIT Brackets  
FMW#2.B - New FMW (Annual 4.44% Increase) </t>
  </si>
  <si>
    <t xml:space="preserve">7.A.200</t>
  </si>
  <si>
    <t xml:space="preserve">Current/New: PFIT (Lower 1/3 Tax Elimination), CFIT, FMW (4.44% Annual Increase)</t>
  </si>
  <si>
    <t xml:space="preserve">7.A.201</t>
  </si>
  <si>
    <t xml:space="preserve">PFIT-BRACKETS#4.B Current through New PFIT: Lower 1/3 Tax Elimination  
CFIT-BRACKETS#4.A New CFIT Brackets  
FMW#2.B - New FMW (Annual 4.44% Increase)  </t>
  </si>
  <si>
    <t xml:space="preserve">New PFIT (Lower 1/3 Tax Elimination)  
New CFIT  
New FMW (Annual 4.44% Increase)</t>
  </si>
  <si>
    <t xml:space="preserve">7.A.202</t>
  </si>
  <si>
    <t xml:space="preserve">7.A.300</t>
  </si>
  <si>
    <t xml:space="preserve">Current/New: PFIT (Lower 1/6 To 1/3 Tax Elimination), CFIT, FMW (4.44% Annual Increase)</t>
  </si>
  <si>
    <t xml:space="preserve">7.A.301</t>
  </si>
  <si>
    <t xml:space="preserve">PFIT-BRACKETS#4.C Current through New PFIT: Lower 1/6 Tax Elimination to Lower 1/3 Tax Elimination  
CFIT-BRACKETS#4.A New CFIT Brackets  
FMW#2.B - New FMW (Annual 4.44% Increase)  </t>
  </si>
  <si>
    <t xml:space="preserve">New PFIT (Lower 1/6 To 1/3 Tax Elimination)  
New CFIT  
New FMW (Annual 4.44% Increase)</t>
  </si>
  <si>
    <t xml:space="preserve">7.A.302</t>
  </si>
  <si>
    <t xml:space="preserve">7.A.400</t>
  </si>
  <si>
    <t xml:space="preserve">7.A.401</t>
  </si>
  <si>
    <t xml:space="preserve">7.A.402</t>
  </si>
  <si>
    <t xml:space="preserve">7.A.500</t>
  </si>
  <si>
    <t xml:space="preserve">7.A.501</t>
  </si>
  <si>
    <t xml:space="preserve">7.A.502</t>
  </si>
  <si>
    <t xml:space="preserve">7.A.600</t>
  </si>
  <si>
    <t xml:space="preserve">7.A.601</t>
  </si>
  <si>
    <t xml:space="preserve">7.A.602</t>
  </si>
  <si>
    <t xml:space="preserve">7.A.700</t>
  </si>
  <si>
    <t xml:space="preserve">7.A.701</t>
  </si>
  <si>
    <t xml:space="preserve">7.A.702</t>
  </si>
  <si>
    <t xml:space="preserve">7.A.800</t>
  </si>
  <si>
    <t xml:space="preserve">7.A.801</t>
  </si>
  <si>
    <t xml:space="preserve">7.A.802</t>
  </si>
  <si>
    <t xml:space="preserve">7.A.900</t>
  </si>
  <si>
    <t xml:space="preserve">7.A.901</t>
  </si>
  <si>
    <t xml:space="preserve">7.A.902</t>
  </si>
  <si>
    <t xml:space="preserve">7.A.1000</t>
  </si>
  <si>
    <t xml:space="preserve">7.A.1001</t>
  </si>
  <si>
    <t xml:space="preserve">7.A.1002</t>
  </si>
  <si>
    <t xml:space="preserve">7.A.1100</t>
  </si>
  <si>
    <t xml:space="preserve">7.A.1101</t>
  </si>
  <si>
    <t xml:space="preserve">7.A.1102</t>
  </si>
  <si>
    <t xml:space="preserve">7.A.1200</t>
  </si>
  <si>
    <t xml:space="preserve">7.A.1201</t>
  </si>
  <si>
    <t xml:space="preserve">7.A.1202</t>
  </si>
  <si>
    <t xml:space="preserve">7.B.100</t>
  </si>
  <si>
    <t xml:space="preserve">7.B.101</t>
  </si>
  <si>
    <t xml:space="preserve">7.B.102</t>
  </si>
  <si>
    <t xml:space="preserve">7.B.200</t>
  </si>
  <si>
    <t xml:space="preserve">7.B.201</t>
  </si>
  <si>
    <t xml:space="preserve">7.B.202</t>
  </si>
  <si>
    <t xml:space="preserve">7.B.300</t>
  </si>
  <si>
    <t xml:space="preserve">7.B.301</t>
  </si>
  <si>
    <t xml:space="preserve">7.B.302</t>
  </si>
  <si>
    <t xml:space="preserve">7.B.400</t>
  </si>
  <si>
    <t xml:space="preserve">7.B.401</t>
  </si>
  <si>
    <t xml:space="preserve">7.B.402</t>
  </si>
  <si>
    <t xml:space="preserve">7.B.500</t>
  </si>
  <si>
    <t xml:space="preserve">7.B.501</t>
  </si>
  <si>
    <t xml:space="preserve">7.B.502</t>
  </si>
  <si>
    <t xml:space="preserve">7.B.600</t>
  </si>
  <si>
    <t xml:space="preserve">7.B.601</t>
  </si>
  <si>
    <t xml:space="preserve">7.B.602</t>
  </si>
  <si>
    <t xml:space="preserve">7.B.700</t>
  </si>
  <si>
    <t xml:space="preserve">7.B.701</t>
  </si>
  <si>
    <t xml:space="preserve">7.B.702</t>
  </si>
  <si>
    <t xml:space="preserve">7.B.800</t>
  </si>
  <si>
    <t xml:space="preserve">7.B.801</t>
  </si>
  <si>
    <t xml:space="preserve">7.B.802</t>
  </si>
  <si>
    <t xml:space="preserve">7.B.900</t>
  </si>
  <si>
    <t xml:space="preserve">7.B.901</t>
  </si>
  <si>
    <t xml:space="preserve">7.B.902</t>
  </si>
  <si>
    <t xml:space="preserve">7.B.1000</t>
  </si>
  <si>
    <t xml:space="preserve">7.B.1001</t>
  </si>
  <si>
    <t xml:space="preserve">7.B.1002</t>
  </si>
  <si>
    <t xml:space="preserve">7.B.1100</t>
  </si>
  <si>
    <t xml:space="preserve">7.B.1101</t>
  </si>
  <si>
    <t xml:space="preserve">7.B.1102</t>
  </si>
  <si>
    <t xml:space="preserve">7.B.1200</t>
  </si>
  <si>
    <t xml:space="preserve">7.B.1201</t>
  </si>
  <si>
    <t xml:space="preserve">7.B.1202</t>
  </si>
  <si>
    <t xml:space="preserve">7.C.100</t>
  </si>
  <si>
    <t xml:space="preserve">Current/New PFIT: Lower 1/6 Tax Elimination, CFIT, FMW (4.44% Annual Increase)</t>
  </si>
  <si>
    <t xml:space="preserve">7.C.101</t>
  </si>
  <si>
    <t xml:space="preserve">7.C.102</t>
  </si>
  <si>
    <t xml:space="preserve">7.C.200</t>
  </si>
  <si>
    <t xml:space="preserve">Current/New PFIT: Lower 1/3 Tax Elimination, CFIT, FMW (4.44% Annual Increase)</t>
  </si>
  <si>
    <t xml:space="preserve">7.C.201</t>
  </si>
  <si>
    <t xml:space="preserve">7.C.202</t>
  </si>
  <si>
    <t xml:space="preserve">7.C.300</t>
  </si>
  <si>
    <t xml:space="preserve">Current/New PFIT: Lower 1/6 To 1/3 Tax Elimination, CFIT, FMW (4.44% Annual Increase)</t>
  </si>
  <si>
    <t xml:space="preserve">7.C.301</t>
  </si>
  <si>
    <t xml:space="preserve">7.C.302</t>
  </si>
  <si>
    <t xml:space="preserve">7.C.400</t>
  </si>
  <si>
    <t xml:space="preserve">7.C.401</t>
  </si>
  <si>
    <t xml:space="preserve">7.C.402</t>
  </si>
  <si>
    <t xml:space="preserve">7.C.500</t>
  </si>
  <si>
    <t xml:space="preserve">7.C.501</t>
  </si>
  <si>
    <t xml:space="preserve">7.C.502</t>
  </si>
  <si>
    <t xml:space="preserve">7.C.600</t>
  </si>
  <si>
    <t xml:space="preserve">7.C.601</t>
  </si>
  <si>
    <t xml:space="preserve">7.C.602</t>
  </si>
  <si>
    <t xml:space="preserve">7.C.700</t>
  </si>
  <si>
    <t xml:space="preserve">7.C.701</t>
  </si>
  <si>
    <t xml:space="preserve">7.C.702</t>
  </si>
  <si>
    <t xml:space="preserve">7.C.800</t>
  </si>
  <si>
    <t xml:space="preserve">7.C.801</t>
  </si>
  <si>
    <t xml:space="preserve">7.C.802</t>
  </si>
  <si>
    <t xml:space="preserve">7.D.100</t>
  </si>
  <si>
    <t xml:space="preserve">7.D.101</t>
  </si>
  <si>
    <t xml:space="preserve">7.D.102</t>
  </si>
  <si>
    <t xml:space="preserve">7.D.200</t>
  </si>
  <si>
    <t xml:space="preserve">7.D.201</t>
  </si>
  <si>
    <t xml:space="preserve">7.D.202</t>
  </si>
  <si>
    <t xml:space="preserve">7.D.300</t>
  </si>
  <si>
    <t xml:space="preserve">7.D.301</t>
  </si>
  <si>
    <t xml:space="preserve">7.D.302</t>
  </si>
  <si>
    <t xml:space="preserve">7.D.400</t>
  </si>
  <si>
    <t xml:space="preserve">7.D.401</t>
  </si>
  <si>
    <t xml:space="preserve">7.D.402</t>
  </si>
  <si>
    <t xml:space="preserve">7.D.500</t>
  </si>
  <si>
    <t xml:space="preserve">7.D.501</t>
  </si>
  <si>
    <t xml:space="preserve">7.D.502</t>
  </si>
  <si>
    <t xml:space="preserve">FMWID</t>
  </si>
  <si>
    <t xml:space="preserve">Year #</t>
  </si>
  <si>
    <t xml:space="preserve">Hourly Rate ($/hr)</t>
  </si>
  <si>
    <t xml:space="preserve">Full-Time Annual Wage ($)</t>
  </si>
  <si>
    <t xml:space="preserve">Rate Increase ($)</t>
  </si>
  <si>
    <t xml:space="preserve">Annual % Increase</t>
  </si>
  <si>
    <t xml:space="preserve">Cumulative % Increase from $7.25</t>
  </si>
  <si>
    <t xml:space="preserve">—</t>
  </si>
  <si>
    <t xml:space="preserve">0.0%</t>
  </si>
  <si>
    <t xml:space="preserve">4.44%</t>
  </si>
  <si>
    <t xml:space="preserve">4.4%</t>
  </si>
  <si>
    <t xml:space="preserve">9.1%</t>
  </si>
  <si>
    <t xml:space="preserve">13.9%</t>
  </si>
  <si>
    <t xml:space="preserve">19.0%</t>
  </si>
  <si>
    <t xml:space="preserve">24.3%</t>
  </si>
  <si>
    <t xml:space="preserve">29.8%</t>
  </si>
  <si>
    <t xml:space="preserve">35.6%</t>
  </si>
  <si>
    <t xml:space="preserve">41.6%</t>
  </si>
  <si>
    <t xml:space="preserve">47.9%</t>
  </si>
  <si>
    <t xml:space="preserve">54.5%</t>
  </si>
  <si>
    <t xml:space="preserve">61.3%</t>
  </si>
  <si>
    <t xml:space="preserve">68.5%</t>
  </si>
  <si>
    <t xml:space="preserve">76.0%</t>
  </si>
  <si>
    <t xml:space="preserve">83.8%</t>
  </si>
  <si>
    <t xml:space="preserve">92.0%</t>
  </si>
  <si>
    <t xml:space="preserve">100.5%</t>
  </si>
  <si>
    <t xml:space="preserve">109.4%</t>
  </si>
  <si>
    <t xml:space="preserve">New FMW (Annual 3.33% Increase)</t>
  </si>
  <si>
    <t xml:space="preserve">New FMW (Annual 2.22% Increase)</t>
  </si>
  <si>
    <t xml:space="preserve">BID</t>
  </si>
  <si>
    <t xml:space="preserve">Bracket #</t>
  </si>
  <si>
    <t xml:space="preserve">Marginal Rate</t>
  </si>
  <si>
    <t xml:space="preserve">Single MIN</t>
  </si>
  <si>
    <t xml:space="preserve">Single MAX</t>
  </si>
  <si>
    <t xml:space="preserve">MFJ MIN</t>
  </si>
  <si>
    <t xml:space="preserve">MFJ MAX</t>
  </si>
  <si>
    <t xml:space="preserve">HoH MIN</t>
  </si>
  <si>
    <t xml:space="preserve">HoH MAX</t>
  </si>
  <si>
    <t xml:space="preserve">Est Taxpayers (M)</t>
  </si>
  <si>
    <t xml:space="preserve">Avg Income ($)</t>
  </si>
  <si>
    <t xml:space="preserve">Pre-Credit Revenue ($B)</t>
  </si>
  <si>
    <t xml:space="preserve">EITC ($B)</t>
  </si>
  <si>
    <t xml:space="preserve">CTC ($B)</t>
  </si>
  <si>
    <t xml:space="preserve">Retirement Credits ($B)</t>
  </si>
  <si>
    <t xml:space="preserve">SALT Deduction ($B)</t>
  </si>
  <si>
    <t xml:space="preserve">Mortgage Interest ($B)</t>
  </si>
  <si>
    <t xml:space="preserve">Education Credits ($B)</t>
  </si>
  <si>
    <t xml:space="preserve">Child &amp; Dep Care ($B)</t>
  </si>
  <si>
    <t xml:space="preserve">Premium Tax Credit ($B)</t>
  </si>
  <si>
    <t xml:space="preserve">Energy Credits ($B)</t>
  </si>
  <si>
    <t xml:space="preserve">Charitable / Itemized ($B)</t>
  </si>
  <si>
    <t xml:space="preserve">Adoption Credits ($B)</t>
  </si>
  <si>
    <t xml:space="preserve">Total Credits ($B)</t>
  </si>
  <si>
    <t xml:space="preserve">Avg Eff Rate</t>
  </si>
  <si>
    <t xml:space="preserve">Behavioral Adj ($B)</t>
  </si>
  <si>
    <t xml:space="preserve">Net Revenue ($B)</t>
  </si>
  <si>
    <t xml:space="preserve">% Total PIT</t>
  </si>
  <si>
    <t xml:space="preserve">Tax Bracket Name</t>
  </si>
  <si>
    <t xml:space="preserve">Tax Bracket Acronym</t>
  </si>
  <si>
    <t xml:space="preserve">Lowest</t>
  </si>
  <si>
    <t xml:space="preserve">LL</t>
  </si>
  <si>
    <t xml:space="preserve">Lower-Middle</t>
  </si>
  <si>
    <t xml:space="preserve">LM</t>
  </si>
  <si>
    <t xml:space="preserve">Middle</t>
  </si>
  <si>
    <t xml:space="preserve">ML</t>
  </si>
  <si>
    <t xml:space="preserve">Upper-Middle</t>
  </si>
  <si>
    <t xml:space="preserve">UM</t>
  </si>
  <si>
    <t xml:space="preserve">Upper-Lower</t>
  </si>
  <si>
    <t xml:space="preserve">UL</t>
  </si>
  <si>
    <t xml:space="preserve">Upper-Upper</t>
  </si>
  <si>
    <t xml:space="preserve">UU</t>
  </si>
  <si>
    <t xml:space="preserve">∞</t>
  </si>
  <si>
    <t xml:space="preserve">Top</t>
  </si>
  <si>
    <t xml:space="preserve">TT</t>
  </si>
  <si>
    <t xml:space="preserve">TOTAL</t>
  </si>
  <si>
    <t xml:space="preserve">≈911</t>
  </si>
  <si>
    <r>
      <rPr>
        <b val="true"/>
        <sz val="10"/>
        <rFont val="arial"/>
        <family val="2"/>
        <charset val="1"/>
      </rPr>
      <t xml:space="preserve">New PFIT Brackets: </t>
    </r>
    <r>
      <rPr>
        <b val="true"/>
        <sz val="10"/>
        <rFont val="Arial"/>
        <family val="2"/>
        <charset val="1"/>
      </rPr>
      <t xml:space="preserve">Lower 1/6 Tax Elimination</t>
    </r>
  </si>
  <si>
    <t xml:space="preserve">Lower-Lower</t>
  </si>
  <si>
    <t xml:space="preserve">Middle-Lower</t>
  </si>
  <si>
    <t xml:space="preserve">Middle-Upper</t>
  </si>
  <si>
    <t xml:space="preserve">MU</t>
  </si>
  <si>
    <t xml:space="preserve">Current, New PFIT Phasing
"Bracket Phasing" includes complementary Bracket, Withholding, Credit phasing when applicable by bracket. </t>
  </si>
  <si>
    <t xml:space="preserve">PID</t>
  </si>
  <si>
    <t xml:space="preserve">Phasing Name</t>
  </si>
  <si>
    <t xml:space="preserve">Phasing Table</t>
  </si>
  <si>
    <t xml:space="preserve">Years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</si>
  <si>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</si>
  <si>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</si>
  <si>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</si>
  <si>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</si>
  <si>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</si>
  <si>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</si>
  <si>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</si>
  <si>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Current to New PFIT: Lower 1/6 Tax Elimination</t>
  </si>
  <si>
    <t xml:space="preserve">#1, #2.A</t>
  </si>
  <si>
    <t xml:space="preserve">#2.A BID#0</t>
  </si>
  <si>
    <t xml:space="preserve">#2.A BID#1</t>
  </si>
  <si>
    <t xml:space="preserve">#2.A BID#2</t>
  </si>
  <si>
    <t xml:space="preserve">#2.A BID#3</t>
  </si>
  <si>
    <t xml:space="preserve">#2.A BID#4
#2.A BID#5</t>
  </si>
  <si>
    <t xml:space="preserve">Current to New PFIT: Lower 1/3 Tax Elimination</t>
  </si>
  <si>
    <t xml:space="preserve">#1,  #3.A</t>
  </si>
  <si>
    <t xml:space="preserve">#3.A BID#0</t>
  </si>
  <si>
    <t xml:space="preserve">#3.A BID#1</t>
  </si>
  <si>
    <t xml:space="preserve">#3.A BID#2</t>
  </si>
  <si>
    <t xml:space="preserve">#3.A BID#3</t>
  </si>
  <si>
    <t xml:space="preserve">#3.A BID#4
#3.A BID#5</t>
  </si>
  <si>
    <t xml:space="preserve">Current through New PFIT: Lower 1/6 Tax Elimination to Lower 1/3 Tax Elimination </t>
  </si>
  <si>
    <t xml:space="preserve">#1, #2.A, #3.A</t>
  </si>
  <si>
    <t xml:space="preserve">#2.A BID#3
#3.A BID#1</t>
  </si>
  <si>
    <t xml:space="preserve">#2.A BID#4
#2.A BID#5
#3.A BID#2</t>
  </si>
  <si>
    <t xml:space="preserve">#3.A BID#4</t>
  </si>
  <si>
    <t xml:space="preserve">Current to New PFIT: Lower 1/6 Tax Elimination (Redirects)</t>
  </si>
  <si>
    <t xml:space="preserve">#1, #2.B</t>
  </si>
  <si>
    <t xml:space="preserve">#2.B BID#0</t>
  </si>
  <si>
    <t xml:space="preserve">#2.B BID#1</t>
  </si>
  <si>
    <t xml:space="preserve">#2.B BID#2</t>
  </si>
  <si>
    <t xml:space="preserve">#2.B BID#3</t>
  </si>
  <si>
    <t xml:space="preserve">#2.B BID#4
#2.B BID#5</t>
  </si>
  <si>
    <t xml:space="preserve">Current to New PFIT: Lower 1/3 Tax Elimination (Redirects)</t>
  </si>
  <si>
    <t xml:space="preserve">#1,  #3.B</t>
  </si>
  <si>
    <t xml:space="preserve">#3.B BID#0</t>
  </si>
  <si>
    <t xml:space="preserve">#3.B BID#1</t>
  </si>
  <si>
    <t xml:space="preserve">#3.B BID#2</t>
  </si>
  <si>
    <t xml:space="preserve">#3.B BID#3</t>
  </si>
  <si>
    <t xml:space="preserve">#3.B BID#4
#3.B BID#5</t>
  </si>
  <si>
    <t xml:space="preserve">Current through New PFIT: Lower 1/6 Tax Elimination to Lower 1/3 Tax Elimination (Redirects)</t>
  </si>
  <si>
    <t xml:space="preserve">#1, #2.B, #3.B</t>
  </si>
  <si>
    <t xml:space="preserve">#2.B BID#3
#3.B BID#1</t>
  </si>
  <si>
    <t xml:space="preserve">#2.B BID#4
#2.B BID#5
#3.B BID#2</t>
  </si>
  <si>
    <t xml:space="preserve">#3.B BID#4</t>
  </si>
  <si>
    <t xml:space="preserve">Current PFIT Withholdings</t>
  </si>
  <si>
    <t xml:space="preserve">WID</t>
  </si>
  <si>
    <t xml:space="preserve">Withholding</t>
  </si>
  <si>
    <t xml:space="preserve">Rate</t>
  </si>
  <si>
    <t xml:space="preserve">Wage Base / Limit</t>
  </si>
  <si>
    <t xml:space="preserve">Estimated Taxpayers (millions)</t>
  </si>
  <si>
    <t xml:space="preserve">Estimated Revenue ($B)</t>
  </si>
  <si>
    <t xml:space="preserve">Marginal Tax</t>
  </si>
  <si>
    <t xml:space="preserve">10%–37%</t>
  </si>
  <si>
    <t xml:space="preserve">Taxable income</t>
  </si>
  <si>
    <t xml:space="preserve">Ordinary PIT withholding</t>
  </si>
  <si>
    <t xml:space="preserve">~161</t>
  </si>
  <si>
    <t xml:space="preserve">~2,500</t>
  </si>
  <si>
    <t xml:space="preserve">NIIT</t>
  </si>
  <si>
    <t xml:space="preserve">3.8%</t>
  </si>
  <si>
    <t xml:space="preserve">Net investment income &gt;$200k/$250k MFJ</t>
  </si>
  <si>
    <t xml:space="preserve">Capital income only</t>
  </si>
  <si>
    <t xml:space="preserve">~12–14</t>
  </si>
  <si>
    <t xml:space="preserve">~55–65</t>
  </si>
  <si>
    <t xml:space="preserve">Social Security (OASDI)</t>
  </si>
  <si>
    <t xml:space="preserve">6.2%</t>
  </si>
  <si>
    <t xml:space="preserve">Up to $176,100</t>
  </si>
  <si>
    <t xml:space="preserve">Employee portion only</t>
  </si>
  <si>
    <t xml:space="preserve">~184</t>
  </si>
  <si>
    <t xml:space="preserve">~720–750</t>
  </si>
  <si>
    <t xml:space="preserve">Medicare</t>
  </si>
  <si>
    <t xml:space="preserve">1.45%</t>
  </si>
  <si>
    <t xml:space="preserve">No limit</t>
  </si>
  <si>
    <t xml:space="preserve">Employee portion</t>
  </si>
  <si>
    <t xml:space="preserve">~420–450</t>
  </si>
  <si>
    <t xml:space="preserve">Additional Medicare Tax</t>
  </si>
  <si>
    <t xml:space="preserve">0.9%</t>
  </si>
  <si>
    <t xml:space="preserve">Wages over $200k</t>
  </si>
  <si>
    <t xml:space="preserve">Employee only; no employer match</t>
  </si>
  <si>
    <t xml:space="preserve">~5–7</t>
  </si>
  <si>
    <t xml:space="preserve">~50–70</t>
  </si>
  <si>
    <t xml:space="preserve">New PFIT Withholdings</t>
  </si>
  <si>
    <t xml:space="preserve">0%–37%</t>
  </si>
  <si>
    <t xml:space="preserve">New PIT structure</t>
  </si>
  <si>
    <t xml:space="preserve">~4,900</t>
  </si>
  <si>
    <t xml:space="preserve">New PFIT Withholdings (Redirects)</t>
  </si>
  <si>
    <t xml:space="preserve">ESP Trust Fund Tax</t>
  </si>
  <si>
    <t xml:space="preserve">1.00%</t>
  </si>
  <si>
    <t xml:space="preserve">BID 3 (Bracket #4)</t>
  </si>
  <si>
    <t xml:space="preserve">$250k–$1M single</t>
  </si>
  <si>
    <t xml:space="preserve">~5.5–7.0</t>
  </si>
  <si>
    <t xml:space="preserve">~45–55</t>
  </si>
  <si>
    <t xml:space="preserve">2.00%</t>
  </si>
  <si>
    <t xml:space="preserve">BID 4 (Bracket #5)</t>
  </si>
  <si>
    <t xml:space="preserve">$1M–$5M single</t>
  </si>
  <si>
    <t xml:space="preserve">~1.2–1.5</t>
  </si>
  <si>
    <t xml:space="preserve">~90–110</t>
  </si>
  <si>
    <t xml:space="preserve">3.00%</t>
  </si>
  <si>
    <t xml:space="preserve">BID 5 (Bracket #6)</t>
  </si>
  <si>
    <t xml:space="preserve">&gt;$5M single</t>
  </si>
  <si>
    <t xml:space="preserve">~0.05–0.10</t>
  </si>
  <si>
    <t xml:space="preserve">~110–140</t>
  </si>
  <si>
    <t xml:space="preserve">Medical Grant - Full Equivalent Redirect</t>
  </si>
  <si>
    <t xml:space="preserve">$1,500–6,000</t>
  </si>
  <si>
    <t xml:space="preserve">Fixed / tiered</t>
  </si>
  <si>
    <t xml:space="preserve">Redirects prior employee premium</t>
  </si>
  <si>
    <t xml:space="preserve">~25–35</t>
  </si>
  <si>
    <t xml:space="preserve">~90–130</t>
  </si>
  <si>
    <t xml:space="preserve">Medical Grant - Partial / Proportional Redirect</t>
  </si>
  <si>
    <t xml:space="preserve">50–100% of prior share</t>
  </si>
  <si>
    <t xml:space="preserve">Scalable</t>
  </si>
  <si>
    <t xml:space="preserve">Hybrid option</t>
  </si>
  <si>
    <t xml:space="preserve">~20–30</t>
  </si>
  <si>
    <t xml:space="preserve">~60–90</t>
  </si>
  <si>
    <t xml:space="preserve">Medical Grant - Payroll % Equivalent</t>
  </si>
  <si>
    <t xml:space="preserve">~2–6%</t>
  </si>
  <si>
    <t xml:space="preserve">Wages</t>
  </si>
  <si>
    <t xml:space="preserve">Simplest withholding</t>
  </si>
  <si>
    <t xml:space="preserve">~30–40</t>
  </si>
  <si>
    <t xml:space="preserve">~120–180</t>
  </si>
  <si>
    <t xml:space="preserve">Medical Grant - Flat Dollar (per employee)</t>
  </si>
  <si>
    <t xml:space="preserve">$1,500–2,000 single$5,000–6,000 family</t>
  </si>
  <si>
    <t xml:space="preserve">Per enrollee</t>
  </si>
  <si>
    <t xml:space="preserve">Budget-predictable</t>
  </si>
  <si>
    <t xml:space="preserve">Medical Grant - Hybrid / MA-Style Private Plan</t>
  </si>
  <si>
    <t xml:space="preserve">Variable</t>
  </si>
  <si>
    <t xml:space="preserve">Low initial uptake</t>
  </si>
  <si>
    <t xml:space="preserve">~10–20</t>
  </si>
  <si>
    <t xml:space="preserve">~40–70</t>
  </si>
  <si>
    <t xml:space="preserve">Current, New PFIT Withholding Phasing</t>
  </si>
  <si>
    <t xml:space="preserve">Current PFIT Bracket Credits</t>
  </si>
  <si>
    <t xml:space="preserve">CID</t>
  </si>
  <si>
    <t xml:space="preserve">Credit Name</t>
  </si>
  <si>
    <t xml:space="preserve">Current Type</t>
  </si>
  <si>
    <t xml:space="preserve">Primary Beneficiaries</t>
  </si>
  <si>
    <t xml:space="preserve">Estimated Annual Cost (2025 $B)</t>
  </si>
  <si>
    <t xml:space="preserve">Earned Income Tax Credit (EITC)</t>
  </si>
  <si>
    <t xml:space="preserve">Refundable</t>
  </si>
  <si>
    <t xml:space="preserve">Low-to-moderate income workers &amp; families (esp. with children)</t>
  </si>
  <si>
    <t xml:space="preserve">70–90</t>
  </si>
  <si>
    <t xml:space="preserve">Child Tax Credit (CTC) + Additional CTC</t>
  </si>
  <si>
    <t xml:space="preserve">Partially refundable</t>
  </si>
  <si>
    <t xml:space="preserve">Families with qualifying children</t>
  </si>
  <si>
    <t xml:space="preserve">60–85</t>
  </si>
  <si>
    <t xml:space="preserve">Child and Dependent Care Credit</t>
  </si>
  <si>
    <t xml:space="preserve">Non-refundable</t>
  </si>
  <si>
    <t xml:space="preserve">Working parents / caretakers with qualifying expenses</t>
  </si>
  <si>
    <t xml:space="preserve">10–12</t>
  </si>
  <si>
    <t xml:space="preserve">Lifetime Learning Credit</t>
  </si>
  <si>
    <t xml:space="preserve">Higher education students (tuition/fees)</t>
  </si>
  <si>
    <t xml:space="preserve">2–5 (tweaked max)</t>
  </si>
  <si>
    <t xml:space="preserve">American Opportunity Credit</t>
  </si>
  <si>
    <t xml:space="preserve">First 4 years of college students</t>
  </si>
  <si>
    <t xml:space="preserve">8–12</t>
  </si>
  <si>
    <t xml:space="preserve">Savers Credit (Retirement Savings Contributions Credit)</t>
  </si>
  <si>
    <t xml:space="preserve">Low/moderate-income retirement savers</t>
  </si>
  <si>
    <t xml:space="preserve">1–3</t>
  </si>
  <si>
    <t xml:space="preserve">Premium Tax Credit (ACA marketplace subsidies)</t>
  </si>
  <si>
    <t xml:space="preserve">Low/moderate-income health insurance purchasers</t>
  </si>
  <si>
    <t xml:space="preserve">40–60</t>
  </si>
  <si>
    <t xml:space="preserve">Adoption Credit</t>
  </si>
  <si>
    <t xml:space="preserve">Qualifying adoptive families</t>
  </si>
  <si>
    <t xml:space="preserve">1–2</t>
  </si>
  <si>
    <t xml:space="preserve">Residential Clean Energy Credit</t>
  </si>
  <si>
    <t xml:space="preserve">Homeowners installing solar, battery, etc.</t>
  </si>
  <si>
    <t xml:space="preserve">4–8</t>
  </si>
  <si>
    <t xml:space="preserve">Energy Efficient Home Improvement Credit</t>
  </si>
  <si>
    <t xml:space="preserve">Home energy efficiency upgrades</t>
  </si>
  <si>
    <t xml:space="preserve">2–4</t>
  </si>
  <si>
    <t xml:space="preserve">Credit for the Elderly or the Disabled</t>
  </si>
  <si>
    <t xml:space="preserve">Low-income seniors / disabled individuals</t>
  </si>
  <si>
    <t xml:space="preserve">&lt;1</t>
  </si>
  <si>
    <t xml:space="preserve">Foreign Tax Credit (individual filers)</t>
  </si>
  <si>
    <t xml:space="preserve">U.S. taxpayers with foreign income</t>
  </si>
  <si>
    <t xml:space="preserve">5–10</t>
  </si>
  <si>
    <t xml:space="preserve">TOTAL Estimated Annual Cost of Eliminated Credits</t>
  </si>
  <si>
    <t xml:space="preserve">205–280</t>
  </si>
  <si>
    <t xml:space="preserve">New PFIT Bracket Credits</t>
  </si>
  <si>
    <t xml:space="preserve">Estimated Annual Cost (Current 2025 $B)</t>
  </si>
  <si>
    <t xml:space="preserve">Adjustment in New PFIT (No Redirects)</t>
  </si>
  <si>
    <t xml:space="preserve">New Status</t>
  </si>
  <si>
    <t xml:space="preserve">New Estimated Cost (2025 $B)</t>
  </si>
  <si>
    <t xml:space="preserve">Significantly reduced</t>
  </si>
  <si>
    <t xml:space="preserve">Scaled/Partial</t>
  </si>
  <si>
    <t xml:space="preserve">Reduced to $33B in new brackets (primarily LL/LM); no full redirect to ESP-SSD/LSD grants.</t>
  </si>
  <si>
    <t xml:space="preserve">Reduced to $55B (spread across lower brackets); no redirect to ESP-SSD family grants.</t>
  </si>
  <si>
    <t xml:space="preserve">Reduced to $9.1B; no redirect to ESP-SSD dependent care.</t>
  </si>
  <si>
    <t xml:space="preserve">2–5</t>
  </si>
  <si>
    <t xml:space="preserve">(Included in Education $31B total)</t>
  </si>
  <si>
    <t xml:space="preserve">Contributes to $31B education credits; no redirect to ESP-ESD ESG.</t>
  </si>
  <si>
    <t xml:space="preserve">Increased slightly</t>
  </si>
  <si>
    <t xml:space="preserve">Retained/Scaled</t>
  </si>
  <si>
    <t xml:space="preserve">Increased to $80B in new brackets (higher/upper focus); no redirect to ESP-SSD Investment Grant.</t>
  </si>
  <si>
    <t xml:space="preserve">Reduced to $6.1B; no redirect to ESP-SSD Medical Grant.</t>
  </si>
  <si>
    <t xml:space="preserve">Increased to $9.9B (upper bracket itemized/charitable overlap); no redirect.</t>
  </si>
  <si>
    <t xml:space="preserve">Increased to $8.1B; no redirect to ESP-TSD/CSD programs.</t>
  </si>
  <si>
    <t xml:space="preserve">Retained</t>
  </si>
  <si>
    <t xml:space="preserve">(Included in Energy $8.1B)</t>
  </si>
  <si>
    <t xml:space="preserve">Contributes to energy credits; no redirect.</t>
  </si>
  <si>
    <t xml:space="preserve">Eliminated</t>
  </si>
  <si>
    <t xml:space="preserve">Removed</t>
  </si>
  <si>
    <t xml:space="preserve">Fully eliminated in new brackets; no redirect to ESP-SSD COL/disability.</t>
  </si>
  <si>
    <t xml:space="preserve">SALT Deduction</t>
  </si>
  <si>
    <t xml:space="preserve">Deduction</t>
  </si>
  <si>
    <t xml:space="preserve">Higher-itemizing taxpayers (property taxes)</t>
  </si>
  <si>
    <t xml:space="preserve">N/A (deduction)</t>
  </si>
  <si>
    <t xml:space="preserve">$94B in new brackets (upper focus).</t>
  </si>
  <si>
    <t xml:space="preserve">Mortgage Interest Deduction</t>
  </si>
  <si>
    <t xml:space="preserve">Homeowners with mortgages</t>
  </si>
  <si>
    <t xml:space="preserve">$121B in new brackets.</t>
  </si>
  <si>
    <t xml:space="preserve">Charitable / Itemized Deductions</t>
  </si>
  <si>
    <t xml:space="preserve">Donors/itemizers</t>
  </si>
  <si>
    <t xml:space="preserve">$11.8B charitable in new brackets.</t>
  </si>
  <si>
    <t xml:space="preserve">No adjustment</t>
  </si>
  <si>
    <t xml:space="preserve">(Not explicitly broken out; assumed minor)</t>
  </si>
  <si>
    <t xml:space="preserve">Revenue protection retained.</t>
  </si>
  <si>
    <t xml:space="preserve">TOTAL Remaining Credits in New PFIT (No Redirects)</t>
  </si>
  <si>
    <t xml:space="preserve">205–280 (current eliminated value)</t>
  </si>
  <si>
    <t xml:space="preserve">Scaled/retained only</t>
  </si>
  <si>
    <t xml:space="preserve">Net revenue $3,146B; $456B remaining credits reflect upper-bracket itemized/deductions + scaled lower supports; no ESP redirects means higher revenue but reduced low-income aid.</t>
  </si>
  <si>
    <t xml:space="preserve">New PFIT Bracket Credits (Redirects)</t>
  </si>
  <si>
    <t xml:space="preserve">Adjustment in New PFIT (Redirects)</t>
  </si>
  <si>
    <t xml:space="preserve">Redirected To in ESP</t>
  </si>
  <si>
    <t xml:space="preserve">Fully eliminated</t>
  </si>
  <si>
    <t xml:space="preserve">ESP-SSD Cost-of-Living Grants + ESP-LSD Labor Security Grant</t>
  </si>
  <si>
    <t xml:space="preserve">Full value redirected; supports work incentives via grants.</t>
  </si>
  <si>
    <t xml:space="preserve">ESP-SSD family/housing/child-related grants</t>
  </si>
  <si>
    <t xml:space="preserve">Full child support redirected to family grants.</t>
  </si>
  <si>
    <t xml:space="preserve">ESP-SSD dependent care &amp; family grants</t>
  </si>
  <si>
    <t xml:space="preserve">Expenses covered via direct vendor-restricted benefits.</t>
  </si>
  <si>
    <t xml:space="preserve">ESP-ESD Education Security Grants (ESG)</t>
  </si>
  <si>
    <t xml:space="preserve">Postsecondary support fully redirected.</t>
  </si>
  <si>
    <t xml:space="preserve">Early college support fully redirected.</t>
  </si>
  <si>
    <t xml:space="preserve">ESP-SSD Investment Grant (new matched system)</t>
  </si>
  <si>
    <t xml:space="preserve">Retirement incentives redirected to matched savings grants.</t>
  </si>
  <si>
    <t xml:space="preserve">ESP-SSD Medical Grant</t>
  </si>
  <si>
    <t xml:space="preserve">Health subsidies fully redirected to universal Medical Grant.</t>
  </si>
  <si>
    <t xml:space="preserve">ESP-SSD family/child grants</t>
  </si>
  <si>
    <t xml:space="preserve">Adoption expenses redirected to family support grants.</t>
  </si>
  <si>
    <t xml:space="preserve">ESP-TSD / CSD infrastructure &amp; energy programs</t>
  </si>
  <si>
    <t xml:space="preserve">Green upgrades redirected to broader infrastructure grants.</t>
  </si>
  <si>
    <t xml:space="preserve">ESP-TSD / CSD infrastructure programs</t>
  </si>
  <si>
    <t xml:space="preserve">Efficiency support redirected.</t>
  </si>
  <si>
    <t xml:space="preserve">ESP-SSD general COL grants + disability supports</t>
  </si>
  <si>
    <t xml:space="preserve">Senior/disability support fully redirected.</t>
  </si>
  <si>
    <t xml:space="preserve">(Assumed minor/not broken out)</t>
  </si>
  <si>
    <t xml:space="preserve">Revenue protection retained unchanged.</t>
  </si>
  <si>
    <t xml:space="preserve">N/A</t>
  </si>
  <si>
    <t xml:space="preserve">Upper-bracket itemized deduction preserved.</t>
  </si>
  <si>
    <t xml:space="preserve">Upper-bracket deduction preserved.</t>
  </si>
  <si>
    <t xml:space="preserve">Charitable giving deduction preserved.</t>
  </si>
  <si>
    <t xml:space="preserve">TOTAL Credits in New PFIT (Redirects)</t>
  </si>
  <si>
    <t xml:space="preserve">≈911 (current full)</t>
  </si>
  <si>
    <t xml:space="preserve">Overlapping eliminated; itemized retained</t>
  </si>
  <si>
    <t xml:space="preserve">≈$684.2B redirected to ESP Trust Fund/grants</t>
  </si>
  <si>
    <t xml:space="preserve">Net PFIT revenue $3,366.2B; redirects fund universal COL/COB grants, increasing support efficiency and reducing low-income tax complexity.</t>
  </si>
  <si>
    <t xml:space="preserve">Bracket</t>
  </si>
  <si>
    <t xml:space="preserve">Taxable Income Range ($M)</t>
  </si>
  <si>
    <t xml:space="preserve">Est. Active C Corps</t>
  </si>
  <si>
    <t xml:space="preserve">Avg Taxable Income per Corp ($M)</t>
  </si>
  <si>
    <t xml:space="preserve">Pre-Incentive Revenue ($B)</t>
  </si>
  <si>
    <t xml:space="preserve">Statutory Corp Rate</t>
  </si>
  <si>
    <t xml:space="preserve">R&amp;D / Innovation Credits ($B)</t>
  </si>
  <si>
    <t xml:space="preserve">Depreciation / Expensing ($B)</t>
  </si>
  <si>
    <t xml:space="preserve">Interest Deductibility ($B)</t>
  </si>
  <si>
    <t xml:space="preserve">NOL Carryforwards ($B)</t>
  </si>
  <si>
    <t xml:space="preserve">Foreign Tax Credits ($B)</t>
  </si>
  <si>
    <t xml:space="preserve">Targeted Industry Credits ($B)</t>
  </si>
  <si>
    <t xml:space="preserve">Total Incentives ($B)</t>
  </si>
  <si>
    <t xml:space="preserve">Effective Tax Rate (%)</t>
  </si>
  <si>
    <t xml:space="preserve">% of Total Corp Tax</t>
  </si>
  <si>
    <t xml:space="preserve">Notes / Bracket Name</t>
  </si>
  <si>
    <t xml:space="preserve">0 – 0.1 (loss / near-zero)</t>
  </si>
  <si>
    <t xml:space="preserve">~1.8M</t>
  </si>
  <si>
    <t xml:space="preserve">~25</t>
  </si>
  <si>
    <t xml:space="preserve">~21</t>
  </si>
  <si>
    <t xml:space="preserve">~17%</t>
  </si>
  <si>
    <t xml:space="preserve">~1%</t>
  </si>
  <si>
    <t xml:space="preserve">Loss &amp; micro-income corps (minimum liability emerges)</t>
  </si>
  <si>
    <t xml:space="preserve">0.1 – 1</t>
  </si>
  <si>
    <t xml:space="preserve">~500k</t>
  </si>
  <si>
    <t xml:space="preserve">~250</t>
  </si>
  <si>
    <t xml:space="preserve">~226</t>
  </si>
  <si>
    <t xml:space="preserve">~19%</t>
  </si>
  <si>
    <t xml:space="preserve">~11%</t>
  </si>
  <si>
    <t xml:space="preserve">Small &amp; early-growth corporations</t>
  </si>
  <si>
    <t xml:space="preserve">1 – 10</t>
  </si>
  <si>
    <t xml:space="preserve">~150k</t>
  </si>
  <si>
    <t xml:space="preserve">~550</t>
  </si>
  <si>
    <t xml:space="preserve">~468</t>
  </si>
  <si>
    <t xml:space="preserve">~18–19%</t>
  </si>
  <si>
    <t xml:space="preserve">~23%</t>
  </si>
  <si>
    <t xml:space="preserve">Mid-size profitable firms</t>
  </si>
  <si>
    <t xml:space="preserve">10 – 100</t>
  </si>
  <si>
    <t xml:space="preserve">~40k</t>
  </si>
  <si>
    <t xml:space="preserve">~1,010</t>
  </si>
  <si>
    <t xml:space="preserve">~880</t>
  </si>
  <si>
    <t xml:space="preserve">~43%</t>
  </si>
  <si>
    <t xml:space="preserve">Large domestic corporations</t>
  </si>
  <si>
    <t xml:space="preserve">~7,500</t>
  </si>
  <si>
    <t xml:space="preserve">~735</t>
  </si>
  <si>
    <t xml:space="preserve">~595</t>
  </si>
  <si>
    <t xml:space="preserve">~29%</t>
  </si>
  <si>
    <t xml:space="preserve">Very large &amp; multinational (no rate premium)</t>
  </si>
  <si>
    <t xml:space="preserve">Total</t>
  </si>
  <si>
    <t xml:space="preserve">~2.5M</t>
  </si>
  <si>
    <t xml:space="preserve">~2,570</t>
  </si>
  <si>
    <t xml:space="preserve">~380</t>
  </si>
  <si>
    <t xml:space="preserve">~2,190</t>
  </si>
  <si>
    <t xml:space="preserve">~17–18%</t>
  </si>
  <si>
    <t xml:space="preserve">Flat-rate CFIT with incentive leakage</t>
  </si>
  <si>
    <t xml:space="preserve">~6</t>
  </si>
  <si>
    <t xml:space="preserve">~2</t>
  </si>
  <si>
    <t xml:space="preserve">~3%</t>
  </si>
  <si>
    <t xml:space="preserve">&lt;1%</t>
  </si>
  <si>
    <t xml:space="preserve">Loss &amp; micro-income corps (administrative minimum only)</t>
  </si>
  <si>
    <t xml:space="preserve">~190</t>
  </si>
  <si>
    <t xml:space="preserve">~166</t>
  </si>
  <si>
    <t xml:space="preserve">~14%</t>
  </si>
  <si>
    <t xml:space="preserve">~19–21%</t>
  </si>
  <si>
    <t xml:space="preserve">~620</t>
  </si>
  <si>
    <t xml:space="preserve">~538</t>
  </si>
  <si>
    <t xml:space="preserve">~26–28%</t>
  </si>
  <si>
    <t xml:space="preserve">~1,350</t>
  </si>
  <si>
    <t xml:space="preserve">~1,220</t>
  </si>
  <si>
    <t xml:space="preserve">~22–23%</t>
  </si>
  <si>
    <t xml:space="preserve">~31–33%</t>
  </si>
  <si>
    <t xml:space="preserve">~1,260</t>
  </si>
  <si>
    <t xml:space="preserve">~1,120</t>
  </si>
  <si>
    <t xml:space="preserve">~24–25%</t>
  </si>
  <si>
    <t xml:space="preserve">~20–22%</t>
  </si>
  <si>
    <t xml:space="preserve">Very large &amp; multinational firms</t>
  </si>
  <si>
    <t xml:space="preserve">~3,426</t>
  </si>
  <si>
    <t xml:space="preserve">~3,046</t>
  </si>
  <si>
    <t xml:space="preserve">~23–24%</t>
  </si>
  <si>
    <t xml:space="preserve">Max revenue @ 27% cap, credits preserved</t>
  </si>
  <si>
    <t xml:space="preserve">~174</t>
  </si>
  <si>
    <t xml:space="preserve">~15%</t>
  </si>
  <si>
    <t xml:space="preserve">~18–20%</t>
  </si>
  <si>
    <t xml:space="preserve">Small &amp; early-growth corporations; targeted credits eliminated</t>
  </si>
  <si>
    <t xml:space="preserve">~566</t>
  </si>
  <si>
    <t xml:space="preserve">~19–20%</t>
  </si>
  <si>
    <t xml:space="preserve">~27–29%</t>
  </si>
  <si>
    <t xml:space="preserve">Mid-size profitable firms; R&amp;D &amp; targeted credits redirected</t>
  </si>
  <si>
    <t xml:space="preserve">~32–34%</t>
  </si>
  <si>
    <t xml:space="preserve">Large domestic corporations; industry credits phased to grants</t>
  </si>
  <si>
    <t xml:space="preserve">~1,153</t>
  </si>
  <si>
    <t xml:space="preserve">~25–26%</t>
  </si>
  <si>
    <t xml:space="preserve">~21–23%</t>
  </si>
  <si>
    <t xml:space="preserve">Very large &amp; multinational; foreign credits retained only</t>
  </si>
  <si>
    <t xml:space="preserve">~271</t>
  </si>
  <si>
    <t xml:space="preserve">~3,155</t>
  </si>
  <si>
    <t xml:space="preserve">Targeted credits fully eliminated (~109B recaptured); depreciation/interest/NOL/foreign retained; net revenue boost from broader base &amp; redirects</t>
  </si>
  <si>
    <t xml:space="preserve">Current, New CFIT Phasing
"Bracket Phasing" includes complementary Bracket, Withholding, Credit phasing when applicable by bracket. </t>
  </si>
  <si>
    <t xml:space="preserve">Phasing CFIT Brackets</t>
  </si>
  <si>
    <t xml:space="preserve">#2.A BID#4</t>
  </si>
  <si>
    <t xml:space="preserve">#2.B BID#4</t>
  </si>
  <si>
    <t xml:space="preserve">Current CFIT Withholdings</t>
  </si>
  <si>
    <t xml:space="preserve">Withholding #</t>
  </si>
  <si>
    <t xml:space="preserve">Wage Base/Limit</t>
  </si>
  <si>
    <t xml:space="preserve">21.00%</t>
  </si>
  <si>
    <t xml:space="preserve">~2.5 (active C corps)</t>
  </si>
  <si>
    <t xml:space="preserve">~2,570 (pre-incentive)</t>
  </si>
  <si>
    <t xml:space="preserve">~184 (covered employees)</t>
  </si>
  <si>
    <t xml:space="preserve">Federal Unemployment (FUTA)</t>
  </si>
  <si>
    <t xml:space="preserve">6.0% (effective 0.6% with max state credit)</t>
  </si>
  <si>
    <t xml:space="preserve">First $7,000 per employee</t>
  </si>
  <si>
    <t xml:space="preserve">~150–170 (most employers qualify for credit)</t>
  </si>
  <si>
    <t xml:space="preserve">~8–12 (net)</t>
  </si>
  <si>
    <t xml:space="preserve">New CFIT Withholdings</t>
  </si>
  <si>
    <t xml:space="preserve">5%–27%</t>
  </si>
  <si>
    <t xml:space="preserve">New CFIT structure (progressive brackets)</t>
  </si>
  <si>
    <t xml:space="preserve">Employer portion only</t>
  </si>
  <si>
    <t xml:space="preserve">Employer portion</t>
  </si>
  <si>
    <t xml:space="preserve">Most employers qualify for credit</t>
  </si>
  <si>
    <t xml:space="preserve">~150–170</t>
  </si>
  <si>
    <t xml:space="preserve">New CFIT Withholdings (Redirects)</t>
  </si>
  <si>
    <t xml:space="preserve">DES ESP Tax</t>
  </si>
  <si>
    <t xml:space="preserve">13%</t>
  </si>
  <si>
    <t xml:space="preserve">None (flat on all wages)</t>
  </si>
  <si>
    <t xml:space="preserve">Flat payroll tax replacing old employer FICA/FUTA portions</t>
  </si>
  <si>
    <t xml:space="preserve">DES ESP Medical Grant (Optional) - Full Equivalent Redirect</t>
  </si>
  <si>
    <t xml:space="preserve">Variable (equivalent to prior private premium share; avg ~8–12% payroll or $7,800–$20,000 per employee/year depending on tier)</t>
  </si>
  <si>
    <t xml:space="preserve">None (fixed dollar amount per employee/tier)</t>
  </si>
  <si>
    <t xml:space="preserve">Redirects prior employer premium share to fund grants; ~50–60% adoption</t>
  </si>
  <si>
    <t xml:space="preserve">~80–100 (adopter employees)</t>
  </si>
  <si>
    <t xml:space="preserve">DES ESP Medical Grant (Optional) - Partial/Proportional Redirect</t>
  </si>
  <si>
    <t xml:space="preserve">Variable % (e.g., 50–100% of prior premium equivalent)</t>
  </si>
  <si>
    <t xml:space="preserve">None (scalable per employee)</t>
  </si>
  <si>
    <t xml:space="preserve">Flexible partial redirect for hybrid coverage; similar adoption</t>
  </si>
  <si>
    <t xml:space="preserve">~70–90 (adopter employees)</t>
  </si>
  <si>
    <t xml:space="preserve">DES ESP Medical Grant (Optional) - Payroll Percentage Equivalent</t>
  </si>
  <si>
    <t xml:space="preserve">~8–12% (approximate to match current avg health burden)</t>
  </si>
  <si>
    <t xml:space="preserve">None (on all wages or tiered bands)</t>
  </si>
  <si>
    <t xml:space="preserve">Simpler fixed % method; broad appeal for consistent withholding</t>
  </si>
  <si>
    <t xml:space="preserve">~90–110 (adopter employees)</t>
  </si>
  <si>
    <t xml:space="preserve">DES ESP Medical Grant (Optional) - Per-Employee Flat Dollar</t>
  </si>
  <si>
    <t xml:space="preserve">Single: ~$7,800–8,000/year; Family: ~$19,000–20,000/year (RPP-adjusted possible)</t>
  </si>
  <si>
    <t xml:space="preserve">None (flat per enrollee/tier)</t>
  </si>
  <si>
    <t xml:space="preserve">Predictable fixed amount; supports budgeting; ~50–60% adoption</t>
  </si>
  <si>
    <t xml:space="preserve">DES ESP Medical Grant (Optional) - Hybrid/MA-Style Private Insurer Plan</t>
  </si>
  <si>
    <t xml:space="preserve">Variable capitation benchmark (risk-adjusted; ~104–110% of FFS equivalent)</t>
  </si>
  <si>
    <t xml:space="preserve">None (per enrollee)</t>
  </si>
  <si>
    <t xml:space="preserve">Employee/employer selects private insurer (Medicare Advantage-like); lower initial uptake</t>
  </si>
  <si>
    <t xml:space="preserve">~40–60 (adopter employees)</t>
  </si>
  <si>
    <t xml:space="preserve">Current CFIT Bracket Credits</t>
  </si>
  <si>
    <t xml:space="preserve">Credit #</t>
  </si>
  <si>
    <t xml:space="preserve">Credit</t>
  </si>
  <si>
    <t xml:space="preserve">Credit description</t>
  </si>
  <si>
    <t xml:space="preserve">ESP Program Redirect</t>
  </si>
  <si>
    <t xml:space="preserve">Work Opportunity Tax Credit (WOTC)</t>
  </si>
  <si>
    <t xml:space="preserve">Credit for hiring disadvantaged workers</t>
  </si>
  <si>
    <t xml:space="preserve">ESP-LSD labor matching + COB training</t>
  </si>
  <si>
    <t xml:space="preserve">2–3</t>
  </si>
  <si>
    <t xml:space="preserve">R&amp;D Tax Credit (Section 41)</t>
  </si>
  <si>
    <t xml:space="preserve">Encourages research spending</t>
  </si>
  <si>
    <t xml:space="preserve">ESP-LSD COB R&amp;D category</t>
  </si>
  <si>
    <t xml:space="preserve">40–50</t>
  </si>
  <si>
    <t xml:space="preserve">Low-Income Housing Tax Credit (LIHTC)</t>
  </si>
  <si>
    <t xml:space="preserve">Subsidizes affordable housing development</t>
  </si>
  <si>
    <t xml:space="preserve">ESP-SSD Housing Grant + TSD grants</t>
  </si>
  <si>
    <t xml:space="preserve">10–15</t>
  </si>
  <si>
    <t xml:space="preserve">New Markets Tax Credit</t>
  </si>
  <si>
    <t xml:space="preserve">Investment in low-income communities</t>
  </si>
  <si>
    <t xml:space="preserve">CSD/TSD economic development</t>
  </si>
  <si>
    <t xml:space="preserve">Opportunity Zones</t>
  </si>
  <si>
    <t xml:space="preserve">Capital gains deferral for distressed areas</t>
  </si>
  <si>
    <t xml:space="preserve">Broad COB loans/grants</t>
  </si>
  <si>
    <t xml:space="preserve">Bonus Depreciation/Section 179</t>
  </si>
  <si>
    <t xml:space="preserve">Accelerated expensing for equipment</t>
  </si>
  <si>
    <t xml:space="preserve">FITTER business offsets + COB</t>
  </si>
  <si>
    <t xml:space="preserve">80–120</t>
  </si>
  <si>
    <t xml:space="preserve">Employee Retention Credit (ERC, post-COVID)</t>
  </si>
  <si>
    <t xml:space="preserve">Wage credit during disruptions</t>
  </si>
  <si>
    <t xml:space="preserve">ESP-LSD workforce tools</t>
  </si>
  <si>
    <t xml:space="preserve">10–20 (tweaked down as expiring)</t>
  </si>
  <si>
    <t xml:space="preserve">151–222 (total for listed business credits)</t>
  </si>
  <si>
    <t xml:space="preserve">≈380 (total incentives including unlisted, e.g., interest deductibility, NOL, foreign credits)</t>
  </si>
  <si>
    <t xml:space="preserve">Adjustment in New CFIT (No Redirects)</t>
  </si>
  <si>
    <t xml:space="preserve">Partial retention; offset by ESP labor tools</t>
  </si>
  <si>
    <t xml:space="preserve">Scaled/Retained</t>
  </si>
  <si>
    <t xml:space="preserve">Reduced due to implicit ESP subsidies</t>
  </si>
  <si>
    <t xml:space="preserve">Partial retention + enhanced expensing offsets</t>
  </si>
  <si>
    <t xml:space="preserve">20–30</t>
  </si>
  <si>
    <t xml:space="preserve">Core innovation support preserved</t>
  </si>
  <si>
    <t xml:space="preserve">Partial retention; supplemented by grants</t>
  </si>
  <si>
    <t xml:space="preserve">5–8</t>
  </si>
  <si>
    <t xml:space="preserve">Supply-side support partially shifted</t>
  </si>
  <si>
    <t xml:space="preserve">Partial retention; broader COB coverage</t>
  </si>
  <si>
    <t xml:space="preserve">0.5–1</t>
  </si>
  <si>
    <t xml:space="preserve">Minor due to regional grant overlap</t>
  </si>
  <si>
    <t xml:space="preserve">Reduced; replaced by broad COB access</t>
  </si>
  <si>
    <t xml:space="preserve">4–6</t>
  </si>
  <si>
    <t xml:space="preserve">Targeted incentive less necessary</t>
  </si>
  <si>
    <t xml:space="preserve">Enhanced with super-expensing (150–200%) built-in</t>
  </si>
  <si>
    <t xml:space="preserve">Retained/Enhanced</t>
  </si>
  <si>
    <t xml:space="preserve">Core FITTER offset preserved</t>
  </si>
  <si>
    <t xml:space="preserve">Phased down; ESP stability tools substitute</t>
  </si>
  <si>
    <t xml:space="preserve">Expiring nature accelerated</t>
  </si>
  <si>
    <t xml:space="preserve">Overlapping scaled; unlisted retained</t>
  </si>
  <si>
    <t xml:space="preserve">≈116–177 (listed total) ≈380 (total incentives)</t>
  </si>
  <si>
    <t xml:space="preserve">Net CFIT revenue ~$3,046B; partial credit retention maintains incentives while capturing bracket gains.</t>
  </si>
  <si>
    <t xml:space="preserve">Adjustment in New CFIT (Redirects)</t>
  </si>
  <si>
    <t xml:space="preserve">Fully eliminated; implicit subsidy via grantee pool</t>
  </si>
  <si>
    <t xml:space="preserve">Direct matching more efficient</t>
  </si>
  <si>
    <t xml:space="preserve">Fully eliminated; replaced by direct grants + expensing</t>
  </si>
  <si>
    <t xml:space="preserve">Grant-based support targeted better</t>
  </si>
  <si>
    <t xml:space="preserve">Fully eliminated; demand/supply via grants</t>
  </si>
  <si>
    <t xml:space="preserve">Unified infrastructure approach</t>
  </si>
  <si>
    <t xml:space="preserve">Fully eliminated; broad regional equity</t>
  </si>
  <si>
    <t xml:space="preserve">Overlap with unified grants</t>
  </si>
  <si>
    <t xml:space="preserve">Fully eliminated; unnecessary with broad COB</t>
  </si>
  <si>
    <t xml:space="preserve">Targeted zones obsolete</t>
  </si>
  <si>
    <t xml:space="preserve">Retained/enhanced as built-in super-expensing</t>
  </si>
  <si>
    <t xml:space="preserve">Core depreciation benefit preserved</t>
  </si>
  <si>
    <t xml:space="preserve">Fully eliminated; ESP tools provide stability</t>
  </si>
  <si>
    <t xml:space="preserve">Phased out naturally</t>
  </si>
  <si>
    <t xml:space="preserve">Targeted eliminated; unlisted/depreciation retained</t>
  </si>
  <si>
    <t xml:space="preserve">≈80–120 (remaining) ≈274 (total incentives incl. unlisted retained ~194)</t>
  </si>
  <si>
    <t xml:space="preserve">≈131–202B redirected to ESP/COB grants/loans</t>
  </si>
  <si>
    <t xml:space="preserve">Net CFIT revenue ~$3,152–3,212B; redirects fund universal business support, reducing complexity and leakage.</t>
  </si>
  <si>
    <t xml:space="preserve">Federal Poverty Levels (FPL)</t>
  </si>
  <si>
    <t xml:space="preserve">Current FPL</t>
  </si>
  <si>
    <t xml:space="preserve">FPLID</t>
  </si>
  <si>
    <t xml:space="preserve">Household Size</t>
  </si>
  <si>
    <t xml:space="preserve">Annual Income</t>
  </si>
  <si>
    <t xml:space="preserve">Each additional</t>
  </si>
  <si>
    <t xml:space="preserve">New FPL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</si>
</sst>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@"/>
    <numFmt numFmtId="167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justify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0" activeCellId="0" sqref="A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55.34"/>
    <col collapsed="false" customWidth="true" hidden="false" outlineLevel="0" max="3" min="3" style="1" width="27.68"/>
    <col collapsed="false" customWidth="true" hidden="false" outlineLevel="0" max="4" min="4" style="1" width="9.21"/>
    <col collapsed="false" customWidth="true" hidden="false" outlineLevel="0" max="5" min="5" style="1" width="43.8"/>
    <col collapsed="false" customWidth="false" hidden="false" outlineLevel="0" max="26" min="6" style="1" width="11.53"/>
    <col collapsed="false" customWidth="false" hidden="false" outlineLevel="0" max="16384" min="29" style="1" width="11.53"/>
  </cols>
  <sheetData>
    <row r="1" customFormat="false" ht="12.8" hidden="false" customHeight="true" outlineLevel="0" collapsed="false">
      <c r="A1" s="3" t="s">
        <v>0</v>
      </c>
    </row>
    <row r="2" customFormat="false" ht="23.85" hidden="false" customHeight="false" outlineLevel="0" collapsed="false">
      <c r="A2" s="1" t="s">
        <v>1</v>
      </c>
      <c r="B2" s="4" t="s">
        <v>2</v>
      </c>
    </row>
    <row r="3" customFormat="false" ht="12.8" hidden="false" customHeight="true" outlineLevel="0" collapsed="false">
      <c r="A3" s="4" t="s">
        <v>3</v>
      </c>
      <c r="B3" s="4" t="s">
        <v>4</v>
      </c>
      <c r="C3" s="5" t="s">
        <v>5</v>
      </c>
    </row>
    <row r="4" customFormat="false" ht="12.8" hidden="false" customHeight="false" outlineLevel="0" collapsed="false">
      <c r="A4" s="2" t="n">
        <v>0</v>
      </c>
      <c r="B4" s="2" t="s">
        <v>6</v>
      </c>
      <c r="C4" s="6" t="s">
        <v>7</v>
      </c>
    </row>
    <row r="5" customFormat="false" ht="12.8" hidden="false" customHeight="false" outlineLevel="0" collapsed="false">
      <c r="A5" s="2" t="n">
        <v>1</v>
      </c>
      <c r="B5" s="2" t="s">
        <v>8</v>
      </c>
      <c r="C5" s="6" t="s">
        <v>9</v>
      </c>
    </row>
    <row r="6" customFormat="false" ht="12.8" hidden="false" customHeight="false" outlineLevel="0" collapsed="false">
      <c r="A6" s="2" t="n">
        <v>2</v>
      </c>
      <c r="B6" s="2" t="s">
        <v>10</v>
      </c>
      <c r="C6" s="6" t="s">
        <v>11</v>
      </c>
    </row>
    <row r="7" customFormat="false" ht="12.8" hidden="false" customHeight="false" outlineLevel="0" collapsed="false">
      <c r="A7" s="2" t="n">
        <v>3</v>
      </c>
      <c r="B7" s="2" t="s">
        <v>12</v>
      </c>
      <c r="C7" s="6" t="s">
        <v>13</v>
      </c>
    </row>
    <row r="8" customFormat="false" ht="12.8" hidden="false" customHeight="false" outlineLevel="0" collapsed="false">
      <c r="A8" s="2" t="n">
        <v>4</v>
      </c>
      <c r="B8" s="2" t="s">
        <v>14</v>
      </c>
      <c r="C8" s="6" t="s">
        <v>15</v>
      </c>
    </row>
    <row r="9" customFormat="false" ht="12.8" hidden="false" customHeight="false" outlineLevel="0" collapsed="false">
      <c r="A9" s="2" t="n">
        <v>5</v>
      </c>
      <c r="B9" s="2" t="s">
        <v>16</v>
      </c>
      <c r="C9" s="6" t="s">
        <v>17</v>
      </c>
    </row>
    <row r="10" customFormat="false" ht="12.8" hidden="false" customHeight="false" outlineLevel="0" collapsed="false">
      <c r="A10" s="2" t="n">
        <v>6</v>
      </c>
      <c r="B10" s="2" t="s">
        <v>18</v>
      </c>
      <c r="C10" s="6" t="s">
        <v>19</v>
      </c>
    </row>
    <row r="11" customFormat="false" ht="12.8" hidden="false" customHeight="false" outlineLevel="0" collapsed="false">
      <c r="A11" s="2" t="n">
        <v>7</v>
      </c>
      <c r="B11" s="2" t="s">
        <v>20</v>
      </c>
      <c r="C11" s="6" t="s">
        <v>21</v>
      </c>
    </row>
    <row r="12" customFormat="false" ht="12.8" hidden="false" customHeight="true" outlineLevel="0" collapsed="false">
      <c r="A12" s="2"/>
      <c r="B12" s="7"/>
    </row>
    <row r="13" customFormat="false" ht="34.4" hidden="false" customHeight="false" outlineLevel="0" collapsed="false">
      <c r="A13" s="4" t="s">
        <v>22</v>
      </c>
      <c r="B13" s="4" t="s">
        <v>23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8" hidden="false" customHeight="false" outlineLevel="0" collapsed="false">
      <c r="A14" s="4" t="s">
        <v>24</v>
      </c>
      <c r="B14" s="4" t="s">
        <v>25</v>
      </c>
      <c r="C14" s="10" t="s">
        <v>5</v>
      </c>
      <c r="D14" s="10" t="s">
        <v>26</v>
      </c>
      <c r="E14" s="11" t="s">
        <v>27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2"/>
      <c r="T14" s="12"/>
      <c r="U14" s="12"/>
      <c r="V14" s="12"/>
      <c r="W14" s="12"/>
      <c r="X14" s="12"/>
      <c r="Y14" s="12"/>
      <c r="Z14" s="12"/>
      <c r="AA14" s="12"/>
    </row>
    <row r="15" customFormat="false" ht="12.8" hidden="false" customHeight="false" outlineLevel="0" collapsed="false">
      <c r="A15" s="2" t="n">
        <v>0</v>
      </c>
      <c r="B15" s="2" t="s">
        <v>28</v>
      </c>
      <c r="C15" s="6" t="s">
        <v>7</v>
      </c>
      <c r="D15" s="9" t="n">
        <v>1</v>
      </c>
      <c r="E15" s="9" t="s">
        <v>29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2"/>
      <c r="T15" s="12"/>
      <c r="U15" s="12"/>
      <c r="V15" s="12"/>
      <c r="W15" s="12"/>
      <c r="X15" s="12"/>
      <c r="Y15" s="12"/>
      <c r="Z15" s="12"/>
      <c r="AA15" s="12"/>
    </row>
    <row r="16" customFormat="false" ht="12.8" hidden="false" customHeight="false" outlineLevel="0" collapsed="false">
      <c r="A16" s="2" t="n">
        <v>1</v>
      </c>
      <c r="B16" s="2" t="s">
        <v>30</v>
      </c>
      <c r="C16" s="6" t="s">
        <v>7</v>
      </c>
      <c r="D16" s="1" t="s">
        <v>31</v>
      </c>
      <c r="E16" s="1" t="s">
        <v>32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2"/>
      <c r="T16" s="12"/>
      <c r="U16" s="12"/>
      <c r="V16" s="12"/>
      <c r="W16" s="12"/>
      <c r="X16" s="12"/>
      <c r="Y16" s="12"/>
      <c r="Z16" s="12"/>
      <c r="AA16" s="12"/>
    </row>
    <row r="17" customFormat="false" ht="12.8" hidden="false" customHeight="false" outlineLevel="0" collapsed="false">
      <c r="A17" s="2" t="n">
        <v>2</v>
      </c>
      <c r="B17" s="2" t="s">
        <v>33</v>
      </c>
      <c r="C17" s="6" t="s">
        <v>7</v>
      </c>
      <c r="D17" s="1" t="s">
        <v>34</v>
      </c>
      <c r="E17" s="1" t="s">
        <v>35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2"/>
    </row>
    <row r="18" customFormat="false" ht="12.8" hidden="false" customHeight="false" outlineLevel="0" collapsed="false">
      <c r="A18" s="2" t="n">
        <v>3</v>
      </c>
      <c r="B18" s="2" t="s">
        <v>36</v>
      </c>
      <c r="C18" s="6" t="s">
        <v>7</v>
      </c>
      <c r="D18" s="1" t="s">
        <v>37</v>
      </c>
      <c r="E18" s="1" t="s">
        <v>38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2"/>
      <c r="AB18" s="12"/>
    </row>
    <row r="19" customFormat="false" ht="12.8" hidden="false" customHeight="false" outlineLevel="0" collapsed="false">
      <c r="A19" s="2" t="n">
        <v>4</v>
      </c>
      <c r="B19" s="2" t="s">
        <v>39</v>
      </c>
      <c r="C19" s="6" t="s">
        <v>11</v>
      </c>
      <c r="D19" s="13" t="n">
        <v>1</v>
      </c>
      <c r="E19" s="13" t="s">
        <v>40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2"/>
      <c r="AB19" s="12"/>
    </row>
    <row r="20" customFormat="false" ht="13.05" hidden="false" customHeight="false" outlineLevel="0" collapsed="false">
      <c r="A20" s="2" t="n">
        <v>5</v>
      </c>
      <c r="B20" s="2" t="s">
        <v>41</v>
      </c>
      <c r="C20" s="6" t="s">
        <v>11</v>
      </c>
      <c r="D20" s="13" t="s">
        <v>31</v>
      </c>
      <c r="E20" s="13" t="s">
        <v>42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2"/>
      <c r="AB20" s="12"/>
    </row>
    <row r="21" customFormat="false" ht="13.05" hidden="false" customHeight="false" outlineLevel="0" collapsed="false">
      <c r="A21" s="2" t="n">
        <v>6</v>
      </c>
      <c r="B21" s="2" t="s">
        <v>43</v>
      </c>
      <c r="C21" s="6" t="s">
        <v>11</v>
      </c>
      <c r="D21" s="13" t="s">
        <v>34</v>
      </c>
      <c r="E21" s="13" t="s">
        <v>44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2"/>
      <c r="AB21" s="12"/>
    </row>
    <row r="22" customFormat="false" ht="13.05" hidden="false" customHeight="false" outlineLevel="0" collapsed="false">
      <c r="A22" s="2" t="n">
        <v>7</v>
      </c>
      <c r="B22" s="2" t="s">
        <v>45</v>
      </c>
      <c r="C22" s="6" t="s">
        <v>11</v>
      </c>
      <c r="D22" s="13" t="s">
        <v>46</v>
      </c>
      <c r="E22" s="13" t="s">
        <v>47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/>
      <c r="AB22" s="12"/>
    </row>
    <row r="23" customFormat="false" ht="13.05" hidden="false" customHeight="false" outlineLevel="0" collapsed="false">
      <c r="A23" s="2" t="n">
        <v>8</v>
      </c>
      <c r="B23" s="2" t="s">
        <v>48</v>
      </c>
      <c r="C23" s="6" t="s">
        <v>11</v>
      </c>
      <c r="D23" s="13" t="s">
        <v>49</v>
      </c>
      <c r="E23" s="13" t="s">
        <v>50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2"/>
      <c r="AB23" s="12"/>
    </row>
    <row r="24" customFormat="false" ht="13.05" hidden="false" customHeight="false" outlineLevel="0" collapsed="false">
      <c r="A24" s="2" t="n">
        <v>9</v>
      </c>
      <c r="B24" s="2" t="s">
        <v>51</v>
      </c>
      <c r="C24" s="6" t="s">
        <v>11</v>
      </c>
      <c r="D24" s="13" t="s">
        <v>52</v>
      </c>
      <c r="E24" s="13" t="s">
        <v>42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2"/>
      <c r="AB24" s="12"/>
    </row>
    <row r="25" customFormat="false" ht="13.05" hidden="false" customHeight="false" outlineLevel="0" collapsed="false">
      <c r="A25" s="2" t="n">
        <v>10</v>
      </c>
      <c r="B25" s="2" t="s">
        <v>53</v>
      </c>
      <c r="C25" s="6" t="s">
        <v>11</v>
      </c>
      <c r="D25" s="13" t="s">
        <v>54</v>
      </c>
      <c r="E25" s="13" t="s">
        <v>47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2"/>
      <c r="AB25" s="12"/>
    </row>
    <row r="26" customFormat="false" ht="13.05" hidden="false" customHeight="false" outlineLevel="0" collapsed="false">
      <c r="A26" s="2" t="n">
        <v>11</v>
      </c>
      <c r="B26" s="2" t="s">
        <v>55</v>
      </c>
      <c r="C26" s="6" t="s">
        <v>11</v>
      </c>
      <c r="D26" s="13" t="s">
        <v>56</v>
      </c>
      <c r="E26" s="13" t="s">
        <v>57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2"/>
      <c r="AB26" s="12"/>
    </row>
    <row r="27" customFormat="false" ht="13.05" hidden="false" customHeight="false" outlineLevel="0" collapsed="false">
      <c r="A27" s="2" t="n">
        <v>12</v>
      </c>
      <c r="B27" s="2" t="s">
        <v>58</v>
      </c>
      <c r="C27" s="6" t="s">
        <v>11</v>
      </c>
      <c r="D27" s="13" t="s">
        <v>59</v>
      </c>
      <c r="E27" s="13" t="s">
        <v>44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2"/>
      <c r="AB27" s="12"/>
    </row>
    <row r="28" customFormat="false" ht="13.05" hidden="false" customHeight="false" outlineLevel="0" collapsed="false">
      <c r="A28" s="2" t="n">
        <v>13</v>
      </c>
      <c r="B28" s="2" t="s">
        <v>60</v>
      </c>
      <c r="C28" s="6" t="s">
        <v>11</v>
      </c>
      <c r="D28" s="13" t="s">
        <v>61</v>
      </c>
      <c r="E28" s="13" t="s">
        <v>50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2"/>
      <c r="AB28" s="12"/>
    </row>
    <row r="29" customFormat="false" ht="13.05" hidden="false" customHeight="false" outlineLevel="0" collapsed="false">
      <c r="A29" s="2" t="n">
        <v>14</v>
      </c>
      <c r="B29" s="2" t="s">
        <v>62</v>
      </c>
      <c r="C29" s="6" t="s">
        <v>11</v>
      </c>
      <c r="D29" s="13" t="s">
        <v>63</v>
      </c>
      <c r="E29" s="13" t="s">
        <v>64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2"/>
      <c r="AB29" s="12"/>
    </row>
    <row r="30" customFormat="false" ht="12.8" hidden="false" customHeight="false" outlineLevel="0" collapsed="false">
      <c r="A30" s="2" t="n">
        <v>15</v>
      </c>
      <c r="B30" s="2" t="s">
        <v>65</v>
      </c>
      <c r="C30" s="6" t="s">
        <v>17</v>
      </c>
      <c r="D30" s="6" t="n">
        <v>1</v>
      </c>
      <c r="E30" s="9" t="s">
        <v>66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2"/>
      <c r="AB30" s="12"/>
    </row>
    <row r="31" customFormat="false" ht="12.8" hidden="false" customHeight="false" outlineLevel="0" collapsed="false">
      <c r="A31" s="2" t="n">
        <v>16</v>
      </c>
      <c r="B31" s="2" t="s">
        <v>67</v>
      </c>
      <c r="C31" s="6" t="s">
        <v>17</v>
      </c>
      <c r="D31" s="6" t="s">
        <v>31</v>
      </c>
      <c r="E31" s="9" t="s">
        <v>68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2"/>
      <c r="AB31" s="12"/>
    </row>
    <row r="32" customFormat="false" ht="12.8" hidden="false" customHeight="false" outlineLevel="0" collapsed="false">
      <c r="A32" s="2" t="n">
        <v>17</v>
      </c>
      <c r="B32" s="2" t="s">
        <v>69</v>
      </c>
      <c r="C32" s="6" t="s">
        <v>17</v>
      </c>
      <c r="D32" s="9" t="s">
        <v>34</v>
      </c>
      <c r="E32" s="9" t="s">
        <v>70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2"/>
      <c r="AB32" s="12"/>
    </row>
    <row r="33" customFormat="false" ht="12.8" hidden="false" customHeight="false" outlineLevel="0" collapsed="false">
      <c r="A33" s="2" t="n">
        <v>18</v>
      </c>
      <c r="B33" s="2" t="s">
        <v>71</v>
      </c>
      <c r="C33" s="6" t="s">
        <v>17</v>
      </c>
      <c r="D33" s="6" t="s">
        <v>52</v>
      </c>
      <c r="E33" s="9" t="s">
        <v>68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8" hidden="false" customHeight="false" outlineLevel="0" collapsed="false">
      <c r="A34" s="2" t="n">
        <v>19</v>
      </c>
      <c r="B34" s="2" t="s">
        <v>72</v>
      </c>
      <c r="C34" s="6" t="s">
        <v>17</v>
      </c>
      <c r="D34" s="9" t="s">
        <v>54</v>
      </c>
      <c r="E34" s="9" t="s">
        <v>70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8" hidden="false" customHeight="false" outlineLevel="0" collapsed="false">
      <c r="A35" s="2" t="n">
        <v>20</v>
      </c>
      <c r="B35" s="2" t="s">
        <v>73</v>
      </c>
      <c r="C35" s="6" t="s">
        <v>74</v>
      </c>
      <c r="D35" s="9" t="s">
        <v>75</v>
      </c>
      <c r="E35" s="1" t="s">
        <v>76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2.8" hidden="false" customHeight="false" outlineLevel="0" collapsed="false">
      <c r="A36" s="2" t="n">
        <v>21</v>
      </c>
      <c r="B36" s="2" t="s">
        <v>77</v>
      </c>
      <c r="C36" s="12" t="s">
        <v>78</v>
      </c>
      <c r="D36" s="12" t="s">
        <v>75</v>
      </c>
      <c r="E36" s="1" t="s">
        <v>79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2.8" hidden="false" customHeight="false" outlineLevel="0" collapsed="false">
      <c r="A37" s="2" t="n">
        <v>22</v>
      </c>
      <c r="B37" s="2" t="s">
        <v>80</v>
      </c>
      <c r="C37" s="12" t="s">
        <v>78</v>
      </c>
      <c r="D37" s="12" t="n">
        <v>1</v>
      </c>
      <c r="E37" s="1" t="s">
        <v>80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2.8" hidden="false" customHeight="false" outlineLevel="0" collapsed="false">
      <c r="A38" s="2" t="n">
        <v>23</v>
      </c>
      <c r="B38" s="2" t="s">
        <v>81</v>
      </c>
      <c r="C38" s="12" t="s">
        <v>78</v>
      </c>
      <c r="D38" s="12" t="n">
        <v>2</v>
      </c>
      <c r="E38" s="1" t="s">
        <v>81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2.8" hidden="false" customHeight="false" outlineLevel="0" collapsed="false">
      <c r="A39" s="2" t="n">
        <v>24</v>
      </c>
      <c r="B39" s="2" t="s">
        <v>82</v>
      </c>
      <c r="C39" s="12" t="s">
        <v>78</v>
      </c>
      <c r="D39" s="12" t="n">
        <v>3</v>
      </c>
      <c r="E39" s="1" t="s">
        <v>82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2.8" hidden="false" customHeight="false" outlineLevel="0" collapsed="false">
      <c r="A40" s="2" t="n">
        <v>25</v>
      </c>
      <c r="B40" s="2" t="s">
        <v>83</v>
      </c>
      <c r="C40" s="12" t="s">
        <v>78</v>
      </c>
      <c r="D40" s="12" t="n">
        <v>4</v>
      </c>
      <c r="E40" s="1" t="s">
        <v>83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2.8" hidden="false" customHeight="false" outlineLevel="0" collapsed="false">
      <c r="A41" s="2" t="n">
        <v>26</v>
      </c>
      <c r="B41" s="2" t="s">
        <v>84</v>
      </c>
      <c r="C41" s="9" t="s">
        <v>85</v>
      </c>
      <c r="D41" s="12" t="s">
        <v>75</v>
      </c>
      <c r="E41" s="3" t="s">
        <v>86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2.8" hidden="false" customHeight="false" outlineLevel="0" collapsed="false">
      <c r="A42" s="2" t="n">
        <v>27</v>
      </c>
      <c r="B42" s="2" t="s">
        <v>87</v>
      </c>
      <c r="C42" s="12" t="s">
        <v>85</v>
      </c>
      <c r="D42" s="12" t="n">
        <v>1</v>
      </c>
      <c r="E42" s="1" t="s">
        <v>87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2.8" hidden="false" customHeight="false" outlineLevel="0" collapsed="false">
      <c r="A43" s="2" t="n">
        <v>28</v>
      </c>
      <c r="B43" s="2" t="s">
        <v>88</v>
      </c>
      <c r="C43" s="12" t="s">
        <v>85</v>
      </c>
      <c r="D43" s="12" t="n">
        <v>2</v>
      </c>
      <c r="E43" s="1" t="s">
        <v>88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2.8" hidden="false" customHeight="false" outlineLevel="0" collapsed="false">
      <c r="A44" s="2" t="n">
        <v>29</v>
      </c>
      <c r="B44" s="2" t="s">
        <v>89</v>
      </c>
      <c r="C44" s="12" t="s">
        <v>85</v>
      </c>
      <c r="D44" s="12" t="n">
        <v>3</v>
      </c>
      <c r="E44" s="1" t="s">
        <v>89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2.8" hidden="false" customHeight="false" outlineLevel="0" collapsed="false">
      <c r="A45" s="2" t="n">
        <v>30</v>
      </c>
      <c r="B45" s="2" t="s">
        <v>90</v>
      </c>
      <c r="C45" s="12" t="s">
        <v>85</v>
      </c>
      <c r="D45" s="12" t="n">
        <v>4</v>
      </c>
      <c r="E45" s="1" t="s">
        <v>90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2.8" hidden="false" customHeight="false" outlineLevel="0" collapsed="false">
      <c r="A46" s="2" t="n">
        <v>31</v>
      </c>
      <c r="B46" s="2" t="s">
        <v>91</v>
      </c>
      <c r="C46" s="9" t="s">
        <v>92</v>
      </c>
      <c r="D46" s="12" t="s">
        <v>75</v>
      </c>
      <c r="E46" s="3" t="s">
        <v>93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2.8" hidden="false" customHeight="false" outlineLevel="0" collapsed="false">
      <c r="A47" s="2" t="n">
        <v>32</v>
      </c>
      <c r="B47" s="2" t="s">
        <v>94</v>
      </c>
      <c r="C47" s="12" t="s">
        <v>92</v>
      </c>
      <c r="D47" s="12" t="n">
        <v>1</v>
      </c>
      <c r="E47" s="1" t="s">
        <v>94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2.8" hidden="false" customHeight="false" outlineLevel="0" collapsed="false">
      <c r="A48" s="2" t="n">
        <v>33</v>
      </c>
      <c r="B48" s="2" t="s">
        <v>95</v>
      </c>
      <c r="C48" s="12" t="s">
        <v>92</v>
      </c>
      <c r="D48" s="12" t="n">
        <v>2</v>
      </c>
      <c r="E48" s="1" t="s">
        <v>95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2.8" hidden="false" customHeight="false" outlineLevel="0" collapsed="false">
      <c r="A49" s="2" t="n">
        <v>34</v>
      </c>
      <c r="B49" s="2" t="s">
        <v>96</v>
      </c>
      <c r="C49" s="12" t="s">
        <v>92</v>
      </c>
      <c r="D49" s="12" t="n">
        <v>3</v>
      </c>
      <c r="E49" s="1" t="s">
        <v>96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12.8" hidden="false" customHeight="false" outlineLevel="0" collapsed="false">
      <c r="A50" s="2" t="n">
        <v>35</v>
      </c>
      <c r="B50" s="2" t="s">
        <v>97</v>
      </c>
      <c r="C50" s="12" t="s">
        <v>92</v>
      </c>
      <c r="D50" s="12" t="n">
        <v>4</v>
      </c>
      <c r="E50" s="1" t="s">
        <v>97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12.8" hidden="false" customHeight="true" outlineLevel="0" collapsed="false">
      <c r="A51" s="2" t="n">
        <v>36</v>
      </c>
      <c r="B51" s="2" t="s">
        <v>98</v>
      </c>
      <c r="C51" s="9" t="s">
        <v>99</v>
      </c>
      <c r="D51" s="1" t="n">
        <v>1</v>
      </c>
      <c r="E51" s="1" t="s">
        <v>100</v>
      </c>
      <c r="AA51" s="12"/>
      <c r="AB51" s="12"/>
    </row>
    <row r="52" customFormat="false" ht="12.8" hidden="false" customHeight="true" outlineLevel="0" collapsed="false">
      <c r="A52" s="2" t="n">
        <v>37</v>
      </c>
      <c r="B52" s="2" t="s">
        <v>101</v>
      </c>
      <c r="C52" s="9" t="s">
        <v>99</v>
      </c>
      <c r="D52" s="1" t="s">
        <v>102</v>
      </c>
      <c r="E52" s="1" t="s">
        <v>101</v>
      </c>
      <c r="AA52" s="12"/>
      <c r="AB52" s="12"/>
    </row>
    <row r="53" customFormat="false" ht="12.8" hidden="false" customHeight="true" outlineLevel="0" collapsed="false">
      <c r="A53" s="2" t="n">
        <v>38</v>
      </c>
      <c r="B53" s="2" t="s">
        <v>103</v>
      </c>
      <c r="C53" s="9" t="s">
        <v>99</v>
      </c>
      <c r="D53" s="1" t="s">
        <v>104</v>
      </c>
      <c r="E53" s="1" t="s">
        <v>103</v>
      </c>
      <c r="AA53" s="12"/>
      <c r="AB53" s="12"/>
    </row>
    <row r="54" customFormat="false" ht="12.8" hidden="false" customHeight="true" outlineLevel="0" collapsed="false">
      <c r="A54" s="2" t="n">
        <v>39</v>
      </c>
      <c r="B54" s="2" t="s">
        <v>105</v>
      </c>
      <c r="C54" s="9" t="s">
        <v>99</v>
      </c>
      <c r="D54" s="1" t="s">
        <v>106</v>
      </c>
      <c r="E54" s="1" t="s">
        <v>105</v>
      </c>
      <c r="AA54" s="12"/>
      <c r="AB54" s="12"/>
    </row>
    <row r="55" customFormat="false" ht="12.8" hidden="false" customHeight="true" outlineLevel="0" collapsed="false">
      <c r="A55" s="2" t="n">
        <v>40</v>
      </c>
      <c r="B55" s="2" t="s">
        <v>107</v>
      </c>
      <c r="C55" s="9" t="s">
        <v>99</v>
      </c>
      <c r="D55" s="1" t="s">
        <v>108</v>
      </c>
      <c r="E55" s="1" t="s">
        <v>107</v>
      </c>
      <c r="AA55" s="12"/>
      <c r="AB55" s="12"/>
    </row>
    <row r="56" customFormat="false" ht="12.8" hidden="false" customHeight="true" outlineLevel="0" collapsed="false">
      <c r="A56" s="2" t="n">
        <v>41</v>
      </c>
      <c r="B56" s="2" t="s">
        <v>109</v>
      </c>
      <c r="C56" s="9" t="s">
        <v>110</v>
      </c>
      <c r="D56" s="1" t="n">
        <v>2</v>
      </c>
      <c r="E56" s="1" t="s">
        <v>111</v>
      </c>
      <c r="AA56" s="12"/>
      <c r="AB56" s="12"/>
    </row>
    <row r="57" customFormat="false" ht="12.8" hidden="false" customHeight="true" outlineLevel="0" collapsed="false">
      <c r="A57" s="2" t="n">
        <v>42</v>
      </c>
      <c r="B57" s="2" t="s">
        <v>112</v>
      </c>
      <c r="C57" s="9" t="s">
        <v>110</v>
      </c>
      <c r="D57" s="1" t="s">
        <v>31</v>
      </c>
      <c r="E57" s="1" t="s">
        <v>113</v>
      </c>
      <c r="AA57" s="12"/>
      <c r="AB57" s="12"/>
    </row>
    <row r="58" customFormat="false" ht="12.8" hidden="false" customHeight="true" outlineLevel="0" collapsed="false">
      <c r="A58" s="2" t="n">
        <v>43</v>
      </c>
      <c r="B58" s="2" t="s">
        <v>114</v>
      </c>
      <c r="C58" s="9" t="s">
        <v>110</v>
      </c>
      <c r="D58" s="1" t="s">
        <v>34</v>
      </c>
      <c r="E58" s="1" t="s">
        <v>115</v>
      </c>
      <c r="AA58" s="12"/>
      <c r="AB58" s="12"/>
    </row>
    <row r="59" customFormat="false" ht="12.8" hidden="false" customHeight="true" outlineLevel="0" collapsed="false">
      <c r="A59" s="2" t="n">
        <v>44</v>
      </c>
      <c r="B59" s="2" t="s">
        <v>116</v>
      </c>
      <c r="C59" s="9" t="s">
        <v>110</v>
      </c>
      <c r="D59" s="1" t="s">
        <v>37</v>
      </c>
      <c r="E59" s="1" t="s">
        <v>117</v>
      </c>
      <c r="AA59" s="12"/>
      <c r="AB59" s="12"/>
    </row>
    <row r="60" customFormat="false" ht="12.8" hidden="false" customHeight="true" outlineLevel="0" collapsed="false">
      <c r="A60" s="2" t="n">
        <v>45</v>
      </c>
      <c r="B60" s="2" t="s">
        <v>118</v>
      </c>
      <c r="C60" s="9" t="s">
        <v>110</v>
      </c>
      <c r="D60" s="1" t="s">
        <v>119</v>
      </c>
      <c r="E60" s="1" t="s">
        <v>120</v>
      </c>
      <c r="AA60" s="12"/>
      <c r="AB60" s="12"/>
    </row>
    <row r="61" customFormat="false" ht="12.8" hidden="false" customHeight="true" outlineLevel="0" collapsed="false">
      <c r="A61" s="2" t="n">
        <v>46</v>
      </c>
      <c r="B61" s="2" t="s">
        <v>121</v>
      </c>
      <c r="C61" s="9" t="s">
        <v>122</v>
      </c>
      <c r="D61" s="1" t="n">
        <v>3</v>
      </c>
      <c r="E61" s="1" t="s">
        <v>123</v>
      </c>
      <c r="AA61" s="12"/>
      <c r="AB61" s="12"/>
    </row>
    <row r="62" customFormat="false" ht="12.8" hidden="false" customHeight="true" outlineLevel="0" collapsed="false">
      <c r="A62" s="2" t="n">
        <v>47</v>
      </c>
      <c r="B62" s="2" t="s">
        <v>124</v>
      </c>
      <c r="C62" s="9" t="s">
        <v>122</v>
      </c>
      <c r="D62" s="1" t="s">
        <v>46</v>
      </c>
      <c r="E62" s="1" t="s">
        <v>125</v>
      </c>
      <c r="AA62" s="12"/>
      <c r="AB62" s="12"/>
    </row>
    <row r="63" customFormat="false" ht="12.8" hidden="false" customHeight="true" outlineLevel="0" collapsed="false">
      <c r="A63" s="2" t="n">
        <v>48</v>
      </c>
      <c r="B63" s="2" t="s">
        <v>126</v>
      </c>
      <c r="C63" s="9" t="s">
        <v>122</v>
      </c>
      <c r="D63" s="1" t="s">
        <v>49</v>
      </c>
      <c r="E63" s="1" t="s">
        <v>127</v>
      </c>
      <c r="AA63" s="12"/>
      <c r="AB63" s="12"/>
    </row>
    <row r="64" customFormat="false" ht="12.8" hidden="false" customHeight="true" outlineLevel="0" collapsed="false">
      <c r="A64" s="2" t="n">
        <v>49</v>
      </c>
      <c r="B64" s="2" t="s">
        <v>128</v>
      </c>
      <c r="C64" s="9" t="s">
        <v>122</v>
      </c>
      <c r="D64" s="1" t="s">
        <v>129</v>
      </c>
      <c r="E64" s="1" t="s">
        <v>130</v>
      </c>
      <c r="AA64" s="12"/>
      <c r="AB64" s="12"/>
    </row>
    <row r="65" customFormat="false" ht="12.8" hidden="false" customHeight="true" outlineLevel="0" collapsed="false">
      <c r="A65" s="2" t="n">
        <v>50</v>
      </c>
      <c r="B65" s="2" t="s">
        <v>131</v>
      </c>
      <c r="C65" s="9" t="s">
        <v>122</v>
      </c>
      <c r="D65" s="1" t="s">
        <v>132</v>
      </c>
      <c r="E65" s="1" t="s">
        <v>133</v>
      </c>
      <c r="AA65" s="12"/>
      <c r="AB65" s="12"/>
    </row>
    <row r="66" customFormat="false" ht="12.8" hidden="false" customHeight="true" outlineLevel="0" collapsed="false">
      <c r="A66" s="2" t="n">
        <v>51</v>
      </c>
      <c r="B66" s="2" t="s">
        <v>121</v>
      </c>
      <c r="C66" s="9" t="s">
        <v>122</v>
      </c>
      <c r="D66" s="1" t="s">
        <v>134</v>
      </c>
      <c r="E66" s="1" t="s">
        <v>135</v>
      </c>
      <c r="AA66" s="12"/>
      <c r="AB66" s="12"/>
    </row>
    <row r="67" customFormat="false" ht="12.8" hidden="false" customHeight="true" outlineLevel="0" collapsed="false">
      <c r="A67" s="2" t="n">
        <v>52</v>
      </c>
      <c r="B67" s="2" t="s">
        <v>124</v>
      </c>
      <c r="C67" s="9" t="s">
        <v>122</v>
      </c>
      <c r="D67" s="1" t="s">
        <v>52</v>
      </c>
      <c r="E67" s="1" t="s">
        <v>136</v>
      </c>
      <c r="AA67" s="12"/>
      <c r="AB67" s="12"/>
    </row>
    <row r="68" customFormat="false" ht="12.8" hidden="false" customHeight="true" outlineLevel="0" collapsed="false">
      <c r="A68" s="2" t="n">
        <v>53</v>
      </c>
      <c r="B68" s="2" t="s">
        <v>126</v>
      </c>
      <c r="C68" s="9" t="s">
        <v>122</v>
      </c>
      <c r="D68" s="1" t="s">
        <v>54</v>
      </c>
      <c r="E68" s="1" t="s">
        <v>137</v>
      </c>
      <c r="AA68" s="12"/>
      <c r="AB68" s="12"/>
    </row>
    <row r="69" customFormat="false" ht="12.8" hidden="false" customHeight="true" outlineLevel="0" collapsed="false">
      <c r="A69" s="2" t="n">
        <v>54</v>
      </c>
      <c r="B69" s="2" t="s">
        <v>128</v>
      </c>
      <c r="C69" s="9" t="s">
        <v>122</v>
      </c>
      <c r="D69" s="1" t="s">
        <v>56</v>
      </c>
      <c r="E69" s="1" t="s">
        <v>138</v>
      </c>
      <c r="AA69" s="12"/>
      <c r="AB69" s="12"/>
    </row>
    <row r="70" customFormat="false" ht="12.8" hidden="false" customHeight="true" outlineLevel="0" collapsed="false">
      <c r="A70" s="2" t="n">
        <v>55</v>
      </c>
      <c r="B70" s="2" t="s">
        <v>131</v>
      </c>
      <c r="C70" s="9" t="s">
        <v>122</v>
      </c>
      <c r="D70" s="1" t="s">
        <v>59</v>
      </c>
      <c r="E70" s="1" t="s">
        <v>139</v>
      </c>
      <c r="AA70" s="12"/>
      <c r="AB70" s="12"/>
    </row>
    <row r="71" customFormat="false" ht="12.8" hidden="false" customHeight="true" outlineLevel="0" collapsed="false">
      <c r="A71" s="2" t="n">
        <v>56</v>
      </c>
      <c r="B71" s="2" t="s">
        <v>140</v>
      </c>
      <c r="C71" s="9" t="s">
        <v>141</v>
      </c>
      <c r="D71" s="1" t="s">
        <v>142</v>
      </c>
      <c r="E71" s="1" t="s">
        <v>143</v>
      </c>
      <c r="AA71" s="12"/>
      <c r="AB71" s="12"/>
    </row>
    <row r="72" customFormat="false" ht="12.8" hidden="false" customHeight="true" outlineLevel="0" collapsed="false">
      <c r="A72" s="2" t="n">
        <v>57</v>
      </c>
      <c r="B72" s="2" t="s">
        <v>144</v>
      </c>
      <c r="C72" s="9" t="s">
        <v>141</v>
      </c>
      <c r="D72" s="1" t="s">
        <v>145</v>
      </c>
      <c r="E72" s="1" t="s">
        <v>146</v>
      </c>
      <c r="AA72" s="12"/>
      <c r="AB72" s="12"/>
    </row>
    <row r="73" customFormat="false" ht="12.8" hidden="false" customHeight="true" outlineLevel="0" collapsed="false">
      <c r="A73" s="2" t="n">
        <v>58</v>
      </c>
      <c r="B73" s="2" t="s">
        <v>147</v>
      </c>
      <c r="C73" s="9" t="s">
        <v>141</v>
      </c>
      <c r="D73" s="1" t="s">
        <v>148</v>
      </c>
      <c r="E73" s="1" t="s">
        <v>149</v>
      </c>
      <c r="AA73" s="12"/>
      <c r="AB73" s="12"/>
    </row>
    <row r="74" customFormat="false" ht="12.8" hidden="false" customHeight="true" outlineLevel="0" collapsed="false">
      <c r="A74" s="2" t="n">
        <v>59</v>
      </c>
      <c r="B74" s="2" t="s">
        <v>150</v>
      </c>
      <c r="C74" s="9" t="s">
        <v>141</v>
      </c>
      <c r="D74" s="1" t="s">
        <v>151</v>
      </c>
      <c r="E74" s="1" t="s">
        <v>152</v>
      </c>
      <c r="AA74" s="12"/>
      <c r="AB74" s="12"/>
    </row>
    <row r="75" customFormat="false" ht="12.8" hidden="false" customHeight="true" outlineLevel="0" collapsed="false">
      <c r="A75" s="2" t="n">
        <v>60</v>
      </c>
      <c r="B75" s="2" t="s">
        <v>153</v>
      </c>
      <c r="C75" s="9" t="s">
        <v>141</v>
      </c>
      <c r="D75" s="1" t="s">
        <v>154</v>
      </c>
      <c r="E75" s="1" t="s">
        <v>155</v>
      </c>
      <c r="AA75" s="12"/>
      <c r="AB75" s="12"/>
    </row>
    <row r="76" customFormat="false" ht="12.8" hidden="false" customHeight="true" outlineLevel="0" collapsed="false">
      <c r="A76" s="2" t="n">
        <v>61</v>
      </c>
      <c r="B76" s="2" t="s">
        <v>156</v>
      </c>
      <c r="C76" s="9" t="s">
        <v>157</v>
      </c>
      <c r="D76" s="1" t="n">
        <v>6</v>
      </c>
      <c r="E76" s="1" t="s">
        <v>123</v>
      </c>
      <c r="AA76" s="12"/>
      <c r="AB76" s="12"/>
    </row>
    <row r="77" customFormat="false" ht="12.8" hidden="false" customHeight="true" outlineLevel="0" collapsed="false">
      <c r="A77" s="2" t="n">
        <v>62</v>
      </c>
      <c r="B77" s="2" t="s">
        <v>158</v>
      </c>
      <c r="C77" s="9" t="s">
        <v>157</v>
      </c>
      <c r="D77" s="1" t="s">
        <v>159</v>
      </c>
      <c r="E77" s="1" t="s">
        <v>125</v>
      </c>
      <c r="AA77" s="12"/>
      <c r="AB77" s="12"/>
    </row>
    <row r="78" customFormat="false" ht="12.8" hidden="false" customHeight="true" outlineLevel="0" collapsed="false">
      <c r="A78" s="2" t="n">
        <v>63</v>
      </c>
      <c r="B78" s="2" t="s">
        <v>160</v>
      </c>
      <c r="C78" s="9" t="s">
        <v>157</v>
      </c>
      <c r="D78" s="1" t="s">
        <v>161</v>
      </c>
      <c r="E78" s="1" t="s">
        <v>127</v>
      </c>
      <c r="AA78" s="12"/>
      <c r="AB78" s="12"/>
    </row>
    <row r="79" customFormat="false" ht="12.8" hidden="false" customHeight="true" outlineLevel="0" collapsed="false">
      <c r="A79" s="2" t="n">
        <v>64</v>
      </c>
      <c r="B79" s="2" t="s">
        <v>162</v>
      </c>
      <c r="C79" s="9" t="s">
        <v>157</v>
      </c>
      <c r="D79" s="1" t="s">
        <v>163</v>
      </c>
      <c r="E79" s="1" t="s">
        <v>130</v>
      </c>
      <c r="AA79" s="12"/>
      <c r="AB79" s="12"/>
    </row>
    <row r="80" customFormat="false" ht="12.8" hidden="false" customHeight="true" outlineLevel="0" collapsed="false">
      <c r="A80" s="2" t="n">
        <v>65</v>
      </c>
      <c r="B80" s="2" t="s">
        <v>164</v>
      </c>
      <c r="C80" s="9" t="s">
        <v>157</v>
      </c>
      <c r="D80" s="1" t="s">
        <v>165</v>
      </c>
      <c r="E80" s="1" t="s">
        <v>133</v>
      </c>
      <c r="AA80" s="12"/>
      <c r="AB80" s="12"/>
    </row>
    <row r="81" customFormat="false" ht="12.8" hidden="false" customHeight="true" outlineLevel="0" collapsed="false">
      <c r="A81" s="2" t="n">
        <v>66</v>
      </c>
      <c r="B81" s="2" t="s">
        <v>166</v>
      </c>
      <c r="C81" s="9" t="s">
        <v>167</v>
      </c>
      <c r="D81" s="1" t="n">
        <v>7</v>
      </c>
      <c r="E81" s="1" t="s">
        <v>135</v>
      </c>
      <c r="AA81" s="12"/>
      <c r="AB81" s="12"/>
    </row>
    <row r="82" customFormat="false" ht="12.8" hidden="false" customHeight="true" outlineLevel="0" collapsed="false">
      <c r="A82" s="2" t="n">
        <v>67</v>
      </c>
      <c r="B82" s="2" t="s">
        <v>168</v>
      </c>
      <c r="C82" s="9" t="s">
        <v>167</v>
      </c>
      <c r="D82" s="1" t="s">
        <v>169</v>
      </c>
      <c r="E82" s="1" t="s">
        <v>136</v>
      </c>
      <c r="AA82" s="12"/>
      <c r="AB82" s="12"/>
    </row>
    <row r="83" customFormat="false" ht="12.8" hidden="false" customHeight="true" outlineLevel="0" collapsed="false">
      <c r="A83" s="2" t="n">
        <v>68</v>
      </c>
      <c r="B83" s="2" t="s">
        <v>170</v>
      </c>
      <c r="C83" s="9" t="s">
        <v>167</v>
      </c>
      <c r="D83" s="1" t="s">
        <v>171</v>
      </c>
      <c r="E83" s="1" t="s">
        <v>137</v>
      </c>
      <c r="AA83" s="12"/>
      <c r="AB83" s="12"/>
    </row>
    <row r="84" customFormat="false" ht="12.8" hidden="false" customHeight="true" outlineLevel="0" collapsed="false">
      <c r="A84" s="2" t="n">
        <v>69</v>
      </c>
      <c r="B84" s="2" t="s">
        <v>172</v>
      </c>
      <c r="C84" s="9" t="s">
        <v>167</v>
      </c>
      <c r="D84" s="1" t="s">
        <v>173</v>
      </c>
      <c r="E84" s="1" t="s">
        <v>138</v>
      </c>
      <c r="AA84" s="12"/>
      <c r="AB84" s="12"/>
    </row>
    <row r="85" customFormat="false" ht="12.8" hidden="false" customHeight="true" outlineLevel="0" collapsed="false">
      <c r="A85" s="2" t="n">
        <v>70</v>
      </c>
      <c r="B85" s="2" t="s">
        <v>174</v>
      </c>
      <c r="C85" s="9" t="s">
        <v>167</v>
      </c>
      <c r="D85" s="1" t="s">
        <v>175</v>
      </c>
      <c r="E85" s="1" t="s">
        <v>139</v>
      </c>
      <c r="AA85" s="12"/>
      <c r="AB85" s="12"/>
    </row>
    <row r="87" customFormat="false" ht="12.8" hidden="false" customHeight="true" outlineLevel="0" collapsed="false">
      <c r="A87" s="1" t="n">
        <v>3</v>
      </c>
      <c r="B87" s="2" t="s">
        <v>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7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4" width="9.21"/>
    <col collapsed="false" customWidth="false" hidden="false" outlineLevel="0" max="2" min="2" style="12" width="11.51"/>
    <col collapsed="false" customWidth="true" hidden="false" outlineLevel="0" max="3" min="3" style="8" width="25.39"/>
    <col collapsed="false" customWidth="true" hidden="false" outlineLevel="0" max="4" min="4" style="8" width="25.37"/>
    <col collapsed="false" customWidth="true" hidden="false" outlineLevel="1" max="5" min="5" style="12" width="29.98"/>
    <col collapsed="false" customWidth="true" hidden="false" outlineLevel="1" max="6" min="6" style="12" width="25.37"/>
    <col collapsed="false" customWidth="true" hidden="false" outlineLevel="1" max="7" min="7" style="12" width="20.76"/>
    <col collapsed="false" customWidth="true" hidden="false" outlineLevel="0" max="8" min="8" style="8" width="16.14"/>
    <col collapsed="false" customWidth="true" hidden="false" outlineLevel="1" max="9" min="9" style="8" width="36.9"/>
    <col collapsed="false" customWidth="true" hidden="false" outlineLevel="1" max="10" min="10" style="12" width="57.66"/>
    <col collapsed="false" customWidth="true" hidden="false" outlineLevel="0" max="11" min="11" style="12" width="20.76"/>
    <col collapsed="false" customWidth="true" hidden="false" outlineLevel="1" max="12" min="12" style="12" width="20.76"/>
    <col collapsed="false" customWidth="true" hidden="false" outlineLevel="0" max="13" min="13" style="12" width="23.07"/>
    <col collapsed="false" customWidth="true" hidden="false" outlineLevel="1" max="14" min="14" style="12" width="20.76"/>
    <col collapsed="false" customWidth="true" hidden="false" outlineLevel="0" max="15" min="15" style="12" width="20.76"/>
    <col collapsed="false" customWidth="true" hidden="false" outlineLevel="1" max="21" min="16" style="12" width="18.45"/>
    <col collapsed="false" customWidth="true" hidden="false" outlineLevel="0" max="22" min="22" style="12" width="25.37"/>
    <col collapsed="false" customWidth="true" hidden="false" outlineLevel="1" max="23" min="23" style="12" width="29.98"/>
    <col collapsed="false" customWidth="true" hidden="false" outlineLevel="1" max="24" min="24" style="12" width="13.84"/>
    <col collapsed="false" customWidth="false" hidden="false" outlineLevel="1" max="25" min="25" style="12" width="11.53"/>
    <col collapsed="false" customWidth="true" hidden="false" outlineLevel="1" max="26" min="26" style="12" width="13.88"/>
    <col collapsed="false" customWidth="true" hidden="false" outlineLevel="1" max="27" min="27" style="12" width="10.06"/>
    <col collapsed="false" customWidth="true" hidden="false" outlineLevel="1" max="28" min="28" style="12" width="20.32"/>
    <col collapsed="false" customWidth="true" hidden="false" outlineLevel="1" max="29" min="29" style="12" width="19.79"/>
    <col collapsed="false" customWidth="true" hidden="false" outlineLevel="1" max="30" min="30" style="12" width="14.58"/>
    <col collapsed="false" customWidth="true" hidden="false" outlineLevel="1" max="31" min="31" style="12" width="13.71"/>
    <col collapsed="false" customWidth="true" hidden="false" outlineLevel="1" max="32" min="32" style="12" width="17.71"/>
    <col collapsed="false" customWidth="true" hidden="false" outlineLevel="1" max="33" min="33" style="12" width="21.19"/>
    <col collapsed="false" customWidth="true" hidden="false" outlineLevel="1" max="36" min="34" style="12" width="28.56"/>
    <col collapsed="false" customWidth="true" hidden="false" outlineLevel="1" max="37" min="37" style="12" width="35.48"/>
    <col collapsed="false" customWidth="true" hidden="false" outlineLevel="1" max="41" min="38" style="12" width="28.56"/>
    <col collapsed="false" customWidth="true" hidden="false" outlineLevel="1" max="42" min="42" style="12" width="51.62"/>
    <col collapsed="false" customWidth="true" hidden="false" outlineLevel="1" max="43" min="43" style="12" width="39.2"/>
  </cols>
  <sheetData>
    <row r="1" customFormat="false" ht="12.95" hidden="false" customHeight="true" outlineLevel="0" collapsed="false">
      <c r="A1" s="3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customFormat="false" ht="12.95" hidden="false" customHeight="true" outlineLevel="0" collapsed="false">
      <c r="A2" s="3" t="s">
        <v>5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11" t="s">
        <v>197</v>
      </c>
      <c r="W2" s="11" t="s">
        <v>198</v>
      </c>
      <c r="X2" s="11" t="s">
        <v>199</v>
      </c>
      <c r="Y2" s="11" t="s">
        <v>200</v>
      </c>
      <c r="Z2" s="11" t="s">
        <v>201</v>
      </c>
      <c r="AA2" s="11" t="s">
        <v>202</v>
      </c>
      <c r="AB2" s="11" t="s">
        <v>203</v>
      </c>
      <c r="AC2" s="11" t="s">
        <v>204</v>
      </c>
      <c r="AD2" s="11" t="s">
        <v>205</v>
      </c>
      <c r="AE2" s="11" t="s">
        <v>206</v>
      </c>
      <c r="AF2" s="11" t="s">
        <v>207</v>
      </c>
      <c r="AG2" s="11" t="s">
        <v>208</v>
      </c>
      <c r="AH2" s="11" t="s">
        <v>209</v>
      </c>
      <c r="AI2" s="11" t="s">
        <v>210</v>
      </c>
      <c r="AJ2" s="11" t="s">
        <v>211</v>
      </c>
      <c r="AK2" s="11" t="s">
        <v>212</v>
      </c>
      <c r="AL2" s="11" t="s">
        <v>213</v>
      </c>
      <c r="AM2" s="11" t="s">
        <v>214</v>
      </c>
      <c r="AN2" s="11" t="s">
        <v>215</v>
      </c>
      <c r="AO2" s="11" t="s">
        <v>216</v>
      </c>
      <c r="AP2" s="11" t="s">
        <v>217</v>
      </c>
      <c r="AQ2" s="11" t="s">
        <v>218</v>
      </c>
    </row>
    <row r="3" customFormat="false" ht="12.95" hidden="false" customHeight="true" outlineLevel="0" collapsed="false">
      <c r="A3" s="3" t="s">
        <v>157</v>
      </c>
      <c r="B3" s="3" t="s">
        <v>219</v>
      </c>
      <c r="C3" s="3" t="s">
        <v>156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2.95" hidden="false" customHeight="true" outlineLevel="0" collapsed="false">
      <c r="A4" s="3" t="s">
        <v>157</v>
      </c>
      <c r="B4" s="3" t="s">
        <v>159</v>
      </c>
      <c r="C4" s="3" t="s">
        <v>220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2.95" hidden="false" customHeight="true" outlineLevel="0" collapsed="false">
      <c r="A5" s="3" t="s">
        <v>157</v>
      </c>
      <c r="B5" s="3" t="s">
        <v>221</v>
      </c>
      <c r="C5" s="3" t="s">
        <v>222</v>
      </c>
      <c r="D5" s="3" t="s">
        <v>223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customFormat="false" ht="12.95" hidden="false" customHeight="true" outlineLevel="1" collapsed="false">
      <c r="A6" s="3" t="s">
        <v>157</v>
      </c>
      <c r="B6" s="3" t="s">
        <v>224</v>
      </c>
      <c r="C6" s="3" t="s">
        <v>222</v>
      </c>
      <c r="D6" s="3" t="s">
        <v>225</v>
      </c>
      <c r="E6" s="1"/>
      <c r="F6" s="1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customFormat="false" ht="12.95" hidden="false" customHeight="true" outlineLevel="1" collapsed="false">
      <c r="A7" s="14" t="s">
        <v>157</v>
      </c>
      <c r="B7" s="3" t="s">
        <v>226</v>
      </c>
      <c r="C7" s="3" t="s">
        <v>222</v>
      </c>
      <c r="D7" s="3" t="s">
        <v>225</v>
      </c>
      <c r="E7" s="3" t="s">
        <v>227</v>
      </c>
      <c r="F7" s="1"/>
      <c r="G7" s="2"/>
      <c r="H7" s="14"/>
      <c r="I7" s="14"/>
      <c r="J7" s="2"/>
      <c r="K7" s="14"/>
      <c r="L7" s="14"/>
      <c r="M7" s="2"/>
      <c r="N7" s="2"/>
      <c r="O7" s="14"/>
      <c r="P7" s="1"/>
      <c r="Q7" s="1"/>
      <c r="R7" s="1"/>
      <c r="S7" s="1"/>
      <c r="T7" s="1"/>
      <c r="U7" s="1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2.95" hidden="false" customHeight="true" outlineLevel="1" collapsed="false">
      <c r="A8" s="14" t="s">
        <v>157</v>
      </c>
      <c r="B8" s="1" t="s">
        <v>228</v>
      </c>
      <c r="C8" s="14" t="s">
        <v>222</v>
      </c>
      <c r="D8" s="14" t="s">
        <v>225</v>
      </c>
      <c r="E8" s="1" t="s">
        <v>229</v>
      </c>
      <c r="F8" s="1"/>
      <c r="G8" s="2" t="s">
        <v>230</v>
      </c>
      <c r="H8" s="14" t="s">
        <v>231</v>
      </c>
      <c r="I8" s="14" t="s">
        <v>232</v>
      </c>
      <c r="J8" s="2" t="s">
        <v>233</v>
      </c>
      <c r="K8" s="14" t="s">
        <v>234</v>
      </c>
      <c r="L8" s="14" t="s">
        <v>235</v>
      </c>
      <c r="M8" s="2" t="s">
        <v>236</v>
      </c>
      <c r="N8" s="2" t="s">
        <v>237</v>
      </c>
      <c r="O8" s="14" t="s">
        <v>238</v>
      </c>
      <c r="P8" s="1"/>
      <c r="Q8" s="1"/>
      <c r="R8" s="1"/>
      <c r="S8" s="1"/>
      <c r="T8" s="1"/>
      <c r="U8" s="1"/>
      <c r="V8" s="14" t="s">
        <v>239</v>
      </c>
      <c r="W8" s="14" t="s">
        <v>240</v>
      </c>
      <c r="X8" s="14" t="s">
        <v>240</v>
      </c>
      <c r="Y8" s="14" t="s">
        <v>241</v>
      </c>
      <c r="Z8" s="14" t="n">
        <v>0.02</v>
      </c>
      <c r="AA8" s="14" t="n">
        <v>0.5</v>
      </c>
      <c r="AB8" s="14" t="n">
        <v>0.3</v>
      </c>
      <c r="AC8" s="14" t="n">
        <v>1</v>
      </c>
      <c r="AD8" s="14" t="n">
        <v>0.02</v>
      </c>
      <c r="AE8" s="14"/>
      <c r="AF8" s="15" t="n">
        <f aca="false">FALSE()</f>
        <v>0</v>
      </c>
      <c r="AG8" s="15" t="n">
        <f aca="false">TRUE()</f>
        <v>1</v>
      </c>
      <c r="AH8" s="15"/>
      <c r="AI8" s="15"/>
      <c r="AJ8" s="15"/>
      <c r="AK8" s="15"/>
      <c r="AL8" s="15"/>
      <c r="AM8" s="15"/>
      <c r="AN8" s="15"/>
      <c r="AO8" s="15"/>
      <c r="AP8" s="14" t="s">
        <v>242</v>
      </c>
      <c r="AQ8" s="14" t="s">
        <v>243</v>
      </c>
    </row>
    <row r="9" customFormat="false" ht="12.95" hidden="false" customHeight="true" outlineLevel="1" collapsed="false">
      <c r="A9" s="14" t="s">
        <v>157</v>
      </c>
      <c r="B9" s="1" t="s">
        <v>244</v>
      </c>
      <c r="C9" s="14" t="s">
        <v>222</v>
      </c>
      <c r="D9" s="14" t="s">
        <v>225</v>
      </c>
      <c r="E9" s="1" t="s">
        <v>245</v>
      </c>
      <c r="F9" s="1"/>
      <c r="G9" s="2" t="s">
        <v>230</v>
      </c>
      <c r="H9" s="14" t="s">
        <v>231</v>
      </c>
      <c r="I9" s="14" t="s">
        <v>232</v>
      </c>
      <c r="J9" s="2" t="s">
        <v>233</v>
      </c>
      <c r="K9" s="14" t="s">
        <v>234</v>
      </c>
      <c r="L9" s="14" t="s">
        <v>235</v>
      </c>
      <c r="M9" s="2" t="s">
        <v>236</v>
      </c>
      <c r="N9" s="2" t="s">
        <v>237</v>
      </c>
      <c r="O9" s="14" t="s">
        <v>238</v>
      </c>
      <c r="P9" s="1"/>
      <c r="Q9" s="1"/>
      <c r="R9" s="1"/>
      <c r="S9" s="1"/>
      <c r="T9" s="1"/>
      <c r="U9" s="1"/>
      <c r="V9" s="14" t="s">
        <v>246</v>
      </c>
      <c r="W9" s="14" t="s">
        <v>240</v>
      </c>
      <c r="X9" s="14" t="s">
        <v>247</v>
      </c>
      <c r="Y9" s="14" t="s">
        <v>248</v>
      </c>
      <c r="Z9" s="14" t="n">
        <v>0.01</v>
      </c>
      <c r="AA9" s="14" t="n">
        <v>0.3</v>
      </c>
      <c r="AB9" s="14" t="n">
        <v>0.2</v>
      </c>
      <c r="AC9" s="14" t="n">
        <v>0.8</v>
      </c>
      <c r="AD9" s="14" t="n">
        <v>0.02</v>
      </c>
      <c r="AE9" s="14"/>
      <c r="AF9" s="15" t="n">
        <f aca="false">FALSE()</f>
        <v>0</v>
      </c>
      <c r="AG9" s="15" t="n">
        <f aca="false">TRUE()</f>
        <v>1</v>
      </c>
      <c r="AH9" s="15"/>
      <c r="AI9" s="15"/>
      <c r="AJ9" s="15"/>
      <c r="AK9" s="15"/>
      <c r="AL9" s="15"/>
      <c r="AM9" s="15"/>
      <c r="AN9" s="15"/>
      <c r="AO9" s="15"/>
      <c r="AP9" s="14" t="s">
        <v>242</v>
      </c>
      <c r="AQ9" s="14" t="s">
        <v>249</v>
      </c>
    </row>
    <row r="10" customFormat="false" ht="12.95" hidden="false" customHeight="true" outlineLevel="1" collapsed="false">
      <c r="A10" s="14" t="s">
        <v>157</v>
      </c>
      <c r="B10" s="1" t="s">
        <v>250</v>
      </c>
      <c r="C10" s="14" t="s">
        <v>222</v>
      </c>
      <c r="D10" s="14" t="s">
        <v>225</v>
      </c>
      <c r="E10" s="1" t="s">
        <v>251</v>
      </c>
      <c r="F10" s="1"/>
      <c r="G10" s="2" t="s">
        <v>230</v>
      </c>
      <c r="H10" s="14" t="s">
        <v>231</v>
      </c>
      <c r="I10" s="14" t="s">
        <v>232</v>
      </c>
      <c r="J10" s="2" t="s">
        <v>233</v>
      </c>
      <c r="K10" s="14" t="s">
        <v>234</v>
      </c>
      <c r="L10" s="14" t="s">
        <v>235</v>
      </c>
      <c r="M10" s="2" t="s">
        <v>236</v>
      </c>
      <c r="N10" s="2" t="s">
        <v>237</v>
      </c>
      <c r="O10" s="14" t="s">
        <v>238</v>
      </c>
      <c r="P10" s="1"/>
      <c r="Q10" s="1"/>
      <c r="R10" s="1"/>
      <c r="S10" s="1"/>
      <c r="T10" s="1"/>
      <c r="U10" s="1"/>
      <c r="V10" s="14" t="s">
        <v>252</v>
      </c>
      <c r="W10" s="14" t="s">
        <v>240</v>
      </c>
      <c r="X10" s="14" t="s">
        <v>247</v>
      </c>
      <c r="Y10" s="14" t="s">
        <v>253</v>
      </c>
      <c r="Z10" s="14" t="n">
        <v>0.02</v>
      </c>
      <c r="AA10" s="14" t="n">
        <v>0.5</v>
      </c>
      <c r="AB10" s="14" t="n">
        <v>0.3</v>
      </c>
      <c r="AC10" s="14" t="n">
        <v>1</v>
      </c>
      <c r="AD10" s="14" t="n">
        <v>0.02</v>
      </c>
      <c r="AE10" s="14" t="s">
        <v>254</v>
      </c>
      <c r="AF10" s="15" t="n">
        <f aca="false">FALSE()</f>
        <v>0</v>
      </c>
      <c r="AG10" s="15" t="n">
        <f aca="false">TRUE()</f>
        <v>1</v>
      </c>
      <c r="AH10" s="15"/>
      <c r="AI10" s="15"/>
      <c r="AJ10" s="15"/>
      <c r="AK10" s="15"/>
      <c r="AL10" s="15"/>
      <c r="AM10" s="15"/>
      <c r="AN10" s="15"/>
      <c r="AO10" s="15"/>
      <c r="AP10" s="14" t="s">
        <v>242</v>
      </c>
      <c r="AQ10" s="14" t="s">
        <v>255</v>
      </c>
    </row>
    <row r="11" customFormat="false" ht="12.95" hidden="false" customHeight="true" outlineLevel="1" collapsed="false">
      <c r="A11" s="14" t="s">
        <v>157</v>
      </c>
      <c r="B11" s="1" t="s">
        <v>256</v>
      </c>
      <c r="C11" s="14" t="s">
        <v>222</v>
      </c>
      <c r="D11" s="14" t="s">
        <v>225</v>
      </c>
      <c r="E11" s="1" t="s">
        <v>257</v>
      </c>
      <c r="F11" s="1"/>
      <c r="G11" s="2" t="s">
        <v>230</v>
      </c>
      <c r="H11" s="14" t="s">
        <v>231</v>
      </c>
      <c r="I11" s="14" t="s">
        <v>232</v>
      </c>
      <c r="J11" s="2" t="s">
        <v>233</v>
      </c>
      <c r="K11" s="14" t="s">
        <v>234</v>
      </c>
      <c r="L11" s="14" t="s">
        <v>235</v>
      </c>
      <c r="M11" s="2" t="s">
        <v>236</v>
      </c>
      <c r="N11" s="2" t="s">
        <v>237</v>
      </c>
      <c r="O11" s="14" t="s">
        <v>238</v>
      </c>
      <c r="P11" s="1"/>
      <c r="Q11" s="1"/>
      <c r="R11" s="1"/>
      <c r="S11" s="1"/>
      <c r="T11" s="1"/>
      <c r="U11" s="1"/>
      <c r="V11" s="14" t="s">
        <v>258</v>
      </c>
      <c r="W11" s="14" t="s">
        <v>240</v>
      </c>
      <c r="X11" s="14" t="s">
        <v>247</v>
      </c>
      <c r="Y11" s="14" t="s">
        <v>259</v>
      </c>
      <c r="Z11" s="14" t="n">
        <v>0.03</v>
      </c>
      <c r="AA11" s="14" t="n">
        <v>0.7</v>
      </c>
      <c r="AB11" s="14" t="n">
        <v>0.5</v>
      </c>
      <c r="AC11" s="14" t="n">
        <v>1.2</v>
      </c>
      <c r="AD11" s="14" t="n">
        <v>0.02</v>
      </c>
      <c r="AE11" s="14"/>
      <c r="AF11" s="15" t="n">
        <f aca="false">FALSE()</f>
        <v>0</v>
      </c>
      <c r="AG11" s="15" t="n">
        <f aca="false">TRUE()</f>
        <v>1</v>
      </c>
      <c r="AH11" s="15"/>
      <c r="AI11" s="15"/>
      <c r="AJ11" s="15"/>
      <c r="AK11" s="15"/>
      <c r="AL11" s="15"/>
      <c r="AM11" s="15"/>
      <c r="AN11" s="15"/>
      <c r="AO11" s="15"/>
      <c r="AP11" s="14" t="s">
        <v>242</v>
      </c>
      <c r="AQ11" s="14" t="s">
        <v>260</v>
      </c>
    </row>
    <row r="12" customFormat="false" ht="12.95" hidden="false" customHeight="true" outlineLevel="1" collapsed="false">
      <c r="A12" s="14" t="s">
        <v>157</v>
      </c>
      <c r="B12" s="1" t="s">
        <v>261</v>
      </c>
      <c r="C12" s="14" t="s">
        <v>222</v>
      </c>
      <c r="D12" s="14" t="s">
        <v>225</v>
      </c>
      <c r="E12" s="1" t="s">
        <v>262</v>
      </c>
      <c r="F12" s="1"/>
      <c r="G12" s="2" t="s">
        <v>230</v>
      </c>
      <c r="H12" s="14" t="s">
        <v>231</v>
      </c>
      <c r="I12" s="14" t="s">
        <v>232</v>
      </c>
      <c r="J12" s="2" t="s">
        <v>233</v>
      </c>
      <c r="K12" s="14" t="s">
        <v>234</v>
      </c>
      <c r="L12" s="14" t="s">
        <v>235</v>
      </c>
      <c r="M12" s="2" t="s">
        <v>236</v>
      </c>
      <c r="N12" s="2" t="s">
        <v>237</v>
      </c>
      <c r="O12" s="14" t="s">
        <v>238</v>
      </c>
      <c r="P12" s="1"/>
      <c r="Q12" s="1"/>
      <c r="R12" s="1"/>
      <c r="S12" s="1"/>
      <c r="T12" s="1"/>
      <c r="U12" s="1"/>
      <c r="V12" s="14" t="s">
        <v>263</v>
      </c>
      <c r="W12" s="14" t="s">
        <v>240</v>
      </c>
      <c r="X12" s="14" t="s">
        <v>247</v>
      </c>
      <c r="Y12" s="14" t="s">
        <v>264</v>
      </c>
      <c r="Z12" s="14" t="n">
        <v>0.01</v>
      </c>
      <c r="AA12" s="14" t="n">
        <v>-0.1</v>
      </c>
      <c r="AB12" s="14" t="n">
        <v>0.1</v>
      </c>
      <c r="AC12" s="14" t="n">
        <v>0.5</v>
      </c>
      <c r="AD12" s="14" t="n">
        <v>0.02</v>
      </c>
      <c r="AE12" s="14"/>
      <c r="AF12" s="15" t="n">
        <f aca="false">FALSE()</f>
        <v>0</v>
      </c>
      <c r="AG12" s="15" t="n">
        <f aca="false">TRUE()</f>
        <v>1</v>
      </c>
      <c r="AH12" s="15"/>
      <c r="AI12" s="15"/>
      <c r="AJ12" s="15"/>
      <c r="AK12" s="15"/>
      <c r="AL12" s="15"/>
      <c r="AM12" s="15"/>
      <c r="AN12" s="15"/>
      <c r="AO12" s="15"/>
      <c r="AP12" s="14" t="s">
        <v>242</v>
      </c>
      <c r="AQ12" s="14" t="s">
        <v>265</v>
      </c>
    </row>
    <row r="13" customFormat="false" ht="12.95" hidden="false" customHeight="true" outlineLevel="1" collapsed="false">
      <c r="A13" s="3" t="s">
        <v>157</v>
      </c>
      <c r="B13" s="3" t="s">
        <v>266</v>
      </c>
      <c r="C13" s="3" t="s">
        <v>222</v>
      </c>
      <c r="D13" s="3" t="s">
        <v>225</v>
      </c>
      <c r="E13" s="3" t="s">
        <v>267</v>
      </c>
      <c r="F13" s="1"/>
      <c r="G13" s="2"/>
      <c r="H13" s="14"/>
      <c r="I13" s="14"/>
      <c r="J13" s="2"/>
      <c r="K13" s="14"/>
      <c r="L13" s="14"/>
      <c r="M13" s="2"/>
      <c r="N13" s="2"/>
      <c r="O13" s="14"/>
      <c r="P13" s="1"/>
      <c r="Q13" s="1"/>
      <c r="R13" s="1"/>
      <c r="S13" s="1"/>
      <c r="T13" s="1"/>
      <c r="U13" s="1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customFormat="false" ht="12.95" hidden="false" customHeight="true" outlineLevel="1" collapsed="false">
      <c r="A14" s="14" t="s">
        <v>157</v>
      </c>
      <c r="B14" s="1" t="s">
        <v>268</v>
      </c>
      <c r="C14" s="14" t="s">
        <v>222</v>
      </c>
      <c r="D14" s="14" t="s">
        <v>225</v>
      </c>
      <c r="E14" s="1" t="s">
        <v>269</v>
      </c>
      <c r="F14" s="1"/>
      <c r="G14" s="2" t="s">
        <v>230</v>
      </c>
      <c r="H14" s="14" t="s">
        <v>231</v>
      </c>
      <c r="I14" s="14" t="s">
        <v>232</v>
      </c>
      <c r="J14" s="2" t="s">
        <v>233</v>
      </c>
      <c r="K14" s="14" t="s">
        <v>234</v>
      </c>
      <c r="L14" s="14" t="s">
        <v>235</v>
      </c>
      <c r="M14" s="2" t="s">
        <v>236</v>
      </c>
      <c r="N14" s="2" t="s">
        <v>237</v>
      </c>
      <c r="O14" s="14" t="s">
        <v>238</v>
      </c>
      <c r="P14" s="1"/>
      <c r="Q14" s="1"/>
      <c r="R14" s="1"/>
      <c r="S14" s="1"/>
      <c r="T14" s="1"/>
      <c r="U14" s="1"/>
      <c r="V14" s="14" t="s">
        <v>239</v>
      </c>
      <c r="W14" s="14" t="s">
        <v>240</v>
      </c>
      <c r="X14" s="14" t="s">
        <v>240</v>
      </c>
      <c r="Y14" s="14" t="s">
        <v>241</v>
      </c>
      <c r="Z14" s="14" t="n">
        <v>0.02</v>
      </c>
      <c r="AA14" s="14" t="n">
        <v>0.5</v>
      </c>
      <c r="AB14" s="14" t="n">
        <v>0.3</v>
      </c>
      <c r="AC14" s="14" t="n">
        <v>1</v>
      </c>
      <c r="AD14" s="14" t="n">
        <v>0.02</v>
      </c>
      <c r="AE14" s="14"/>
      <c r="AF14" s="15" t="n">
        <f aca="false">FALSE()</f>
        <v>0</v>
      </c>
      <c r="AG14" s="15" t="n">
        <f aca="false">TRUE()</f>
        <v>1</v>
      </c>
      <c r="AH14" s="15"/>
      <c r="AI14" s="15"/>
      <c r="AJ14" s="15"/>
      <c r="AK14" s="15"/>
      <c r="AL14" s="15"/>
      <c r="AM14" s="15"/>
      <c r="AN14" s="15"/>
      <c r="AO14" s="15"/>
      <c r="AP14" s="14" t="s">
        <v>242</v>
      </c>
      <c r="AQ14" s="14" t="s">
        <v>243</v>
      </c>
    </row>
    <row r="15" customFormat="false" ht="12.95" hidden="false" customHeight="true" outlineLevel="1" collapsed="false">
      <c r="A15" s="14" t="s">
        <v>157</v>
      </c>
      <c r="B15" s="1" t="s">
        <v>270</v>
      </c>
      <c r="C15" s="14" t="s">
        <v>222</v>
      </c>
      <c r="D15" s="14" t="s">
        <v>225</v>
      </c>
      <c r="E15" s="1" t="s">
        <v>271</v>
      </c>
      <c r="F15" s="1"/>
      <c r="G15" s="2" t="s">
        <v>230</v>
      </c>
      <c r="H15" s="14" t="s">
        <v>231</v>
      </c>
      <c r="I15" s="14" t="s">
        <v>232</v>
      </c>
      <c r="J15" s="2" t="s">
        <v>233</v>
      </c>
      <c r="K15" s="14" t="s">
        <v>234</v>
      </c>
      <c r="L15" s="14" t="s">
        <v>235</v>
      </c>
      <c r="M15" s="2" t="s">
        <v>236</v>
      </c>
      <c r="N15" s="2" t="s">
        <v>237</v>
      </c>
      <c r="O15" s="14" t="s">
        <v>238</v>
      </c>
      <c r="P15" s="1"/>
      <c r="Q15" s="1"/>
      <c r="R15" s="1"/>
      <c r="S15" s="1"/>
      <c r="T15" s="1"/>
      <c r="U15" s="1"/>
      <c r="V15" s="14" t="s">
        <v>246</v>
      </c>
      <c r="W15" s="14" t="s">
        <v>240</v>
      </c>
      <c r="X15" s="14" t="s">
        <v>247</v>
      </c>
      <c r="Y15" s="14" t="s">
        <v>248</v>
      </c>
      <c r="Z15" s="14" t="n">
        <v>0.01</v>
      </c>
      <c r="AA15" s="14" t="n">
        <v>0.3</v>
      </c>
      <c r="AB15" s="14" t="n">
        <v>0.2</v>
      </c>
      <c r="AC15" s="14" t="n">
        <v>0.8</v>
      </c>
      <c r="AD15" s="14" t="n">
        <v>0.02</v>
      </c>
      <c r="AE15" s="14"/>
      <c r="AF15" s="15" t="n">
        <f aca="false">FALSE()</f>
        <v>0</v>
      </c>
      <c r="AG15" s="15" t="n">
        <f aca="false">TRUE()</f>
        <v>1</v>
      </c>
      <c r="AH15" s="15"/>
      <c r="AI15" s="15"/>
      <c r="AJ15" s="15"/>
      <c r="AK15" s="15"/>
      <c r="AL15" s="15"/>
      <c r="AM15" s="15"/>
      <c r="AN15" s="15"/>
      <c r="AO15" s="15"/>
      <c r="AP15" s="14" t="s">
        <v>242</v>
      </c>
      <c r="AQ15" s="14" t="s">
        <v>249</v>
      </c>
    </row>
    <row r="16" customFormat="false" ht="12.95" hidden="false" customHeight="true" outlineLevel="1" collapsed="false">
      <c r="A16" s="14" t="s">
        <v>157</v>
      </c>
      <c r="B16" s="1" t="s">
        <v>272</v>
      </c>
      <c r="C16" s="14" t="s">
        <v>222</v>
      </c>
      <c r="D16" s="14" t="s">
        <v>225</v>
      </c>
      <c r="E16" s="1" t="s">
        <v>273</v>
      </c>
      <c r="F16" s="1"/>
      <c r="G16" s="2" t="s">
        <v>230</v>
      </c>
      <c r="H16" s="14" t="s">
        <v>231</v>
      </c>
      <c r="I16" s="14" t="s">
        <v>232</v>
      </c>
      <c r="J16" s="2" t="s">
        <v>233</v>
      </c>
      <c r="K16" s="14" t="s">
        <v>234</v>
      </c>
      <c r="L16" s="14" t="s">
        <v>235</v>
      </c>
      <c r="M16" s="2" t="s">
        <v>236</v>
      </c>
      <c r="N16" s="2" t="s">
        <v>237</v>
      </c>
      <c r="O16" s="14" t="s">
        <v>238</v>
      </c>
      <c r="P16" s="1"/>
      <c r="Q16" s="1"/>
      <c r="R16" s="1"/>
      <c r="S16" s="1"/>
      <c r="T16" s="1"/>
      <c r="U16" s="1"/>
      <c r="V16" s="14" t="s">
        <v>252</v>
      </c>
      <c r="W16" s="14" t="s">
        <v>240</v>
      </c>
      <c r="X16" s="14" t="s">
        <v>247</v>
      </c>
      <c r="Y16" s="14" t="s">
        <v>253</v>
      </c>
      <c r="Z16" s="14" t="n">
        <v>0.02</v>
      </c>
      <c r="AA16" s="14" t="n">
        <v>0.5</v>
      </c>
      <c r="AB16" s="14" t="n">
        <v>0.3</v>
      </c>
      <c r="AC16" s="14" t="n">
        <v>1</v>
      </c>
      <c r="AD16" s="14" t="n">
        <v>0.02</v>
      </c>
      <c r="AE16" s="14" t="s">
        <v>254</v>
      </c>
      <c r="AF16" s="15" t="n">
        <f aca="false">FALSE()</f>
        <v>0</v>
      </c>
      <c r="AG16" s="15" t="n">
        <f aca="false">TRUE()</f>
        <v>1</v>
      </c>
      <c r="AH16" s="15"/>
      <c r="AI16" s="15"/>
      <c r="AJ16" s="15"/>
      <c r="AK16" s="15"/>
      <c r="AL16" s="15"/>
      <c r="AM16" s="15"/>
      <c r="AN16" s="15"/>
      <c r="AO16" s="15"/>
      <c r="AP16" s="14" t="s">
        <v>242</v>
      </c>
      <c r="AQ16" s="14" t="s">
        <v>255</v>
      </c>
    </row>
    <row r="17" customFormat="false" ht="12.95" hidden="false" customHeight="true" outlineLevel="1" collapsed="false">
      <c r="A17" s="14" t="s">
        <v>157</v>
      </c>
      <c r="B17" s="1" t="s">
        <v>274</v>
      </c>
      <c r="C17" s="14" t="s">
        <v>222</v>
      </c>
      <c r="D17" s="14" t="s">
        <v>225</v>
      </c>
      <c r="E17" s="1" t="s">
        <v>275</v>
      </c>
      <c r="F17" s="1"/>
      <c r="G17" s="2" t="s">
        <v>230</v>
      </c>
      <c r="H17" s="14" t="s">
        <v>231</v>
      </c>
      <c r="I17" s="14" t="s">
        <v>232</v>
      </c>
      <c r="J17" s="2" t="s">
        <v>233</v>
      </c>
      <c r="K17" s="14" t="s">
        <v>234</v>
      </c>
      <c r="L17" s="14" t="s">
        <v>235</v>
      </c>
      <c r="M17" s="2" t="s">
        <v>236</v>
      </c>
      <c r="N17" s="2" t="s">
        <v>237</v>
      </c>
      <c r="O17" s="14" t="s">
        <v>238</v>
      </c>
      <c r="P17" s="1"/>
      <c r="Q17" s="1"/>
      <c r="R17" s="1"/>
      <c r="S17" s="1"/>
      <c r="T17" s="1"/>
      <c r="U17" s="1"/>
      <c r="V17" s="14" t="s">
        <v>258</v>
      </c>
      <c r="W17" s="14" t="s">
        <v>240</v>
      </c>
      <c r="X17" s="14" t="s">
        <v>247</v>
      </c>
      <c r="Y17" s="14" t="s">
        <v>259</v>
      </c>
      <c r="Z17" s="14" t="n">
        <v>0.03</v>
      </c>
      <c r="AA17" s="14" t="n">
        <v>0.7</v>
      </c>
      <c r="AB17" s="14" t="n">
        <v>0.5</v>
      </c>
      <c r="AC17" s="14" t="n">
        <v>1.2</v>
      </c>
      <c r="AD17" s="14" t="n">
        <v>0.02</v>
      </c>
      <c r="AE17" s="14"/>
      <c r="AF17" s="15" t="n">
        <f aca="false">FALSE()</f>
        <v>0</v>
      </c>
      <c r="AG17" s="15" t="n">
        <f aca="false">TRUE()</f>
        <v>1</v>
      </c>
      <c r="AH17" s="15"/>
      <c r="AI17" s="15"/>
      <c r="AJ17" s="15"/>
      <c r="AK17" s="15"/>
      <c r="AL17" s="15"/>
      <c r="AM17" s="15"/>
      <c r="AN17" s="15"/>
      <c r="AO17" s="15"/>
      <c r="AP17" s="14" t="s">
        <v>242</v>
      </c>
      <c r="AQ17" s="14" t="s">
        <v>260</v>
      </c>
    </row>
    <row r="18" customFormat="false" ht="12.95" hidden="false" customHeight="true" outlineLevel="1" collapsed="false">
      <c r="A18" s="14" t="s">
        <v>157</v>
      </c>
      <c r="B18" s="1" t="s">
        <v>276</v>
      </c>
      <c r="C18" s="14" t="s">
        <v>222</v>
      </c>
      <c r="D18" s="14" t="s">
        <v>225</v>
      </c>
      <c r="E18" s="1" t="s">
        <v>277</v>
      </c>
      <c r="F18" s="1"/>
      <c r="G18" s="2" t="s">
        <v>230</v>
      </c>
      <c r="H18" s="14" t="s">
        <v>231</v>
      </c>
      <c r="I18" s="14" t="s">
        <v>232</v>
      </c>
      <c r="J18" s="2" t="s">
        <v>233</v>
      </c>
      <c r="K18" s="14" t="s">
        <v>234</v>
      </c>
      <c r="L18" s="14" t="s">
        <v>235</v>
      </c>
      <c r="M18" s="2" t="s">
        <v>236</v>
      </c>
      <c r="N18" s="2" t="s">
        <v>237</v>
      </c>
      <c r="O18" s="14" t="s">
        <v>238</v>
      </c>
      <c r="P18" s="1"/>
      <c r="Q18" s="1"/>
      <c r="R18" s="1"/>
      <c r="S18" s="1"/>
      <c r="T18" s="1"/>
      <c r="U18" s="1"/>
      <c r="V18" s="14" t="s">
        <v>263</v>
      </c>
      <c r="W18" s="14" t="s">
        <v>240</v>
      </c>
      <c r="X18" s="14" t="s">
        <v>247</v>
      </c>
      <c r="Y18" s="14" t="s">
        <v>264</v>
      </c>
      <c r="Z18" s="14" t="n">
        <v>0.01</v>
      </c>
      <c r="AA18" s="14" t="n">
        <v>-0.1</v>
      </c>
      <c r="AB18" s="14" t="n">
        <v>0.1</v>
      </c>
      <c r="AC18" s="14" t="n">
        <v>0.5</v>
      </c>
      <c r="AD18" s="14" t="n">
        <v>0.02</v>
      </c>
      <c r="AE18" s="14"/>
      <c r="AF18" s="15" t="n">
        <f aca="false">FALSE()</f>
        <v>0</v>
      </c>
      <c r="AG18" s="15" t="n">
        <f aca="false">TRUE()</f>
        <v>1</v>
      </c>
      <c r="AH18" s="15"/>
      <c r="AI18" s="15"/>
      <c r="AJ18" s="15"/>
      <c r="AK18" s="15"/>
      <c r="AL18" s="15"/>
      <c r="AM18" s="15"/>
      <c r="AN18" s="15"/>
      <c r="AO18" s="15"/>
      <c r="AP18" s="14" t="s">
        <v>242</v>
      </c>
      <c r="AQ18" s="14" t="s">
        <v>265</v>
      </c>
    </row>
    <row r="19" customFormat="false" ht="12.95" hidden="false" customHeight="true" outlineLevel="1" collapsed="false">
      <c r="A19" s="12"/>
      <c r="C19" s="12"/>
      <c r="D19" s="12"/>
      <c r="H19" s="12"/>
      <c r="I19" s="12"/>
    </row>
    <row r="20" customFormat="false" ht="12.95" hidden="false" customHeight="true" outlineLevel="1" collapsed="false">
      <c r="A20" s="12"/>
      <c r="C20" s="12"/>
      <c r="D20" s="12"/>
      <c r="H20" s="12"/>
      <c r="I20" s="12"/>
    </row>
    <row r="21" customFormat="false" ht="12.95" hidden="false" customHeight="true" outlineLevel="1" collapsed="false">
      <c r="A21" s="12"/>
      <c r="C21" s="12"/>
      <c r="D21" s="12"/>
      <c r="H21" s="12"/>
      <c r="I21" s="12"/>
    </row>
    <row r="22" customFormat="false" ht="12.95" hidden="false" customHeight="true" outlineLevel="1" collapsed="false">
      <c r="A22" s="12"/>
      <c r="C22" s="12"/>
      <c r="D22" s="12"/>
      <c r="H22" s="12"/>
      <c r="I22" s="12"/>
    </row>
    <row r="23" customFormat="false" ht="12.95" hidden="false" customHeight="true" outlineLevel="1" collapsed="false">
      <c r="A23" s="3" t="s">
        <v>157</v>
      </c>
      <c r="B23" s="3" t="s">
        <v>278</v>
      </c>
      <c r="C23" s="3" t="s">
        <v>222</v>
      </c>
      <c r="D23" s="3" t="s">
        <v>279</v>
      </c>
      <c r="E23" s="14"/>
      <c r="F23" s="14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customFormat="false" ht="12.95" hidden="false" customHeight="true" outlineLevel="2" collapsed="false">
      <c r="A24" s="14" t="s">
        <v>157</v>
      </c>
      <c r="B24" s="1" t="s">
        <v>280</v>
      </c>
      <c r="C24" s="14" t="s">
        <v>222</v>
      </c>
      <c r="D24" s="14" t="s">
        <v>279</v>
      </c>
      <c r="E24" s="1" t="s">
        <v>229</v>
      </c>
      <c r="F24" s="1"/>
      <c r="G24" s="2" t="s">
        <v>230</v>
      </c>
      <c r="H24" s="14" t="s">
        <v>231</v>
      </c>
      <c r="I24" s="14" t="s">
        <v>281</v>
      </c>
      <c r="J24" s="2" t="s">
        <v>282</v>
      </c>
      <c r="K24" s="14" t="s">
        <v>283</v>
      </c>
      <c r="L24" s="14" t="s">
        <v>235</v>
      </c>
      <c r="M24" s="2" t="s">
        <v>236</v>
      </c>
      <c r="N24" s="2" t="s">
        <v>237</v>
      </c>
      <c r="O24" s="14" t="s">
        <v>284</v>
      </c>
      <c r="P24" s="14" t="s">
        <v>285</v>
      </c>
      <c r="Q24" s="14" t="s">
        <v>286</v>
      </c>
      <c r="R24" s="14" t="s">
        <v>287</v>
      </c>
      <c r="S24" s="14" t="s">
        <v>288</v>
      </c>
      <c r="T24" s="14" t="s">
        <v>289</v>
      </c>
      <c r="U24" s="14" t="s">
        <v>290</v>
      </c>
      <c r="V24" s="14" t="s">
        <v>291</v>
      </c>
      <c r="W24" s="14" t="s">
        <v>240</v>
      </c>
      <c r="X24" s="14" t="s">
        <v>292</v>
      </c>
      <c r="Y24" s="14" t="s">
        <v>293</v>
      </c>
      <c r="Z24" s="14" t="n">
        <v>0.02</v>
      </c>
      <c r="AA24" s="14" t="n">
        <v>0.5</v>
      </c>
      <c r="AB24" s="14" t="n">
        <v>0.3</v>
      </c>
      <c r="AC24" s="14" t="n">
        <v>1</v>
      </c>
      <c r="AD24" s="14" t="n">
        <v>0.02</v>
      </c>
      <c r="AE24" s="14"/>
      <c r="AF24" s="15" t="n">
        <f aca="false">TRUE()</f>
        <v>1</v>
      </c>
      <c r="AG24" s="15" t="n">
        <f aca="false">TRUE()</f>
        <v>1</v>
      </c>
      <c r="AH24" s="15"/>
      <c r="AI24" s="15"/>
      <c r="AJ24" s="15"/>
      <c r="AK24" s="15"/>
      <c r="AL24" s="15"/>
      <c r="AM24" s="15"/>
      <c r="AN24" s="15"/>
      <c r="AO24" s="15"/>
      <c r="AP24" s="14" t="s">
        <v>242</v>
      </c>
      <c r="AQ24" s="14" t="s">
        <v>294</v>
      </c>
    </row>
    <row r="25" customFormat="false" ht="12.95" hidden="false" customHeight="true" outlineLevel="2" collapsed="false">
      <c r="A25" s="14" t="s">
        <v>157</v>
      </c>
      <c r="B25" s="14" t="s">
        <v>295</v>
      </c>
      <c r="C25" s="14" t="s">
        <v>222</v>
      </c>
      <c r="D25" s="14" t="s">
        <v>279</v>
      </c>
      <c r="E25" s="1" t="s">
        <v>245</v>
      </c>
      <c r="F25" s="1"/>
      <c r="G25" s="2" t="s">
        <v>230</v>
      </c>
      <c r="H25" s="14" t="s">
        <v>231</v>
      </c>
      <c r="I25" s="14" t="s">
        <v>281</v>
      </c>
      <c r="J25" s="2" t="s">
        <v>282</v>
      </c>
      <c r="K25" s="14" t="s">
        <v>283</v>
      </c>
      <c r="L25" s="14" t="s">
        <v>235</v>
      </c>
      <c r="M25" s="2" t="s">
        <v>236</v>
      </c>
      <c r="N25" s="2" t="s">
        <v>237</v>
      </c>
      <c r="O25" s="14" t="s">
        <v>284</v>
      </c>
      <c r="P25" s="14" t="s">
        <v>285</v>
      </c>
      <c r="Q25" s="14" t="s">
        <v>286</v>
      </c>
      <c r="R25" s="14" t="s">
        <v>287</v>
      </c>
      <c r="S25" s="14" t="s">
        <v>288</v>
      </c>
      <c r="T25" s="14" t="s">
        <v>289</v>
      </c>
      <c r="U25" s="14" t="s">
        <v>290</v>
      </c>
      <c r="V25" s="14" t="s">
        <v>296</v>
      </c>
      <c r="W25" s="14" t="s">
        <v>240</v>
      </c>
      <c r="X25" s="14" t="s">
        <v>292</v>
      </c>
      <c r="Y25" s="14" t="s">
        <v>297</v>
      </c>
      <c r="Z25" s="14" t="n">
        <v>0.01</v>
      </c>
      <c r="AA25" s="14" t="n">
        <v>0.3</v>
      </c>
      <c r="AB25" s="14" t="n">
        <v>0.2</v>
      </c>
      <c r="AC25" s="14" t="n">
        <v>0.8</v>
      </c>
      <c r="AD25" s="14" t="n">
        <v>0.02</v>
      </c>
      <c r="AE25" s="14"/>
      <c r="AF25" s="15" t="n">
        <f aca="false">TRUE()</f>
        <v>1</v>
      </c>
      <c r="AG25" s="15" t="n">
        <f aca="false">TRUE()</f>
        <v>1</v>
      </c>
      <c r="AH25" s="15"/>
      <c r="AI25" s="15"/>
      <c r="AJ25" s="15"/>
      <c r="AK25" s="15"/>
      <c r="AL25" s="15"/>
      <c r="AM25" s="15"/>
      <c r="AN25" s="15"/>
      <c r="AO25" s="15"/>
      <c r="AP25" s="14" t="s">
        <v>242</v>
      </c>
      <c r="AQ25" s="14" t="s">
        <v>298</v>
      </c>
    </row>
    <row r="26" customFormat="false" ht="12.95" hidden="false" customHeight="true" outlineLevel="2" collapsed="false">
      <c r="A26" s="14" t="s">
        <v>157</v>
      </c>
      <c r="B26" s="14" t="s">
        <v>299</v>
      </c>
      <c r="C26" s="14" t="s">
        <v>222</v>
      </c>
      <c r="D26" s="14" t="s">
        <v>279</v>
      </c>
      <c r="E26" s="1" t="s">
        <v>251</v>
      </c>
      <c r="F26" s="1"/>
      <c r="G26" s="2" t="s">
        <v>230</v>
      </c>
      <c r="H26" s="14" t="s">
        <v>231</v>
      </c>
      <c r="I26" s="14" t="s">
        <v>281</v>
      </c>
      <c r="J26" s="2" t="s">
        <v>282</v>
      </c>
      <c r="K26" s="14" t="s">
        <v>283</v>
      </c>
      <c r="L26" s="14" t="s">
        <v>235</v>
      </c>
      <c r="M26" s="2" t="s">
        <v>236</v>
      </c>
      <c r="N26" s="2" t="s">
        <v>237</v>
      </c>
      <c r="O26" s="14" t="s">
        <v>284</v>
      </c>
      <c r="P26" s="14" t="s">
        <v>285</v>
      </c>
      <c r="Q26" s="14" t="s">
        <v>286</v>
      </c>
      <c r="R26" s="14" t="s">
        <v>287</v>
      </c>
      <c r="S26" s="14" t="s">
        <v>288</v>
      </c>
      <c r="T26" s="14" t="s">
        <v>289</v>
      </c>
      <c r="U26" s="14" t="s">
        <v>290</v>
      </c>
      <c r="V26" s="14" t="s">
        <v>300</v>
      </c>
      <c r="W26" s="14" t="s">
        <v>240</v>
      </c>
      <c r="X26" s="14" t="s">
        <v>292</v>
      </c>
      <c r="Y26" s="14" t="s">
        <v>301</v>
      </c>
      <c r="Z26" s="14" t="n">
        <v>0.02</v>
      </c>
      <c r="AA26" s="14" t="n">
        <v>0.5</v>
      </c>
      <c r="AB26" s="14" t="n">
        <v>0.3</v>
      </c>
      <c r="AC26" s="14" t="n">
        <v>1</v>
      </c>
      <c r="AD26" s="14" t="n">
        <v>0.02</v>
      </c>
      <c r="AE26" s="14" t="s">
        <v>254</v>
      </c>
      <c r="AF26" s="15" t="n">
        <f aca="false">TRUE()</f>
        <v>1</v>
      </c>
      <c r="AG26" s="15" t="n">
        <f aca="false">TRUE()</f>
        <v>1</v>
      </c>
      <c r="AH26" s="15"/>
      <c r="AI26" s="15"/>
      <c r="AJ26" s="15"/>
      <c r="AK26" s="15"/>
      <c r="AL26" s="15"/>
      <c r="AM26" s="15"/>
      <c r="AN26" s="15"/>
      <c r="AO26" s="15"/>
      <c r="AP26" s="14" t="s">
        <v>242</v>
      </c>
      <c r="AQ26" s="14" t="s">
        <v>302</v>
      </c>
    </row>
    <row r="27" customFormat="false" ht="12.95" hidden="false" customHeight="true" outlineLevel="2" collapsed="false">
      <c r="A27" s="14" t="s">
        <v>157</v>
      </c>
      <c r="B27" s="14" t="s">
        <v>303</v>
      </c>
      <c r="C27" s="14" t="s">
        <v>222</v>
      </c>
      <c r="D27" s="14" t="s">
        <v>279</v>
      </c>
      <c r="E27" s="1" t="s">
        <v>257</v>
      </c>
      <c r="F27" s="1"/>
      <c r="G27" s="2" t="s">
        <v>230</v>
      </c>
      <c r="H27" s="14" t="s">
        <v>231</v>
      </c>
      <c r="I27" s="14" t="s">
        <v>281</v>
      </c>
      <c r="J27" s="2" t="s">
        <v>282</v>
      </c>
      <c r="K27" s="14" t="s">
        <v>283</v>
      </c>
      <c r="L27" s="14" t="s">
        <v>235</v>
      </c>
      <c r="M27" s="2" t="s">
        <v>236</v>
      </c>
      <c r="N27" s="2" t="s">
        <v>237</v>
      </c>
      <c r="O27" s="14" t="s">
        <v>284</v>
      </c>
      <c r="P27" s="14" t="s">
        <v>285</v>
      </c>
      <c r="Q27" s="14" t="s">
        <v>286</v>
      </c>
      <c r="R27" s="14" t="s">
        <v>287</v>
      </c>
      <c r="S27" s="14" t="s">
        <v>288</v>
      </c>
      <c r="T27" s="14" t="s">
        <v>289</v>
      </c>
      <c r="U27" s="14" t="s">
        <v>290</v>
      </c>
      <c r="V27" s="14" t="s">
        <v>304</v>
      </c>
      <c r="W27" s="14" t="s">
        <v>240</v>
      </c>
      <c r="X27" s="14" t="s">
        <v>292</v>
      </c>
      <c r="Y27" s="14" t="s">
        <v>305</v>
      </c>
      <c r="Z27" s="14" t="n">
        <v>0.03</v>
      </c>
      <c r="AA27" s="14" t="n">
        <v>0.7</v>
      </c>
      <c r="AB27" s="14" t="n">
        <v>0.5</v>
      </c>
      <c r="AC27" s="14" t="n">
        <v>1.2</v>
      </c>
      <c r="AD27" s="14" t="n">
        <v>0.02</v>
      </c>
      <c r="AE27" s="14"/>
      <c r="AF27" s="15" t="n">
        <f aca="false">TRUE()</f>
        <v>1</v>
      </c>
      <c r="AG27" s="15" t="n">
        <f aca="false">TRUE()</f>
        <v>1</v>
      </c>
      <c r="AH27" s="15"/>
      <c r="AI27" s="15"/>
      <c r="AJ27" s="15"/>
      <c r="AK27" s="15"/>
      <c r="AL27" s="15"/>
      <c r="AM27" s="15"/>
      <c r="AN27" s="15"/>
      <c r="AO27" s="15"/>
      <c r="AP27" s="14" t="s">
        <v>242</v>
      </c>
      <c r="AQ27" s="14" t="s">
        <v>306</v>
      </c>
    </row>
    <row r="28" customFormat="false" ht="12.95" hidden="false" customHeight="true" outlineLevel="2" collapsed="false">
      <c r="A28" s="14" t="s">
        <v>157</v>
      </c>
      <c r="B28" s="14" t="s">
        <v>307</v>
      </c>
      <c r="C28" s="14" t="s">
        <v>222</v>
      </c>
      <c r="D28" s="14" t="s">
        <v>279</v>
      </c>
      <c r="E28" s="1" t="s">
        <v>262</v>
      </c>
      <c r="F28" s="1"/>
      <c r="G28" s="2" t="s">
        <v>230</v>
      </c>
      <c r="H28" s="14" t="s">
        <v>231</v>
      </c>
      <c r="I28" s="14" t="s">
        <v>281</v>
      </c>
      <c r="J28" s="2" t="s">
        <v>282</v>
      </c>
      <c r="K28" s="14" t="s">
        <v>283</v>
      </c>
      <c r="L28" s="14" t="s">
        <v>235</v>
      </c>
      <c r="M28" s="2" t="s">
        <v>236</v>
      </c>
      <c r="N28" s="2" t="s">
        <v>237</v>
      </c>
      <c r="O28" s="14" t="s">
        <v>284</v>
      </c>
      <c r="P28" s="14" t="s">
        <v>285</v>
      </c>
      <c r="Q28" s="14" t="s">
        <v>286</v>
      </c>
      <c r="R28" s="14" t="s">
        <v>287</v>
      </c>
      <c r="S28" s="14" t="s">
        <v>288</v>
      </c>
      <c r="T28" s="14" t="s">
        <v>289</v>
      </c>
      <c r="U28" s="14" t="s">
        <v>290</v>
      </c>
      <c r="V28" s="14" t="s">
        <v>308</v>
      </c>
      <c r="W28" s="14" t="s">
        <v>240</v>
      </c>
      <c r="X28" s="14" t="s">
        <v>292</v>
      </c>
      <c r="Y28" s="14" t="s">
        <v>309</v>
      </c>
      <c r="Z28" s="14" t="n">
        <v>0.01</v>
      </c>
      <c r="AA28" s="14" t="n">
        <v>-0.1</v>
      </c>
      <c r="AB28" s="14" t="n">
        <v>0.1</v>
      </c>
      <c r="AC28" s="14" t="n">
        <v>0.5</v>
      </c>
      <c r="AD28" s="14" t="n">
        <v>0.02</v>
      </c>
      <c r="AE28" s="14"/>
      <c r="AF28" s="15" t="n">
        <f aca="false">TRUE()</f>
        <v>1</v>
      </c>
      <c r="AG28" s="15" t="n">
        <f aca="false">TRUE()</f>
        <v>1</v>
      </c>
      <c r="AH28" s="15"/>
      <c r="AI28" s="15"/>
      <c r="AJ28" s="15"/>
      <c r="AK28" s="15"/>
      <c r="AL28" s="15"/>
      <c r="AM28" s="15"/>
      <c r="AN28" s="15"/>
      <c r="AO28" s="15"/>
      <c r="AP28" s="14" t="s">
        <v>242</v>
      </c>
      <c r="AQ28" s="14" t="s">
        <v>310</v>
      </c>
    </row>
    <row r="29" customFormat="false" ht="12.95" hidden="false" customHeight="true" outlineLevel="0" collapsed="false">
      <c r="A29" s="3" t="s">
        <v>157</v>
      </c>
      <c r="B29" s="3" t="s">
        <v>161</v>
      </c>
      <c r="C29" s="3" t="s">
        <v>220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customFormat="false" ht="12.95" hidden="false" customHeight="true" outlineLevel="0" collapsed="false">
      <c r="A30" s="3" t="s">
        <v>157</v>
      </c>
      <c r="B30" s="3" t="s">
        <v>311</v>
      </c>
      <c r="C30" s="3" t="s">
        <v>222</v>
      </c>
      <c r="D30" s="1" t="s">
        <v>312</v>
      </c>
      <c r="E30" s="1"/>
      <c r="F30" s="1"/>
      <c r="G30" s="1"/>
      <c r="H30" s="13"/>
      <c r="I30" s="13"/>
      <c r="J30" s="13"/>
      <c r="K30" s="1"/>
      <c r="L30" s="1"/>
      <c r="M30" s="1"/>
      <c r="N30" s="1"/>
      <c r="O30" s="1"/>
      <c r="P30" s="1"/>
      <c r="Q30" s="1"/>
      <c r="R30" s="1"/>
      <c r="S30" s="1"/>
      <c r="T30" s="13"/>
      <c r="U30" s="13"/>
    </row>
    <row r="31" customFormat="false" ht="12.95" hidden="false" customHeight="true" outlineLevel="1" collapsed="false">
      <c r="A31" s="3" t="s">
        <v>157</v>
      </c>
      <c r="B31" s="3" t="s">
        <v>313</v>
      </c>
      <c r="C31" s="3" t="s">
        <v>222</v>
      </c>
      <c r="D31" s="3" t="s">
        <v>314</v>
      </c>
      <c r="E31" s="3"/>
      <c r="F31" s="3"/>
      <c r="G31" s="16"/>
      <c r="H31" s="16"/>
      <c r="I31" s="16"/>
      <c r="J31" s="16"/>
      <c r="K31" s="3"/>
      <c r="L31" s="3"/>
      <c r="M31" s="3"/>
      <c r="N31" s="3"/>
      <c r="O31" s="3"/>
      <c r="P31" s="3"/>
      <c r="Q31" s="3"/>
      <c r="R31" s="3"/>
      <c r="S31" s="3"/>
      <c r="T31" s="16"/>
      <c r="U31" s="16"/>
    </row>
    <row r="32" customFormat="false" ht="12.95" hidden="false" customHeight="true" outlineLevel="2" collapsed="false">
      <c r="A32" s="1" t="s">
        <v>157</v>
      </c>
      <c r="B32" s="1" t="s">
        <v>315</v>
      </c>
      <c r="C32" s="1" t="s">
        <v>222</v>
      </c>
      <c r="D32" s="1" t="s">
        <v>314</v>
      </c>
      <c r="E32" s="1" t="s">
        <v>229</v>
      </c>
      <c r="F32" s="1"/>
      <c r="G32" s="2" t="s">
        <v>230</v>
      </c>
      <c r="H32" s="1" t="s">
        <v>316</v>
      </c>
      <c r="I32" s="1" t="s">
        <v>281</v>
      </c>
      <c r="J32" s="2" t="s">
        <v>233</v>
      </c>
      <c r="K32" s="1" t="s">
        <v>317</v>
      </c>
      <c r="L32" s="1" t="s">
        <v>235</v>
      </c>
      <c r="M32" s="2" t="s">
        <v>236</v>
      </c>
      <c r="N32" s="2" t="s">
        <v>237</v>
      </c>
      <c r="O32" s="1" t="s">
        <v>318</v>
      </c>
      <c r="P32" s="1"/>
      <c r="Q32" s="1"/>
      <c r="R32" s="1"/>
      <c r="S32" s="1"/>
      <c r="T32" s="13"/>
      <c r="U32" s="13"/>
      <c r="V32" s="12" t="s">
        <v>319</v>
      </c>
      <c r="W32" s="12" t="s">
        <v>320</v>
      </c>
      <c r="X32" s="12" t="s">
        <v>321</v>
      </c>
      <c r="Y32" s="12" t="s">
        <v>322</v>
      </c>
      <c r="Z32" s="12" t="n">
        <v>0.02</v>
      </c>
      <c r="AA32" s="12" t="n">
        <v>0.4</v>
      </c>
      <c r="AB32" s="12" t="n">
        <v>0.35</v>
      </c>
      <c r="AC32" s="12" t="n">
        <v>1.1</v>
      </c>
      <c r="AD32" s="12" t="n">
        <v>0.02</v>
      </c>
      <c r="AF32" s="17" t="n">
        <f aca="false">FALSE()</f>
        <v>0</v>
      </c>
      <c r="AG32" s="17" t="n">
        <f aca="false">TRUE()</f>
        <v>1</v>
      </c>
      <c r="AH32" s="17"/>
      <c r="AI32" s="17"/>
      <c r="AJ32" s="17"/>
      <c r="AK32" s="17"/>
      <c r="AL32" s="17"/>
      <c r="AM32" s="17"/>
      <c r="AN32" s="17"/>
      <c r="AO32" s="17"/>
      <c r="AP32" s="12" t="s">
        <v>323</v>
      </c>
      <c r="AQ32" s="12" t="s">
        <v>324</v>
      </c>
    </row>
    <row r="33" customFormat="false" ht="12.95" hidden="false" customHeight="true" outlineLevel="2" collapsed="false">
      <c r="A33" s="1" t="s">
        <v>157</v>
      </c>
      <c r="B33" s="1" t="s">
        <v>325</v>
      </c>
      <c r="C33" s="1" t="s">
        <v>222</v>
      </c>
      <c r="D33" s="1" t="s">
        <v>314</v>
      </c>
      <c r="E33" s="1" t="s">
        <v>245</v>
      </c>
      <c r="F33" s="1"/>
      <c r="G33" s="2" t="s">
        <v>230</v>
      </c>
      <c r="H33" s="1" t="s">
        <v>316</v>
      </c>
      <c r="I33" s="1" t="s">
        <v>281</v>
      </c>
      <c r="J33" s="2" t="s">
        <v>233</v>
      </c>
      <c r="K33" s="1" t="s">
        <v>317</v>
      </c>
      <c r="L33" s="1" t="s">
        <v>235</v>
      </c>
      <c r="M33" s="2" t="s">
        <v>236</v>
      </c>
      <c r="N33" s="2" t="s">
        <v>237</v>
      </c>
      <c r="O33" s="1" t="s">
        <v>318</v>
      </c>
      <c r="P33" s="1"/>
      <c r="Q33" s="1"/>
      <c r="R33" s="1"/>
      <c r="S33" s="1"/>
      <c r="T33" s="13"/>
      <c r="U33" s="13"/>
      <c r="V33" s="12" t="s">
        <v>326</v>
      </c>
      <c r="W33" s="12" t="s">
        <v>320</v>
      </c>
      <c r="X33" s="12" t="s">
        <v>247</v>
      </c>
      <c r="Y33" s="12" t="s">
        <v>327</v>
      </c>
      <c r="Z33" s="12" t="n">
        <v>0.01</v>
      </c>
      <c r="AA33" s="12" t="n">
        <v>0.25</v>
      </c>
      <c r="AB33" s="12" t="n">
        <v>0.25</v>
      </c>
      <c r="AC33" s="12" t="n">
        <v>0.9</v>
      </c>
      <c r="AD33" s="12" t="n">
        <v>0.02</v>
      </c>
      <c r="AF33" s="17" t="n">
        <f aca="false">FALSE()</f>
        <v>0</v>
      </c>
      <c r="AG33" s="17" t="n">
        <f aca="false">TRUE()</f>
        <v>1</v>
      </c>
      <c r="AH33" s="17"/>
      <c r="AI33" s="17"/>
      <c r="AJ33" s="17"/>
      <c r="AK33" s="17"/>
      <c r="AL33" s="17"/>
      <c r="AM33" s="17"/>
      <c r="AN33" s="17"/>
      <c r="AO33" s="17"/>
      <c r="AP33" s="12" t="s">
        <v>323</v>
      </c>
      <c r="AQ33" s="12" t="s">
        <v>328</v>
      </c>
    </row>
    <row r="34" customFormat="false" ht="12.95" hidden="false" customHeight="true" outlineLevel="2" collapsed="false">
      <c r="A34" s="1" t="s">
        <v>157</v>
      </c>
      <c r="B34" s="1" t="s">
        <v>329</v>
      </c>
      <c r="C34" s="1" t="s">
        <v>222</v>
      </c>
      <c r="D34" s="1" t="s">
        <v>314</v>
      </c>
      <c r="E34" s="1" t="s">
        <v>251</v>
      </c>
      <c r="F34" s="1"/>
      <c r="G34" s="2" t="s">
        <v>230</v>
      </c>
      <c r="H34" s="1" t="s">
        <v>316</v>
      </c>
      <c r="I34" s="1" t="s">
        <v>281</v>
      </c>
      <c r="J34" s="2" t="s">
        <v>233</v>
      </c>
      <c r="K34" s="1" t="s">
        <v>317</v>
      </c>
      <c r="L34" s="1" t="s">
        <v>235</v>
      </c>
      <c r="M34" s="2" t="s">
        <v>236</v>
      </c>
      <c r="N34" s="2" t="s">
        <v>237</v>
      </c>
      <c r="O34" s="1" t="s">
        <v>318</v>
      </c>
      <c r="P34" s="1"/>
      <c r="Q34" s="1"/>
      <c r="R34" s="1"/>
      <c r="S34" s="1"/>
      <c r="T34" s="13"/>
      <c r="U34" s="13"/>
      <c r="V34" s="12" t="s">
        <v>330</v>
      </c>
      <c r="W34" s="12" t="s">
        <v>320</v>
      </c>
      <c r="X34" s="12" t="s">
        <v>247</v>
      </c>
      <c r="Y34" s="12" t="s">
        <v>331</v>
      </c>
      <c r="Z34" s="12" t="n">
        <v>0.02</v>
      </c>
      <c r="AA34" s="12" t="n">
        <v>0.4</v>
      </c>
      <c r="AB34" s="12" t="n">
        <v>0.35</v>
      </c>
      <c r="AC34" s="12" t="n">
        <v>1.1</v>
      </c>
      <c r="AD34" s="12" t="n">
        <v>0.02</v>
      </c>
      <c r="AE34" s="12" t="s">
        <v>332</v>
      </c>
      <c r="AF34" s="17" t="n">
        <f aca="false">FALSE()</f>
        <v>0</v>
      </c>
      <c r="AG34" s="17" t="n">
        <f aca="false">TRUE()</f>
        <v>1</v>
      </c>
      <c r="AH34" s="17"/>
      <c r="AI34" s="17"/>
      <c r="AJ34" s="17"/>
      <c r="AK34" s="17"/>
      <c r="AL34" s="17"/>
      <c r="AM34" s="17"/>
      <c r="AN34" s="17"/>
      <c r="AO34" s="17"/>
      <c r="AP34" s="12" t="s">
        <v>323</v>
      </c>
      <c r="AQ34" s="12" t="s">
        <v>333</v>
      </c>
    </row>
    <row r="35" customFormat="false" ht="12.95" hidden="false" customHeight="true" outlineLevel="2" collapsed="false">
      <c r="A35" s="1" t="s">
        <v>157</v>
      </c>
      <c r="B35" s="1" t="s">
        <v>334</v>
      </c>
      <c r="C35" s="1" t="s">
        <v>222</v>
      </c>
      <c r="D35" s="1" t="s">
        <v>314</v>
      </c>
      <c r="E35" s="1" t="s">
        <v>257</v>
      </c>
      <c r="F35" s="1"/>
      <c r="G35" s="2" t="s">
        <v>230</v>
      </c>
      <c r="H35" s="1" t="s">
        <v>316</v>
      </c>
      <c r="I35" s="1" t="s">
        <v>281</v>
      </c>
      <c r="J35" s="2" t="s">
        <v>233</v>
      </c>
      <c r="K35" s="1" t="s">
        <v>317</v>
      </c>
      <c r="L35" s="1" t="s">
        <v>235</v>
      </c>
      <c r="M35" s="2" t="s">
        <v>236</v>
      </c>
      <c r="N35" s="2" t="s">
        <v>237</v>
      </c>
      <c r="O35" s="1" t="s">
        <v>318</v>
      </c>
      <c r="P35" s="1"/>
      <c r="Q35" s="1"/>
      <c r="R35" s="1"/>
      <c r="S35" s="1"/>
      <c r="T35" s="13"/>
      <c r="U35" s="13"/>
      <c r="V35" s="12" t="s">
        <v>335</v>
      </c>
      <c r="W35" s="12" t="s">
        <v>320</v>
      </c>
      <c r="X35" s="12" t="s">
        <v>247</v>
      </c>
      <c r="Y35" s="12" t="s">
        <v>336</v>
      </c>
      <c r="Z35" s="12" t="n">
        <v>0.03</v>
      </c>
      <c r="AA35" s="12" t="n">
        <v>0.6</v>
      </c>
      <c r="AB35" s="12" t="n">
        <v>0.5</v>
      </c>
      <c r="AC35" s="12" t="n">
        <v>1.3</v>
      </c>
      <c r="AD35" s="12" t="n">
        <v>0.02</v>
      </c>
      <c r="AF35" s="17" t="n">
        <f aca="false">FALSE()</f>
        <v>0</v>
      </c>
      <c r="AG35" s="17" t="n">
        <f aca="false">TRUE()</f>
        <v>1</v>
      </c>
      <c r="AH35" s="17"/>
      <c r="AI35" s="17"/>
      <c r="AJ35" s="17"/>
      <c r="AK35" s="17"/>
      <c r="AL35" s="17"/>
      <c r="AM35" s="17"/>
      <c r="AN35" s="17"/>
      <c r="AO35" s="17"/>
      <c r="AP35" s="12" t="s">
        <v>323</v>
      </c>
      <c r="AQ35" s="12" t="s">
        <v>337</v>
      </c>
    </row>
    <row r="36" customFormat="false" ht="12.95" hidden="false" customHeight="true" outlineLevel="2" collapsed="false">
      <c r="A36" s="1" t="s">
        <v>157</v>
      </c>
      <c r="B36" s="1" t="s">
        <v>338</v>
      </c>
      <c r="C36" s="1" t="s">
        <v>222</v>
      </c>
      <c r="D36" s="1" t="s">
        <v>314</v>
      </c>
      <c r="E36" s="1" t="s">
        <v>262</v>
      </c>
      <c r="F36" s="1"/>
      <c r="G36" s="2" t="s">
        <v>230</v>
      </c>
      <c r="H36" s="1" t="s">
        <v>316</v>
      </c>
      <c r="I36" s="1" t="s">
        <v>281</v>
      </c>
      <c r="J36" s="2" t="s">
        <v>233</v>
      </c>
      <c r="K36" s="1" t="s">
        <v>317</v>
      </c>
      <c r="L36" s="1" t="s">
        <v>235</v>
      </c>
      <c r="M36" s="2" t="s">
        <v>236</v>
      </c>
      <c r="N36" s="2" t="s">
        <v>237</v>
      </c>
      <c r="O36" s="1" t="s">
        <v>318</v>
      </c>
      <c r="P36" s="1"/>
      <c r="Q36" s="1"/>
      <c r="R36" s="1"/>
      <c r="S36" s="1"/>
      <c r="T36" s="13"/>
      <c r="U36" s="13"/>
      <c r="V36" s="12" t="s">
        <v>339</v>
      </c>
      <c r="W36" s="12" t="s">
        <v>320</v>
      </c>
      <c r="X36" s="12" t="s">
        <v>247</v>
      </c>
      <c r="Y36" s="12" t="s">
        <v>340</v>
      </c>
      <c r="Z36" s="12" t="n">
        <v>0.01</v>
      </c>
      <c r="AA36" s="12" t="n">
        <v>-0.2</v>
      </c>
      <c r="AB36" s="12" t="n">
        <v>0.15</v>
      </c>
      <c r="AC36" s="12" t="n">
        <v>0.6</v>
      </c>
      <c r="AD36" s="12" t="n">
        <v>0.02</v>
      </c>
      <c r="AF36" s="17" t="n">
        <f aca="false">FALSE()</f>
        <v>0</v>
      </c>
      <c r="AG36" s="17" t="n">
        <f aca="false">TRUE()</f>
        <v>1</v>
      </c>
      <c r="AH36" s="17"/>
      <c r="AI36" s="17"/>
      <c r="AJ36" s="17"/>
      <c r="AK36" s="17"/>
      <c r="AL36" s="17"/>
      <c r="AM36" s="17"/>
      <c r="AN36" s="17"/>
      <c r="AO36" s="17"/>
      <c r="AP36" s="12" t="s">
        <v>323</v>
      </c>
      <c r="AQ36" s="12" t="s">
        <v>341</v>
      </c>
    </row>
    <row r="37" customFormat="false" ht="12.95" hidden="false" customHeight="true" outlineLevel="1" collapsed="false">
      <c r="A37" s="3" t="s">
        <v>157</v>
      </c>
      <c r="B37" s="3" t="s">
        <v>342</v>
      </c>
      <c r="C37" s="3" t="s">
        <v>222</v>
      </c>
      <c r="D37" s="3" t="s">
        <v>343</v>
      </c>
      <c r="E37" s="3"/>
      <c r="F37" s="3"/>
      <c r="G37" s="16"/>
      <c r="H37" s="16"/>
      <c r="I37" s="16"/>
      <c r="J37" s="16"/>
      <c r="K37" s="3"/>
      <c r="L37" s="3"/>
      <c r="M37" s="3"/>
      <c r="N37" s="3"/>
      <c r="O37" s="3"/>
      <c r="P37" s="3"/>
      <c r="Q37" s="3"/>
      <c r="R37" s="3"/>
      <c r="S37" s="3"/>
      <c r="T37" s="16"/>
      <c r="U37" s="16"/>
    </row>
    <row r="38" customFormat="false" ht="12.95" hidden="false" customHeight="true" outlineLevel="2" collapsed="false">
      <c r="A38" s="1" t="s">
        <v>157</v>
      </c>
      <c r="B38" s="1" t="s">
        <v>344</v>
      </c>
      <c r="C38" s="1" t="s">
        <v>222</v>
      </c>
      <c r="D38" s="1" t="s">
        <v>343</v>
      </c>
      <c r="E38" s="1" t="s">
        <v>229</v>
      </c>
      <c r="F38" s="1"/>
      <c r="G38" s="2" t="s">
        <v>230</v>
      </c>
      <c r="H38" s="1" t="s">
        <v>316</v>
      </c>
      <c r="I38" s="1" t="s">
        <v>281</v>
      </c>
      <c r="J38" s="2" t="s">
        <v>345</v>
      </c>
      <c r="K38" s="1" t="s">
        <v>346</v>
      </c>
      <c r="L38" s="1" t="s">
        <v>235</v>
      </c>
      <c r="M38" s="2" t="s">
        <v>236</v>
      </c>
      <c r="N38" s="2" t="s">
        <v>237</v>
      </c>
      <c r="O38" s="1" t="s">
        <v>347</v>
      </c>
      <c r="P38" s="1" t="s">
        <v>348</v>
      </c>
      <c r="Q38" s="1" t="s">
        <v>349</v>
      </c>
      <c r="R38" s="1" t="s">
        <v>350</v>
      </c>
      <c r="S38" s="1" t="s">
        <v>351</v>
      </c>
      <c r="T38" s="13"/>
      <c r="U38" s="13"/>
      <c r="V38" s="14" t="s">
        <v>352</v>
      </c>
      <c r="W38" s="14" t="s">
        <v>320</v>
      </c>
      <c r="X38" s="14" t="s">
        <v>353</v>
      </c>
      <c r="Y38" s="14" t="s">
        <v>354</v>
      </c>
      <c r="Z38" s="14" t="n">
        <v>0.02</v>
      </c>
      <c r="AA38" s="14" t="n">
        <v>0.4</v>
      </c>
      <c r="AB38" s="14" t="n">
        <v>0.35</v>
      </c>
      <c r="AC38" s="14" t="n">
        <v>1.1</v>
      </c>
      <c r="AD38" s="14" t="n">
        <v>0.02</v>
      </c>
      <c r="AE38" s="14"/>
      <c r="AF38" s="15" t="n">
        <f aca="false">TRUE()</f>
        <v>1</v>
      </c>
      <c r="AG38" s="15" t="n">
        <f aca="false">TRUE()</f>
        <v>1</v>
      </c>
      <c r="AH38" s="15"/>
      <c r="AI38" s="15"/>
      <c r="AJ38" s="15"/>
      <c r="AK38" s="15"/>
      <c r="AL38" s="15"/>
      <c r="AM38" s="15"/>
      <c r="AN38" s="15"/>
      <c r="AO38" s="15"/>
      <c r="AP38" s="14" t="s">
        <v>323</v>
      </c>
      <c r="AQ38" s="14" t="s">
        <v>355</v>
      </c>
    </row>
    <row r="39" customFormat="false" ht="12.95" hidden="false" customHeight="true" outlineLevel="2" collapsed="false">
      <c r="A39" s="1" t="s">
        <v>157</v>
      </c>
      <c r="B39" s="1" t="s">
        <v>356</v>
      </c>
      <c r="C39" s="1" t="s">
        <v>222</v>
      </c>
      <c r="D39" s="1" t="s">
        <v>343</v>
      </c>
      <c r="E39" s="1" t="s">
        <v>245</v>
      </c>
      <c r="F39" s="1"/>
      <c r="G39" s="2" t="s">
        <v>230</v>
      </c>
      <c r="H39" s="1" t="s">
        <v>316</v>
      </c>
      <c r="I39" s="1" t="s">
        <v>281</v>
      </c>
      <c r="J39" s="2" t="s">
        <v>345</v>
      </c>
      <c r="K39" s="1" t="s">
        <v>346</v>
      </c>
      <c r="L39" s="1" t="s">
        <v>235</v>
      </c>
      <c r="M39" s="2" t="s">
        <v>236</v>
      </c>
      <c r="N39" s="2" t="s">
        <v>237</v>
      </c>
      <c r="O39" s="1" t="s">
        <v>347</v>
      </c>
      <c r="P39" s="1" t="s">
        <v>348</v>
      </c>
      <c r="Q39" s="1" t="s">
        <v>349</v>
      </c>
      <c r="R39" s="1" t="s">
        <v>350</v>
      </c>
      <c r="S39" s="1" t="s">
        <v>351</v>
      </c>
      <c r="T39" s="13"/>
      <c r="U39" s="13"/>
      <c r="V39" s="14" t="s">
        <v>357</v>
      </c>
      <c r="W39" s="14" t="s">
        <v>320</v>
      </c>
      <c r="X39" s="14" t="s">
        <v>353</v>
      </c>
      <c r="Y39" s="14" t="s">
        <v>358</v>
      </c>
      <c r="Z39" s="14" t="n">
        <v>0.01</v>
      </c>
      <c r="AA39" s="14" t="n">
        <v>0.25</v>
      </c>
      <c r="AB39" s="14" t="n">
        <v>0.25</v>
      </c>
      <c r="AC39" s="14" t="n">
        <v>0.9</v>
      </c>
      <c r="AD39" s="14" t="n">
        <v>0.02</v>
      </c>
      <c r="AE39" s="14"/>
      <c r="AF39" s="15" t="n">
        <f aca="false">TRUE()</f>
        <v>1</v>
      </c>
      <c r="AG39" s="15" t="n">
        <f aca="false">TRUE()</f>
        <v>1</v>
      </c>
      <c r="AH39" s="15"/>
      <c r="AI39" s="15"/>
      <c r="AJ39" s="15"/>
      <c r="AK39" s="15"/>
      <c r="AL39" s="15"/>
      <c r="AM39" s="15"/>
      <c r="AN39" s="15"/>
      <c r="AO39" s="15"/>
      <c r="AP39" s="14" t="s">
        <v>323</v>
      </c>
      <c r="AQ39" s="14" t="s">
        <v>359</v>
      </c>
    </row>
    <row r="40" customFormat="false" ht="12.95" hidden="false" customHeight="true" outlineLevel="2" collapsed="false">
      <c r="A40" s="1" t="s">
        <v>157</v>
      </c>
      <c r="B40" s="1" t="s">
        <v>360</v>
      </c>
      <c r="C40" s="1" t="s">
        <v>222</v>
      </c>
      <c r="D40" s="1" t="s">
        <v>343</v>
      </c>
      <c r="E40" s="1" t="s">
        <v>251</v>
      </c>
      <c r="F40" s="1"/>
      <c r="G40" s="2" t="s">
        <v>230</v>
      </c>
      <c r="H40" s="1" t="s">
        <v>316</v>
      </c>
      <c r="I40" s="1" t="s">
        <v>281</v>
      </c>
      <c r="J40" s="2" t="s">
        <v>345</v>
      </c>
      <c r="K40" s="1" t="s">
        <v>346</v>
      </c>
      <c r="L40" s="1" t="s">
        <v>235</v>
      </c>
      <c r="M40" s="2" t="s">
        <v>236</v>
      </c>
      <c r="N40" s="2" t="s">
        <v>237</v>
      </c>
      <c r="O40" s="1" t="s">
        <v>347</v>
      </c>
      <c r="P40" s="1" t="s">
        <v>348</v>
      </c>
      <c r="Q40" s="1" t="s">
        <v>349</v>
      </c>
      <c r="R40" s="1" t="s">
        <v>350</v>
      </c>
      <c r="S40" s="1" t="s">
        <v>351</v>
      </c>
      <c r="T40" s="13"/>
      <c r="U40" s="13"/>
      <c r="V40" s="14" t="s">
        <v>361</v>
      </c>
      <c r="W40" s="14" t="s">
        <v>320</v>
      </c>
      <c r="X40" s="14" t="s">
        <v>353</v>
      </c>
      <c r="Y40" s="14" t="s">
        <v>362</v>
      </c>
      <c r="Z40" s="14" t="n">
        <v>0.02</v>
      </c>
      <c r="AA40" s="14" t="n">
        <v>0.4</v>
      </c>
      <c r="AB40" s="14" t="n">
        <v>0.35</v>
      </c>
      <c r="AC40" s="14" t="n">
        <v>1.1</v>
      </c>
      <c r="AD40" s="14" t="n">
        <v>0.02</v>
      </c>
      <c r="AE40" s="14" t="s">
        <v>332</v>
      </c>
      <c r="AF40" s="15" t="n">
        <f aca="false">TRUE()</f>
        <v>1</v>
      </c>
      <c r="AG40" s="15" t="n">
        <f aca="false">TRUE()</f>
        <v>1</v>
      </c>
      <c r="AH40" s="15"/>
      <c r="AI40" s="15"/>
      <c r="AJ40" s="15"/>
      <c r="AK40" s="15"/>
      <c r="AL40" s="15"/>
      <c r="AM40" s="15"/>
      <c r="AN40" s="15"/>
      <c r="AO40" s="15"/>
      <c r="AP40" s="14" t="s">
        <v>323</v>
      </c>
      <c r="AQ40" s="14" t="s">
        <v>363</v>
      </c>
    </row>
    <row r="41" customFormat="false" ht="12.95" hidden="false" customHeight="true" outlineLevel="2" collapsed="false">
      <c r="A41" s="1" t="s">
        <v>157</v>
      </c>
      <c r="B41" s="1" t="s">
        <v>364</v>
      </c>
      <c r="C41" s="1" t="s">
        <v>222</v>
      </c>
      <c r="D41" s="1" t="s">
        <v>343</v>
      </c>
      <c r="E41" s="1" t="s">
        <v>257</v>
      </c>
      <c r="F41" s="1"/>
      <c r="G41" s="2" t="s">
        <v>230</v>
      </c>
      <c r="H41" s="1" t="s">
        <v>316</v>
      </c>
      <c r="I41" s="1" t="s">
        <v>281</v>
      </c>
      <c r="J41" s="2" t="s">
        <v>345</v>
      </c>
      <c r="K41" s="1" t="s">
        <v>346</v>
      </c>
      <c r="L41" s="1" t="s">
        <v>235</v>
      </c>
      <c r="M41" s="2" t="s">
        <v>236</v>
      </c>
      <c r="N41" s="2" t="s">
        <v>237</v>
      </c>
      <c r="O41" s="1" t="s">
        <v>347</v>
      </c>
      <c r="P41" s="1" t="s">
        <v>348</v>
      </c>
      <c r="Q41" s="1" t="s">
        <v>349</v>
      </c>
      <c r="R41" s="1" t="s">
        <v>350</v>
      </c>
      <c r="S41" s="1" t="s">
        <v>351</v>
      </c>
      <c r="T41" s="13"/>
      <c r="U41" s="13"/>
      <c r="V41" s="14" t="s">
        <v>365</v>
      </c>
      <c r="W41" s="14" t="s">
        <v>320</v>
      </c>
      <c r="X41" s="14" t="s">
        <v>353</v>
      </c>
      <c r="Y41" s="14" t="s">
        <v>366</v>
      </c>
      <c r="Z41" s="14" t="n">
        <v>0.03</v>
      </c>
      <c r="AA41" s="14" t="n">
        <v>0.6</v>
      </c>
      <c r="AB41" s="14" t="n">
        <v>0.5</v>
      </c>
      <c r="AC41" s="14" t="n">
        <v>1.3</v>
      </c>
      <c r="AD41" s="14" t="n">
        <v>0.02</v>
      </c>
      <c r="AE41" s="14"/>
      <c r="AF41" s="15" t="n">
        <f aca="false">TRUE()</f>
        <v>1</v>
      </c>
      <c r="AG41" s="15" t="n">
        <f aca="false">TRUE()</f>
        <v>1</v>
      </c>
      <c r="AH41" s="15"/>
      <c r="AI41" s="15"/>
      <c r="AJ41" s="15"/>
      <c r="AK41" s="15"/>
      <c r="AL41" s="15"/>
      <c r="AM41" s="15"/>
      <c r="AN41" s="15"/>
      <c r="AO41" s="15"/>
      <c r="AP41" s="14" t="s">
        <v>323</v>
      </c>
      <c r="AQ41" s="14" t="s">
        <v>367</v>
      </c>
    </row>
    <row r="42" customFormat="false" ht="12.95" hidden="false" customHeight="true" outlineLevel="2" collapsed="false">
      <c r="A42" s="1" t="s">
        <v>157</v>
      </c>
      <c r="B42" s="1" t="s">
        <v>368</v>
      </c>
      <c r="C42" s="1" t="s">
        <v>222</v>
      </c>
      <c r="D42" s="1" t="s">
        <v>343</v>
      </c>
      <c r="E42" s="1" t="s">
        <v>262</v>
      </c>
      <c r="F42" s="1"/>
      <c r="G42" s="2" t="s">
        <v>230</v>
      </c>
      <c r="H42" s="1" t="s">
        <v>316</v>
      </c>
      <c r="I42" s="1" t="s">
        <v>281</v>
      </c>
      <c r="J42" s="2" t="s">
        <v>345</v>
      </c>
      <c r="K42" s="1" t="s">
        <v>346</v>
      </c>
      <c r="L42" s="1" t="s">
        <v>235</v>
      </c>
      <c r="M42" s="2" t="s">
        <v>236</v>
      </c>
      <c r="N42" s="2" t="s">
        <v>237</v>
      </c>
      <c r="O42" s="1" t="s">
        <v>347</v>
      </c>
      <c r="P42" s="1" t="s">
        <v>348</v>
      </c>
      <c r="Q42" s="1" t="s">
        <v>349</v>
      </c>
      <c r="R42" s="1" t="s">
        <v>350</v>
      </c>
      <c r="S42" s="1" t="s">
        <v>351</v>
      </c>
      <c r="T42" s="13"/>
      <c r="U42" s="13"/>
      <c r="V42" s="14" t="s">
        <v>369</v>
      </c>
      <c r="W42" s="14" t="s">
        <v>320</v>
      </c>
      <c r="X42" s="14" t="s">
        <v>353</v>
      </c>
      <c r="Y42" s="14" t="s">
        <v>370</v>
      </c>
      <c r="Z42" s="14" t="n">
        <v>0.01</v>
      </c>
      <c r="AA42" s="14" t="n">
        <v>-0.2</v>
      </c>
      <c r="AB42" s="14" t="n">
        <v>0.15</v>
      </c>
      <c r="AC42" s="14" t="n">
        <v>0.6</v>
      </c>
      <c r="AD42" s="14" t="n">
        <v>0.02</v>
      </c>
      <c r="AE42" s="14"/>
      <c r="AF42" s="15" t="n">
        <f aca="false">TRUE()</f>
        <v>1</v>
      </c>
      <c r="AG42" s="15" t="n">
        <f aca="false">TRUE()</f>
        <v>1</v>
      </c>
      <c r="AH42" s="15"/>
      <c r="AI42" s="15"/>
      <c r="AJ42" s="15"/>
      <c r="AK42" s="15"/>
      <c r="AL42" s="15"/>
      <c r="AM42" s="15"/>
      <c r="AN42" s="15"/>
      <c r="AO42" s="15"/>
      <c r="AP42" s="14" t="s">
        <v>323</v>
      </c>
      <c r="AQ42" s="14" t="s">
        <v>371</v>
      </c>
    </row>
    <row r="43" customFormat="false" ht="12.8" hidden="false" customHeight="false" outlineLevel="0" collapsed="false">
      <c r="A43" s="3" t="s">
        <v>157</v>
      </c>
      <c r="B43" s="3" t="s">
        <v>163</v>
      </c>
      <c r="C43" s="3" t="s">
        <v>220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customFormat="false" ht="12.8" hidden="false" customHeight="false" outlineLevel="0" collapsed="false">
      <c r="A44" s="3" t="s">
        <v>157</v>
      </c>
      <c r="B44" s="3" t="s">
        <v>372</v>
      </c>
      <c r="C44" s="3" t="s">
        <v>373</v>
      </c>
      <c r="D44" s="3" t="s">
        <v>374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customFormat="false" ht="12.95" hidden="false" customHeight="true" outlineLevel="1" collapsed="false">
      <c r="A45" s="3" t="s">
        <v>157</v>
      </c>
      <c r="B45" s="3" t="s">
        <v>375</v>
      </c>
      <c r="C45" s="3" t="s">
        <v>373</v>
      </c>
      <c r="D45" s="3" t="s">
        <v>376</v>
      </c>
      <c r="E45" s="1"/>
      <c r="F45" s="1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customFormat="false" ht="12.95" hidden="false" customHeight="true" outlineLevel="2" collapsed="false">
      <c r="A46" s="14" t="str">
        <f aca="false">A45</f>
        <v>MENU-PFIT-CFIT-FMW-1</v>
      </c>
      <c r="B46" s="1" t="s">
        <v>377</v>
      </c>
      <c r="C46" s="1" t="s">
        <v>373</v>
      </c>
      <c r="D46" s="1" t="s">
        <v>376</v>
      </c>
      <c r="E46" s="1" t="s">
        <v>229</v>
      </c>
      <c r="F46" s="1"/>
      <c r="G46" s="18" t="s">
        <v>230</v>
      </c>
      <c r="H46" s="1" t="s">
        <v>316</v>
      </c>
      <c r="I46" s="1" t="s">
        <v>378</v>
      </c>
      <c r="J46" s="1" t="s">
        <v>379</v>
      </c>
      <c r="K46" s="1" t="s">
        <v>380</v>
      </c>
      <c r="L46" s="1" t="s">
        <v>235</v>
      </c>
      <c r="M46" s="2" t="s">
        <v>236</v>
      </c>
      <c r="N46" s="2" t="s">
        <v>237</v>
      </c>
      <c r="O46" s="1" t="s">
        <v>381</v>
      </c>
      <c r="P46" s="1"/>
      <c r="Q46" s="1"/>
      <c r="R46" s="1"/>
      <c r="S46" s="1"/>
      <c r="T46" s="1"/>
      <c r="U46" s="1"/>
      <c r="V46" s="12" t="s">
        <v>382</v>
      </c>
      <c r="W46" s="12" t="s">
        <v>383</v>
      </c>
      <c r="X46" s="12" t="s">
        <v>384</v>
      </c>
      <c r="Y46" s="12" t="s">
        <v>385</v>
      </c>
      <c r="Z46" s="12" t="n">
        <v>0.02</v>
      </c>
      <c r="AA46" s="12" t="n">
        <v>0.5</v>
      </c>
      <c r="AB46" s="12" t="n">
        <v>0.3</v>
      </c>
      <c r="AC46" s="12" t="n">
        <v>1</v>
      </c>
      <c r="AD46" s="12" t="n">
        <v>0.02</v>
      </c>
      <c r="AF46" s="17" t="n">
        <f aca="false">FALSE()</f>
        <v>0</v>
      </c>
      <c r="AG46" s="17" t="n">
        <f aca="false">TRUE()</f>
        <v>1</v>
      </c>
      <c r="AH46" s="17"/>
      <c r="AI46" s="17"/>
      <c r="AJ46" s="17"/>
      <c r="AK46" s="17"/>
      <c r="AL46" s="17"/>
      <c r="AM46" s="17"/>
      <c r="AN46" s="17"/>
      <c r="AO46" s="17"/>
      <c r="AP46" s="12" t="s">
        <v>242</v>
      </c>
      <c r="AQ46" s="12" t="s">
        <v>386</v>
      </c>
    </row>
    <row r="47" customFormat="false" ht="12.95" hidden="false" customHeight="true" outlineLevel="2" collapsed="false">
      <c r="A47" s="14" t="str">
        <f aca="false">A46</f>
        <v>MENU-PFIT-CFIT-FMW-1</v>
      </c>
      <c r="B47" s="14" t="s">
        <v>387</v>
      </c>
      <c r="C47" s="14" t="str">
        <f aca="false">C46</f>
        <v>Current/New PFIT: Lower 1/6 To 1/3 Tax Elimination, CFIT, FMW (3.33% Annual Increase)</v>
      </c>
      <c r="D47" s="14" t="str">
        <f aca="false">D46</f>
        <v>Personal Tax Receipts (Average Current PFIT)</v>
      </c>
      <c r="E47" s="1" t="s">
        <v>245</v>
      </c>
      <c r="F47" s="1"/>
      <c r="G47" s="19" t="str">
        <f aca="false">G46</f>
        <v>PFIT-BRACKETS#4.C Current through New PFIT: Lower 1/6 Tax Elimination to Lower 1/3 Tax Elimination  
CFIT-BRACKETS#4.A New CFIT Brackets  
FMW#2.B - New FMW (Annual 3.33% Increase)  </v>
      </c>
      <c r="H47" s="14" t="str">
        <f aca="false">H46</f>
        <v>Scenario Analysis (Line Chart)</v>
      </c>
      <c r="I47" s="14" t="str">
        <f aca="false">I46</f>
        <v>Each scenario has corresponding data visualization, data table, and data summary analysis. Parameters, Measures, and Metrics define Chart Dimensions, Chart Line Groups, and Chart Line Group Lines respectively.</v>
      </c>
      <c r="J47" s="14" t="str">
        <f aca="false">J46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7" s="14" t="str">
        <f aca="false">K46</f>
        <v>Y-Axis: Personal Tax Receipts (Average Current PFIT)</v>
      </c>
      <c r="L47" s="14" t="str">
        <f aca="false">L46</f>
        <v>X-Axis: 20 Years</v>
      </c>
      <c r="M47" s="14" t="str">
        <f aca="false">M46</f>
        <v>New PFIT (Lower 1/6 To 1/3 Tax Elimination)  
New CFIT  
New FMW (Annual 3.33% Increase)</v>
      </c>
      <c r="N47" s="14" t="str">
        <f aca="false">N46</f>
        <v>Current PFIT  
Current CFIT
Current FMW</v>
      </c>
      <c r="O47" s="14" t="str">
        <f aca="false">O46</f>
        <v>Personal Tax Receipts: Average Current PFIT Brackets #1 through #7</v>
      </c>
      <c r="P47" s="14"/>
      <c r="Q47" s="14"/>
      <c r="R47" s="14"/>
      <c r="S47" s="14"/>
      <c r="T47" s="14"/>
      <c r="U47" s="14"/>
      <c r="V47" s="12" t="s">
        <v>388</v>
      </c>
      <c r="W47" s="12" t="s">
        <v>383</v>
      </c>
      <c r="X47" s="12" t="s">
        <v>247</v>
      </c>
      <c r="Y47" s="12" t="s">
        <v>389</v>
      </c>
      <c r="Z47" s="12" t="n">
        <v>0.01</v>
      </c>
      <c r="AA47" s="12" t="n">
        <v>0.3</v>
      </c>
      <c r="AB47" s="12" t="n">
        <v>0.2</v>
      </c>
      <c r="AC47" s="12" t="n">
        <v>0.8</v>
      </c>
      <c r="AD47" s="12" t="n">
        <v>0.02</v>
      </c>
      <c r="AF47" s="17" t="n">
        <f aca="false">FALSE()</f>
        <v>0</v>
      </c>
      <c r="AG47" s="17" t="n">
        <f aca="false">TRUE()</f>
        <v>1</v>
      </c>
      <c r="AH47" s="17"/>
      <c r="AI47" s="17"/>
      <c r="AJ47" s="17"/>
      <c r="AK47" s="17"/>
      <c r="AL47" s="17"/>
      <c r="AM47" s="17"/>
      <c r="AN47" s="17"/>
      <c r="AO47" s="17"/>
      <c r="AP47" s="12" t="s">
        <v>242</v>
      </c>
      <c r="AQ47" s="12" t="s">
        <v>390</v>
      </c>
    </row>
    <row r="48" customFormat="false" ht="12.95" hidden="false" customHeight="true" outlineLevel="2" collapsed="false">
      <c r="A48" s="14" t="str">
        <f aca="false">A47</f>
        <v>MENU-PFIT-CFIT-FMW-1</v>
      </c>
      <c r="B48" s="14" t="s">
        <v>391</v>
      </c>
      <c r="C48" s="14" t="str">
        <f aca="false">C47</f>
        <v>Current/New PFIT: Lower 1/6 To 1/3 Tax Elimination, CFIT, FMW (3.33% Annual Increase)</v>
      </c>
      <c r="D48" s="14" t="str">
        <f aca="false">D47</f>
        <v>Personal Tax Receipts (Average Current PFIT)</v>
      </c>
      <c r="E48" s="1" t="s">
        <v>251</v>
      </c>
      <c r="F48" s="1"/>
      <c r="G48" s="19" t="str">
        <f aca="false">G47</f>
        <v>PFIT-BRACKETS#4.C Current through New PFIT: Lower 1/6 Tax Elimination to Lower 1/3 Tax Elimination  
CFIT-BRACKETS#4.A New CFIT Brackets  
FMW#2.B - New FMW (Annual 3.33% Increase)  </v>
      </c>
      <c r="H48" s="14" t="str">
        <f aca="false">H47</f>
        <v>Scenario Analysis (Line Chart)</v>
      </c>
      <c r="I48" s="14" t="str">
        <f aca="false">I47</f>
        <v>Each scenario has corresponding data visualization, data table, and data summary analysis. Parameters, Measures, and Metrics define Chart Dimensions, Chart Line Groups, and Chart Line Group Lines respectively.</v>
      </c>
      <c r="J48" s="14" t="str">
        <f aca="false">J47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8" s="14" t="str">
        <f aca="false">K47</f>
        <v>Y-Axis: Personal Tax Receipts (Average Current PFIT)</v>
      </c>
      <c r="L48" s="14" t="str">
        <f aca="false">L47</f>
        <v>X-Axis: 20 Years</v>
      </c>
      <c r="M48" s="14" t="str">
        <f aca="false">M47</f>
        <v>New PFIT (Lower 1/6 To 1/3 Tax Elimination)  
New CFIT  
New FMW (Annual 3.33% Increase)</v>
      </c>
      <c r="N48" s="14" t="str">
        <f aca="false">N47</f>
        <v>Current PFIT  
Current CFIT
Current FMW</v>
      </c>
      <c r="O48" s="14" t="str">
        <f aca="false">O47</f>
        <v>Personal Tax Receipts: Average Current PFIT Brackets #1 through #7</v>
      </c>
      <c r="P48" s="14"/>
      <c r="Q48" s="14"/>
      <c r="R48" s="14"/>
      <c r="S48" s="14"/>
      <c r="T48" s="14"/>
      <c r="U48" s="14"/>
      <c r="V48" s="12" t="s">
        <v>392</v>
      </c>
      <c r="W48" s="12" t="s">
        <v>383</v>
      </c>
      <c r="X48" s="12" t="s">
        <v>247</v>
      </c>
      <c r="Y48" s="12" t="s">
        <v>393</v>
      </c>
      <c r="Z48" s="12" t="n">
        <v>0.02</v>
      </c>
      <c r="AA48" s="12" t="n">
        <v>0.5</v>
      </c>
      <c r="AB48" s="12" t="n">
        <v>0.3</v>
      </c>
      <c r="AC48" s="12" t="n">
        <v>1</v>
      </c>
      <c r="AD48" s="12" t="n">
        <v>0.02</v>
      </c>
      <c r="AE48" s="12" t="s">
        <v>254</v>
      </c>
      <c r="AF48" s="17" t="n">
        <f aca="false">FALSE()</f>
        <v>0</v>
      </c>
      <c r="AG48" s="17" t="n">
        <f aca="false">TRUE()</f>
        <v>1</v>
      </c>
      <c r="AH48" s="17"/>
      <c r="AI48" s="17"/>
      <c r="AJ48" s="17"/>
      <c r="AK48" s="17"/>
      <c r="AL48" s="17"/>
      <c r="AM48" s="17"/>
      <c r="AN48" s="17"/>
      <c r="AO48" s="17"/>
      <c r="AP48" s="12" t="s">
        <v>242</v>
      </c>
      <c r="AQ48" s="12" t="s">
        <v>394</v>
      </c>
    </row>
    <row r="49" customFormat="false" ht="12.95" hidden="false" customHeight="true" outlineLevel="2" collapsed="false">
      <c r="A49" s="14" t="str">
        <f aca="false">A48</f>
        <v>MENU-PFIT-CFIT-FMW-1</v>
      </c>
      <c r="B49" s="14" t="s">
        <v>395</v>
      </c>
      <c r="C49" s="14" t="str">
        <f aca="false">C48</f>
        <v>Current/New PFIT: Lower 1/6 To 1/3 Tax Elimination, CFIT, FMW (3.33% Annual Increase)</v>
      </c>
      <c r="D49" s="14" t="str">
        <f aca="false">D48</f>
        <v>Personal Tax Receipts (Average Current PFIT)</v>
      </c>
      <c r="E49" s="1" t="s">
        <v>257</v>
      </c>
      <c r="F49" s="1"/>
      <c r="G49" s="19" t="str">
        <f aca="false">G48</f>
        <v>PFIT-BRACKETS#4.C Current through New PFIT: Lower 1/6 Tax Elimination to Lower 1/3 Tax Elimination  
CFIT-BRACKETS#4.A New CFIT Brackets  
FMW#2.B - New FMW (Annual 3.33% Increase)  </v>
      </c>
      <c r="H49" s="14" t="str">
        <f aca="false">H48</f>
        <v>Scenario Analysis (Line Chart)</v>
      </c>
      <c r="I49" s="14" t="str">
        <f aca="false">I48</f>
        <v>Each scenario has corresponding data visualization, data table, and data summary analysis. Parameters, Measures, and Metrics define Chart Dimensions, Chart Line Groups, and Chart Line Group Lines respectively.</v>
      </c>
      <c r="J49" s="14" t="str">
        <f aca="false">J48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9" s="14" t="str">
        <f aca="false">K48</f>
        <v>Y-Axis: Personal Tax Receipts (Average Current PFIT)</v>
      </c>
      <c r="L49" s="14" t="str">
        <f aca="false">L48</f>
        <v>X-Axis: 20 Years</v>
      </c>
      <c r="M49" s="14" t="str">
        <f aca="false">M48</f>
        <v>New PFIT (Lower 1/6 To 1/3 Tax Elimination)  
New CFIT  
New FMW (Annual 3.33% Increase)</v>
      </c>
      <c r="N49" s="14" t="str">
        <f aca="false">N48</f>
        <v>Current PFIT  
Current CFIT
Current FMW</v>
      </c>
      <c r="O49" s="14" t="str">
        <f aca="false">O48</f>
        <v>Personal Tax Receipts: Average Current PFIT Brackets #1 through #7</v>
      </c>
      <c r="P49" s="14"/>
      <c r="Q49" s="14"/>
      <c r="R49" s="14"/>
      <c r="S49" s="14"/>
      <c r="T49" s="14"/>
      <c r="U49" s="14"/>
      <c r="V49" s="12" t="s">
        <v>396</v>
      </c>
      <c r="W49" s="12" t="s">
        <v>383</v>
      </c>
      <c r="X49" s="12" t="s">
        <v>247</v>
      </c>
      <c r="Y49" s="12" t="s">
        <v>397</v>
      </c>
      <c r="Z49" s="12" t="n">
        <v>0.03</v>
      </c>
      <c r="AA49" s="12" t="n">
        <v>0.7</v>
      </c>
      <c r="AB49" s="12" t="n">
        <v>0.5</v>
      </c>
      <c r="AC49" s="12" t="n">
        <v>1.2</v>
      </c>
      <c r="AD49" s="12" t="n">
        <v>0.02</v>
      </c>
      <c r="AF49" s="17" t="n">
        <f aca="false">FALSE()</f>
        <v>0</v>
      </c>
      <c r="AG49" s="17" t="n">
        <f aca="false">TRUE()</f>
        <v>1</v>
      </c>
      <c r="AH49" s="17"/>
      <c r="AI49" s="17"/>
      <c r="AJ49" s="17"/>
      <c r="AK49" s="17"/>
      <c r="AL49" s="17"/>
      <c r="AM49" s="17"/>
      <c r="AN49" s="17"/>
      <c r="AO49" s="17"/>
      <c r="AP49" s="12" t="s">
        <v>242</v>
      </c>
      <c r="AQ49" s="12" t="s">
        <v>398</v>
      </c>
    </row>
    <row r="50" customFormat="false" ht="12.95" hidden="false" customHeight="true" outlineLevel="2" collapsed="false">
      <c r="A50" s="14" t="str">
        <f aca="false">A49</f>
        <v>MENU-PFIT-CFIT-FMW-1</v>
      </c>
      <c r="B50" s="14" t="s">
        <v>399</v>
      </c>
      <c r="C50" s="14" t="str">
        <f aca="false">C49</f>
        <v>Current/New PFIT: Lower 1/6 To 1/3 Tax Elimination, CFIT, FMW (3.33% Annual Increase)</v>
      </c>
      <c r="D50" s="14" t="str">
        <f aca="false">D49</f>
        <v>Personal Tax Receipts (Average Current PFIT)</v>
      </c>
      <c r="E50" s="1" t="s">
        <v>262</v>
      </c>
      <c r="F50" s="1"/>
      <c r="G50" s="19" t="str">
        <f aca="false">G49</f>
        <v>PFIT-BRACKETS#4.C Current through New PFIT: Lower 1/6 Tax Elimination to Lower 1/3 Tax Elimination  
CFIT-BRACKETS#4.A New CFIT Brackets  
FMW#2.B - New FMW (Annual 3.33% Increase)  </v>
      </c>
      <c r="H50" s="14" t="str">
        <f aca="false">H49</f>
        <v>Scenario Analysis (Line Chart)</v>
      </c>
      <c r="I50" s="14" t="str">
        <f aca="false">I49</f>
        <v>Each scenario has corresponding data visualization, data table, and data summary analysis. Parameters, Measures, and Metrics define Chart Dimensions, Chart Line Groups, and Chart Line Group Lines respectively.</v>
      </c>
      <c r="J50" s="14" t="str">
        <f aca="false">J49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50" s="14" t="str">
        <f aca="false">K49</f>
        <v>Y-Axis: Personal Tax Receipts (Average Current PFIT)</v>
      </c>
      <c r="L50" s="14" t="str">
        <f aca="false">L49</f>
        <v>X-Axis: 20 Years</v>
      </c>
      <c r="M50" s="14" t="str">
        <f aca="false">M49</f>
        <v>New PFIT (Lower 1/6 To 1/3 Tax Elimination)  
New CFIT  
New FMW (Annual 3.33% Increase)</v>
      </c>
      <c r="N50" s="14" t="str">
        <f aca="false">N49</f>
        <v>Current PFIT  
Current CFIT
Current FMW</v>
      </c>
      <c r="O50" s="14" t="str">
        <f aca="false">O49</f>
        <v>Personal Tax Receipts: Average Current PFIT Brackets #1 through #7</v>
      </c>
      <c r="P50" s="14"/>
      <c r="Q50" s="14"/>
      <c r="R50" s="14"/>
      <c r="S50" s="14"/>
      <c r="T50" s="14"/>
      <c r="U50" s="14"/>
      <c r="V50" s="12" t="s">
        <v>400</v>
      </c>
      <c r="W50" s="12" t="s">
        <v>383</v>
      </c>
      <c r="X50" s="12" t="s">
        <v>247</v>
      </c>
      <c r="Y50" s="12" t="s">
        <v>401</v>
      </c>
      <c r="Z50" s="12" t="n">
        <v>0.01</v>
      </c>
      <c r="AA50" s="12" t="n">
        <v>-0.1</v>
      </c>
      <c r="AB50" s="12" t="n">
        <v>0.1</v>
      </c>
      <c r="AC50" s="12" t="n">
        <v>0.5</v>
      </c>
      <c r="AD50" s="12" t="n">
        <v>0.02</v>
      </c>
      <c r="AF50" s="17" t="n">
        <f aca="false">FALSE()</f>
        <v>0</v>
      </c>
      <c r="AG50" s="17" t="n">
        <f aca="false">TRUE()</f>
        <v>1</v>
      </c>
      <c r="AH50" s="17"/>
      <c r="AI50" s="17"/>
      <c r="AJ50" s="17"/>
      <c r="AK50" s="17"/>
      <c r="AL50" s="17"/>
      <c r="AM50" s="17"/>
      <c r="AN50" s="17"/>
      <c r="AO50" s="17"/>
      <c r="AP50" s="12" t="s">
        <v>242</v>
      </c>
      <c r="AQ50" s="12" t="s">
        <v>402</v>
      </c>
    </row>
    <row r="51" customFormat="false" ht="12.95" hidden="false" customHeight="true" outlineLevel="1" collapsed="false">
      <c r="A51" s="3" t="s">
        <v>157</v>
      </c>
      <c r="B51" s="3" t="s">
        <v>403</v>
      </c>
      <c r="C51" s="3" t="s">
        <v>373</v>
      </c>
      <c r="D51" s="3" t="s">
        <v>404</v>
      </c>
      <c r="H51" s="12"/>
      <c r="I51" s="12"/>
    </row>
    <row r="52" customFormat="false" ht="12.95" hidden="false" customHeight="true" outlineLevel="2" collapsed="false">
      <c r="A52" s="12" t="s">
        <v>157</v>
      </c>
      <c r="B52" s="12" t="s">
        <v>405</v>
      </c>
      <c r="C52" s="12" t="s">
        <v>373</v>
      </c>
      <c r="D52" s="12" t="s">
        <v>404</v>
      </c>
      <c r="E52" s="1" t="s">
        <v>229</v>
      </c>
      <c r="F52" s="1"/>
      <c r="G52" s="18" t="s">
        <v>230</v>
      </c>
      <c r="H52" s="1" t="s">
        <v>316</v>
      </c>
      <c r="I52" s="1" t="s">
        <v>378</v>
      </c>
      <c r="J52" s="1" t="s">
        <v>406</v>
      </c>
      <c r="K52" s="1" t="s">
        <v>407</v>
      </c>
      <c r="L52" s="1" t="s">
        <v>235</v>
      </c>
      <c r="M52" s="2" t="s">
        <v>236</v>
      </c>
      <c r="N52" s="2" t="s">
        <v>237</v>
      </c>
      <c r="O52" s="1" t="s">
        <v>408</v>
      </c>
      <c r="P52" s="1" t="s">
        <v>409</v>
      </c>
      <c r="Q52" s="1" t="s">
        <v>410</v>
      </c>
      <c r="R52" s="1" t="s">
        <v>411</v>
      </c>
      <c r="S52" s="1" t="s">
        <v>412</v>
      </c>
      <c r="T52" s="1" t="s">
        <v>413</v>
      </c>
      <c r="U52" s="1" t="s">
        <v>414</v>
      </c>
      <c r="V52" s="12" t="s">
        <v>415</v>
      </c>
      <c r="W52" s="12" t="s">
        <v>383</v>
      </c>
      <c r="X52" s="12" t="s">
        <v>292</v>
      </c>
      <c r="Y52" s="12" t="s">
        <v>416</v>
      </c>
      <c r="Z52" s="12" t="n">
        <v>0.02</v>
      </c>
      <c r="AA52" s="12" t="n">
        <v>0.5</v>
      </c>
      <c r="AB52" s="12" t="n">
        <v>0.3</v>
      </c>
      <c r="AC52" s="12" t="n">
        <v>1</v>
      </c>
      <c r="AD52" s="12" t="n">
        <v>0.02</v>
      </c>
      <c r="AF52" s="17" t="n">
        <f aca="false">TRUE()</f>
        <v>1</v>
      </c>
      <c r="AG52" s="17" t="n">
        <f aca="false">TRUE()</f>
        <v>1</v>
      </c>
      <c r="AH52" s="17"/>
      <c r="AI52" s="17"/>
      <c r="AJ52" s="17"/>
      <c r="AK52" s="17"/>
      <c r="AL52" s="17"/>
      <c r="AM52" s="17"/>
      <c r="AN52" s="17"/>
      <c r="AO52" s="17"/>
      <c r="AP52" s="12" t="s">
        <v>242</v>
      </c>
      <c r="AQ52" s="12" t="s">
        <v>417</v>
      </c>
    </row>
    <row r="53" customFormat="false" ht="12.95" hidden="false" customHeight="true" outlineLevel="2" collapsed="false">
      <c r="A53" s="14" t="s">
        <v>157</v>
      </c>
      <c r="B53" s="14" t="s">
        <v>418</v>
      </c>
      <c r="C53" s="14" t="s">
        <v>373</v>
      </c>
      <c r="D53" s="14" t="s">
        <v>404</v>
      </c>
      <c r="E53" s="1" t="s">
        <v>245</v>
      </c>
      <c r="F53" s="1"/>
      <c r="G53" s="2" t="s">
        <v>230</v>
      </c>
      <c r="H53" s="1" t="s">
        <v>316</v>
      </c>
      <c r="I53" s="1" t="s">
        <v>378</v>
      </c>
      <c r="J53" s="1" t="s">
        <v>406</v>
      </c>
      <c r="K53" s="1" t="s">
        <v>407</v>
      </c>
      <c r="L53" s="1" t="s">
        <v>235</v>
      </c>
      <c r="M53" s="2" t="s">
        <v>236</v>
      </c>
      <c r="N53" s="2" t="s">
        <v>237</v>
      </c>
      <c r="O53" s="1" t="s">
        <v>408</v>
      </c>
      <c r="P53" s="1" t="s">
        <v>409</v>
      </c>
      <c r="Q53" s="1" t="s">
        <v>410</v>
      </c>
      <c r="R53" s="1" t="s">
        <v>411</v>
      </c>
      <c r="S53" s="1" t="s">
        <v>412</v>
      </c>
      <c r="T53" s="1" t="s">
        <v>413</v>
      </c>
      <c r="U53" s="1" t="s">
        <v>414</v>
      </c>
      <c r="V53" s="12" t="s">
        <v>419</v>
      </c>
      <c r="W53" s="12" t="s">
        <v>383</v>
      </c>
      <c r="X53" s="12" t="s">
        <v>292</v>
      </c>
      <c r="Y53" s="12" t="s">
        <v>420</v>
      </c>
      <c r="Z53" s="12" t="n">
        <v>0.01</v>
      </c>
      <c r="AA53" s="12" t="n">
        <v>0.3</v>
      </c>
      <c r="AB53" s="12" t="n">
        <v>0.2</v>
      </c>
      <c r="AC53" s="12" t="n">
        <v>0.8</v>
      </c>
      <c r="AD53" s="12" t="n">
        <v>0.02</v>
      </c>
      <c r="AF53" s="17" t="n">
        <f aca="false">TRUE()</f>
        <v>1</v>
      </c>
      <c r="AG53" s="17" t="n">
        <f aca="false">TRUE()</f>
        <v>1</v>
      </c>
      <c r="AH53" s="17"/>
      <c r="AI53" s="17"/>
      <c r="AJ53" s="17"/>
      <c r="AK53" s="17"/>
      <c r="AL53" s="17"/>
      <c r="AM53" s="17"/>
      <c r="AN53" s="17"/>
      <c r="AO53" s="17"/>
      <c r="AP53" s="12" t="s">
        <v>242</v>
      </c>
      <c r="AQ53" s="12" t="s">
        <v>421</v>
      </c>
    </row>
    <row r="54" customFormat="false" ht="12.95" hidden="false" customHeight="true" outlineLevel="2" collapsed="false">
      <c r="A54" s="14" t="s">
        <v>157</v>
      </c>
      <c r="B54" s="14" t="s">
        <v>422</v>
      </c>
      <c r="C54" s="14" t="s">
        <v>373</v>
      </c>
      <c r="D54" s="14" t="s">
        <v>404</v>
      </c>
      <c r="E54" s="1" t="s">
        <v>251</v>
      </c>
      <c r="F54" s="1"/>
      <c r="G54" s="2" t="s">
        <v>230</v>
      </c>
      <c r="H54" s="1" t="s">
        <v>316</v>
      </c>
      <c r="I54" s="1" t="s">
        <v>378</v>
      </c>
      <c r="J54" s="1" t="s">
        <v>406</v>
      </c>
      <c r="K54" s="1" t="s">
        <v>407</v>
      </c>
      <c r="L54" s="1" t="s">
        <v>235</v>
      </c>
      <c r="M54" s="2" t="s">
        <v>236</v>
      </c>
      <c r="N54" s="2" t="s">
        <v>237</v>
      </c>
      <c r="O54" s="1" t="s">
        <v>408</v>
      </c>
      <c r="P54" s="1" t="s">
        <v>409</v>
      </c>
      <c r="Q54" s="1" t="s">
        <v>410</v>
      </c>
      <c r="R54" s="1" t="s">
        <v>411</v>
      </c>
      <c r="S54" s="1" t="s">
        <v>412</v>
      </c>
      <c r="T54" s="1" t="s">
        <v>413</v>
      </c>
      <c r="U54" s="1" t="s">
        <v>414</v>
      </c>
      <c r="V54" s="12" t="s">
        <v>423</v>
      </c>
      <c r="W54" s="12" t="s">
        <v>383</v>
      </c>
      <c r="X54" s="12" t="s">
        <v>292</v>
      </c>
      <c r="Y54" s="12" t="s">
        <v>424</v>
      </c>
      <c r="Z54" s="12" t="n">
        <v>0.02</v>
      </c>
      <c r="AA54" s="12" t="n">
        <v>0.5</v>
      </c>
      <c r="AB54" s="12" t="n">
        <v>0.3</v>
      </c>
      <c r="AC54" s="12" t="n">
        <v>1</v>
      </c>
      <c r="AD54" s="12" t="n">
        <v>0.02</v>
      </c>
      <c r="AE54" s="12" t="s">
        <v>254</v>
      </c>
      <c r="AF54" s="17" t="n">
        <f aca="false">TRUE()</f>
        <v>1</v>
      </c>
      <c r="AG54" s="17" t="n">
        <f aca="false">TRUE()</f>
        <v>1</v>
      </c>
      <c r="AH54" s="17"/>
      <c r="AI54" s="17"/>
      <c r="AJ54" s="17"/>
      <c r="AK54" s="17"/>
      <c r="AL54" s="17"/>
      <c r="AM54" s="17"/>
      <c r="AN54" s="17"/>
      <c r="AO54" s="17"/>
      <c r="AP54" s="12" t="s">
        <v>242</v>
      </c>
      <c r="AQ54" s="12" t="s">
        <v>425</v>
      </c>
    </row>
    <row r="55" customFormat="false" ht="12.95" hidden="false" customHeight="true" outlineLevel="2" collapsed="false">
      <c r="A55" s="14" t="s">
        <v>157</v>
      </c>
      <c r="B55" s="14" t="s">
        <v>426</v>
      </c>
      <c r="C55" s="14" t="s">
        <v>373</v>
      </c>
      <c r="D55" s="14" t="s">
        <v>404</v>
      </c>
      <c r="E55" s="1" t="s">
        <v>257</v>
      </c>
      <c r="F55" s="1"/>
      <c r="G55" s="2" t="s">
        <v>230</v>
      </c>
      <c r="H55" s="1" t="s">
        <v>316</v>
      </c>
      <c r="I55" s="1" t="s">
        <v>378</v>
      </c>
      <c r="J55" s="1" t="s">
        <v>406</v>
      </c>
      <c r="K55" s="1" t="s">
        <v>407</v>
      </c>
      <c r="L55" s="1" t="s">
        <v>235</v>
      </c>
      <c r="M55" s="2" t="s">
        <v>236</v>
      </c>
      <c r="N55" s="2" t="s">
        <v>237</v>
      </c>
      <c r="O55" s="1" t="s">
        <v>408</v>
      </c>
      <c r="P55" s="1" t="s">
        <v>409</v>
      </c>
      <c r="Q55" s="1" t="s">
        <v>410</v>
      </c>
      <c r="R55" s="1" t="s">
        <v>411</v>
      </c>
      <c r="S55" s="1" t="s">
        <v>412</v>
      </c>
      <c r="T55" s="1" t="s">
        <v>413</v>
      </c>
      <c r="U55" s="1" t="s">
        <v>414</v>
      </c>
      <c r="V55" s="12" t="s">
        <v>427</v>
      </c>
      <c r="W55" s="12" t="s">
        <v>383</v>
      </c>
      <c r="X55" s="12" t="s">
        <v>292</v>
      </c>
      <c r="Y55" s="12" t="s">
        <v>428</v>
      </c>
      <c r="Z55" s="12" t="n">
        <v>0.03</v>
      </c>
      <c r="AA55" s="12" t="n">
        <v>0.7</v>
      </c>
      <c r="AB55" s="12" t="n">
        <v>0.5</v>
      </c>
      <c r="AC55" s="12" t="n">
        <v>1.2</v>
      </c>
      <c r="AD55" s="12" t="n">
        <v>0.02</v>
      </c>
      <c r="AF55" s="17" t="n">
        <f aca="false">TRUE()</f>
        <v>1</v>
      </c>
      <c r="AG55" s="17" t="n">
        <f aca="false">TRUE()</f>
        <v>1</v>
      </c>
      <c r="AH55" s="17"/>
      <c r="AI55" s="17"/>
      <c r="AJ55" s="17"/>
      <c r="AK55" s="17"/>
      <c r="AL55" s="17"/>
      <c r="AM55" s="17"/>
      <c r="AN55" s="17"/>
      <c r="AO55" s="17"/>
      <c r="AP55" s="12" t="s">
        <v>242</v>
      </c>
      <c r="AQ55" s="12" t="s">
        <v>429</v>
      </c>
    </row>
    <row r="56" customFormat="false" ht="12.95" hidden="false" customHeight="true" outlineLevel="2" collapsed="false">
      <c r="A56" s="14" t="s">
        <v>157</v>
      </c>
      <c r="B56" s="14" t="s">
        <v>430</v>
      </c>
      <c r="C56" s="14" t="s">
        <v>373</v>
      </c>
      <c r="D56" s="14" t="s">
        <v>404</v>
      </c>
      <c r="E56" s="1" t="s">
        <v>262</v>
      </c>
      <c r="F56" s="1"/>
      <c r="G56" s="2" t="s">
        <v>230</v>
      </c>
      <c r="H56" s="1" t="s">
        <v>316</v>
      </c>
      <c r="I56" s="1" t="s">
        <v>378</v>
      </c>
      <c r="J56" s="1" t="s">
        <v>406</v>
      </c>
      <c r="K56" s="1" t="s">
        <v>407</v>
      </c>
      <c r="L56" s="1" t="s">
        <v>235</v>
      </c>
      <c r="M56" s="2" t="s">
        <v>236</v>
      </c>
      <c r="N56" s="2" t="s">
        <v>237</v>
      </c>
      <c r="O56" s="1" t="s">
        <v>408</v>
      </c>
      <c r="P56" s="1" t="s">
        <v>409</v>
      </c>
      <c r="Q56" s="1" t="s">
        <v>410</v>
      </c>
      <c r="R56" s="1" t="s">
        <v>411</v>
      </c>
      <c r="S56" s="1" t="s">
        <v>412</v>
      </c>
      <c r="T56" s="1" t="s">
        <v>413</v>
      </c>
      <c r="U56" s="1" t="s">
        <v>414</v>
      </c>
      <c r="V56" s="12" t="s">
        <v>431</v>
      </c>
      <c r="W56" s="12" t="s">
        <v>383</v>
      </c>
      <c r="X56" s="12" t="s">
        <v>292</v>
      </c>
      <c r="Y56" s="12" t="s">
        <v>432</v>
      </c>
      <c r="Z56" s="12" t="n">
        <v>0.01</v>
      </c>
      <c r="AA56" s="12" t="n">
        <v>-0.1</v>
      </c>
      <c r="AB56" s="12" t="n">
        <v>0.1</v>
      </c>
      <c r="AC56" s="12" t="n">
        <v>0.5</v>
      </c>
      <c r="AD56" s="12" t="n">
        <v>0.02</v>
      </c>
      <c r="AF56" s="17" t="n">
        <f aca="false">TRUE()</f>
        <v>1</v>
      </c>
      <c r="AG56" s="17" t="n">
        <f aca="false">TRUE()</f>
        <v>1</v>
      </c>
      <c r="AH56" s="17"/>
      <c r="AI56" s="17"/>
      <c r="AJ56" s="17"/>
      <c r="AK56" s="17"/>
      <c r="AL56" s="17"/>
      <c r="AM56" s="17"/>
      <c r="AN56" s="17"/>
      <c r="AO56" s="17"/>
      <c r="AP56" s="12" t="s">
        <v>242</v>
      </c>
      <c r="AQ56" s="12" t="s">
        <v>433</v>
      </c>
    </row>
    <row r="57" customFormat="false" ht="12.8" hidden="false" customHeight="false" outlineLevel="0" collapsed="false">
      <c r="A57" s="3" t="s">
        <v>157</v>
      </c>
      <c r="B57" s="3" t="s">
        <v>165</v>
      </c>
      <c r="C57" s="3" t="s">
        <v>220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customFormat="false" ht="12.8" hidden="false" customHeight="false" outlineLevel="1" collapsed="false">
      <c r="A58" s="3" t="s">
        <v>157</v>
      </c>
      <c r="B58" s="3" t="s">
        <v>434</v>
      </c>
      <c r="C58" s="3" t="s">
        <v>435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customFormat="false" ht="12.95" hidden="false" customHeight="true" outlineLevel="1" collapsed="false">
      <c r="A59" s="14" t="s">
        <v>157</v>
      </c>
      <c r="B59" s="1" t="s">
        <v>436</v>
      </c>
      <c r="C59" s="1" t="s">
        <v>373</v>
      </c>
      <c r="D59" s="1" t="s">
        <v>437</v>
      </c>
      <c r="E59" s="1"/>
      <c r="F59" s="1"/>
      <c r="G59" s="18"/>
      <c r="H59" s="1"/>
      <c r="I59" s="1"/>
      <c r="J59" s="1"/>
      <c r="K59" s="1"/>
      <c r="L59" s="1"/>
      <c r="M59" s="2"/>
      <c r="N59" s="2"/>
      <c r="O59" s="1"/>
      <c r="P59" s="1"/>
      <c r="Q59" s="1"/>
      <c r="R59" s="1"/>
      <c r="S59" s="1"/>
      <c r="T59" s="1"/>
      <c r="U59" s="1"/>
      <c r="V59" s="14"/>
      <c r="W59" s="14"/>
    </row>
    <row r="60" customFormat="false" ht="12.95" hidden="false" customHeight="true" outlineLevel="2" collapsed="false">
      <c r="A60" s="14" t="s">
        <v>157</v>
      </c>
      <c r="B60" s="1" t="s">
        <v>438</v>
      </c>
      <c r="C60" s="1" t="s">
        <v>373</v>
      </c>
      <c r="D60" s="1" t="s">
        <v>437</v>
      </c>
      <c r="E60" s="1"/>
      <c r="F60" s="1"/>
      <c r="G60" s="18" t="s">
        <v>230</v>
      </c>
      <c r="H60" s="1" t="s">
        <v>316</v>
      </c>
      <c r="I60" s="1" t="s">
        <v>378</v>
      </c>
      <c r="J60" s="1" t="s">
        <v>379</v>
      </c>
      <c r="K60" s="1" t="s">
        <v>439</v>
      </c>
      <c r="L60" s="1" t="s">
        <v>440</v>
      </c>
      <c r="M60" s="2" t="s">
        <v>236</v>
      </c>
      <c r="N60" s="2" t="s">
        <v>237</v>
      </c>
      <c r="O60" s="1" t="s">
        <v>437</v>
      </c>
      <c r="P60" s="1"/>
      <c r="Q60" s="1"/>
      <c r="R60" s="1"/>
      <c r="S60" s="1"/>
      <c r="T60" s="1"/>
      <c r="U60" s="1"/>
      <c r="V60" s="14"/>
      <c r="W60" s="14"/>
    </row>
    <row r="61" customFormat="false" ht="12.95" hidden="false" customHeight="true" outlineLevel="2" collapsed="false">
      <c r="A61" s="14" t="s">
        <v>157</v>
      </c>
      <c r="B61" s="1" t="s">
        <v>441</v>
      </c>
      <c r="C61" s="1" t="s">
        <v>373</v>
      </c>
      <c r="D61" s="1" t="s">
        <v>437</v>
      </c>
      <c r="E61" s="1"/>
      <c r="F61" s="1"/>
      <c r="G61" s="18" t="s">
        <v>230</v>
      </c>
      <c r="H61" s="1" t="s">
        <v>316</v>
      </c>
      <c r="I61" s="1" t="s">
        <v>378</v>
      </c>
      <c r="J61" s="1" t="s">
        <v>379</v>
      </c>
      <c r="K61" s="1" t="s">
        <v>439</v>
      </c>
      <c r="L61" s="1" t="s">
        <v>440</v>
      </c>
      <c r="M61" s="2" t="s">
        <v>236</v>
      </c>
      <c r="N61" s="2" t="s">
        <v>237</v>
      </c>
      <c r="O61" s="1" t="s">
        <v>437</v>
      </c>
      <c r="P61" s="1"/>
      <c r="Q61" s="1"/>
      <c r="R61" s="1"/>
      <c r="S61" s="1"/>
      <c r="T61" s="1"/>
      <c r="U61" s="1"/>
      <c r="V61" s="14"/>
      <c r="W61" s="14"/>
    </row>
    <row r="62" customFormat="false" ht="12.95" hidden="false" customHeight="true" outlineLevel="2" collapsed="false">
      <c r="A62" s="14" t="s">
        <v>157</v>
      </c>
      <c r="B62" s="1" t="s">
        <v>442</v>
      </c>
      <c r="C62" s="1" t="s">
        <v>373</v>
      </c>
      <c r="D62" s="1" t="s">
        <v>437</v>
      </c>
      <c r="E62" s="1"/>
      <c r="F62" s="1"/>
      <c r="G62" s="18" t="s">
        <v>230</v>
      </c>
      <c r="H62" s="1" t="s">
        <v>316</v>
      </c>
      <c r="I62" s="1" t="s">
        <v>378</v>
      </c>
      <c r="J62" s="1" t="s">
        <v>379</v>
      </c>
      <c r="K62" s="1" t="s">
        <v>439</v>
      </c>
      <c r="L62" s="1" t="s">
        <v>440</v>
      </c>
      <c r="M62" s="2" t="s">
        <v>236</v>
      </c>
      <c r="N62" s="2" t="s">
        <v>237</v>
      </c>
      <c r="O62" s="1" t="s">
        <v>437</v>
      </c>
      <c r="P62" s="1"/>
      <c r="Q62" s="1"/>
      <c r="R62" s="1"/>
      <c r="S62" s="1"/>
      <c r="T62" s="1"/>
      <c r="U62" s="1"/>
      <c r="V62" s="14"/>
      <c r="W62" s="14"/>
    </row>
    <row r="63" customFormat="false" ht="12.95" hidden="false" customHeight="true" outlineLevel="2" collapsed="false">
      <c r="A63" s="14" t="s">
        <v>157</v>
      </c>
      <c r="B63" s="1" t="s">
        <v>443</v>
      </c>
      <c r="C63" s="1" t="s">
        <v>373</v>
      </c>
      <c r="D63" s="1" t="s">
        <v>437</v>
      </c>
      <c r="E63" s="1"/>
      <c r="F63" s="1"/>
      <c r="G63" s="18" t="s">
        <v>230</v>
      </c>
      <c r="H63" s="1" t="s">
        <v>316</v>
      </c>
      <c r="I63" s="1" t="s">
        <v>378</v>
      </c>
      <c r="J63" s="1" t="s">
        <v>379</v>
      </c>
      <c r="K63" s="1" t="s">
        <v>439</v>
      </c>
      <c r="L63" s="1" t="s">
        <v>440</v>
      </c>
      <c r="M63" s="2" t="s">
        <v>236</v>
      </c>
      <c r="N63" s="2" t="s">
        <v>237</v>
      </c>
      <c r="O63" s="1" t="s">
        <v>437</v>
      </c>
      <c r="P63" s="1"/>
      <c r="Q63" s="1"/>
      <c r="R63" s="1"/>
      <c r="S63" s="1"/>
      <c r="T63" s="1"/>
      <c r="U63" s="1"/>
      <c r="V63" s="14"/>
      <c r="W63" s="14"/>
    </row>
    <row r="64" customFormat="false" ht="12.95" hidden="false" customHeight="true" outlineLevel="2" collapsed="false">
      <c r="A64" s="14" t="s">
        <v>157</v>
      </c>
      <c r="B64" s="1" t="s">
        <v>444</v>
      </c>
      <c r="C64" s="1" t="s">
        <v>373</v>
      </c>
      <c r="D64" s="1" t="s">
        <v>437</v>
      </c>
      <c r="E64" s="1"/>
      <c r="F64" s="1"/>
      <c r="G64" s="18" t="s">
        <v>230</v>
      </c>
      <c r="H64" s="1" t="s">
        <v>316</v>
      </c>
      <c r="I64" s="1" t="s">
        <v>378</v>
      </c>
      <c r="J64" s="1" t="s">
        <v>379</v>
      </c>
      <c r="K64" s="1" t="s">
        <v>439</v>
      </c>
      <c r="L64" s="1" t="s">
        <v>440</v>
      </c>
      <c r="M64" s="2" t="s">
        <v>236</v>
      </c>
      <c r="N64" s="2" t="s">
        <v>237</v>
      </c>
      <c r="O64" s="1" t="s">
        <v>437</v>
      </c>
      <c r="P64" s="1"/>
      <c r="Q64" s="1"/>
      <c r="R64" s="1"/>
      <c r="S64" s="1"/>
      <c r="T64" s="1"/>
      <c r="U64" s="1"/>
      <c r="V64" s="14"/>
      <c r="W64" s="14"/>
    </row>
    <row r="65" customFormat="false" ht="12.8" hidden="false" customHeight="false" outlineLevel="1" collapsed="false">
      <c r="A65" s="3" t="s">
        <v>157</v>
      </c>
      <c r="B65" s="3" t="s">
        <v>445</v>
      </c>
      <c r="C65" s="3" t="s">
        <v>435</v>
      </c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customFormat="false" ht="12.95" hidden="false" customHeight="true" outlineLevel="1" collapsed="false">
      <c r="A66" s="14" t="s">
        <v>157</v>
      </c>
      <c r="B66" s="1" t="s">
        <v>446</v>
      </c>
      <c r="C66" s="1" t="s">
        <v>373</v>
      </c>
      <c r="D66" s="1" t="s">
        <v>447</v>
      </c>
      <c r="E66" s="1"/>
      <c r="F66" s="1"/>
      <c r="G66" s="18"/>
      <c r="H66" s="1"/>
      <c r="I66" s="1"/>
      <c r="J66" s="1"/>
      <c r="K66" s="1"/>
      <c r="L66" s="1"/>
      <c r="M66" s="2"/>
      <c r="N66" s="2"/>
      <c r="O66" s="1"/>
      <c r="P66" s="1"/>
      <c r="Q66" s="1"/>
      <c r="R66" s="1"/>
      <c r="S66" s="1"/>
      <c r="T66" s="1"/>
      <c r="U66" s="1"/>
    </row>
    <row r="67" customFormat="false" ht="12.95" hidden="false" customHeight="true" outlineLevel="2" collapsed="false">
      <c r="A67" s="14" t="s">
        <v>157</v>
      </c>
      <c r="B67" s="1" t="s">
        <v>448</v>
      </c>
      <c r="C67" s="1" t="s">
        <v>373</v>
      </c>
      <c r="D67" s="1" t="s">
        <v>447</v>
      </c>
      <c r="E67" s="1"/>
      <c r="F67" s="1"/>
      <c r="G67" s="18" t="s">
        <v>230</v>
      </c>
      <c r="H67" s="1" t="s">
        <v>316</v>
      </c>
      <c r="I67" s="1" t="s">
        <v>378</v>
      </c>
      <c r="J67" s="1" t="s">
        <v>379</v>
      </c>
      <c r="K67" s="1" t="s">
        <v>449</v>
      </c>
      <c r="L67" s="1" t="s">
        <v>440</v>
      </c>
      <c r="M67" s="2" t="s">
        <v>236</v>
      </c>
      <c r="N67" s="2" t="s">
        <v>237</v>
      </c>
      <c r="O67" s="1" t="s">
        <v>447</v>
      </c>
      <c r="P67" s="1"/>
      <c r="Q67" s="1"/>
      <c r="R67" s="1"/>
      <c r="S67" s="1"/>
      <c r="T67" s="1"/>
      <c r="U67" s="1"/>
      <c r="V67" s="14"/>
      <c r="W67" s="14"/>
    </row>
    <row r="68" customFormat="false" ht="12.95" hidden="false" customHeight="true" outlineLevel="2" collapsed="false">
      <c r="A68" s="14" t="s">
        <v>157</v>
      </c>
      <c r="B68" s="1" t="s">
        <v>450</v>
      </c>
      <c r="C68" s="1" t="s">
        <v>373</v>
      </c>
      <c r="D68" s="1" t="s">
        <v>447</v>
      </c>
      <c r="E68" s="1"/>
      <c r="F68" s="1"/>
      <c r="G68" s="18" t="s">
        <v>230</v>
      </c>
      <c r="H68" s="1" t="s">
        <v>316</v>
      </c>
      <c r="I68" s="1" t="s">
        <v>378</v>
      </c>
      <c r="J68" s="1" t="s">
        <v>379</v>
      </c>
      <c r="K68" s="1" t="s">
        <v>449</v>
      </c>
      <c r="L68" s="1" t="s">
        <v>440</v>
      </c>
      <c r="M68" s="2" t="s">
        <v>236</v>
      </c>
      <c r="N68" s="2" t="s">
        <v>237</v>
      </c>
      <c r="O68" s="1" t="s">
        <v>447</v>
      </c>
      <c r="V68" s="14"/>
      <c r="W68" s="14"/>
    </row>
    <row r="69" customFormat="false" ht="12.95" hidden="false" customHeight="true" outlineLevel="2" collapsed="false">
      <c r="A69" s="14" t="s">
        <v>157</v>
      </c>
      <c r="B69" s="1" t="s">
        <v>451</v>
      </c>
      <c r="C69" s="1" t="s">
        <v>373</v>
      </c>
      <c r="D69" s="1" t="s">
        <v>447</v>
      </c>
      <c r="E69" s="1"/>
      <c r="F69" s="1"/>
      <c r="G69" s="18" t="s">
        <v>230</v>
      </c>
      <c r="H69" s="1" t="s">
        <v>316</v>
      </c>
      <c r="I69" s="1" t="s">
        <v>378</v>
      </c>
      <c r="J69" s="1" t="s">
        <v>379</v>
      </c>
      <c r="K69" s="1" t="s">
        <v>449</v>
      </c>
      <c r="L69" s="1" t="s">
        <v>440</v>
      </c>
      <c r="M69" s="2" t="s">
        <v>236</v>
      </c>
      <c r="N69" s="2" t="s">
        <v>237</v>
      </c>
      <c r="O69" s="1" t="s">
        <v>447</v>
      </c>
      <c r="V69" s="14"/>
      <c r="W69" s="14"/>
    </row>
    <row r="70" customFormat="false" ht="12.95" hidden="false" customHeight="true" outlineLevel="2" collapsed="false">
      <c r="A70" s="14" t="s">
        <v>157</v>
      </c>
      <c r="B70" s="1" t="s">
        <v>452</v>
      </c>
      <c r="C70" s="1" t="s">
        <v>373</v>
      </c>
      <c r="D70" s="1" t="s">
        <v>447</v>
      </c>
      <c r="E70" s="1"/>
      <c r="F70" s="1"/>
      <c r="G70" s="18" t="s">
        <v>230</v>
      </c>
      <c r="H70" s="1" t="s">
        <v>316</v>
      </c>
      <c r="I70" s="1" t="s">
        <v>378</v>
      </c>
      <c r="J70" s="1" t="s">
        <v>379</v>
      </c>
      <c r="K70" s="1" t="s">
        <v>449</v>
      </c>
      <c r="L70" s="1" t="s">
        <v>440</v>
      </c>
      <c r="M70" s="2" t="s">
        <v>236</v>
      </c>
      <c r="N70" s="2" t="s">
        <v>237</v>
      </c>
      <c r="O70" s="1" t="s">
        <v>447</v>
      </c>
    </row>
    <row r="71" customFormat="false" ht="12.95" hidden="false" customHeight="true" outlineLevel="2" collapsed="false">
      <c r="A71" s="14" t="s">
        <v>157</v>
      </c>
      <c r="B71" s="1" t="s">
        <v>453</v>
      </c>
      <c r="C71" s="1" t="s">
        <v>373</v>
      </c>
      <c r="D71" s="1" t="s">
        <v>447</v>
      </c>
      <c r="E71" s="1"/>
      <c r="F71" s="1"/>
      <c r="G71" s="18" t="s">
        <v>230</v>
      </c>
      <c r="H71" s="1" t="s">
        <v>316</v>
      </c>
      <c r="I71" s="1" t="s">
        <v>378</v>
      </c>
      <c r="J71" s="1" t="s">
        <v>379</v>
      </c>
      <c r="K71" s="1" t="s">
        <v>449</v>
      </c>
      <c r="L71" s="1" t="s">
        <v>440</v>
      </c>
      <c r="M71" s="2" t="s">
        <v>236</v>
      </c>
      <c r="N71" s="2" t="s">
        <v>237</v>
      </c>
      <c r="O71" s="1" t="s">
        <v>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0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4" activeCellId="0" sqref="C4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4" width="35.29"/>
    <col collapsed="false" customWidth="true" hidden="false" outlineLevel="0" max="3" min="3" style="14" width="35.25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" width="29.97"/>
    <col collapsed="false" customWidth="true" hidden="false" outlineLevel="1" max="8" min="8" style="1" width="16.14"/>
    <col collapsed="false" customWidth="true" hidden="false" outlineLevel="0" max="9" min="9" style="1" width="16.14"/>
    <col collapsed="false" customWidth="true" hidden="false" outlineLevel="1" max="10" min="10" style="1" width="16.14"/>
    <col collapsed="false" customWidth="true" hidden="false" outlineLevel="0" max="11" min="11" style="1" width="16.14"/>
    <col collapsed="false" customWidth="true" hidden="false" outlineLevel="1" max="12" min="12" style="1" width="16.14"/>
    <col collapsed="false" customWidth="true" hidden="false" outlineLevel="1" max="16" min="13" style="1" width="15.57"/>
    <col collapsed="false" customWidth="true" hidden="false" outlineLevel="1" max="17" min="17" style="1" width="17.88"/>
    <col collapsed="false" customWidth="true" hidden="false" outlineLevel="0" max="18" min="18" style="1" width="13.26"/>
    <col collapsed="false" customWidth="true" hidden="false" outlineLevel="1" max="22" min="19" style="1" width="13.83"/>
    <col collapsed="false" customWidth="true" hidden="false" outlineLevel="0" max="23" min="23" style="1" width="9.21"/>
    <col collapsed="false" customWidth="false" hidden="false" outlineLevel="0" max="27" min="26" style="14" width="11.53"/>
    <col collapsed="false" customWidth="false" hidden="false" outlineLevel="0" max="16384" min="41" style="14" width="11.53"/>
  </cols>
  <sheetData>
    <row r="1" customFormat="false" ht="12.95" hidden="false" customHeight="true" outlineLevel="0" collapsed="false">
      <c r="A1" s="3" t="s">
        <v>79</v>
      </c>
      <c r="B1" s="1"/>
      <c r="C1" s="1"/>
      <c r="W1" s="3" t="s">
        <v>79</v>
      </c>
      <c r="X1" s="12"/>
      <c r="Y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customFormat="fals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186</v>
      </c>
      <c r="H2" s="3" t="s">
        <v>187</v>
      </c>
      <c r="I2" s="3" t="s">
        <v>188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193</v>
      </c>
      <c r="O2" s="3" t="s">
        <v>194</v>
      </c>
      <c r="P2" s="3" t="s">
        <v>195</v>
      </c>
      <c r="Q2" s="3" t="s">
        <v>196</v>
      </c>
      <c r="R2" s="3" t="s">
        <v>454</v>
      </c>
      <c r="S2" s="3" t="s">
        <v>455</v>
      </c>
      <c r="T2" s="3" t="s">
        <v>456</v>
      </c>
      <c r="U2" s="3" t="s">
        <v>457</v>
      </c>
      <c r="V2" s="3" t="s">
        <v>458</v>
      </c>
      <c r="W2" s="3" t="s">
        <v>177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customFormat="false" ht="12.95" hidden="false" customHeight="true" outlineLevel="0" collapsed="false">
      <c r="A3" s="1" t="s">
        <v>1</v>
      </c>
      <c r="B3" s="1" t="s">
        <v>7</v>
      </c>
      <c r="C3" s="1" t="s">
        <v>463</v>
      </c>
      <c r="W3" s="1" t="s">
        <v>1</v>
      </c>
      <c r="X3" s="12"/>
      <c r="Y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customFormat="false" ht="12.95" hidden="false" customHeight="true" outlineLevel="1" collapsed="false">
      <c r="A4" s="1" t="s">
        <v>464</v>
      </c>
      <c r="B4" s="1" t="s">
        <v>465</v>
      </c>
      <c r="C4" s="1" t="s">
        <v>225</v>
      </c>
      <c r="W4" s="1" t="s">
        <v>464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customFormat="false" ht="12.95" hidden="false" customHeight="true" outlineLevel="2" collapsed="false">
      <c r="A5" s="1" t="s">
        <v>466</v>
      </c>
      <c r="B5" s="1" t="s">
        <v>467</v>
      </c>
      <c r="C5" s="1" t="s">
        <v>225</v>
      </c>
      <c r="D5" s="1" t="s">
        <v>316</v>
      </c>
      <c r="E5" s="1" t="s">
        <v>281</v>
      </c>
      <c r="F5" s="2" t="s">
        <v>233</v>
      </c>
      <c r="G5" s="1" t="s">
        <v>468</v>
      </c>
      <c r="H5" s="1" t="s">
        <v>440</v>
      </c>
      <c r="I5" s="1" t="s">
        <v>469</v>
      </c>
      <c r="J5" s="1" t="s">
        <v>28</v>
      </c>
      <c r="K5" s="1" t="s">
        <v>470</v>
      </c>
      <c r="R5" s="1" t="s">
        <v>471</v>
      </c>
      <c r="S5" s="1" t="s">
        <v>472</v>
      </c>
      <c r="T5" s="1" t="s">
        <v>473</v>
      </c>
      <c r="U5" s="1" t="s">
        <v>474</v>
      </c>
      <c r="V5" s="1" t="s">
        <v>475</v>
      </c>
      <c r="W5" s="1" t="s">
        <v>466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customFormat="false" ht="12.95" hidden="false" customHeight="true" outlineLevel="2" collapsed="false">
      <c r="A6" s="1" t="s">
        <v>476</v>
      </c>
      <c r="B6" s="1" t="s">
        <v>477</v>
      </c>
      <c r="C6" s="1" t="s">
        <v>225</v>
      </c>
      <c r="D6" s="1" t="s">
        <v>316</v>
      </c>
      <c r="E6" s="1" t="s">
        <v>281</v>
      </c>
      <c r="F6" s="2" t="s">
        <v>233</v>
      </c>
      <c r="G6" s="1" t="s">
        <v>468</v>
      </c>
      <c r="H6" s="1" t="s">
        <v>440</v>
      </c>
      <c r="I6" s="1" t="s">
        <v>469</v>
      </c>
      <c r="J6" s="1" t="s">
        <v>28</v>
      </c>
      <c r="K6" s="1" t="s">
        <v>470</v>
      </c>
      <c r="R6" s="1" t="s">
        <v>471</v>
      </c>
      <c r="S6" s="1" t="s">
        <v>472</v>
      </c>
      <c r="T6" s="1" t="s">
        <v>473</v>
      </c>
      <c r="U6" s="1" t="s">
        <v>474</v>
      </c>
      <c r="V6" s="1" t="s">
        <v>475</v>
      </c>
      <c r="W6" s="1" t="s">
        <v>476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customFormat="false" ht="12.95" hidden="false" customHeight="true" outlineLevel="2" collapsed="false">
      <c r="A7" s="1" t="s">
        <v>478</v>
      </c>
      <c r="B7" s="1" t="s">
        <v>479</v>
      </c>
      <c r="C7" s="1" t="s">
        <v>225</v>
      </c>
      <c r="D7" s="1" t="s">
        <v>316</v>
      </c>
      <c r="E7" s="1" t="s">
        <v>281</v>
      </c>
      <c r="F7" s="2" t="s">
        <v>233</v>
      </c>
      <c r="G7" s="1" t="s">
        <v>468</v>
      </c>
      <c r="H7" s="1" t="s">
        <v>440</v>
      </c>
      <c r="I7" s="1" t="s">
        <v>469</v>
      </c>
      <c r="J7" s="1" t="s">
        <v>28</v>
      </c>
      <c r="K7" s="1" t="s">
        <v>470</v>
      </c>
      <c r="R7" s="1" t="s">
        <v>471</v>
      </c>
      <c r="S7" s="1" t="s">
        <v>472</v>
      </c>
      <c r="T7" s="1" t="s">
        <v>473</v>
      </c>
      <c r="U7" s="1" t="s">
        <v>474</v>
      </c>
      <c r="V7" s="1" t="s">
        <v>475</v>
      </c>
      <c r="W7" s="1" t="s">
        <v>478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customFormat="false" ht="12.95" hidden="false" customHeight="true" outlineLevel="1" collapsed="false">
      <c r="A8" s="1" t="s">
        <v>480</v>
      </c>
      <c r="B8" s="1" t="s">
        <v>465</v>
      </c>
      <c r="C8" s="1" t="s">
        <v>279</v>
      </c>
      <c r="W8" s="1" t="s">
        <v>480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customFormat="false" ht="12.95" hidden="false" customHeight="true" outlineLevel="2" collapsed="false">
      <c r="A9" s="1" t="s">
        <v>481</v>
      </c>
      <c r="B9" s="1" t="s">
        <v>467</v>
      </c>
      <c r="C9" s="1" t="s">
        <v>279</v>
      </c>
      <c r="D9" s="1" t="s">
        <v>316</v>
      </c>
      <c r="E9" s="1" t="s">
        <v>281</v>
      </c>
      <c r="F9" s="2" t="s">
        <v>482</v>
      </c>
      <c r="G9" s="1" t="s">
        <v>468</v>
      </c>
      <c r="H9" s="1" t="s">
        <v>440</v>
      </c>
      <c r="I9" s="1" t="s">
        <v>469</v>
      </c>
      <c r="J9" s="1" t="s">
        <v>28</v>
      </c>
      <c r="K9" s="1" t="s">
        <v>483</v>
      </c>
      <c r="L9" s="1" t="s">
        <v>484</v>
      </c>
      <c r="M9" s="1" t="s">
        <v>485</v>
      </c>
      <c r="N9" s="1" t="s">
        <v>486</v>
      </c>
      <c r="O9" s="1" t="s">
        <v>487</v>
      </c>
      <c r="P9" s="1" t="s">
        <v>488</v>
      </c>
      <c r="Q9" s="1" t="s">
        <v>489</v>
      </c>
      <c r="R9" s="1" t="s">
        <v>471</v>
      </c>
      <c r="S9" s="1" t="s">
        <v>472</v>
      </c>
      <c r="T9" s="1" t="s">
        <v>473</v>
      </c>
      <c r="U9" s="1" t="s">
        <v>474</v>
      </c>
      <c r="V9" s="1" t="s">
        <v>475</v>
      </c>
      <c r="W9" s="1" t="s">
        <v>481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customFormat="false" ht="12.95" hidden="false" customHeight="true" outlineLevel="2" collapsed="false">
      <c r="A10" s="1" t="s">
        <v>490</v>
      </c>
      <c r="B10" s="1" t="s">
        <v>477</v>
      </c>
      <c r="C10" s="1" t="s">
        <v>279</v>
      </c>
      <c r="D10" s="1" t="s">
        <v>316</v>
      </c>
      <c r="E10" s="1" t="s">
        <v>281</v>
      </c>
      <c r="F10" s="2" t="s">
        <v>482</v>
      </c>
      <c r="G10" s="1" t="s">
        <v>468</v>
      </c>
      <c r="H10" s="1" t="s">
        <v>440</v>
      </c>
      <c r="I10" s="1" t="s">
        <v>469</v>
      </c>
      <c r="J10" s="1" t="s">
        <v>28</v>
      </c>
      <c r="K10" s="1" t="s">
        <v>483</v>
      </c>
      <c r="L10" s="1" t="s">
        <v>484</v>
      </c>
      <c r="M10" s="1" t="s">
        <v>485</v>
      </c>
      <c r="N10" s="1" t="s">
        <v>486</v>
      </c>
      <c r="O10" s="1" t="s">
        <v>487</v>
      </c>
      <c r="P10" s="1" t="s">
        <v>488</v>
      </c>
      <c r="Q10" s="1" t="s">
        <v>489</v>
      </c>
      <c r="R10" s="1" t="s">
        <v>471</v>
      </c>
      <c r="S10" s="1" t="s">
        <v>472</v>
      </c>
      <c r="T10" s="1" t="s">
        <v>473</v>
      </c>
      <c r="U10" s="1" t="s">
        <v>474</v>
      </c>
      <c r="V10" s="1" t="s">
        <v>475</v>
      </c>
      <c r="W10" s="1" t="s">
        <v>490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customFormat="false" ht="12.95" hidden="false" customHeight="true" outlineLevel="2" collapsed="false">
      <c r="A11" s="1" t="s">
        <v>491</v>
      </c>
      <c r="B11" s="1" t="s">
        <v>479</v>
      </c>
      <c r="C11" s="1" t="s">
        <v>279</v>
      </c>
      <c r="D11" s="1" t="s">
        <v>316</v>
      </c>
      <c r="E11" s="1" t="s">
        <v>281</v>
      </c>
      <c r="F11" s="2" t="s">
        <v>482</v>
      </c>
      <c r="G11" s="1" t="s">
        <v>468</v>
      </c>
      <c r="H11" s="1" t="s">
        <v>440</v>
      </c>
      <c r="I11" s="1" t="s">
        <v>469</v>
      </c>
      <c r="J11" s="1" t="s">
        <v>28</v>
      </c>
      <c r="K11" s="1" t="s">
        <v>483</v>
      </c>
      <c r="L11" s="1" t="s">
        <v>484</v>
      </c>
      <c r="M11" s="1" t="s">
        <v>485</v>
      </c>
      <c r="N11" s="1" t="s">
        <v>486</v>
      </c>
      <c r="O11" s="1" t="s">
        <v>487</v>
      </c>
      <c r="P11" s="1" t="s">
        <v>488</v>
      </c>
      <c r="Q11" s="1" t="s">
        <v>489</v>
      </c>
      <c r="R11" s="1" t="s">
        <v>471</v>
      </c>
      <c r="S11" s="1" t="s">
        <v>472</v>
      </c>
      <c r="T11" s="1" t="s">
        <v>473</v>
      </c>
      <c r="U11" s="1" t="s">
        <v>474</v>
      </c>
      <c r="V11" s="1" t="s">
        <v>475</v>
      </c>
      <c r="W11" s="1" t="s">
        <v>491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customFormat="false" ht="12.95" hidden="false" customHeight="true" outlineLevel="1" collapsed="false">
      <c r="A12" s="1" t="s">
        <v>492</v>
      </c>
      <c r="B12" s="1" t="s">
        <v>465</v>
      </c>
      <c r="C12" s="1" t="s">
        <v>493</v>
      </c>
      <c r="W12" s="1" t="s">
        <v>492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customFormat="false" ht="12.95" hidden="false" customHeight="true" outlineLevel="2" collapsed="false">
      <c r="A13" s="1" t="s">
        <v>494</v>
      </c>
      <c r="B13" s="1" t="s">
        <v>467</v>
      </c>
      <c r="C13" s="1" t="s">
        <v>493</v>
      </c>
      <c r="D13" s="1" t="s">
        <v>316</v>
      </c>
      <c r="E13" s="1" t="s">
        <v>281</v>
      </c>
      <c r="F13" s="2" t="s">
        <v>233</v>
      </c>
      <c r="G13" s="1" t="s">
        <v>495</v>
      </c>
      <c r="H13" s="1" t="s">
        <v>440</v>
      </c>
      <c r="I13" s="1" t="s">
        <v>469</v>
      </c>
      <c r="J13" s="1" t="s">
        <v>28</v>
      </c>
      <c r="K13" s="1" t="s">
        <v>225</v>
      </c>
      <c r="R13" s="1" t="s">
        <v>471</v>
      </c>
      <c r="S13" s="1" t="s">
        <v>472</v>
      </c>
      <c r="T13" s="1" t="s">
        <v>473</v>
      </c>
      <c r="U13" s="1" t="s">
        <v>474</v>
      </c>
      <c r="V13" s="1" t="s">
        <v>475</v>
      </c>
      <c r="W13" s="1" t="s">
        <v>494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customFormat="false" ht="12.95" hidden="false" customHeight="true" outlineLevel="2" collapsed="false">
      <c r="A14" s="1" t="s">
        <v>496</v>
      </c>
      <c r="B14" s="1" t="s">
        <v>477</v>
      </c>
      <c r="C14" s="1" t="s">
        <v>493</v>
      </c>
      <c r="D14" s="1" t="s">
        <v>316</v>
      </c>
      <c r="E14" s="1" t="s">
        <v>281</v>
      </c>
      <c r="F14" s="2" t="s">
        <v>233</v>
      </c>
      <c r="G14" s="1" t="s">
        <v>495</v>
      </c>
      <c r="H14" s="1" t="s">
        <v>440</v>
      </c>
      <c r="I14" s="1" t="s">
        <v>469</v>
      </c>
      <c r="J14" s="1" t="s">
        <v>28</v>
      </c>
      <c r="K14" s="1" t="s">
        <v>225</v>
      </c>
      <c r="R14" s="1" t="s">
        <v>471</v>
      </c>
      <c r="S14" s="1" t="s">
        <v>472</v>
      </c>
      <c r="T14" s="1" t="s">
        <v>473</v>
      </c>
      <c r="U14" s="1" t="s">
        <v>474</v>
      </c>
      <c r="V14" s="1" t="s">
        <v>475</v>
      </c>
      <c r="W14" s="1" t="s">
        <v>496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customFormat="false" ht="12.95" hidden="false" customHeight="true" outlineLevel="2" collapsed="false">
      <c r="A15" s="1" t="s">
        <v>497</v>
      </c>
      <c r="B15" s="1" t="s">
        <v>479</v>
      </c>
      <c r="C15" s="1" t="s">
        <v>493</v>
      </c>
      <c r="D15" s="1" t="s">
        <v>316</v>
      </c>
      <c r="E15" s="1" t="s">
        <v>281</v>
      </c>
      <c r="F15" s="2" t="s">
        <v>233</v>
      </c>
      <c r="G15" s="1" t="s">
        <v>495</v>
      </c>
      <c r="H15" s="1" t="s">
        <v>440</v>
      </c>
      <c r="I15" s="1" t="s">
        <v>469</v>
      </c>
      <c r="J15" s="1" t="s">
        <v>28</v>
      </c>
      <c r="K15" s="1" t="s">
        <v>225</v>
      </c>
      <c r="R15" s="1" t="s">
        <v>471</v>
      </c>
      <c r="S15" s="1" t="s">
        <v>472</v>
      </c>
      <c r="T15" s="1" t="s">
        <v>473</v>
      </c>
      <c r="U15" s="1" t="s">
        <v>474</v>
      </c>
      <c r="V15" s="1" t="s">
        <v>475</v>
      </c>
      <c r="W15" s="1" t="s">
        <v>497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customFormat="false" ht="12.95" hidden="false" customHeight="true" outlineLevel="1" collapsed="false">
      <c r="A16" s="1" t="s">
        <v>498</v>
      </c>
      <c r="B16" s="1" t="s">
        <v>465</v>
      </c>
      <c r="C16" s="1" t="s">
        <v>499</v>
      </c>
      <c r="W16" s="1" t="s">
        <v>498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customFormat="false" ht="12.95" hidden="false" customHeight="true" outlineLevel="2" collapsed="false">
      <c r="A17" s="1" t="s">
        <v>500</v>
      </c>
      <c r="B17" s="1" t="s">
        <v>467</v>
      </c>
      <c r="C17" s="1" t="s">
        <v>499</v>
      </c>
      <c r="D17" s="1" t="s">
        <v>316</v>
      </c>
      <c r="E17" s="1" t="s">
        <v>281</v>
      </c>
      <c r="F17" s="2" t="s">
        <v>482</v>
      </c>
      <c r="G17" s="1" t="s">
        <v>495</v>
      </c>
      <c r="H17" s="1" t="s">
        <v>440</v>
      </c>
      <c r="I17" s="1" t="s">
        <v>469</v>
      </c>
      <c r="J17" s="1" t="s">
        <v>28</v>
      </c>
      <c r="K17" s="1" t="s">
        <v>501</v>
      </c>
      <c r="L17" s="1" t="s">
        <v>502</v>
      </c>
      <c r="M17" s="1" t="s">
        <v>503</v>
      </c>
      <c r="N17" s="1" t="s">
        <v>504</v>
      </c>
      <c r="O17" s="1" t="s">
        <v>505</v>
      </c>
      <c r="P17" s="1" t="s">
        <v>506</v>
      </c>
      <c r="Q17" s="1" t="s">
        <v>507</v>
      </c>
      <c r="R17" s="1" t="s">
        <v>471</v>
      </c>
      <c r="S17" s="1" t="s">
        <v>472</v>
      </c>
      <c r="T17" s="1" t="s">
        <v>473</v>
      </c>
      <c r="U17" s="1" t="s">
        <v>474</v>
      </c>
      <c r="V17" s="1" t="s">
        <v>475</v>
      </c>
      <c r="W17" s="1" t="s">
        <v>500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customFormat="false" ht="12.95" hidden="false" customHeight="true" outlineLevel="2" collapsed="false">
      <c r="A18" s="1" t="s">
        <v>508</v>
      </c>
      <c r="B18" s="1" t="s">
        <v>477</v>
      </c>
      <c r="C18" s="1" t="s">
        <v>499</v>
      </c>
      <c r="D18" s="1" t="s">
        <v>316</v>
      </c>
      <c r="E18" s="1" t="s">
        <v>281</v>
      </c>
      <c r="F18" s="2" t="s">
        <v>482</v>
      </c>
      <c r="G18" s="1" t="s">
        <v>495</v>
      </c>
      <c r="H18" s="1" t="s">
        <v>440</v>
      </c>
      <c r="I18" s="1" t="s">
        <v>469</v>
      </c>
      <c r="J18" s="1" t="s">
        <v>28</v>
      </c>
      <c r="K18" s="1" t="s">
        <v>501</v>
      </c>
      <c r="L18" s="1" t="s">
        <v>502</v>
      </c>
      <c r="M18" s="1" t="s">
        <v>503</v>
      </c>
      <c r="N18" s="1" t="s">
        <v>504</v>
      </c>
      <c r="O18" s="1" t="s">
        <v>505</v>
      </c>
      <c r="P18" s="1" t="s">
        <v>506</v>
      </c>
      <c r="Q18" s="1" t="s">
        <v>507</v>
      </c>
      <c r="R18" s="1" t="s">
        <v>471</v>
      </c>
      <c r="S18" s="1" t="s">
        <v>472</v>
      </c>
      <c r="T18" s="1" t="s">
        <v>473</v>
      </c>
      <c r="U18" s="1" t="s">
        <v>474</v>
      </c>
      <c r="V18" s="1" t="s">
        <v>475</v>
      </c>
      <c r="W18" s="1" t="s">
        <v>508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customFormat="false" ht="12.95" hidden="false" customHeight="true" outlineLevel="2" collapsed="false">
      <c r="A19" s="1" t="s">
        <v>509</v>
      </c>
      <c r="B19" s="1" t="s">
        <v>479</v>
      </c>
      <c r="C19" s="1" t="s">
        <v>499</v>
      </c>
      <c r="D19" s="1" t="s">
        <v>316</v>
      </c>
      <c r="E19" s="1" t="s">
        <v>281</v>
      </c>
      <c r="F19" s="2" t="s">
        <v>482</v>
      </c>
      <c r="G19" s="1" t="s">
        <v>495</v>
      </c>
      <c r="H19" s="1" t="s">
        <v>440</v>
      </c>
      <c r="I19" s="1" t="s">
        <v>469</v>
      </c>
      <c r="J19" s="1" t="s">
        <v>28</v>
      </c>
      <c r="K19" s="1" t="s">
        <v>501</v>
      </c>
      <c r="L19" s="1" t="s">
        <v>502</v>
      </c>
      <c r="M19" s="1" t="s">
        <v>503</v>
      </c>
      <c r="N19" s="1" t="s">
        <v>504</v>
      </c>
      <c r="O19" s="1" t="s">
        <v>505</v>
      </c>
      <c r="P19" s="1" t="s">
        <v>506</v>
      </c>
      <c r="Q19" s="1" t="s">
        <v>507</v>
      </c>
      <c r="R19" s="1" t="s">
        <v>471</v>
      </c>
      <c r="S19" s="1" t="s">
        <v>472</v>
      </c>
      <c r="T19" s="1" t="s">
        <v>473</v>
      </c>
      <c r="U19" s="1" t="s">
        <v>474</v>
      </c>
      <c r="V19" s="1" t="s">
        <v>475</v>
      </c>
      <c r="W19" s="1" t="s">
        <v>509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customFormat="false" ht="12.95" hidden="false" customHeight="true" outlineLevel="1" collapsed="false">
      <c r="A20" s="1" t="s">
        <v>510</v>
      </c>
      <c r="B20" s="1" t="s">
        <v>465</v>
      </c>
      <c r="C20" s="1" t="s">
        <v>511</v>
      </c>
      <c r="W20" s="1" t="s">
        <v>510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customFormat="false" ht="12.95" hidden="false" customHeight="true" outlineLevel="2" collapsed="false">
      <c r="A21" s="1" t="s">
        <v>512</v>
      </c>
      <c r="B21" s="1" t="s">
        <v>467</v>
      </c>
      <c r="C21" s="1" t="s">
        <v>511</v>
      </c>
      <c r="D21" s="1" t="s">
        <v>316</v>
      </c>
      <c r="E21" s="1" t="s">
        <v>281</v>
      </c>
      <c r="F21" s="2" t="s">
        <v>233</v>
      </c>
      <c r="G21" s="1" t="s">
        <v>513</v>
      </c>
      <c r="H21" s="1" t="s">
        <v>440</v>
      </c>
      <c r="I21" s="1" t="s">
        <v>469</v>
      </c>
      <c r="J21" s="1" t="s">
        <v>28</v>
      </c>
      <c r="K21" s="1" t="s">
        <v>514</v>
      </c>
      <c r="R21" s="1" t="s">
        <v>471</v>
      </c>
      <c r="S21" s="1" t="s">
        <v>472</v>
      </c>
      <c r="T21" s="1" t="s">
        <v>473</v>
      </c>
      <c r="U21" s="1" t="s">
        <v>474</v>
      </c>
      <c r="V21" s="1" t="s">
        <v>475</v>
      </c>
      <c r="W21" s="1" t="s">
        <v>512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customFormat="false" ht="12.95" hidden="false" customHeight="true" outlineLevel="2" collapsed="false">
      <c r="A22" s="1" t="s">
        <v>515</v>
      </c>
      <c r="B22" s="1" t="s">
        <v>477</v>
      </c>
      <c r="C22" s="1" t="s">
        <v>511</v>
      </c>
      <c r="D22" s="1" t="s">
        <v>316</v>
      </c>
      <c r="E22" s="1" t="s">
        <v>281</v>
      </c>
      <c r="F22" s="2" t="s">
        <v>233</v>
      </c>
      <c r="G22" s="1" t="s">
        <v>513</v>
      </c>
      <c r="H22" s="1" t="s">
        <v>440</v>
      </c>
      <c r="I22" s="1" t="s">
        <v>469</v>
      </c>
      <c r="J22" s="1" t="s">
        <v>28</v>
      </c>
      <c r="K22" s="1" t="s">
        <v>516</v>
      </c>
      <c r="R22" s="1" t="s">
        <v>471</v>
      </c>
      <c r="S22" s="1" t="s">
        <v>472</v>
      </c>
      <c r="T22" s="1" t="s">
        <v>473</v>
      </c>
      <c r="U22" s="1" t="s">
        <v>474</v>
      </c>
      <c r="V22" s="1" t="s">
        <v>475</v>
      </c>
      <c r="W22" s="1" t="s">
        <v>515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customFormat="false" ht="12.95" hidden="false" customHeight="true" outlineLevel="2" collapsed="false">
      <c r="A23" s="1" t="s">
        <v>517</v>
      </c>
      <c r="B23" s="1" t="s">
        <v>479</v>
      </c>
      <c r="C23" s="1" t="s">
        <v>511</v>
      </c>
      <c r="D23" s="1" t="s">
        <v>316</v>
      </c>
      <c r="E23" s="1" t="s">
        <v>281</v>
      </c>
      <c r="F23" s="2" t="s">
        <v>233</v>
      </c>
      <c r="G23" s="1" t="s">
        <v>513</v>
      </c>
      <c r="H23" s="1" t="s">
        <v>440</v>
      </c>
      <c r="I23" s="1" t="s">
        <v>469</v>
      </c>
      <c r="J23" s="1" t="s">
        <v>28</v>
      </c>
      <c r="K23" s="1" t="s">
        <v>516</v>
      </c>
      <c r="R23" s="1" t="s">
        <v>471</v>
      </c>
      <c r="S23" s="1" t="s">
        <v>472</v>
      </c>
      <c r="T23" s="1" t="s">
        <v>473</v>
      </c>
      <c r="U23" s="1" t="s">
        <v>474</v>
      </c>
      <c r="V23" s="1" t="s">
        <v>475</v>
      </c>
      <c r="W23" s="1" t="s">
        <v>517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customFormat="false" ht="12.95" hidden="false" customHeight="true" outlineLevel="1" collapsed="false">
      <c r="A24" s="1" t="s">
        <v>518</v>
      </c>
      <c r="B24" s="1" t="s">
        <v>465</v>
      </c>
      <c r="C24" s="1" t="s">
        <v>519</v>
      </c>
      <c r="W24" s="1" t="s">
        <v>518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customFormat="false" ht="12.95" hidden="false" customHeight="true" outlineLevel="2" collapsed="false">
      <c r="A25" s="1" t="s">
        <v>520</v>
      </c>
      <c r="B25" s="1" t="s">
        <v>467</v>
      </c>
      <c r="C25" s="1" t="s">
        <v>519</v>
      </c>
      <c r="D25" s="1" t="s">
        <v>316</v>
      </c>
      <c r="E25" s="1" t="s">
        <v>281</v>
      </c>
      <c r="F25" s="2" t="s">
        <v>482</v>
      </c>
      <c r="G25" s="1" t="s">
        <v>513</v>
      </c>
      <c r="H25" s="1" t="s">
        <v>440</v>
      </c>
      <c r="I25" s="1" t="s">
        <v>469</v>
      </c>
      <c r="J25" s="1" t="s">
        <v>28</v>
      </c>
      <c r="K25" s="1" t="s">
        <v>521</v>
      </c>
      <c r="L25" s="1" t="s">
        <v>522</v>
      </c>
      <c r="M25" s="1" t="s">
        <v>523</v>
      </c>
      <c r="N25" s="1" t="s">
        <v>524</v>
      </c>
      <c r="O25" s="1" t="s">
        <v>525</v>
      </c>
      <c r="P25" s="1" t="s">
        <v>526</v>
      </c>
      <c r="Q25" s="1" t="s">
        <v>527</v>
      </c>
      <c r="R25" s="1" t="s">
        <v>471</v>
      </c>
      <c r="S25" s="1" t="s">
        <v>472</v>
      </c>
      <c r="T25" s="1" t="s">
        <v>473</v>
      </c>
      <c r="U25" s="1" t="s">
        <v>474</v>
      </c>
      <c r="V25" s="1" t="s">
        <v>475</v>
      </c>
      <c r="W25" s="1" t="s">
        <v>520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customFormat="false" ht="12.95" hidden="false" customHeight="true" outlineLevel="2" collapsed="false">
      <c r="A26" s="1" t="s">
        <v>528</v>
      </c>
      <c r="B26" s="1" t="s">
        <v>477</v>
      </c>
      <c r="C26" s="1" t="s">
        <v>519</v>
      </c>
      <c r="D26" s="1" t="s">
        <v>316</v>
      </c>
      <c r="E26" s="1" t="s">
        <v>281</v>
      </c>
      <c r="F26" s="2" t="s">
        <v>482</v>
      </c>
      <c r="G26" s="1" t="s">
        <v>513</v>
      </c>
      <c r="H26" s="1" t="s">
        <v>440</v>
      </c>
      <c r="I26" s="1" t="s">
        <v>469</v>
      </c>
      <c r="J26" s="1" t="s">
        <v>28</v>
      </c>
      <c r="K26" s="1" t="s">
        <v>521</v>
      </c>
      <c r="L26" s="1" t="s">
        <v>522</v>
      </c>
      <c r="M26" s="1" t="s">
        <v>523</v>
      </c>
      <c r="N26" s="1" t="s">
        <v>524</v>
      </c>
      <c r="O26" s="1" t="s">
        <v>525</v>
      </c>
      <c r="P26" s="1" t="s">
        <v>526</v>
      </c>
      <c r="Q26" s="1" t="s">
        <v>527</v>
      </c>
      <c r="R26" s="1" t="s">
        <v>471</v>
      </c>
      <c r="S26" s="1" t="s">
        <v>472</v>
      </c>
      <c r="T26" s="1" t="s">
        <v>473</v>
      </c>
      <c r="U26" s="1" t="s">
        <v>474</v>
      </c>
      <c r="V26" s="1" t="s">
        <v>475</v>
      </c>
      <c r="W26" s="1" t="s">
        <v>528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customFormat="false" ht="12.95" hidden="false" customHeight="true" outlineLevel="2" collapsed="false">
      <c r="A27" s="1" t="s">
        <v>529</v>
      </c>
      <c r="B27" s="1" t="s">
        <v>479</v>
      </c>
      <c r="C27" s="1" t="s">
        <v>519</v>
      </c>
      <c r="D27" s="1" t="s">
        <v>316</v>
      </c>
      <c r="E27" s="1" t="s">
        <v>281</v>
      </c>
      <c r="F27" s="2" t="s">
        <v>482</v>
      </c>
      <c r="G27" s="1" t="s">
        <v>513</v>
      </c>
      <c r="H27" s="1" t="s">
        <v>440</v>
      </c>
      <c r="I27" s="1" t="s">
        <v>469</v>
      </c>
      <c r="J27" s="1" t="s">
        <v>28</v>
      </c>
      <c r="K27" s="1" t="s">
        <v>521</v>
      </c>
      <c r="L27" s="1" t="s">
        <v>522</v>
      </c>
      <c r="M27" s="1" t="s">
        <v>523</v>
      </c>
      <c r="N27" s="1" t="s">
        <v>524</v>
      </c>
      <c r="O27" s="1" t="s">
        <v>525</v>
      </c>
      <c r="P27" s="1" t="s">
        <v>526</v>
      </c>
      <c r="Q27" s="1" t="s">
        <v>527</v>
      </c>
      <c r="R27" s="1" t="s">
        <v>471</v>
      </c>
      <c r="S27" s="1" t="s">
        <v>472</v>
      </c>
      <c r="T27" s="1" t="s">
        <v>473</v>
      </c>
      <c r="U27" s="1" t="s">
        <v>474</v>
      </c>
      <c r="V27" s="1" t="s">
        <v>475</v>
      </c>
      <c r="W27" s="1" t="s">
        <v>529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customFormat="false" ht="12.95" hidden="false" customHeight="true" outlineLevel="1" collapsed="false">
      <c r="A28" s="1" t="s">
        <v>530</v>
      </c>
      <c r="B28" s="1" t="s">
        <v>465</v>
      </c>
      <c r="C28" s="1" t="s">
        <v>531</v>
      </c>
      <c r="W28" s="1" t="s">
        <v>530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customFormat="false" ht="12.95" hidden="false" customHeight="true" outlineLevel="2" collapsed="false">
      <c r="A29" s="1" t="s">
        <v>532</v>
      </c>
      <c r="B29" s="1" t="s">
        <v>467</v>
      </c>
      <c r="C29" s="1" t="s">
        <v>531</v>
      </c>
      <c r="D29" s="1" t="s">
        <v>316</v>
      </c>
      <c r="E29" s="1" t="s">
        <v>281</v>
      </c>
      <c r="F29" s="2" t="s">
        <v>233</v>
      </c>
      <c r="G29" s="1" t="s">
        <v>533</v>
      </c>
      <c r="H29" s="1" t="s">
        <v>440</v>
      </c>
      <c r="I29" s="1" t="s">
        <v>469</v>
      </c>
      <c r="J29" s="1" t="s">
        <v>28</v>
      </c>
      <c r="K29" s="1" t="s">
        <v>534</v>
      </c>
      <c r="R29" s="1" t="s">
        <v>471</v>
      </c>
      <c r="S29" s="1" t="s">
        <v>472</v>
      </c>
      <c r="T29" s="1" t="s">
        <v>473</v>
      </c>
      <c r="U29" s="1" t="s">
        <v>474</v>
      </c>
      <c r="V29" s="1" t="s">
        <v>475</v>
      </c>
      <c r="W29" s="1" t="s">
        <v>532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customFormat="false" ht="12.95" hidden="false" customHeight="true" outlineLevel="2" collapsed="false">
      <c r="A30" s="1" t="s">
        <v>535</v>
      </c>
      <c r="B30" s="1" t="s">
        <v>477</v>
      </c>
      <c r="C30" s="1" t="s">
        <v>531</v>
      </c>
      <c r="D30" s="1" t="s">
        <v>316</v>
      </c>
      <c r="E30" s="1" t="s">
        <v>281</v>
      </c>
      <c r="F30" s="2" t="s">
        <v>233</v>
      </c>
      <c r="G30" s="1" t="s">
        <v>533</v>
      </c>
      <c r="H30" s="1" t="s">
        <v>440</v>
      </c>
      <c r="I30" s="1" t="s">
        <v>469</v>
      </c>
      <c r="J30" s="1" t="s">
        <v>28</v>
      </c>
      <c r="K30" s="1" t="s">
        <v>536</v>
      </c>
      <c r="R30" s="1" t="s">
        <v>471</v>
      </c>
      <c r="S30" s="1" t="s">
        <v>472</v>
      </c>
      <c r="T30" s="1" t="s">
        <v>473</v>
      </c>
      <c r="U30" s="1" t="s">
        <v>474</v>
      </c>
      <c r="V30" s="1" t="s">
        <v>475</v>
      </c>
      <c r="W30" s="1" t="s">
        <v>535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customFormat="false" ht="12.95" hidden="false" customHeight="true" outlineLevel="2" collapsed="false">
      <c r="A31" s="1" t="s">
        <v>537</v>
      </c>
      <c r="B31" s="1" t="s">
        <v>479</v>
      </c>
      <c r="C31" s="1" t="s">
        <v>531</v>
      </c>
      <c r="D31" s="1" t="s">
        <v>316</v>
      </c>
      <c r="E31" s="1" t="s">
        <v>281</v>
      </c>
      <c r="F31" s="2" t="s">
        <v>233</v>
      </c>
      <c r="G31" s="1" t="s">
        <v>533</v>
      </c>
      <c r="H31" s="1" t="s">
        <v>440</v>
      </c>
      <c r="I31" s="1" t="s">
        <v>469</v>
      </c>
      <c r="J31" s="1" t="s">
        <v>28</v>
      </c>
      <c r="K31" s="1" t="s">
        <v>536</v>
      </c>
      <c r="R31" s="1" t="s">
        <v>471</v>
      </c>
      <c r="S31" s="1" t="s">
        <v>472</v>
      </c>
      <c r="T31" s="1" t="s">
        <v>473</v>
      </c>
      <c r="U31" s="1" t="s">
        <v>474</v>
      </c>
      <c r="V31" s="1" t="s">
        <v>475</v>
      </c>
      <c r="W31" s="1" t="s">
        <v>537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customFormat="false" ht="12.95" hidden="false" customHeight="true" outlineLevel="1" collapsed="false">
      <c r="A32" s="1" t="s">
        <v>538</v>
      </c>
      <c r="B32" s="1" t="s">
        <v>465</v>
      </c>
      <c r="C32" s="1" t="s">
        <v>539</v>
      </c>
      <c r="W32" s="1" t="s">
        <v>538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customFormat="false" ht="12.95" hidden="false" customHeight="true" outlineLevel="2" collapsed="false">
      <c r="A33" s="1" t="s">
        <v>540</v>
      </c>
      <c r="B33" s="1" t="s">
        <v>467</v>
      </c>
      <c r="C33" s="1" t="s">
        <v>539</v>
      </c>
      <c r="D33" s="1" t="s">
        <v>316</v>
      </c>
      <c r="E33" s="1" t="s">
        <v>281</v>
      </c>
      <c r="F33" s="2" t="s">
        <v>482</v>
      </c>
      <c r="G33" s="1" t="s">
        <v>533</v>
      </c>
      <c r="H33" s="1" t="s">
        <v>440</v>
      </c>
      <c r="I33" s="1" t="s">
        <v>469</v>
      </c>
      <c r="J33" s="1" t="s">
        <v>28</v>
      </c>
      <c r="K33" s="1" t="s">
        <v>541</v>
      </c>
      <c r="L33" s="1" t="s">
        <v>542</v>
      </c>
      <c r="M33" s="1" t="s">
        <v>543</v>
      </c>
      <c r="N33" s="1" t="s">
        <v>544</v>
      </c>
      <c r="O33" s="1" t="s">
        <v>545</v>
      </c>
      <c r="P33" s="1" t="s">
        <v>546</v>
      </c>
      <c r="Q33" s="1" t="s">
        <v>547</v>
      </c>
      <c r="R33" s="1" t="s">
        <v>471</v>
      </c>
      <c r="S33" s="1" t="s">
        <v>472</v>
      </c>
      <c r="T33" s="1" t="s">
        <v>473</v>
      </c>
      <c r="U33" s="1" t="s">
        <v>474</v>
      </c>
      <c r="V33" s="1" t="s">
        <v>475</v>
      </c>
      <c r="W33" s="1" t="s">
        <v>540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customFormat="false" ht="12.95" hidden="false" customHeight="true" outlineLevel="2" collapsed="false">
      <c r="A34" s="1" t="s">
        <v>548</v>
      </c>
      <c r="B34" s="1" t="s">
        <v>477</v>
      </c>
      <c r="C34" s="1" t="s">
        <v>539</v>
      </c>
      <c r="D34" s="1" t="s">
        <v>316</v>
      </c>
      <c r="E34" s="1" t="s">
        <v>281</v>
      </c>
      <c r="F34" s="2" t="s">
        <v>482</v>
      </c>
      <c r="G34" s="1" t="s">
        <v>533</v>
      </c>
      <c r="H34" s="1" t="s">
        <v>440</v>
      </c>
      <c r="I34" s="1" t="s">
        <v>469</v>
      </c>
      <c r="J34" s="1" t="s">
        <v>28</v>
      </c>
      <c r="K34" s="1" t="s">
        <v>541</v>
      </c>
      <c r="L34" s="1" t="s">
        <v>542</v>
      </c>
      <c r="M34" s="1" t="s">
        <v>543</v>
      </c>
      <c r="N34" s="1" t="s">
        <v>544</v>
      </c>
      <c r="O34" s="1" t="s">
        <v>545</v>
      </c>
      <c r="P34" s="1" t="s">
        <v>546</v>
      </c>
      <c r="Q34" s="1" t="s">
        <v>547</v>
      </c>
      <c r="R34" s="1" t="s">
        <v>471</v>
      </c>
      <c r="S34" s="1" t="s">
        <v>472</v>
      </c>
      <c r="T34" s="1" t="s">
        <v>473</v>
      </c>
      <c r="U34" s="1" t="s">
        <v>474</v>
      </c>
      <c r="V34" s="1" t="s">
        <v>475</v>
      </c>
      <c r="W34" s="1" t="s">
        <v>548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customFormat="false" ht="12.95" hidden="false" customHeight="true" outlineLevel="2" collapsed="false">
      <c r="A35" s="1" t="s">
        <v>549</v>
      </c>
      <c r="B35" s="1" t="s">
        <v>479</v>
      </c>
      <c r="C35" s="1" t="s">
        <v>539</v>
      </c>
      <c r="D35" s="1" t="s">
        <v>316</v>
      </c>
      <c r="E35" s="1" t="s">
        <v>281</v>
      </c>
      <c r="F35" s="2" t="s">
        <v>482</v>
      </c>
      <c r="G35" s="1" t="s">
        <v>533</v>
      </c>
      <c r="H35" s="1" t="s">
        <v>440</v>
      </c>
      <c r="I35" s="1" t="s">
        <v>469</v>
      </c>
      <c r="J35" s="1" t="s">
        <v>28</v>
      </c>
      <c r="K35" s="1" t="s">
        <v>541</v>
      </c>
      <c r="L35" s="1" t="s">
        <v>542</v>
      </c>
      <c r="M35" s="1" t="s">
        <v>543</v>
      </c>
      <c r="N35" s="1" t="s">
        <v>544</v>
      </c>
      <c r="O35" s="1" t="s">
        <v>545</v>
      </c>
      <c r="P35" s="1" t="s">
        <v>546</v>
      </c>
      <c r="Q35" s="1" t="s">
        <v>547</v>
      </c>
      <c r="R35" s="1" t="s">
        <v>471</v>
      </c>
      <c r="S35" s="1" t="s">
        <v>472</v>
      </c>
      <c r="T35" s="1" t="s">
        <v>473</v>
      </c>
      <c r="U35" s="1" t="s">
        <v>474</v>
      </c>
      <c r="V35" s="1" t="s">
        <v>475</v>
      </c>
      <c r="W35" s="1" t="s">
        <v>549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customFormat="false" ht="12.9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customFormat="false" ht="12.95" hidden="false" customHeight="true" outlineLevel="0" collapsed="false">
      <c r="A37" s="1" t="s">
        <v>22</v>
      </c>
      <c r="B37" s="1" t="s">
        <v>7</v>
      </c>
      <c r="C37" s="1" t="s">
        <v>550</v>
      </c>
      <c r="W37" s="1" t="s">
        <v>22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customFormat="false" ht="12.95" hidden="false" customHeight="true" outlineLevel="1" collapsed="false">
      <c r="A38" s="1" t="s">
        <v>551</v>
      </c>
      <c r="B38" s="1" t="s">
        <v>465</v>
      </c>
      <c r="C38" s="1" t="s">
        <v>312</v>
      </c>
      <c r="W38" s="1" t="s">
        <v>551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customFormat="false" ht="12.95" hidden="false" customHeight="true" outlineLevel="2" collapsed="false">
      <c r="A39" s="1" t="s">
        <v>552</v>
      </c>
      <c r="B39" s="1" t="s">
        <v>467</v>
      </c>
      <c r="C39" s="1" t="s">
        <v>314</v>
      </c>
      <c r="D39" s="1" t="s">
        <v>316</v>
      </c>
      <c r="E39" s="1" t="s">
        <v>281</v>
      </c>
      <c r="F39" s="2" t="s">
        <v>233</v>
      </c>
      <c r="G39" s="1" t="s">
        <v>553</v>
      </c>
      <c r="H39" s="1" t="s">
        <v>440</v>
      </c>
      <c r="I39" s="1" t="s">
        <v>469</v>
      </c>
      <c r="J39" s="1" t="s">
        <v>28</v>
      </c>
      <c r="K39" s="1" t="s">
        <v>554</v>
      </c>
      <c r="R39" s="1" t="s">
        <v>471</v>
      </c>
      <c r="S39" s="1" t="s">
        <v>472</v>
      </c>
      <c r="T39" s="1" t="s">
        <v>473</v>
      </c>
      <c r="U39" s="1" t="s">
        <v>474</v>
      </c>
      <c r="V39" s="1" t="s">
        <v>475</v>
      </c>
      <c r="W39" s="1" t="s">
        <v>552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customFormat="false" ht="12.95" hidden="false" customHeight="true" outlineLevel="2" collapsed="false">
      <c r="A40" s="1" t="s">
        <v>555</v>
      </c>
      <c r="B40" s="1" t="s">
        <v>477</v>
      </c>
      <c r="C40" s="1" t="s">
        <v>314</v>
      </c>
      <c r="D40" s="1" t="s">
        <v>316</v>
      </c>
      <c r="E40" s="1" t="s">
        <v>281</v>
      </c>
      <c r="F40" s="2" t="s">
        <v>233</v>
      </c>
      <c r="G40" s="1" t="s">
        <v>553</v>
      </c>
      <c r="H40" s="1" t="s">
        <v>440</v>
      </c>
      <c r="I40" s="1" t="s">
        <v>469</v>
      </c>
      <c r="J40" s="1" t="s">
        <v>28</v>
      </c>
      <c r="K40" s="1" t="s">
        <v>318</v>
      </c>
      <c r="R40" s="1" t="s">
        <v>471</v>
      </c>
      <c r="S40" s="1" t="s">
        <v>472</v>
      </c>
      <c r="T40" s="1" t="s">
        <v>473</v>
      </c>
      <c r="U40" s="1" t="s">
        <v>474</v>
      </c>
      <c r="V40" s="1" t="s">
        <v>475</v>
      </c>
      <c r="W40" s="1" t="s">
        <v>555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customFormat="false" ht="12.95" hidden="false" customHeight="true" outlineLevel="2" collapsed="false">
      <c r="A41" s="1" t="s">
        <v>556</v>
      </c>
      <c r="B41" s="1" t="s">
        <v>479</v>
      </c>
      <c r="C41" s="1" t="s">
        <v>314</v>
      </c>
      <c r="D41" s="1" t="s">
        <v>316</v>
      </c>
      <c r="E41" s="1" t="s">
        <v>281</v>
      </c>
      <c r="F41" s="2" t="s">
        <v>233</v>
      </c>
      <c r="G41" s="1" t="s">
        <v>553</v>
      </c>
      <c r="H41" s="1" t="s">
        <v>440</v>
      </c>
      <c r="I41" s="1" t="s">
        <v>469</v>
      </c>
      <c r="J41" s="1" t="s">
        <v>28</v>
      </c>
      <c r="K41" s="1" t="s">
        <v>318</v>
      </c>
      <c r="R41" s="1" t="s">
        <v>471</v>
      </c>
      <c r="S41" s="1" t="s">
        <v>472</v>
      </c>
      <c r="T41" s="1" t="s">
        <v>473</v>
      </c>
      <c r="U41" s="1" t="s">
        <v>474</v>
      </c>
      <c r="V41" s="1" t="s">
        <v>475</v>
      </c>
      <c r="W41" s="1" t="s">
        <v>556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customFormat="false" ht="12.95" hidden="false" customHeight="true" outlineLevel="1" collapsed="false">
      <c r="A42" s="1" t="s">
        <v>557</v>
      </c>
      <c r="B42" s="1" t="s">
        <v>465</v>
      </c>
      <c r="C42" s="1" t="s">
        <v>343</v>
      </c>
      <c r="W42" s="1" t="s">
        <v>557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customFormat="false" ht="12.95" hidden="false" customHeight="true" outlineLevel="2" collapsed="false">
      <c r="A43" s="1" t="s">
        <v>558</v>
      </c>
      <c r="B43" s="1" t="s">
        <v>467</v>
      </c>
      <c r="C43" s="1" t="s">
        <v>343</v>
      </c>
      <c r="D43" s="1" t="s">
        <v>316</v>
      </c>
      <c r="E43" s="1" t="s">
        <v>281</v>
      </c>
      <c r="F43" s="2" t="s">
        <v>559</v>
      </c>
      <c r="G43" s="1" t="s">
        <v>553</v>
      </c>
      <c r="H43" s="1" t="s">
        <v>440</v>
      </c>
      <c r="I43" s="1" t="s">
        <v>469</v>
      </c>
      <c r="J43" s="1" t="s">
        <v>28</v>
      </c>
      <c r="K43" s="1" t="s">
        <v>560</v>
      </c>
      <c r="L43" s="1" t="s">
        <v>561</v>
      </c>
      <c r="M43" s="1" t="s">
        <v>562</v>
      </c>
      <c r="N43" s="1" t="s">
        <v>563</v>
      </c>
      <c r="O43" s="1" t="s">
        <v>564</v>
      </c>
      <c r="R43" s="1" t="s">
        <v>471</v>
      </c>
      <c r="S43" s="1" t="s">
        <v>472</v>
      </c>
      <c r="T43" s="1" t="s">
        <v>473</v>
      </c>
      <c r="U43" s="1" t="s">
        <v>474</v>
      </c>
      <c r="V43" s="1" t="s">
        <v>475</v>
      </c>
      <c r="W43" s="1" t="s">
        <v>558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customFormat="false" ht="12.95" hidden="false" customHeight="true" outlineLevel="2" collapsed="false">
      <c r="A44" s="1" t="s">
        <v>565</v>
      </c>
      <c r="B44" s="1" t="s">
        <v>477</v>
      </c>
      <c r="C44" s="1" t="s">
        <v>343</v>
      </c>
      <c r="D44" s="1" t="s">
        <v>316</v>
      </c>
      <c r="E44" s="1" t="s">
        <v>281</v>
      </c>
      <c r="F44" s="2" t="s">
        <v>559</v>
      </c>
      <c r="G44" s="1" t="s">
        <v>553</v>
      </c>
      <c r="H44" s="1" t="s">
        <v>440</v>
      </c>
      <c r="I44" s="1" t="s">
        <v>469</v>
      </c>
      <c r="J44" s="1" t="s">
        <v>28</v>
      </c>
      <c r="K44" s="1" t="s">
        <v>560</v>
      </c>
      <c r="L44" s="1" t="s">
        <v>561</v>
      </c>
      <c r="M44" s="1" t="s">
        <v>562</v>
      </c>
      <c r="N44" s="1" t="s">
        <v>563</v>
      </c>
      <c r="O44" s="1" t="s">
        <v>564</v>
      </c>
      <c r="R44" s="1" t="s">
        <v>471</v>
      </c>
      <c r="S44" s="1" t="s">
        <v>472</v>
      </c>
      <c r="T44" s="1" t="s">
        <v>473</v>
      </c>
      <c r="U44" s="1" t="s">
        <v>474</v>
      </c>
      <c r="V44" s="1" t="s">
        <v>475</v>
      </c>
      <c r="W44" s="1" t="s">
        <v>565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customFormat="false" ht="12.95" hidden="false" customHeight="true" outlineLevel="2" collapsed="false">
      <c r="A45" s="1" t="s">
        <v>566</v>
      </c>
      <c r="B45" s="1" t="s">
        <v>479</v>
      </c>
      <c r="C45" s="1" t="s">
        <v>343</v>
      </c>
      <c r="D45" s="1" t="s">
        <v>316</v>
      </c>
      <c r="E45" s="1" t="s">
        <v>281</v>
      </c>
      <c r="F45" s="2" t="s">
        <v>559</v>
      </c>
      <c r="G45" s="1" t="s">
        <v>553</v>
      </c>
      <c r="H45" s="1" t="s">
        <v>440</v>
      </c>
      <c r="I45" s="1" t="s">
        <v>469</v>
      </c>
      <c r="J45" s="1" t="s">
        <v>28</v>
      </c>
      <c r="K45" s="1" t="s">
        <v>560</v>
      </c>
      <c r="L45" s="1" t="s">
        <v>561</v>
      </c>
      <c r="M45" s="1" t="s">
        <v>562</v>
      </c>
      <c r="N45" s="1" t="s">
        <v>563</v>
      </c>
      <c r="O45" s="1" t="s">
        <v>564</v>
      </c>
      <c r="R45" s="1" t="s">
        <v>471</v>
      </c>
      <c r="S45" s="1" t="s">
        <v>472</v>
      </c>
      <c r="T45" s="1" t="s">
        <v>473</v>
      </c>
      <c r="U45" s="1" t="s">
        <v>474</v>
      </c>
      <c r="V45" s="1" t="s">
        <v>475</v>
      </c>
      <c r="W45" s="1" t="s">
        <v>566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customFormat="false" ht="12.95" hidden="false" customHeight="true" outlineLevel="1" collapsed="false">
      <c r="A46" s="1" t="s">
        <v>567</v>
      </c>
      <c r="B46" s="1" t="s">
        <v>465</v>
      </c>
      <c r="C46" s="1" t="s">
        <v>568</v>
      </c>
      <c r="W46" s="1" t="s">
        <v>567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customFormat="false" ht="12.95" hidden="false" customHeight="true" outlineLevel="2" collapsed="false">
      <c r="A47" s="1" t="s">
        <v>569</v>
      </c>
      <c r="B47" s="1" t="s">
        <v>467</v>
      </c>
      <c r="C47" s="1" t="s">
        <v>568</v>
      </c>
      <c r="D47" s="1" t="s">
        <v>316</v>
      </c>
      <c r="E47" s="1" t="s">
        <v>281</v>
      </c>
      <c r="F47" s="2" t="s">
        <v>233</v>
      </c>
      <c r="G47" s="1" t="s">
        <v>570</v>
      </c>
      <c r="H47" s="1" t="s">
        <v>440</v>
      </c>
      <c r="I47" s="1" t="s">
        <v>469</v>
      </c>
      <c r="J47" s="1" t="s">
        <v>28</v>
      </c>
      <c r="K47" s="1" t="s">
        <v>571</v>
      </c>
      <c r="R47" s="1" t="s">
        <v>471</v>
      </c>
      <c r="S47" s="1" t="s">
        <v>472</v>
      </c>
      <c r="T47" s="1" t="s">
        <v>473</v>
      </c>
      <c r="U47" s="1" t="s">
        <v>474</v>
      </c>
      <c r="V47" s="1" t="s">
        <v>475</v>
      </c>
      <c r="W47" s="1" t="s">
        <v>569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customFormat="false" ht="12.95" hidden="false" customHeight="true" outlineLevel="2" collapsed="false">
      <c r="A48" s="1" t="s">
        <v>572</v>
      </c>
      <c r="B48" s="1" t="s">
        <v>477</v>
      </c>
      <c r="C48" s="1" t="s">
        <v>568</v>
      </c>
      <c r="D48" s="1" t="s">
        <v>316</v>
      </c>
      <c r="E48" s="1" t="s">
        <v>281</v>
      </c>
      <c r="F48" s="2" t="s">
        <v>233</v>
      </c>
      <c r="G48" s="1" t="s">
        <v>570</v>
      </c>
      <c r="H48" s="1" t="s">
        <v>440</v>
      </c>
      <c r="I48" s="1" t="s">
        <v>469</v>
      </c>
      <c r="J48" s="1" t="s">
        <v>28</v>
      </c>
      <c r="K48" s="1" t="s">
        <v>573</v>
      </c>
      <c r="R48" s="1" t="s">
        <v>471</v>
      </c>
      <c r="S48" s="1" t="s">
        <v>472</v>
      </c>
      <c r="T48" s="1" t="s">
        <v>473</v>
      </c>
      <c r="U48" s="1" t="s">
        <v>474</v>
      </c>
      <c r="V48" s="1" t="s">
        <v>475</v>
      </c>
      <c r="W48" s="1" t="s">
        <v>572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customFormat="false" ht="12.95" hidden="false" customHeight="true" outlineLevel="2" collapsed="false">
      <c r="A49" s="1" t="s">
        <v>574</v>
      </c>
      <c r="B49" s="1" t="s">
        <v>479</v>
      </c>
      <c r="C49" s="1" t="s">
        <v>568</v>
      </c>
      <c r="D49" s="1" t="s">
        <v>316</v>
      </c>
      <c r="E49" s="1" t="s">
        <v>281</v>
      </c>
      <c r="F49" s="2" t="s">
        <v>233</v>
      </c>
      <c r="G49" s="1" t="s">
        <v>570</v>
      </c>
      <c r="H49" s="1" t="s">
        <v>440</v>
      </c>
      <c r="I49" s="1" t="s">
        <v>469</v>
      </c>
      <c r="J49" s="1" t="s">
        <v>28</v>
      </c>
      <c r="K49" s="1" t="s">
        <v>573</v>
      </c>
      <c r="R49" s="1" t="s">
        <v>471</v>
      </c>
      <c r="S49" s="1" t="s">
        <v>472</v>
      </c>
      <c r="T49" s="1" t="s">
        <v>473</v>
      </c>
      <c r="U49" s="1" t="s">
        <v>474</v>
      </c>
      <c r="V49" s="1" t="s">
        <v>475</v>
      </c>
      <c r="W49" s="1" t="s">
        <v>574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customFormat="false" ht="12.95" hidden="false" customHeight="true" outlineLevel="1" collapsed="false">
      <c r="A50" s="1" t="s">
        <v>575</v>
      </c>
      <c r="B50" s="1" t="s">
        <v>465</v>
      </c>
      <c r="C50" s="1" t="s">
        <v>576</v>
      </c>
      <c r="W50" s="1" t="s">
        <v>575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customFormat="false" ht="12.95" hidden="false" customHeight="true" outlineLevel="2" collapsed="false">
      <c r="A51" s="1" t="s">
        <v>577</v>
      </c>
      <c r="B51" s="1" t="s">
        <v>467</v>
      </c>
      <c r="C51" s="1" t="s">
        <v>576</v>
      </c>
      <c r="D51" s="1" t="s">
        <v>316</v>
      </c>
      <c r="E51" s="1" t="s">
        <v>281</v>
      </c>
      <c r="F51" s="2" t="s">
        <v>559</v>
      </c>
      <c r="G51" s="1" t="s">
        <v>570</v>
      </c>
      <c r="H51" s="1" t="s">
        <v>440</v>
      </c>
      <c r="I51" s="1" t="s">
        <v>469</v>
      </c>
      <c r="J51" s="1" t="s">
        <v>28</v>
      </c>
      <c r="K51" s="1" t="s">
        <v>578</v>
      </c>
      <c r="L51" s="1" t="s">
        <v>579</v>
      </c>
      <c r="M51" s="1" t="s">
        <v>580</v>
      </c>
      <c r="N51" s="1" t="s">
        <v>581</v>
      </c>
      <c r="O51" s="1" t="s">
        <v>582</v>
      </c>
      <c r="R51" s="1" t="s">
        <v>471</v>
      </c>
      <c r="S51" s="1" t="s">
        <v>472</v>
      </c>
      <c r="T51" s="1" t="s">
        <v>473</v>
      </c>
      <c r="U51" s="1" t="s">
        <v>474</v>
      </c>
      <c r="V51" s="1" t="s">
        <v>475</v>
      </c>
      <c r="W51" s="1" t="s">
        <v>577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customFormat="false" ht="12.95" hidden="false" customHeight="true" outlineLevel="2" collapsed="false">
      <c r="A52" s="1" t="s">
        <v>583</v>
      </c>
      <c r="B52" s="1" t="s">
        <v>477</v>
      </c>
      <c r="C52" s="1" t="s">
        <v>576</v>
      </c>
      <c r="D52" s="1" t="s">
        <v>316</v>
      </c>
      <c r="E52" s="1" t="s">
        <v>281</v>
      </c>
      <c r="F52" s="2" t="s">
        <v>559</v>
      </c>
      <c r="G52" s="1" t="s">
        <v>570</v>
      </c>
      <c r="H52" s="1" t="s">
        <v>440</v>
      </c>
      <c r="I52" s="1" t="s">
        <v>469</v>
      </c>
      <c r="J52" s="1" t="s">
        <v>28</v>
      </c>
      <c r="K52" s="1" t="s">
        <v>578</v>
      </c>
      <c r="L52" s="1" t="s">
        <v>579</v>
      </c>
      <c r="M52" s="1" t="s">
        <v>580</v>
      </c>
      <c r="N52" s="1" t="s">
        <v>581</v>
      </c>
      <c r="O52" s="1" t="s">
        <v>582</v>
      </c>
      <c r="R52" s="1" t="s">
        <v>471</v>
      </c>
      <c r="S52" s="1" t="s">
        <v>472</v>
      </c>
      <c r="T52" s="1" t="s">
        <v>473</v>
      </c>
      <c r="U52" s="1" t="s">
        <v>474</v>
      </c>
      <c r="V52" s="1" t="s">
        <v>475</v>
      </c>
      <c r="W52" s="1" t="s">
        <v>583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customFormat="false" ht="12.95" hidden="false" customHeight="true" outlineLevel="2" collapsed="false">
      <c r="A53" s="1" t="s">
        <v>584</v>
      </c>
      <c r="B53" s="1" t="s">
        <v>479</v>
      </c>
      <c r="C53" s="1" t="s">
        <v>576</v>
      </c>
      <c r="D53" s="1" t="s">
        <v>316</v>
      </c>
      <c r="E53" s="1" t="s">
        <v>281</v>
      </c>
      <c r="F53" s="2" t="s">
        <v>559</v>
      </c>
      <c r="G53" s="1" t="s">
        <v>570</v>
      </c>
      <c r="H53" s="1" t="s">
        <v>440</v>
      </c>
      <c r="I53" s="1" t="s">
        <v>469</v>
      </c>
      <c r="J53" s="1" t="s">
        <v>28</v>
      </c>
      <c r="K53" s="1" t="s">
        <v>578</v>
      </c>
      <c r="L53" s="1" t="s">
        <v>579</v>
      </c>
      <c r="M53" s="1" t="s">
        <v>580</v>
      </c>
      <c r="N53" s="1" t="s">
        <v>581</v>
      </c>
      <c r="O53" s="1" t="s">
        <v>582</v>
      </c>
      <c r="R53" s="1" t="s">
        <v>471</v>
      </c>
      <c r="S53" s="1" t="s">
        <v>472</v>
      </c>
      <c r="T53" s="1" t="s">
        <v>473</v>
      </c>
      <c r="U53" s="1" t="s">
        <v>474</v>
      </c>
      <c r="V53" s="1" t="s">
        <v>475</v>
      </c>
      <c r="W53" s="1" t="s">
        <v>584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customFormat="false" ht="12.95" hidden="false" customHeight="true" outlineLevel="1" collapsed="false">
      <c r="A54" s="1" t="s">
        <v>585</v>
      </c>
      <c r="B54" s="1" t="s">
        <v>465</v>
      </c>
      <c r="C54" s="1" t="s">
        <v>568</v>
      </c>
      <c r="W54" s="1" t="s">
        <v>585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customFormat="false" ht="12.95" hidden="false" customHeight="true" outlineLevel="2" collapsed="false">
      <c r="A55" s="1" t="s">
        <v>586</v>
      </c>
      <c r="B55" s="1" t="s">
        <v>467</v>
      </c>
      <c r="C55" s="1" t="s">
        <v>587</v>
      </c>
      <c r="D55" s="1" t="s">
        <v>316</v>
      </c>
      <c r="E55" s="1" t="s">
        <v>281</v>
      </c>
      <c r="F55" s="2" t="s">
        <v>233</v>
      </c>
      <c r="G55" s="1" t="s">
        <v>588</v>
      </c>
      <c r="H55" s="1" t="s">
        <v>440</v>
      </c>
      <c r="I55" s="1" t="s">
        <v>469</v>
      </c>
      <c r="J55" s="1" t="s">
        <v>28</v>
      </c>
      <c r="K55" s="1" t="s">
        <v>589</v>
      </c>
      <c r="R55" s="1" t="s">
        <v>471</v>
      </c>
      <c r="S55" s="1" t="s">
        <v>472</v>
      </c>
      <c r="T55" s="1" t="s">
        <v>473</v>
      </c>
      <c r="U55" s="1" t="s">
        <v>474</v>
      </c>
      <c r="V55" s="1" t="s">
        <v>475</v>
      </c>
      <c r="W55" s="1" t="s">
        <v>586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customFormat="false" ht="12.95" hidden="false" customHeight="true" outlineLevel="2" collapsed="false">
      <c r="A56" s="1" t="s">
        <v>590</v>
      </c>
      <c r="B56" s="1" t="s">
        <v>477</v>
      </c>
      <c r="C56" s="1" t="s">
        <v>587</v>
      </c>
      <c r="D56" s="1" t="s">
        <v>316</v>
      </c>
      <c r="E56" s="1" t="s">
        <v>281</v>
      </c>
      <c r="F56" s="2" t="s">
        <v>233</v>
      </c>
      <c r="G56" s="1" t="s">
        <v>588</v>
      </c>
      <c r="H56" s="1" t="s">
        <v>440</v>
      </c>
      <c r="I56" s="1" t="s">
        <v>469</v>
      </c>
      <c r="J56" s="1" t="s">
        <v>28</v>
      </c>
      <c r="K56" s="1" t="s">
        <v>591</v>
      </c>
      <c r="R56" s="1" t="s">
        <v>471</v>
      </c>
      <c r="S56" s="1" t="s">
        <v>472</v>
      </c>
      <c r="T56" s="1" t="s">
        <v>473</v>
      </c>
      <c r="U56" s="1" t="s">
        <v>474</v>
      </c>
      <c r="V56" s="1" t="s">
        <v>475</v>
      </c>
      <c r="W56" s="1" t="s">
        <v>590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customFormat="false" ht="12.95" hidden="false" customHeight="true" outlineLevel="2" collapsed="false">
      <c r="A57" s="1" t="s">
        <v>592</v>
      </c>
      <c r="B57" s="1" t="s">
        <v>479</v>
      </c>
      <c r="C57" s="1" t="s">
        <v>587</v>
      </c>
      <c r="D57" s="1" t="s">
        <v>316</v>
      </c>
      <c r="E57" s="1" t="s">
        <v>281</v>
      </c>
      <c r="F57" s="2" t="s">
        <v>233</v>
      </c>
      <c r="G57" s="1" t="s">
        <v>588</v>
      </c>
      <c r="H57" s="1" t="s">
        <v>440</v>
      </c>
      <c r="I57" s="1" t="s">
        <v>469</v>
      </c>
      <c r="J57" s="1" t="s">
        <v>28</v>
      </c>
      <c r="K57" s="1" t="s">
        <v>591</v>
      </c>
      <c r="R57" s="1" t="s">
        <v>471</v>
      </c>
      <c r="S57" s="1" t="s">
        <v>472</v>
      </c>
      <c r="T57" s="1" t="s">
        <v>473</v>
      </c>
      <c r="U57" s="1" t="s">
        <v>474</v>
      </c>
      <c r="V57" s="1" t="s">
        <v>475</v>
      </c>
      <c r="W57" s="1" t="s">
        <v>592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customFormat="false" ht="12.95" hidden="false" customHeight="true" outlineLevel="1" collapsed="false">
      <c r="A58" s="1" t="s">
        <v>593</v>
      </c>
      <c r="B58" s="1" t="s">
        <v>465</v>
      </c>
      <c r="C58" s="1" t="s">
        <v>594</v>
      </c>
      <c r="W58" s="1" t="s">
        <v>593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customFormat="false" ht="12.95" hidden="false" customHeight="true" outlineLevel="2" collapsed="false">
      <c r="A59" s="1" t="s">
        <v>595</v>
      </c>
      <c r="B59" s="1" t="s">
        <v>467</v>
      </c>
      <c r="C59" s="1" t="s">
        <v>594</v>
      </c>
      <c r="D59" s="1" t="s">
        <v>316</v>
      </c>
      <c r="E59" s="1" t="s">
        <v>281</v>
      </c>
      <c r="F59" s="2" t="s">
        <v>559</v>
      </c>
      <c r="G59" s="1" t="s">
        <v>588</v>
      </c>
      <c r="H59" s="1" t="s">
        <v>440</v>
      </c>
      <c r="I59" s="1" t="s">
        <v>469</v>
      </c>
      <c r="J59" s="1" t="s">
        <v>28</v>
      </c>
      <c r="K59" s="1" t="s">
        <v>596</v>
      </c>
      <c r="L59" s="1" t="s">
        <v>597</v>
      </c>
      <c r="M59" s="1" t="s">
        <v>598</v>
      </c>
      <c r="N59" s="1" t="s">
        <v>599</v>
      </c>
      <c r="O59" s="1" t="s">
        <v>600</v>
      </c>
      <c r="R59" s="1" t="s">
        <v>471</v>
      </c>
      <c r="S59" s="1" t="s">
        <v>472</v>
      </c>
      <c r="T59" s="1" t="s">
        <v>473</v>
      </c>
      <c r="U59" s="1" t="s">
        <v>474</v>
      </c>
      <c r="V59" s="1" t="s">
        <v>475</v>
      </c>
      <c r="W59" s="1" t="s">
        <v>595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customFormat="false" ht="12.95" hidden="false" customHeight="true" outlineLevel="2" collapsed="false">
      <c r="A60" s="1" t="s">
        <v>601</v>
      </c>
      <c r="B60" s="1" t="s">
        <v>477</v>
      </c>
      <c r="C60" s="1" t="s">
        <v>594</v>
      </c>
      <c r="D60" s="1" t="s">
        <v>316</v>
      </c>
      <c r="E60" s="1" t="s">
        <v>281</v>
      </c>
      <c r="F60" s="2" t="s">
        <v>559</v>
      </c>
      <c r="G60" s="1" t="s">
        <v>588</v>
      </c>
      <c r="H60" s="1" t="s">
        <v>440</v>
      </c>
      <c r="I60" s="1" t="s">
        <v>469</v>
      </c>
      <c r="J60" s="1" t="s">
        <v>28</v>
      </c>
      <c r="K60" s="1" t="s">
        <v>596</v>
      </c>
      <c r="L60" s="1" t="s">
        <v>597</v>
      </c>
      <c r="M60" s="1" t="s">
        <v>598</v>
      </c>
      <c r="N60" s="1" t="s">
        <v>599</v>
      </c>
      <c r="O60" s="1" t="s">
        <v>600</v>
      </c>
      <c r="R60" s="1" t="s">
        <v>471</v>
      </c>
      <c r="S60" s="1" t="s">
        <v>472</v>
      </c>
      <c r="T60" s="1" t="s">
        <v>473</v>
      </c>
      <c r="U60" s="1" t="s">
        <v>474</v>
      </c>
      <c r="V60" s="1" t="s">
        <v>475</v>
      </c>
      <c r="W60" s="1" t="s">
        <v>601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customFormat="false" ht="12.95" hidden="false" customHeight="true" outlineLevel="2" collapsed="false">
      <c r="A61" s="1" t="s">
        <v>602</v>
      </c>
      <c r="B61" s="1" t="s">
        <v>479</v>
      </c>
      <c r="C61" s="1" t="s">
        <v>594</v>
      </c>
      <c r="D61" s="1" t="s">
        <v>316</v>
      </c>
      <c r="E61" s="1" t="s">
        <v>281</v>
      </c>
      <c r="F61" s="2" t="s">
        <v>559</v>
      </c>
      <c r="G61" s="1" t="s">
        <v>588</v>
      </c>
      <c r="H61" s="1" t="s">
        <v>440</v>
      </c>
      <c r="I61" s="1" t="s">
        <v>469</v>
      </c>
      <c r="J61" s="1" t="s">
        <v>28</v>
      </c>
      <c r="K61" s="1" t="s">
        <v>596</v>
      </c>
      <c r="L61" s="1" t="s">
        <v>597</v>
      </c>
      <c r="M61" s="1" t="s">
        <v>598</v>
      </c>
      <c r="N61" s="1" t="s">
        <v>599</v>
      </c>
      <c r="O61" s="1" t="s">
        <v>600</v>
      </c>
      <c r="R61" s="1" t="s">
        <v>471</v>
      </c>
      <c r="S61" s="1" t="s">
        <v>472</v>
      </c>
      <c r="T61" s="1" t="s">
        <v>473</v>
      </c>
      <c r="U61" s="1" t="s">
        <v>474</v>
      </c>
      <c r="V61" s="1" t="s">
        <v>475</v>
      </c>
      <c r="W61" s="1" t="s">
        <v>602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customFormat="false" ht="12.95" hidden="false" customHeight="true" outlineLevel="1" collapsed="false">
      <c r="A62" s="1" t="s">
        <v>603</v>
      </c>
      <c r="B62" s="1" t="s">
        <v>465</v>
      </c>
      <c r="C62" s="1" t="s">
        <v>604</v>
      </c>
      <c r="W62" s="1" t="s">
        <v>603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customFormat="false" ht="12.95" hidden="false" customHeight="true" outlineLevel="2" collapsed="false">
      <c r="A63" s="1" t="s">
        <v>605</v>
      </c>
      <c r="B63" s="1" t="s">
        <v>467</v>
      </c>
      <c r="C63" s="1" t="s">
        <v>604</v>
      </c>
      <c r="D63" s="1" t="s">
        <v>316</v>
      </c>
      <c r="E63" s="1" t="s">
        <v>281</v>
      </c>
      <c r="F63" s="2" t="s">
        <v>233</v>
      </c>
      <c r="G63" s="1" t="s">
        <v>606</v>
      </c>
      <c r="H63" s="1" t="s">
        <v>440</v>
      </c>
      <c r="I63" s="1" t="s">
        <v>469</v>
      </c>
      <c r="J63" s="1" t="s">
        <v>28</v>
      </c>
      <c r="K63" s="1" t="s">
        <v>607</v>
      </c>
      <c r="R63" s="1" t="s">
        <v>471</v>
      </c>
      <c r="S63" s="1" t="s">
        <v>472</v>
      </c>
      <c r="T63" s="1" t="s">
        <v>473</v>
      </c>
      <c r="U63" s="1" t="s">
        <v>474</v>
      </c>
      <c r="V63" s="1" t="s">
        <v>475</v>
      </c>
      <c r="W63" s="1" t="s">
        <v>605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customFormat="false" ht="12.95" hidden="false" customHeight="true" outlineLevel="2" collapsed="false">
      <c r="A64" s="1" t="s">
        <v>608</v>
      </c>
      <c r="B64" s="1" t="s">
        <v>477</v>
      </c>
      <c r="C64" s="1" t="s">
        <v>604</v>
      </c>
      <c r="D64" s="1" t="s">
        <v>316</v>
      </c>
      <c r="E64" s="1" t="s">
        <v>281</v>
      </c>
      <c r="F64" s="2" t="s">
        <v>233</v>
      </c>
      <c r="G64" s="1" t="s">
        <v>606</v>
      </c>
      <c r="H64" s="1" t="s">
        <v>440</v>
      </c>
      <c r="I64" s="1" t="s">
        <v>469</v>
      </c>
      <c r="J64" s="1" t="s">
        <v>28</v>
      </c>
      <c r="K64" s="1" t="s">
        <v>609</v>
      </c>
      <c r="R64" s="1" t="s">
        <v>471</v>
      </c>
      <c r="S64" s="1" t="s">
        <v>472</v>
      </c>
      <c r="T64" s="1" t="s">
        <v>473</v>
      </c>
      <c r="U64" s="1" t="s">
        <v>474</v>
      </c>
      <c r="V64" s="1" t="s">
        <v>475</v>
      </c>
      <c r="W64" s="1" t="s">
        <v>608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customFormat="false" ht="12.95" hidden="false" customHeight="true" outlineLevel="2" collapsed="false">
      <c r="A65" s="1" t="s">
        <v>610</v>
      </c>
      <c r="B65" s="1" t="s">
        <v>479</v>
      </c>
      <c r="C65" s="1" t="s">
        <v>604</v>
      </c>
      <c r="D65" s="1" t="s">
        <v>316</v>
      </c>
      <c r="E65" s="1" t="s">
        <v>281</v>
      </c>
      <c r="F65" s="2" t="s">
        <v>233</v>
      </c>
      <c r="G65" s="1" t="s">
        <v>606</v>
      </c>
      <c r="H65" s="1" t="s">
        <v>440</v>
      </c>
      <c r="I65" s="1" t="s">
        <v>469</v>
      </c>
      <c r="J65" s="1" t="s">
        <v>28</v>
      </c>
      <c r="K65" s="1" t="s">
        <v>609</v>
      </c>
      <c r="R65" s="1" t="s">
        <v>471</v>
      </c>
      <c r="S65" s="1" t="s">
        <v>472</v>
      </c>
      <c r="T65" s="1" t="s">
        <v>473</v>
      </c>
      <c r="U65" s="1" t="s">
        <v>474</v>
      </c>
      <c r="V65" s="1" t="s">
        <v>475</v>
      </c>
      <c r="W65" s="1" t="s">
        <v>610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customFormat="false" ht="12.95" hidden="false" customHeight="true" outlineLevel="1" collapsed="false">
      <c r="A66" s="1" t="s">
        <v>611</v>
      </c>
      <c r="B66" s="1" t="s">
        <v>465</v>
      </c>
      <c r="C66" s="1" t="s">
        <v>612</v>
      </c>
      <c r="W66" s="1" t="s">
        <v>611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customFormat="false" ht="12.95" hidden="false" customHeight="true" outlineLevel="2" collapsed="false">
      <c r="A67" s="1" t="s">
        <v>613</v>
      </c>
      <c r="B67" s="1" t="s">
        <v>467</v>
      </c>
      <c r="C67" s="1" t="s">
        <v>612</v>
      </c>
      <c r="D67" s="1" t="s">
        <v>316</v>
      </c>
      <c r="E67" s="1" t="s">
        <v>281</v>
      </c>
      <c r="F67" s="2" t="s">
        <v>559</v>
      </c>
      <c r="G67" s="1" t="s">
        <v>606</v>
      </c>
      <c r="H67" s="1" t="s">
        <v>440</v>
      </c>
      <c r="I67" s="1" t="s">
        <v>469</v>
      </c>
      <c r="J67" s="1" t="s">
        <v>28</v>
      </c>
      <c r="K67" s="1" t="s">
        <v>614</v>
      </c>
      <c r="L67" s="1" t="s">
        <v>615</v>
      </c>
      <c r="M67" s="1" t="s">
        <v>616</v>
      </c>
      <c r="N67" s="1" t="s">
        <v>617</v>
      </c>
      <c r="O67" s="1" t="s">
        <v>618</v>
      </c>
      <c r="R67" s="1" t="s">
        <v>471</v>
      </c>
      <c r="S67" s="1" t="s">
        <v>472</v>
      </c>
      <c r="T67" s="1" t="s">
        <v>473</v>
      </c>
      <c r="U67" s="1" t="s">
        <v>474</v>
      </c>
      <c r="V67" s="1" t="s">
        <v>475</v>
      </c>
      <c r="W67" s="1" t="s">
        <v>613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customFormat="false" ht="12.95" hidden="false" customHeight="true" outlineLevel="2" collapsed="false">
      <c r="A68" s="1" t="s">
        <v>619</v>
      </c>
      <c r="B68" s="1" t="s">
        <v>477</v>
      </c>
      <c r="C68" s="1" t="s">
        <v>612</v>
      </c>
      <c r="D68" s="1" t="s">
        <v>316</v>
      </c>
      <c r="E68" s="1" t="s">
        <v>281</v>
      </c>
      <c r="F68" s="2" t="s">
        <v>559</v>
      </c>
      <c r="G68" s="1" t="s">
        <v>606</v>
      </c>
      <c r="H68" s="1" t="s">
        <v>440</v>
      </c>
      <c r="I68" s="1" t="s">
        <v>469</v>
      </c>
      <c r="J68" s="1" t="s">
        <v>28</v>
      </c>
      <c r="K68" s="1" t="s">
        <v>614</v>
      </c>
      <c r="L68" s="1" t="s">
        <v>615</v>
      </c>
      <c r="M68" s="1" t="s">
        <v>616</v>
      </c>
      <c r="N68" s="1" t="s">
        <v>617</v>
      </c>
      <c r="O68" s="1" t="s">
        <v>618</v>
      </c>
      <c r="R68" s="1" t="s">
        <v>471</v>
      </c>
      <c r="S68" s="1" t="s">
        <v>472</v>
      </c>
      <c r="T68" s="1" t="s">
        <v>473</v>
      </c>
      <c r="U68" s="1" t="s">
        <v>474</v>
      </c>
      <c r="V68" s="1" t="s">
        <v>475</v>
      </c>
      <c r="W68" s="1" t="s">
        <v>619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customFormat="false" ht="12.95" hidden="false" customHeight="true" outlineLevel="2" collapsed="false">
      <c r="A69" s="1" t="s">
        <v>620</v>
      </c>
      <c r="B69" s="1" t="s">
        <v>479</v>
      </c>
      <c r="C69" s="1" t="s">
        <v>612</v>
      </c>
      <c r="D69" s="1" t="s">
        <v>316</v>
      </c>
      <c r="E69" s="1" t="s">
        <v>281</v>
      </c>
      <c r="F69" s="2" t="s">
        <v>559</v>
      </c>
      <c r="G69" s="1" t="s">
        <v>606</v>
      </c>
      <c r="H69" s="1" t="s">
        <v>440</v>
      </c>
      <c r="I69" s="1" t="s">
        <v>469</v>
      </c>
      <c r="J69" s="1" t="s">
        <v>28</v>
      </c>
      <c r="K69" s="1" t="s">
        <v>614</v>
      </c>
      <c r="L69" s="1" t="s">
        <v>615</v>
      </c>
      <c r="M69" s="1" t="s">
        <v>616</v>
      </c>
      <c r="N69" s="1" t="s">
        <v>617</v>
      </c>
      <c r="O69" s="1" t="s">
        <v>618</v>
      </c>
      <c r="R69" s="1" t="s">
        <v>471</v>
      </c>
      <c r="S69" s="1" t="s">
        <v>472</v>
      </c>
      <c r="T69" s="1" t="s">
        <v>473</v>
      </c>
      <c r="U69" s="1" t="s">
        <v>474</v>
      </c>
      <c r="V69" s="1" t="s">
        <v>475</v>
      </c>
      <c r="W69" s="1" t="s">
        <v>620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customFormat="false" ht="12.9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customFormat="false" ht="12.95" hidden="false" customHeight="true" outlineLevel="0" collapsed="false">
      <c r="A71" s="1" t="s">
        <v>621</v>
      </c>
      <c r="B71" s="1" t="s">
        <v>7</v>
      </c>
      <c r="C71" s="1" t="s">
        <v>622</v>
      </c>
      <c r="W71" s="1" t="s">
        <v>621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customFormat="false" ht="12.95" hidden="false" customHeight="true" outlineLevel="1" collapsed="false">
      <c r="A72" s="1" t="s">
        <v>623</v>
      </c>
      <c r="B72" s="1" t="s">
        <v>465</v>
      </c>
      <c r="C72" s="1" t="s">
        <v>624</v>
      </c>
      <c r="W72" s="1" t="s">
        <v>623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customFormat="false" ht="12.95" hidden="false" customHeight="true" outlineLevel="2" collapsed="false">
      <c r="A73" s="1" t="s">
        <v>625</v>
      </c>
      <c r="B73" s="1" t="s">
        <v>467</v>
      </c>
      <c r="C73" s="1" t="s">
        <v>624</v>
      </c>
      <c r="D73" s="1" t="s">
        <v>316</v>
      </c>
      <c r="E73" s="1" t="s">
        <v>281</v>
      </c>
      <c r="F73" s="2" t="s">
        <v>233</v>
      </c>
      <c r="G73" s="1" t="s">
        <v>626</v>
      </c>
      <c r="H73" s="1" t="s">
        <v>440</v>
      </c>
      <c r="I73" s="1" t="s">
        <v>469</v>
      </c>
      <c r="J73" s="1" t="s">
        <v>28</v>
      </c>
      <c r="K73" s="1" t="s">
        <v>627</v>
      </c>
      <c r="R73" s="1" t="s">
        <v>471</v>
      </c>
      <c r="S73" s="1" t="s">
        <v>472</v>
      </c>
      <c r="T73" s="1" t="s">
        <v>473</v>
      </c>
      <c r="U73" s="1" t="s">
        <v>474</v>
      </c>
      <c r="V73" s="1" t="s">
        <v>475</v>
      </c>
      <c r="W73" s="1" t="s">
        <v>625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customFormat="false" ht="12.95" hidden="false" customHeight="true" outlineLevel="2" collapsed="false">
      <c r="A74" s="1" t="s">
        <v>628</v>
      </c>
      <c r="B74" s="1" t="s">
        <v>477</v>
      </c>
      <c r="C74" s="1" t="s">
        <v>624</v>
      </c>
      <c r="D74" s="1" t="s">
        <v>316</v>
      </c>
      <c r="E74" s="1" t="s">
        <v>281</v>
      </c>
      <c r="F74" s="2" t="s">
        <v>233</v>
      </c>
      <c r="G74" s="1" t="s">
        <v>626</v>
      </c>
      <c r="H74" s="1" t="s">
        <v>440</v>
      </c>
      <c r="I74" s="1" t="s">
        <v>469</v>
      </c>
      <c r="J74" s="1" t="s">
        <v>28</v>
      </c>
      <c r="K74" s="1" t="s">
        <v>381</v>
      </c>
      <c r="R74" s="1" t="s">
        <v>471</v>
      </c>
      <c r="S74" s="1" t="s">
        <v>472</v>
      </c>
      <c r="T74" s="1" t="s">
        <v>473</v>
      </c>
      <c r="U74" s="1" t="s">
        <v>474</v>
      </c>
      <c r="V74" s="1" t="s">
        <v>475</v>
      </c>
      <c r="W74" s="1" t="s">
        <v>628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customFormat="false" ht="12.95" hidden="false" customHeight="true" outlineLevel="2" collapsed="false">
      <c r="A75" s="1" t="s">
        <v>629</v>
      </c>
      <c r="B75" s="1" t="s">
        <v>479</v>
      </c>
      <c r="C75" s="1" t="s">
        <v>624</v>
      </c>
      <c r="D75" s="1" t="s">
        <v>316</v>
      </c>
      <c r="E75" s="1" t="s">
        <v>281</v>
      </c>
      <c r="F75" s="2" t="s">
        <v>233</v>
      </c>
      <c r="G75" s="1" t="s">
        <v>626</v>
      </c>
      <c r="H75" s="1" t="s">
        <v>440</v>
      </c>
      <c r="I75" s="1" t="s">
        <v>469</v>
      </c>
      <c r="J75" s="1" t="s">
        <v>28</v>
      </c>
      <c r="K75" s="1" t="s">
        <v>381</v>
      </c>
      <c r="R75" s="1" t="s">
        <v>471</v>
      </c>
      <c r="S75" s="1" t="s">
        <v>472</v>
      </c>
      <c r="T75" s="1" t="s">
        <v>473</v>
      </c>
      <c r="U75" s="1" t="s">
        <v>474</v>
      </c>
      <c r="V75" s="1" t="s">
        <v>475</v>
      </c>
      <c r="W75" s="1" t="s">
        <v>629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customFormat="false" ht="12.95" hidden="false" customHeight="true" outlineLevel="1" collapsed="false">
      <c r="A76" s="1" t="s">
        <v>630</v>
      </c>
      <c r="B76" s="1" t="s">
        <v>465</v>
      </c>
      <c r="C76" s="1" t="s">
        <v>631</v>
      </c>
      <c r="W76" s="1" t="s">
        <v>630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customFormat="false" ht="12.95" hidden="false" customHeight="true" outlineLevel="2" collapsed="false">
      <c r="A77" s="1" t="s">
        <v>632</v>
      </c>
      <c r="B77" s="1" t="s">
        <v>467</v>
      </c>
      <c r="C77" s="1" t="s">
        <v>631</v>
      </c>
      <c r="D77" s="1" t="s">
        <v>316</v>
      </c>
      <c r="E77" s="1" t="s">
        <v>281</v>
      </c>
      <c r="F77" s="2" t="s">
        <v>482</v>
      </c>
      <c r="G77" s="1" t="s">
        <v>626</v>
      </c>
      <c r="H77" s="1" t="s">
        <v>440</v>
      </c>
      <c r="I77" s="1" t="s">
        <v>469</v>
      </c>
      <c r="J77" s="1" t="s">
        <v>28</v>
      </c>
      <c r="K77" s="1" t="s">
        <v>408</v>
      </c>
      <c r="L77" s="1" t="s">
        <v>409</v>
      </c>
      <c r="M77" s="1" t="s">
        <v>410</v>
      </c>
      <c r="N77" s="1" t="s">
        <v>411</v>
      </c>
      <c r="O77" s="1" t="s">
        <v>412</v>
      </c>
      <c r="P77" s="1" t="s">
        <v>633</v>
      </c>
      <c r="Q77" s="1" t="s">
        <v>634</v>
      </c>
      <c r="R77" s="1" t="s">
        <v>471</v>
      </c>
      <c r="S77" s="1" t="s">
        <v>472</v>
      </c>
      <c r="T77" s="1" t="s">
        <v>473</v>
      </c>
      <c r="U77" s="1" t="s">
        <v>474</v>
      </c>
      <c r="V77" s="1" t="s">
        <v>475</v>
      </c>
      <c r="W77" s="1" t="s">
        <v>632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customFormat="false" ht="12.95" hidden="false" customHeight="true" outlineLevel="2" collapsed="false">
      <c r="A78" s="1" t="s">
        <v>635</v>
      </c>
      <c r="B78" s="1" t="s">
        <v>477</v>
      </c>
      <c r="C78" s="1" t="s">
        <v>631</v>
      </c>
      <c r="D78" s="1" t="s">
        <v>316</v>
      </c>
      <c r="E78" s="1" t="s">
        <v>281</v>
      </c>
      <c r="F78" s="2" t="s">
        <v>482</v>
      </c>
      <c r="G78" s="1" t="s">
        <v>626</v>
      </c>
      <c r="H78" s="1" t="s">
        <v>440</v>
      </c>
      <c r="I78" s="1" t="s">
        <v>469</v>
      </c>
      <c r="J78" s="1" t="s">
        <v>28</v>
      </c>
      <c r="K78" s="1" t="s">
        <v>408</v>
      </c>
      <c r="L78" s="1" t="s">
        <v>409</v>
      </c>
      <c r="M78" s="1" t="s">
        <v>410</v>
      </c>
      <c r="N78" s="1" t="s">
        <v>411</v>
      </c>
      <c r="O78" s="1" t="s">
        <v>412</v>
      </c>
      <c r="P78" s="1" t="s">
        <v>633</v>
      </c>
      <c r="Q78" s="1" t="s">
        <v>634</v>
      </c>
      <c r="R78" s="1" t="s">
        <v>471</v>
      </c>
      <c r="S78" s="1" t="s">
        <v>472</v>
      </c>
      <c r="T78" s="1" t="s">
        <v>473</v>
      </c>
      <c r="U78" s="1" t="s">
        <v>474</v>
      </c>
      <c r="V78" s="1" t="s">
        <v>475</v>
      </c>
      <c r="W78" s="1" t="s">
        <v>635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customFormat="false" ht="12.95" hidden="false" customHeight="true" outlineLevel="2" collapsed="false">
      <c r="A79" s="1" t="s">
        <v>636</v>
      </c>
      <c r="B79" s="1" t="s">
        <v>479</v>
      </c>
      <c r="C79" s="1" t="s">
        <v>631</v>
      </c>
      <c r="D79" s="1" t="s">
        <v>316</v>
      </c>
      <c r="E79" s="1" t="s">
        <v>281</v>
      </c>
      <c r="F79" s="2" t="s">
        <v>482</v>
      </c>
      <c r="G79" s="1" t="s">
        <v>626</v>
      </c>
      <c r="H79" s="1" t="s">
        <v>440</v>
      </c>
      <c r="I79" s="1" t="s">
        <v>469</v>
      </c>
      <c r="J79" s="1" t="s">
        <v>28</v>
      </c>
      <c r="K79" s="1" t="s">
        <v>408</v>
      </c>
      <c r="L79" s="1" t="s">
        <v>409</v>
      </c>
      <c r="M79" s="1" t="s">
        <v>410</v>
      </c>
      <c r="N79" s="1" t="s">
        <v>411</v>
      </c>
      <c r="O79" s="1" t="s">
        <v>412</v>
      </c>
      <c r="P79" s="1" t="s">
        <v>633</v>
      </c>
      <c r="Q79" s="1" t="s">
        <v>634</v>
      </c>
      <c r="R79" s="1" t="s">
        <v>471</v>
      </c>
      <c r="S79" s="1" t="s">
        <v>472</v>
      </c>
      <c r="T79" s="1" t="s">
        <v>473</v>
      </c>
      <c r="U79" s="1" t="s">
        <v>474</v>
      </c>
      <c r="V79" s="1" t="s">
        <v>475</v>
      </c>
      <c r="W79" s="1" t="s">
        <v>636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customFormat="false" ht="12.95" hidden="false" customHeight="true" outlineLevel="1" collapsed="false">
      <c r="A80" s="1" t="s">
        <v>637</v>
      </c>
      <c r="B80" s="1" t="s">
        <v>465</v>
      </c>
      <c r="C80" s="1" t="s">
        <v>638</v>
      </c>
      <c r="W80" s="1" t="s">
        <v>637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customFormat="false" ht="12.95" hidden="false" customHeight="true" outlineLevel="2" collapsed="false">
      <c r="A81" s="1" t="s">
        <v>639</v>
      </c>
      <c r="B81" s="1" t="s">
        <v>467</v>
      </c>
      <c r="C81" s="1" t="s">
        <v>638</v>
      </c>
      <c r="D81" s="1" t="s">
        <v>316</v>
      </c>
      <c r="E81" s="1" t="s">
        <v>281</v>
      </c>
      <c r="F81" s="2" t="s">
        <v>233</v>
      </c>
      <c r="G81" s="1" t="s">
        <v>640</v>
      </c>
      <c r="H81" s="1" t="s">
        <v>440</v>
      </c>
      <c r="I81" s="1" t="s">
        <v>469</v>
      </c>
      <c r="J81" s="1" t="s">
        <v>28</v>
      </c>
      <c r="K81" s="1" t="s">
        <v>641</v>
      </c>
      <c r="R81" s="1" t="s">
        <v>471</v>
      </c>
      <c r="S81" s="1" t="s">
        <v>472</v>
      </c>
      <c r="T81" s="1" t="s">
        <v>473</v>
      </c>
      <c r="U81" s="1" t="s">
        <v>474</v>
      </c>
      <c r="V81" s="1" t="s">
        <v>475</v>
      </c>
      <c r="W81" s="1" t="s">
        <v>639</v>
      </c>
      <c r="X81" s="12"/>
      <c r="Y81" s="14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customFormat="false" ht="12.95" hidden="false" customHeight="true" outlineLevel="2" collapsed="false">
      <c r="A82" s="1" t="s">
        <v>642</v>
      </c>
      <c r="B82" s="1" t="s">
        <v>477</v>
      </c>
      <c r="C82" s="1" t="s">
        <v>638</v>
      </c>
      <c r="D82" s="1" t="s">
        <v>316</v>
      </c>
      <c r="E82" s="1" t="s">
        <v>281</v>
      </c>
      <c r="F82" s="2" t="s">
        <v>233</v>
      </c>
      <c r="G82" s="1" t="s">
        <v>640</v>
      </c>
      <c r="H82" s="1" t="s">
        <v>440</v>
      </c>
      <c r="I82" s="1" t="s">
        <v>469</v>
      </c>
      <c r="J82" s="1" t="s">
        <v>28</v>
      </c>
      <c r="K82" s="1" t="s">
        <v>643</v>
      </c>
      <c r="R82" s="1" t="s">
        <v>471</v>
      </c>
      <c r="S82" s="1" t="s">
        <v>472</v>
      </c>
      <c r="T82" s="1" t="s">
        <v>473</v>
      </c>
      <c r="U82" s="1" t="s">
        <v>474</v>
      </c>
      <c r="V82" s="1" t="s">
        <v>475</v>
      </c>
      <c r="W82" s="1" t="s">
        <v>642</v>
      </c>
      <c r="X82" s="12"/>
      <c r="Y82" s="14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95" hidden="false" customHeight="true" outlineLevel="2" collapsed="false">
      <c r="A83" s="1" t="s">
        <v>644</v>
      </c>
      <c r="B83" s="1" t="s">
        <v>479</v>
      </c>
      <c r="C83" s="1" t="s">
        <v>638</v>
      </c>
      <c r="D83" s="1" t="s">
        <v>316</v>
      </c>
      <c r="E83" s="1" t="s">
        <v>281</v>
      </c>
      <c r="F83" s="2" t="s">
        <v>233</v>
      </c>
      <c r="G83" s="1" t="s">
        <v>640</v>
      </c>
      <c r="H83" s="1" t="s">
        <v>440</v>
      </c>
      <c r="I83" s="1" t="s">
        <v>469</v>
      </c>
      <c r="J83" s="1" t="s">
        <v>28</v>
      </c>
      <c r="K83" s="1" t="s">
        <v>643</v>
      </c>
      <c r="R83" s="1" t="s">
        <v>471</v>
      </c>
      <c r="S83" s="1" t="s">
        <v>472</v>
      </c>
      <c r="T83" s="1" t="s">
        <v>473</v>
      </c>
      <c r="U83" s="1" t="s">
        <v>474</v>
      </c>
      <c r="V83" s="1" t="s">
        <v>475</v>
      </c>
      <c r="W83" s="1" t="s">
        <v>644</v>
      </c>
      <c r="X83" s="12"/>
      <c r="Y83" s="14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customFormat="false" ht="12.95" hidden="false" customHeight="true" outlineLevel="1" collapsed="false">
      <c r="A84" s="1" t="s">
        <v>645</v>
      </c>
      <c r="B84" s="1" t="s">
        <v>465</v>
      </c>
      <c r="C84" s="1" t="s">
        <v>646</v>
      </c>
      <c r="W84" s="1" t="s">
        <v>645</v>
      </c>
      <c r="X84" s="12"/>
      <c r="Y84" s="14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customFormat="false" ht="12.95" hidden="false" customHeight="true" outlineLevel="2" collapsed="false">
      <c r="A85" s="1" t="s">
        <v>647</v>
      </c>
      <c r="B85" s="1" t="s">
        <v>467</v>
      </c>
      <c r="C85" s="1" t="s">
        <v>646</v>
      </c>
      <c r="D85" s="1" t="s">
        <v>316</v>
      </c>
      <c r="E85" s="1" t="s">
        <v>281</v>
      </c>
      <c r="F85" s="2" t="s">
        <v>559</v>
      </c>
      <c r="G85" s="1" t="s">
        <v>640</v>
      </c>
      <c r="H85" s="1" t="s">
        <v>440</v>
      </c>
      <c r="I85" s="1" t="s">
        <v>469</v>
      </c>
      <c r="J85" s="1" t="s">
        <v>28</v>
      </c>
      <c r="K85" s="1" t="s">
        <v>648</v>
      </c>
      <c r="L85" s="1" t="s">
        <v>649</v>
      </c>
      <c r="M85" s="1" t="s">
        <v>650</v>
      </c>
      <c r="N85" s="1" t="s">
        <v>651</v>
      </c>
      <c r="O85" s="1" t="s">
        <v>652</v>
      </c>
      <c r="R85" s="1" t="s">
        <v>471</v>
      </c>
      <c r="S85" s="1" t="s">
        <v>472</v>
      </c>
      <c r="T85" s="1" t="s">
        <v>473</v>
      </c>
      <c r="U85" s="1" t="s">
        <v>474</v>
      </c>
      <c r="V85" s="1" t="s">
        <v>475</v>
      </c>
      <c r="W85" s="1" t="s">
        <v>647</v>
      </c>
      <c r="X85" s="12"/>
      <c r="Y85" s="14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customFormat="false" ht="12.95" hidden="false" customHeight="true" outlineLevel="2" collapsed="false">
      <c r="A86" s="1" t="s">
        <v>653</v>
      </c>
      <c r="B86" s="1" t="s">
        <v>477</v>
      </c>
      <c r="C86" s="1" t="s">
        <v>646</v>
      </c>
      <c r="D86" s="1" t="s">
        <v>316</v>
      </c>
      <c r="E86" s="1" t="s">
        <v>281</v>
      </c>
      <c r="F86" s="2" t="s">
        <v>559</v>
      </c>
      <c r="G86" s="1" t="s">
        <v>640</v>
      </c>
      <c r="H86" s="1" t="s">
        <v>440</v>
      </c>
      <c r="I86" s="1" t="s">
        <v>469</v>
      </c>
      <c r="J86" s="1" t="s">
        <v>28</v>
      </c>
      <c r="K86" s="1" t="s">
        <v>648</v>
      </c>
      <c r="L86" s="1" t="s">
        <v>649</v>
      </c>
      <c r="M86" s="1" t="s">
        <v>650</v>
      </c>
      <c r="N86" s="1" t="s">
        <v>651</v>
      </c>
      <c r="O86" s="1" t="s">
        <v>652</v>
      </c>
      <c r="R86" s="1" t="s">
        <v>471</v>
      </c>
      <c r="S86" s="1" t="s">
        <v>472</v>
      </c>
      <c r="T86" s="1" t="s">
        <v>473</v>
      </c>
      <c r="U86" s="1" t="s">
        <v>474</v>
      </c>
      <c r="V86" s="1" t="s">
        <v>475</v>
      </c>
      <c r="W86" s="1" t="s">
        <v>653</v>
      </c>
      <c r="X86" s="12"/>
      <c r="Y86" s="14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customFormat="false" ht="12.95" hidden="false" customHeight="true" outlineLevel="2" collapsed="false">
      <c r="A87" s="1" t="s">
        <v>654</v>
      </c>
      <c r="B87" s="1" t="s">
        <v>479</v>
      </c>
      <c r="C87" s="1" t="s">
        <v>646</v>
      </c>
      <c r="D87" s="1" t="s">
        <v>316</v>
      </c>
      <c r="E87" s="1" t="s">
        <v>281</v>
      </c>
      <c r="F87" s="2" t="s">
        <v>559</v>
      </c>
      <c r="G87" s="1" t="s">
        <v>640</v>
      </c>
      <c r="H87" s="1" t="s">
        <v>440</v>
      </c>
      <c r="I87" s="1" t="s">
        <v>469</v>
      </c>
      <c r="J87" s="1" t="s">
        <v>28</v>
      </c>
      <c r="K87" s="1" t="s">
        <v>648</v>
      </c>
      <c r="L87" s="1" t="s">
        <v>649</v>
      </c>
      <c r="M87" s="1" t="s">
        <v>650</v>
      </c>
      <c r="N87" s="1" t="s">
        <v>651</v>
      </c>
      <c r="O87" s="1" t="s">
        <v>652</v>
      </c>
      <c r="R87" s="1" t="s">
        <v>471</v>
      </c>
      <c r="S87" s="1" t="s">
        <v>472</v>
      </c>
      <c r="T87" s="1" t="s">
        <v>473</v>
      </c>
      <c r="U87" s="1" t="s">
        <v>474</v>
      </c>
      <c r="V87" s="1" t="s">
        <v>475</v>
      </c>
      <c r="W87" s="1" t="s">
        <v>654</v>
      </c>
      <c r="X87" s="12"/>
      <c r="Y87" s="14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customFormat="false" ht="12.95" hidden="false" customHeight="true" outlineLevel="1" collapsed="false">
      <c r="A88" s="1" t="s">
        <v>655</v>
      </c>
      <c r="B88" s="1" t="s">
        <v>465</v>
      </c>
      <c r="C88" s="1" t="s">
        <v>656</v>
      </c>
      <c r="W88" s="1" t="s">
        <v>655</v>
      </c>
      <c r="X88" s="12"/>
      <c r="Y88" s="14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customFormat="false" ht="12.95" hidden="false" customHeight="true" outlineLevel="2" collapsed="false">
      <c r="A89" s="1" t="s">
        <v>657</v>
      </c>
      <c r="B89" s="1" t="s">
        <v>467</v>
      </c>
      <c r="C89" s="1" t="s">
        <v>656</v>
      </c>
      <c r="D89" s="1" t="s">
        <v>316</v>
      </c>
      <c r="E89" s="1" t="s">
        <v>281</v>
      </c>
      <c r="F89" s="2" t="s">
        <v>233</v>
      </c>
      <c r="G89" s="1" t="s">
        <v>658</v>
      </c>
      <c r="H89" s="1" t="s">
        <v>440</v>
      </c>
      <c r="I89" s="1" t="s">
        <v>469</v>
      </c>
      <c r="J89" s="1" t="s">
        <v>28</v>
      </c>
      <c r="K89" s="1" t="s">
        <v>659</v>
      </c>
      <c r="R89" s="1" t="s">
        <v>471</v>
      </c>
      <c r="S89" s="1" t="s">
        <v>472</v>
      </c>
      <c r="T89" s="1" t="s">
        <v>473</v>
      </c>
      <c r="U89" s="1" t="s">
        <v>474</v>
      </c>
      <c r="V89" s="1" t="s">
        <v>475</v>
      </c>
      <c r="W89" s="1" t="s">
        <v>657</v>
      </c>
      <c r="X89" s="12"/>
      <c r="Y89" s="14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customFormat="false" ht="12.95" hidden="false" customHeight="true" outlineLevel="2" collapsed="false">
      <c r="A90" s="1" t="s">
        <v>660</v>
      </c>
      <c r="B90" s="1" t="s">
        <v>477</v>
      </c>
      <c r="C90" s="1" t="s">
        <v>656</v>
      </c>
      <c r="D90" s="1" t="s">
        <v>316</v>
      </c>
      <c r="E90" s="1" t="s">
        <v>281</v>
      </c>
      <c r="F90" s="2" t="s">
        <v>233</v>
      </c>
      <c r="G90" s="1" t="s">
        <v>658</v>
      </c>
      <c r="H90" s="1" t="s">
        <v>440</v>
      </c>
      <c r="I90" s="1" t="s">
        <v>469</v>
      </c>
      <c r="J90" s="1" t="s">
        <v>28</v>
      </c>
      <c r="K90" s="1" t="s">
        <v>659</v>
      </c>
      <c r="R90" s="1" t="s">
        <v>471</v>
      </c>
      <c r="S90" s="1" t="s">
        <v>472</v>
      </c>
      <c r="T90" s="1" t="s">
        <v>473</v>
      </c>
      <c r="U90" s="1" t="s">
        <v>474</v>
      </c>
      <c r="V90" s="1" t="s">
        <v>475</v>
      </c>
      <c r="W90" s="1" t="s">
        <v>660</v>
      </c>
      <c r="X90" s="12"/>
      <c r="Y90" s="14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customFormat="false" ht="12.95" hidden="false" customHeight="true" outlineLevel="2" collapsed="false">
      <c r="A91" s="1" t="s">
        <v>661</v>
      </c>
      <c r="B91" s="1" t="s">
        <v>479</v>
      </c>
      <c r="C91" s="1" t="s">
        <v>656</v>
      </c>
      <c r="D91" s="1" t="s">
        <v>316</v>
      </c>
      <c r="E91" s="1" t="s">
        <v>281</v>
      </c>
      <c r="F91" s="2" t="s">
        <v>233</v>
      </c>
      <c r="G91" s="1" t="s">
        <v>658</v>
      </c>
      <c r="H91" s="1" t="s">
        <v>440</v>
      </c>
      <c r="I91" s="1" t="s">
        <v>469</v>
      </c>
      <c r="J91" s="1" t="s">
        <v>28</v>
      </c>
      <c r="K91" s="1" t="s">
        <v>659</v>
      </c>
      <c r="R91" s="1" t="s">
        <v>471</v>
      </c>
      <c r="S91" s="1" t="s">
        <v>472</v>
      </c>
      <c r="T91" s="1" t="s">
        <v>473</v>
      </c>
      <c r="U91" s="1" t="s">
        <v>474</v>
      </c>
      <c r="V91" s="1" t="s">
        <v>475</v>
      </c>
      <c r="W91" s="1" t="s">
        <v>661</v>
      </c>
      <c r="X91" s="12"/>
      <c r="Y91" s="14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95" hidden="false" customHeight="true" outlineLevel="1" collapsed="false">
      <c r="A92" s="1" t="s">
        <v>662</v>
      </c>
      <c r="B92" s="1" t="s">
        <v>465</v>
      </c>
      <c r="C92" s="1" t="s">
        <v>663</v>
      </c>
      <c r="W92" s="1" t="s">
        <v>662</v>
      </c>
      <c r="X92" s="12"/>
      <c r="Y92" s="14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customFormat="false" ht="12.95" hidden="false" customHeight="true" outlineLevel="2" collapsed="false">
      <c r="A93" s="1" t="s">
        <v>664</v>
      </c>
      <c r="B93" s="1" t="s">
        <v>467</v>
      </c>
      <c r="C93" s="1" t="s">
        <v>663</v>
      </c>
      <c r="D93" s="1" t="s">
        <v>316</v>
      </c>
      <c r="E93" s="1" t="s">
        <v>281</v>
      </c>
      <c r="F93" s="2" t="s">
        <v>233</v>
      </c>
      <c r="G93" s="1" t="s">
        <v>665</v>
      </c>
      <c r="H93" s="1" t="s">
        <v>440</v>
      </c>
      <c r="I93" s="1" t="s">
        <v>469</v>
      </c>
      <c r="J93" s="1" t="s">
        <v>28</v>
      </c>
      <c r="K93" s="1" t="s">
        <v>666</v>
      </c>
      <c r="R93" s="1" t="s">
        <v>471</v>
      </c>
      <c r="S93" s="1" t="s">
        <v>472</v>
      </c>
      <c r="T93" s="1" t="s">
        <v>473</v>
      </c>
      <c r="U93" s="1" t="s">
        <v>474</v>
      </c>
      <c r="V93" s="1" t="s">
        <v>475</v>
      </c>
      <c r="W93" s="1" t="s">
        <v>664</v>
      </c>
      <c r="X93" s="12"/>
      <c r="Y93" s="14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customFormat="false" ht="12.95" hidden="false" customHeight="true" outlineLevel="2" collapsed="false">
      <c r="A94" s="1" t="s">
        <v>667</v>
      </c>
      <c r="B94" s="1" t="s">
        <v>477</v>
      </c>
      <c r="C94" s="1" t="s">
        <v>663</v>
      </c>
      <c r="D94" s="1" t="s">
        <v>316</v>
      </c>
      <c r="E94" s="1" t="s">
        <v>281</v>
      </c>
      <c r="F94" s="2" t="s">
        <v>233</v>
      </c>
      <c r="G94" s="1" t="s">
        <v>665</v>
      </c>
      <c r="H94" s="1" t="s">
        <v>440</v>
      </c>
      <c r="I94" s="1" t="s">
        <v>469</v>
      </c>
      <c r="J94" s="1" t="s">
        <v>28</v>
      </c>
      <c r="K94" s="1" t="s">
        <v>666</v>
      </c>
      <c r="R94" s="1" t="s">
        <v>471</v>
      </c>
      <c r="S94" s="1" t="s">
        <v>472</v>
      </c>
      <c r="T94" s="1" t="s">
        <v>473</v>
      </c>
      <c r="U94" s="1" t="s">
        <v>474</v>
      </c>
      <c r="V94" s="1" t="s">
        <v>475</v>
      </c>
      <c r="W94" s="1" t="s">
        <v>667</v>
      </c>
      <c r="X94" s="12"/>
      <c r="Y94" s="14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customFormat="false" ht="12.95" hidden="false" customHeight="true" outlineLevel="2" collapsed="false">
      <c r="A95" s="1" t="s">
        <v>668</v>
      </c>
      <c r="B95" s="1" t="s">
        <v>479</v>
      </c>
      <c r="C95" s="1" t="s">
        <v>663</v>
      </c>
      <c r="D95" s="1" t="s">
        <v>316</v>
      </c>
      <c r="E95" s="1" t="s">
        <v>281</v>
      </c>
      <c r="F95" s="2" t="s">
        <v>233</v>
      </c>
      <c r="G95" s="1" t="s">
        <v>665</v>
      </c>
      <c r="H95" s="1" t="s">
        <v>440</v>
      </c>
      <c r="I95" s="1" t="s">
        <v>469</v>
      </c>
      <c r="J95" s="1" t="s">
        <v>28</v>
      </c>
      <c r="K95" s="1" t="s">
        <v>666</v>
      </c>
      <c r="R95" s="1" t="s">
        <v>471</v>
      </c>
      <c r="S95" s="1" t="s">
        <v>472</v>
      </c>
      <c r="T95" s="1" t="s">
        <v>473</v>
      </c>
      <c r="U95" s="1" t="s">
        <v>474</v>
      </c>
      <c r="V95" s="1" t="s">
        <v>475</v>
      </c>
      <c r="W95" s="1" t="s">
        <v>668</v>
      </c>
      <c r="X95" s="12"/>
      <c r="Y95" s="14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customFormat="false" ht="12.95" hidden="false" customHeight="true" outlineLevel="1" collapsed="false">
      <c r="A96" s="1" t="s">
        <v>669</v>
      </c>
      <c r="B96" s="1" t="s">
        <v>465</v>
      </c>
      <c r="C96" s="1" t="s">
        <v>670</v>
      </c>
      <c r="W96" s="1" t="s">
        <v>669</v>
      </c>
      <c r="X96" s="12"/>
      <c r="Y96" s="14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customFormat="false" ht="12.95" hidden="false" customHeight="true" outlineLevel="2" collapsed="false">
      <c r="A97" s="1" t="s">
        <v>671</v>
      </c>
      <c r="B97" s="1" t="s">
        <v>467</v>
      </c>
      <c r="C97" s="1" t="s">
        <v>670</v>
      </c>
      <c r="D97" s="1" t="s">
        <v>316</v>
      </c>
      <c r="E97" s="1" t="s">
        <v>281</v>
      </c>
      <c r="F97" s="2" t="s">
        <v>233</v>
      </c>
      <c r="G97" s="1" t="s">
        <v>672</v>
      </c>
      <c r="H97" s="1" t="s">
        <v>440</v>
      </c>
      <c r="I97" s="1" t="s">
        <v>469</v>
      </c>
      <c r="J97" s="1" t="s">
        <v>28</v>
      </c>
      <c r="K97" s="1" t="s">
        <v>673</v>
      </c>
      <c r="R97" s="1" t="s">
        <v>471</v>
      </c>
      <c r="S97" s="1" t="s">
        <v>472</v>
      </c>
      <c r="T97" s="1" t="s">
        <v>473</v>
      </c>
      <c r="U97" s="1" t="s">
        <v>474</v>
      </c>
      <c r="V97" s="1" t="s">
        <v>475</v>
      </c>
      <c r="W97" s="1" t="s">
        <v>671</v>
      </c>
      <c r="X97" s="12"/>
      <c r="Y97" s="14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customFormat="false" ht="12.95" hidden="false" customHeight="true" outlineLevel="2" collapsed="false">
      <c r="A98" s="1" t="s">
        <v>674</v>
      </c>
      <c r="B98" s="1" t="s">
        <v>477</v>
      </c>
      <c r="C98" s="1" t="s">
        <v>670</v>
      </c>
      <c r="D98" s="1" t="s">
        <v>316</v>
      </c>
      <c r="E98" s="1" t="s">
        <v>281</v>
      </c>
      <c r="F98" s="2" t="s">
        <v>233</v>
      </c>
      <c r="G98" s="1" t="s">
        <v>672</v>
      </c>
      <c r="H98" s="1" t="s">
        <v>440</v>
      </c>
      <c r="I98" s="1" t="s">
        <v>469</v>
      </c>
      <c r="J98" s="1" t="s">
        <v>28</v>
      </c>
      <c r="K98" s="1" t="s">
        <v>673</v>
      </c>
      <c r="R98" s="1" t="s">
        <v>471</v>
      </c>
      <c r="S98" s="1" t="s">
        <v>472</v>
      </c>
      <c r="T98" s="1" t="s">
        <v>473</v>
      </c>
      <c r="U98" s="1" t="s">
        <v>474</v>
      </c>
      <c r="V98" s="1" t="s">
        <v>475</v>
      </c>
      <c r="W98" s="1" t="s">
        <v>674</v>
      </c>
      <c r="X98" s="12"/>
      <c r="Y98" s="14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customFormat="false" ht="12.95" hidden="false" customHeight="true" outlineLevel="2" collapsed="false">
      <c r="A99" s="1" t="s">
        <v>675</v>
      </c>
      <c r="B99" s="1" t="s">
        <v>479</v>
      </c>
      <c r="C99" s="1" t="s">
        <v>670</v>
      </c>
      <c r="D99" s="1" t="s">
        <v>316</v>
      </c>
      <c r="E99" s="1" t="s">
        <v>281</v>
      </c>
      <c r="F99" s="2" t="s">
        <v>233</v>
      </c>
      <c r="G99" s="1" t="s">
        <v>672</v>
      </c>
      <c r="H99" s="1" t="s">
        <v>440</v>
      </c>
      <c r="I99" s="1" t="s">
        <v>469</v>
      </c>
      <c r="J99" s="1" t="s">
        <v>28</v>
      </c>
      <c r="K99" s="1" t="s">
        <v>673</v>
      </c>
      <c r="R99" s="1" t="s">
        <v>471</v>
      </c>
      <c r="S99" s="1" t="s">
        <v>472</v>
      </c>
      <c r="T99" s="1" t="s">
        <v>473</v>
      </c>
      <c r="U99" s="1" t="s">
        <v>474</v>
      </c>
      <c r="V99" s="1" t="s">
        <v>475</v>
      </c>
      <c r="W99" s="1" t="s">
        <v>675</v>
      </c>
      <c r="X99" s="12"/>
      <c r="Y99" s="14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customFormat="false" ht="12.9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customFormat="false" ht="12.95" hidden="false" customHeight="true" outlineLevel="0" collapsed="false">
      <c r="A101" s="1" t="s">
        <v>134</v>
      </c>
      <c r="B101" s="1" t="s">
        <v>7</v>
      </c>
      <c r="C101" s="1" t="s">
        <v>676</v>
      </c>
      <c r="W101" s="1" t="s">
        <v>134</v>
      </c>
      <c r="X101" s="12"/>
      <c r="Y101" s="14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customFormat="false" ht="12.95" hidden="false" customHeight="true" outlineLevel="1" collapsed="false">
      <c r="A102" s="1" t="s">
        <v>677</v>
      </c>
      <c r="B102" s="1" t="s">
        <v>465</v>
      </c>
      <c r="C102" s="1" t="s">
        <v>437</v>
      </c>
      <c r="D102" s="1" t="s">
        <v>316</v>
      </c>
      <c r="E102" s="1" t="s">
        <v>281</v>
      </c>
      <c r="F102" s="2" t="s">
        <v>233</v>
      </c>
      <c r="G102" s="1" t="s">
        <v>439</v>
      </c>
      <c r="H102" s="1" t="s">
        <v>440</v>
      </c>
      <c r="I102" s="1" t="s">
        <v>469</v>
      </c>
      <c r="J102" s="1" t="s">
        <v>28</v>
      </c>
      <c r="K102" s="1" t="s">
        <v>437</v>
      </c>
      <c r="R102" s="1" t="s">
        <v>471</v>
      </c>
      <c r="S102" s="1" t="s">
        <v>472</v>
      </c>
      <c r="T102" s="1" t="s">
        <v>473</v>
      </c>
      <c r="U102" s="1" t="s">
        <v>474</v>
      </c>
      <c r="V102" s="1" t="s">
        <v>475</v>
      </c>
      <c r="W102" s="1" t="s">
        <v>677</v>
      </c>
      <c r="X102" s="12"/>
      <c r="Y102" s="14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customFormat="false" ht="12.95" hidden="false" customHeight="true" outlineLevel="1" collapsed="false">
      <c r="A103" s="1" t="s">
        <v>678</v>
      </c>
      <c r="B103" s="1" t="s">
        <v>465</v>
      </c>
      <c r="C103" s="1" t="s">
        <v>447</v>
      </c>
      <c r="D103" s="1" t="s">
        <v>316</v>
      </c>
      <c r="E103" s="1" t="s">
        <v>281</v>
      </c>
      <c r="F103" s="2" t="s">
        <v>233</v>
      </c>
      <c r="G103" s="1" t="s">
        <v>449</v>
      </c>
      <c r="H103" s="1" t="s">
        <v>440</v>
      </c>
      <c r="I103" s="1" t="s">
        <v>469</v>
      </c>
      <c r="J103" s="1" t="s">
        <v>28</v>
      </c>
      <c r="K103" s="1" t="s">
        <v>447</v>
      </c>
      <c r="R103" s="1" t="s">
        <v>471</v>
      </c>
      <c r="S103" s="1" t="s">
        <v>472</v>
      </c>
      <c r="T103" s="1" t="s">
        <v>473</v>
      </c>
      <c r="U103" s="1" t="s">
        <v>474</v>
      </c>
      <c r="V103" s="1" t="s">
        <v>475</v>
      </c>
      <c r="W103" s="1" t="s">
        <v>678</v>
      </c>
      <c r="X103" s="12"/>
      <c r="Y103" s="14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customFormat="false" ht="12.95" hidden="false" customHeight="true" outlineLevel="1" collapsed="false">
      <c r="A104" s="1" t="s">
        <v>679</v>
      </c>
      <c r="B104" s="1" t="s">
        <v>465</v>
      </c>
      <c r="C104" s="1" t="s">
        <v>680</v>
      </c>
      <c r="D104" s="1" t="s">
        <v>316</v>
      </c>
      <c r="E104" s="1" t="s">
        <v>281</v>
      </c>
      <c r="F104" s="2" t="s">
        <v>233</v>
      </c>
      <c r="G104" s="1" t="s">
        <v>681</v>
      </c>
      <c r="H104" s="1" t="s">
        <v>440</v>
      </c>
      <c r="I104" s="1" t="s">
        <v>469</v>
      </c>
      <c r="J104" s="1" t="s">
        <v>28</v>
      </c>
      <c r="K104" s="1" t="s">
        <v>680</v>
      </c>
      <c r="R104" s="1" t="s">
        <v>471</v>
      </c>
      <c r="S104" s="1" t="s">
        <v>472</v>
      </c>
      <c r="T104" s="1" t="s">
        <v>473</v>
      </c>
      <c r="U104" s="1" t="s">
        <v>474</v>
      </c>
      <c r="V104" s="1" t="s">
        <v>475</v>
      </c>
      <c r="W104" s="1" t="s">
        <v>679</v>
      </c>
      <c r="X104" s="12"/>
      <c r="Y104" s="14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customFormat="false" ht="12.95" hidden="false" customHeight="true" outlineLevel="1" collapsed="false">
      <c r="A105" s="1" t="s">
        <v>682</v>
      </c>
      <c r="B105" s="1" t="s">
        <v>465</v>
      </c>
      <c r="C105" s="1" t="s">
        <v>683</v>
      </c>
      <c r="D105" s="1" t="s">
        <v>316</v>
      </c>
      <c r="E105" s="1" t="s">
        <v>281</v>
      </c>
      <c r="F105" s="2" t="s">
        <v>233</v>
      </c>
      <c r="G105" s="1" t="s">
        <v>684</v>
      </c>
      <c r="H105" s="1" t="s">
        <v>440</v>
      </c>
      <c r="I105" s="1" t="s">
        <v>469</v>
      </c>
      <c r="J105" s="1" t="s">
        <v>28</v>
      </c>
      <c r="K105" s="1" t="s">
        <v>683</v>
      </c>
      <c r="R105" s="1" t="s">
        <v>471</v>
      </c>
      <c r="S105" s="1" t="s">
        <v>472</v>
      </c>
      <c r="T105" s="1" t="s">
        <v>473</v>
      </c>
      <c r="U105" s="1" t="s">
        <v>474</v>
      </c>
      <c r="V105" s="1" t="s">
        <v>475</v>
      </c>
      <c r="W105" s="1" t="s">
        <v>682</v>
      </c>
      <c r="X105" s="12"/>
      <c r="Y105" s="14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customFormat="false" ht="12.95" hidden="false" customHeight="true" outlineLevel="1" collapsed="false">
      <c r="A106" s="1" t="s">
        <v>685</v>
      </c>
      <c r="B106" s="1" t="s">
        <v>465</v>
      </c>
      <c r="C106" s="1" t="s">
        <v>686</v>
      </c>
      <c r="D106" s="1" t="s">
        <v>316</v>
      </c>
      <c r="E106" s="1" t="s">
        <v>281</v>
      </c>
      <c r="F106" s="2" t="s">
        <v>233</v>
      </c>
      <c r="G106" s="1" t="s">
        <v>687</v>
      </c>
      <c r="H106" s="1" t="s">
        <v>440</v>
      </c>
      <c r="I106" s="1" t="s">
        <v>469</v>
      </c>
      <c r="J106" s="1" t="s">
        <v>28</v>
      </c>
      <c r="K106" s="1" t="s">
        <v>686</v>
      </c>
      <c r="R106" s="1" t="s">
        <v>471</v>
      </c>
      <c r="S106" s="1" t="s">
        <v>472</v>
      </c>
      <c r="T106" s="1" t="s">
        <v>473</v>
      </c>
      <c r="U106" s="1" t="s">
        <v>474</v>
      </c>
      <c r="V106" s="1" t="s">
        <v>475</v>
      </c>
      <c r="W106" s="1" t="s">
        <v>685</v>
      </c>
      <c r="X106" s="12"/>
      <c r="Y106" s="14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8" hidden="false" customHeight="false" outlineLevel="0" collapsed="false">
      <c r="X107" s="12"/>
      <c r="Y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8" hidden="false" customHeight="false" outlineLevel="0" collapsed="false">
      <c r="X108" s="12"/>
      <c r="Y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8" hidden="false" customHeight="false" outlineLevel="0" collapsed="false">
      <c r="X109" s="12"/>
      <c r="Y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8" hidden="false" customHeight="false" outlineLevel="0" collapsed="false">
      <c r="X110" s="12"/>
      <c r="Y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8" hidden="false" customHeight="false" outlineLevel="0" collapsed="false">
      <c r="X111" s="12"/>
      <c r="Y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8" hidden="false" customHeight="false" outlineLevel="0" collapsed="false">
      <c r="X112" s="12"/>
      <c r="Y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8" hidden="false" customHeight="false" outlineLevel="0" collapsed="false">
      <c r="X113" s="12"/>
      <c r="Y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8" hidden="false" customHeight="false" outlineLevel="0" collapsed="false">
      <c r="X114" s="12"/>
      <c r="Y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8" hidden="false" customHeight="false" outlineLevel="0" collapsed="false">
      <c r="X115" s="12"/>
      <c r="Y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8" hidden="false" customHeight="false" outlineLevel="0" collapsed="false">
      <c r="X116" s="12"/>
      <c r="Y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8" hidden="false" customHeight="false" outlineLevel="0" collapsed="false">
      <c r="X117" s="12"/>
      <c r="Y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8" hidden="false" customHeight="false" outlineLevel="0" collapsed="false">
      <c r="X118" s="12"/>
      <c r="Y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customFormat="false" ht="12.8" hidden="false" customHeight="false" outlineLevel="0" collapsed="false">
      <c r="X119" s="12"/>
      <c r="Y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customFormat="false" ht="12.8" hidden="false" customHeight="false" outlineLevel="0" collapsed="false">
      <c r="X120" s="12"/>
      <c r="Y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customFormat="false" ht="12.8" hidden="false" customHeight="false" outlineLevel="0" collapsed="false">
      <c r="X121" s="12"/>
      <c r="Y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customFormat="false" ht="12.8" hidden="false" customHeight="false" outlineLevel="0" collapsed="false">
      <c r="X122" s="12"/>
      <c r="Y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customFormat="false" ht="12.8" hidden="false" customHeight="false" outlineLevel="0" collapsed="false">
      <c r="X123" s="12"/>
      <c r="Y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customFormat="false" ht="12.8" hidden="false" customHeight="false" outlineLevel="0" collapsed="false">
      <c r="X124" s="12"/>
      <c r="Y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8" hidden="false" customHeight="false" outlineLevel="0" collapsed="false">
      <c r="X125" s="12"/>
      <c r="Y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customFormat="false" ht="12.8" hidden="false" customHeight="false" outlineLevel="0" collapsed="false">
      <c r="X126" s="12"/>
      <c r="Y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customFormat="false" ht="12.8" hidden="false" customHeight="false" outlineLevel="0" collapsed="false">
      <c r="X127" s="12"/>
      <c r="Y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customFormat="false" ht="12.8" hidden="false" customHeight="false" outlineLevel="0" collapsed="false">
      <c r="X128" s="12"/>
      <c r="Y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customFormat="false" ht="12.8" hidden="false" customHeight="false" outlineLevel="0" collapsed="false">
      <c r="X129" s="12"/>
      <c r="Y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customFormat="false" ht="12.8" hidden="false" customHeight="false" outlineLevel="0" collapsed="false">
      <c r="X130" s="12"/>
      <c r="Y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customFormat="false" ht="12.8" hidden="false" customHeight="false" outlineLevel="0" collapsed="false">
      <c r="X131" s="12"/>
      <c r="Y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customFormat="false" ht="12.8" hidden="false" customHeight="false" outlineLevel="0" collapsed="false">
      <c r="X132" s="12"/>
      <c r="Y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customFormat="false" ht="12.8" hidden="false" customHeight="false" outlineLevel="0" collapsed="false">
      <c r="X133" s="12"/>
      <c r="Y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customFormat="false" ht="12.8" hidden="false" customHeight="false" outlineLevel="0" collapsed="false">
      <c r="X134" s="12"/>
      <c r="Y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customFormat="false" ht="12.8" hidden="false" customHeight="false" outlineLevel="0" collapsed="false">
      <c r="X135" s="12"/>
      <c r="Y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customFormat="false" ht="12.8" hidden="false" customHeight="false" outlineLevel="0" collapsed="false">
      <c r="X136" s="12"/>
      <c r="Y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customFormat="false" ht="12.8" hidden="false" customHeight="false" outlineLevel="0" collapsed="false">
      <c r="X137" s="12"/>
      <c r="Y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customFormat="false" ht="12.8" hidden="false" customHeight="false" outlineLevel="0" collapsed="false">
      <c r="X138" s="12"/>
      <c r="Y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customFormat="false" ht="12.8" hidden="false" customHeight="false" outlineLevel="0" collapsed="false">
      <c r="X139" s="12"/>
      <c r="Y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customFormat="false" ht="12.8" hidden="false" customHeight="false" outlineLevel="0" collapsed="false">
      <c r="X140" s="12"/>
      <c r="Y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customFormat="false" ht="12.8" hidden="false" customHeight="false" outlineLevel="0" collapsed="false">
      <c r="X141" s="12"/>
      <c r="Y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customFormat="false" ht="12.8" hidden="false" customHeight="false" outlineLevel="0" collapsed="false">
      <c r="X142" s="12"/>
      <c r="Y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customFormat="false" ht="12.8" hidden="false" customHeight="false" outlineLevel="0" collapsed="false">
      <c r="X143" s="12"/>
      <c r="Y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customFormat="false" ht="12.8" hidden="false" customHeight="false" outlineLevel="0" collapsed="false">
      <c r="X144" s="12"/>
      <c r="Y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customFormat="false" ht="12.8" hidden="false" customHeight="false" outlineLevel="0" collapsed="false">
      <c r="X145" s="12"/>
      <c r="Y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customFormat="false" ht="12.8" hidden="false" customHeight="false" outlineLevel="0" collapsed="false">
      <c r="X146" s="12"/>
      <c r="Y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customFormat="false" ht="12.8" hidden="false" customHeight="false" outlineLevel="0" collapsed="false">
      <c r="X147" s="12"/>
      <c r="Y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customFormat="false" ht="12.8" hidden="false" customHeight="false" outlineLevel="0" collapsed="false">
      <c r="X148" s="12"/>
      <c r="Y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customFormat="false" ht="12.8" hidden="false" customHeight="false" outlineLevel="0" collapsed="false">
      <c r="X149" s="12"/>
      <c r="Y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customFormat="false" ht="12.8" hidden="false" customHeight="false" outlineLevel="0" collapsed="false">
      <c r="X150" s="12"/>
      <c r="Y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customFormat="false" ht="12.8" hidden="false" customHeight="false" outlineLevel="0" collapsed="false">
      <c r="X151" s="12"/>
      <c r="Y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customFormat="false" ht="12.8" hidden="false" customHeight="false" outlineLevel="0" collapsed="false">
      <c r="X152" s="12"/>
      <c r="Y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customFormat="false" ht="12.8" hidden="false" customHeight="false" outlineLevel="0" collapsed="false">
      <c r="X153" s="12"/>
      <c r="Y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customFormat="false" ht="12.8" hidden="false" customHeight="false" outlineLevel="0" collapsed="false">
      <c r="X154" s="12"/>
      <c r="Y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customFormat="false" ht="12.8" hidden="false" customHeight="false" outlineLevel="0" collapsed="false">
      <c r="X155" s="12"/>
      <c r="Y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customFormat="false" ht="12.8" hidden="false" customHeight="false" outlineLevel="0" collapsed="false">
      <c r="X156" s="12"/>
      <c r="Y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customFormat="false" ht="12.8" hidden="false" customHeight="false" outlineLevel="0" collapsed="false">
      <c r="X157" s="12"/>
      <c r="Y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customFormat="false" ht="12.8" hidden="false" customHeight="false" outlineLevel="0" collapsed="false">
      <c r="X158" s="12"/>
      <c r="Y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customFormat="false" ht="12.8" hidden="false" customHeight="false" outlineLevel="0" collapsed="false">
      <c r="X159" s="12"/>
      <c r="Y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customFormat="false" ht="12.8" hidden="false" customHeight="false" outlineLevel="0" collapsed="false">
      <c r="X160" s="12"/>
      <c r="Y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customFormat="false" ht="12.8" hidden="false" customHeight="false" outlineLevel="0" collapsed="false">
      <c r="X161" s="12"/>
      <c r="Y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customFormat="false" ht="12.8" hidden="false" customHeight="false" outlineLevel="0" collapsed="false">
      <c r="X162" s="12"/>
      <c r="Y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customFormat="false" ht="12.8" hidden="false" customHeight="false" outlineLevel="0" collapsed="false">
      <c r="X163" s="12"/>
      <c r="Y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customFormat="false" ht="12.8" hidden="false" customHeight="false" outlineLevel="0" collapsed="false">
      <c r="X164" s="12"/>
      <c r="Y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customFormat="false" ht="12.8" hidden="false" customHeight="false" outlineLevel="0" collapsed="false">
      <c r="X165" s="12"/>
      <c r="Y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customFormat="false" ht="12.8" hidden="false" customHeight="false" outlineLevel="0" collapsed="false">
      <c r="X166" s="12"/>
      <c r="Y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customFormat="false" ht="12.8" hidden="false" customHeight="false" outlineLevel="0" collapsed="false">
      <c r="X167" s="12"/>
      <c r="Y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customFormat="false" ht="12.8" hidden="false" customHeight="false" outlineLevel="0" collapsed="false">
      <c r="X168" s="12"/>
      <c r="Y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customFormat="false" ht="12.8" hidden="false" customHeight="false" outlineLevel="0" collapsed="false">
      <c r="X169" s="12"/>
      <c r="Y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customFormat="false" ht="12.8" hidden="false" customHeight="false" outlineLevel="0" collapsed="false">
      <c r="X170" s="12"/>
      <c r="Y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customFormat="false" ht="12.8" hidden="false" customHeight="false" outlineLevel="0" collapsed="false">
      <c r="X171" s="12"/>
      <c r="Y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customFormat="false" ht="12.8" hidden="false" customHeight="false" outlineLevel="0" collapsed="false">
      <c r="X172" s="12"/>
      <c r="Y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customFormat="false" ht="12.8" hidden="false" customHeight="false" outlineLevel="0" collapsed="false">
      <c r="X173" s="12"/>
      <c r="Y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customFormat="false" ht="12.8" hidden="false" customHeight="false" outlineLevel="0" collapsed="false">
      <c r="X174" s="12"/>
      <c r="Y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customFormat="false" ht="12.8" hidden="false" customHeight="false" outlineLevel="0" collapsed="false">
      <c r="X175" s="12"/>
      <c r="Y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customFormat="false" ht="12.8" hidden="false" customHeight="false" outlineLevel="0" collapsed="false">
      <c r="X176" s="12"/>
      <c r="Y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customFormat="false" ht="12.8" hidden="false" customHeight="false" outlineLevel="0" collapsed="false">
      <c r="X177" s="12"/>
      <c r="Y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customFormat="false" ht="12.8" hidden="false" customHeight="false" outlineLevel="0" collapsed="false">
      <c r="X178" s="12"/>
      <c r="Y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customFormat="false" ht="12.8" hidden="false" customHeight="false" outlineLevel="0" collapsed="false">
      <c r="X179" s="12"/>
      <c r="Y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customFormat="false" ht="12.8" hidden="false" customHeight="false" outlineLevel="0" collapsed="false">
      <c r="X180" s="12"/>
      <c r="Y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customFormat="false" ht="12.8" hidden="false" customHeight="false" outlineLevel="0" collapsed="false">
      <c r="X181" s="12"/>
      <c r="Y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customFormat="false" ht="12.8" hidden="false" customHeight="false" outlineLevel="0" collapsed="false">
      <c r="X182" s="12"/>
      <c r="Y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customFormat="false" ht="12.8" hidden="false" customHeight="false" outlineLevel="0" collapsed="false">
      <c r="X183" s="12"/>
      <c r="Y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customFormat="false" ht="12.8" hidden="false" customHeight="false" outlineLevel="0" collapsed="false">
      <c r="X184" s="12"/>
      <c r="Y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customFormat="false" ht="12.8" hidden="false" customHeight="false" outlineLevel="0" collapsed="false">
      <c r="X185" s="12"/>
      <c r="Y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customFormat="false" ht="12.8" hidden="false" customHeight="false" outlineLevel="0" collapsed="false">
      <c r="X186" s="12"/>
      <c r="Y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customFormat="false" ht="12.8" hidden="false" customHeight="false" outlineLevel="0" collapsed="false">
      <c r="X187" s="12"/>
      <c r="Y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customFormat="false" ht="12.8" hidden="false" customHeight="false" outlineLevel="0" collapsed="false">
      <c r="X188" s="12"/>
      <c r="Y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customFormat="false" ht="12.8" hidden="false" customHeight="false" outlineLevel="0" collapsed="false">
      <c r="X189" s="12"/>
      <c r="Y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customFormat="false" ht="12.8" hidden="false" customHeight="false" outlineLevel="0" collapsed="false">
      <c r="X190" s="12"/>
      <c r="Y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customFormat="false" ht="12.8" hidden="false" customHeight="false" outlineLevel="0" collapsed="false">
      <c r="X191" s="12"/>
      <c r="Y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customFormat="false" ht="12.8" hidden="false" customHeight="false" outlineLevel="0" collapsed="false">
      <c r="X192" s="12"/>
      <c r="Y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customFormat="false" ht="12.8" hidden="false" customHeight="false" outlineLevel="0" collapsed="false">
      <c r="X193" s="12"/>
      <c r="Y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customFormat="false" ht="12.8" hidden="false" customHeight="false" outlineLevel="0" collapsed="false">
      <c r="X194" s="12"/>
      <c r="Y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customFormat="false" ht="12.8" hidden="false" customHeight="false" outlineLevel="0" collapsed="false">
      <c r="X195" s="12"/>
      <c r="Y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customFormat="false" ht="12.8" hidden="false" customHeight="false" outlineLevel="0" collapsed="false">
      <c r="X196" s="12"/>
      <c r="Y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customFormat="false" ht="12.8" hidden="false" customHeight="false" outlineLevel="0" collapsed="false">
      <c r="X197" s="12"/>
      <c r="Y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customFormat="false" ht="12.8" hidden="false" customHeight="false" outlineLevel="0" collapsed="false">
      <c r="X198" s="12"/>
      <c r="Y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customFormat="false" ht="12.8" hidden="false" customHeight="false" outlineLevel="0" collapsed="false">
      <c r="X199" s="12"/>
      <c r="Y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customFormat="false" ht="12.8" hidden="false" customHeight="false" outlineLevel="0" collapsed="false">
      <c r="X200" s="12"/>
      <c r="Y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customFormat="false" ht="12.8" hidden="false" customHeight="false" outlineLevel="0" collapsed="false">
      <c r="X201" s="12"/>
      <c r="Y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customFormat="false" ht="12.8" hidden="false" customHeight="false" outlineLevel="0" collapsed="false">
      <c r="X202" s="12"/>
      <c r="Y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customFormat="false" ht="12.8" hidden="false" customHeight="false" outlineLevel="0" collapsed="false">
      <c r="X203" s="12"/>
      <c r="Y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customFormat="false" ht="12.8" hidden="false" customHeight="false" outlineLevel="0" collapsed="false">
      <c r="X204" s="12"/>
      <c r="Y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customFormat="false" ht="12.8" hidden="false" customHeight="false" outlineLevel="0" collapsed="false">
      <c r="X205" s="12"/>
      <c r="Y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customFormat="false" ht="12.8" hidden="false" customHeight="false" outlineLevel="0" collapsed="false">
      <c r="X206" s="12"/>
      <c r="Y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customFormat="false" ht="12.8" hidden="false" customHeight="false" outlineLevel="0" collapsed="false">
      <c r="X207" s="12"/>
      <c r="Y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customFormat="false" ht="12.8" hidden="false" customHeight="false" outlineLevel="0" collapsed="false">
      <c r="X208" s="12"/>
      <c r="Y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customFormat="false" ht="12.8" hidden="false" customHeight="false" outlineLevel="0" collapsed="false">
      <c r="X209" s="12"/>
      <c r="Y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customFormat="false" ht="12.8" hidden="false" customHeight="false" outlineLevel="0" collapsed="false">
      <c r="X210" s="12"/>
      <c r="Y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customFormat="false" ht="12.8" hidden="false" customHeight="false" outlineLevel="0" collapsed="false">
      <c r="X211" s="12"/>
      <c r="Y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customFormat="false" ht="12.8" hidden="false" customHeight="false" outlineLevel="0" collapsed="false">
      <c r="X212" s="12"/>
      <c r="Y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customFormat="false" ht="12.8" hidden="false" customHeight="false" outlineLevel="0" collapsed="false">
      <c r="X213" s="12"/>
      <c r="Y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customFormat="false" ht="12.8" hidden="false" customHeight="false" outlineLevel="0" collapsed="false">
      <c r="X214" s="12"/>
      <c r="Y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customFormat="false" ht="12.8" hidden="false" customHeight="false" outlineLevel="0" collapsed="false">
      <c r="X215" s="12"/>
      <c r="Y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customFormat="false" ht="12.8" hidden="false" customHeight="false" outlineLevel="0" collapsed="false">
      <c r="X216" s="12"/>
      <c r="Y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customFormat="false" ht="12.8" hidden="false" customHeight="false" outlineLevel="0" collapsed="false">
      <c r="X217" s="12"/>
      <c r="Y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customFormat="false" ht="12.8" hidden="false" customHeight="false" outlineLevel="0" collapsed="false">
      <c r="X218" s="12"/>
      <c r="Y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customFormat="false" ht="12.8" hidden="false" customHeight="false" outlineLevel="0" collapsed="false">
      <c r="X219" s="12"/>
      <c r="Y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customFormat="false" ht="12.8" hidden="false" customHeight="false" outlineLevel="0" collapsed="false">
      <c r="X220" s="12"/>
      <c r="Y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customFormat="false" ht="12.8" hidden="false" customHeight="false" outlineLevel="0" collapsed="false">
      <c r="X221" s="12"/>
      <c r="Y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customFormat="false" ht="12.8" hidden="false" customHeight="false" outlineLevel="0" collapsed="false">
      <c r="X222" s="12"/>
      <c r="Y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customFormat="false" ht="12.8" hidden="false" customHeight="false" outlineLevel="0" collapsed="false">
      <c r="X223" s="12"/>
      <c r="Y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customFormat="false" ht="12.8" hidden="false" customHeight="false" outlineLevel="0" collapsed="false">
      <c r="X224" s="12"/>
      <c r="Y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customFormat="false" ht="12.8" hidden="false" customHeight="false" outlineLevel="0" collapsed="false">
      <c r="X225" s="12"/>
      <c r="Y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customFormat="false" ht="12.8" hidden="false" customHeight="false" outlineLevel="0" collapsed="false">
      <c r="X226" s="12"/>
      <c r="Y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customFormat="false" ht="12.8" hidden="false" customHeight="false" outlineLevel="0" collapsed="false">
      <c r="X227" s="12"/>
      <c r="Y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customFormat="false" ht="12.8" hidden="false" customHeight="false" outlineLevel="0" collapsed="false">
      <c r="X228" s="12"/>
      <c r="Y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customFormat="false" ht="12.8" hidden="false" customHeight="false" outlineLevel="0" collapsed="false">
      <c r="X229" s="12"/>
      <c r="Y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customFormat="false" ht="12.8" hidden="false" customHeight="false" outlineLevel="0" collapsed="false">
      <c r="X230" s="12"/>
      <c r="Y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customFormat="false" ht="12.8" hidden="false" customHeight="false" outlineLevel="0" collapsed="false">
      <c r="X231" s="12"/>
      <c r="Y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customFormat="false" ht="12.8" hidden="false" customHeight="false" outlineLevel="0" collapsed="false">
      <c r="X232" s="12"/>
      <c r="Y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customFormat="false" ht="12.8" hidden="false" customHeight="false" outlineLevel="0" collapsed="false">
      <c r="X233" s="12"/>
      <c r="Y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customFormat="false" ht="12.8" hidden="false" customHeight="false" outlineLevel="0" collapsed="false">
      <c r="X234" s="12"/>
      <c r="Y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customFormat="false" ht="12.8" hidden="false" customHeight="false" outlineLevel="0" collapsed="false">
      <c r="X235" s="12"/>
      <c r="Y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customFormat="false" ht="12.8" hidden="false" customHeight="false" outlineLevel="0" collapsed="false">
      <c r="X236" s="12"/>
      <c r="Y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customFormat="false" ht="12.8" hidden="false" customHeight="false" outlineLevel="0" collapsed="false">
      <c r="X237" s="12"/>
      <c r="Y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customFormat="false" ht="12.8" hidden="false" customHeight="false" outlineLevel="0" collapsed="false">
      <c r="X238" s="12"/>
      <c r="Y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customFormat="false" ht="12.8" hidden="false" customHeight="false" outlineLevel="0" collapsed="false">
      <c r="X239" s="12"/>
      <c r="Y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customFormat="false" ht="12.8" hidden="false" customHeight="false" outlineLevel="0" collapsed="false">
      <c r="X240" s="12"/>
      <c r="Y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customFormat="false" ht="12.8" hidden="false" customHeight="false" outlineLevel="0" collapsed="false">
      <c r="X241" s="12"/>
      <c r="Y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customFormat="false" ht="12.8" hidden="false" customHeight="false" outlineLevel="0" collapsed="false">
      <c r="X242" s="12"/>
      <c r="Y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customFormat="false" ht="12.8" hidden="false" customHeight="false" outlineLevel="0" collapsed="false">
      <c r="X243" s="12"/>
      <c r="Y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customFormat="false" ht="12.8" hidden="false" customHeight="false" outlineLevel="0" collapsed="false">
      <c r="X244" s="12"/>
      <c r="Y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customFormat="false" ht="12.8" hidden="false" customHeight="false" outlineLevel="0" collapsed="false">
      <c r="X245" s="12"/>
      <c r="Y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customFormat="false" ht="12.8" hidden="false" customHeight="false" outlineLevel="0" collapsed="false">
      <c r="X246" s="12"/>
      <c r="Y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customFormat="false" ht="12.8" hidden="false" customHeight="false" outlineLevel="0" collapsed="false">
      <c r="X247" s="12"/>
      <c r="Y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customFormat="false" ht="12.8" hidden="false" customHeight="false" outlineLevel="0" collapsed="false">
      <c r="X248" s="12"/>
      <c r="Y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customFormat="false" ht="12.8" hidden="false" customHeight="false" outlineLevel="0" collapsed="false">
      <c r="X249" s="12"/>
      <c r="Y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customFormat="false" ht="12.8" hidden="false" customHeight="false" outlineLevel="0" collapsed="false">
      <c r="X250" s="12"/>
      <c r="Y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customFormat="false" ht="12.8" hidden="false" customHeight="false" outlineLevel="0" collapsed="false">
      <c r="X251" s="12"/>
      <c r="Y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customFormat="false" ht="12.8" hidden="false" customHeight="false" outlineLevel="0" collapsed="false">
      <c r="X252" s="12"/>
      <c r="Y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customFormat="false" ht="12.8" hidden="false" customHeight="false" outlineLevel="0" collapsed="false">
      <c r="X253" s="12"/>
      <c r="Y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customFormat="false" ht="12.8" hidden="false" customHeight="false" outlineLevel="0" collapsed="false">
      <c r="X254" s="12"/>
      <c r="Y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customFormat="false" ht="12.8" hidden="false" customHeight="false" outlineLevel="0" collapsed="false">
      <c r="X255" s="12"/>
      <c r="Y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customFormat="false" ht="12.8" hidden="false" customHeight="false" outlineLevel="0" collapsed="false">
      <c r="X256" s="12"/>
      <c r="Y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customFormat="false" ht="12.8" hidden="false" customHeight="false" outlineLevel="0" collapsed="false">
      <c r="X257" s="12"/>
      <c r="Y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customFormat="false" ht="12.8" hidden="false" customHeight="false" outlineLevel="0" collapsed="false">
      <c r="X258" s="12"/>
      <c r="Y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customFormat="false" ht="12.8" hidden="false" customHeight="false" outlineLevel="0" collapsed="false">
      <c r="X259" s="12"/>
      <c r="Y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customFormat="false" ht="12.8" hidden="false" customHeight="false" outlineLevel="0" collapsed="false">
      <c r="X260" s="12"/>
      <c r="Y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customFormat="false" ht="12.8" hidden="false" customHeight="false" outlineLevel="0" collapsed="false">
      <c r="X261" s="12"/>
      <c r="Y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customFormat="false" ht="12.8" hidden="false" customHeight="false" outlineLevel="0" collapsed="false">
      <c r="X262" s="12"/>
      <c r="Y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customFormat="false" ht="12.8" hidden="false" customHeight="false" outlineLevel="0" collapsed="false">
      <c r="X263" s="12"/>
      <c r="Y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customFormat="false" ht="12.8" hidden="false" customHeight="false" outlineLevel="0" collapsed="false">
      <c r="X264" s="12"/>
      <c r="Y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customFormat="false" ht="12.8" hidden="false" customHeight="false" outlineLevel="0" collapsed="false">
      <c r="X265" s="12"/>
      <c r="Y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customFormat="false" ht="12.8" hidden="false" customHeight="false" outlineLevel="0" collapsed="false">
      <c r="X266" s="12"/>
      <c r="Y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customFormat="false" ht="12.8" hidden="false" customHeight="false" outlineLevel="0" collapsed="false">
      <c r="X267" s="12"/>
      <c r="Y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customFormat="false" ht="12.8" hidden="false" customHeight="false" outlineLevel="0" collapsed="false">
      <c r="X268" s="12"/>
      <c r="Y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customFormat="false" ht="12.8" hidden="false" customHeight="false" outlineLevel="0" collapsed="false">
      <c r="X269" s="12"/>
      <c r="Y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customFormat="false" ht="12.8" hidden="false" customHeight="false" outlineLevel="0" collapsed="false">
      <c r="X270" s="12"/>
      <c r="Y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customFormat="false" ht="12.8" hidden="false" customHeight="false" outlineLevel="0" collapsed="false">
      <c r="X271" s="12"/>
      <c r="Y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customFormat="false" ht="12.8" hidden="false" customHeight="false" outlineLevel="0" collapsed="false">
      <c r="X272" s="12"/>
      <c r="Y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customFormat="false" ht="12.8" hidden="false" customHeight="false" outlineLevel="0" collapsed="false">
      <c r="X273" s="12"/>
      <c r="Y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customFormat="false" ht="12.8" hidden="false" customHeight="false" outlineLevel="0" collapsed="false">
      <c r="X274" s="12"/>
      <c r="Y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customFormat="false" ht="12.8" hidden="false" customHeight="false" outlineLevel="0" collapsed="false">
      <c r="X275" s="12"/>
      <c r="Y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customFormat="false" ht="12.8" hidden="false" customHeight="false" outlineLevel="0" collapsed="false">
      <c r="X276" s="12"/>
      <c r="Y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customFormat="false" ht="12.8" hidden="false" customHeight="false" outlineLevel="0" collapsed="false">
      <c r="X277" s="12"/>
      <c r="Y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customFormat="false" ht="12.8" hidden="false" customHeight="false" outlineLevel="0" collapsed="false">
      <c r="X278" s="12"/>
      <c r="Y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customFormat="false" ht="12.8" hidden="false" customHeight="false" outlineLevel="0" collapsed="false">
      <c r="X279" s="12"/>
      <c r="Y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customFormat="false" ht="12.8" hidden="false" customHeight="false" outlineLevel="0" collapsed="false">
      <c r="X280" s="12"/>
      <c r="Y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customFormat="false" ht="12.8" hidden="false" customHeight="false" outlineLevel="0" collapsed="false">
      <c r="X281" s="12"/>
      <c r="Y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customFormat="false" ht="12.8" hidden="false" customHeight="false" outlineLevel="0" collapsed="false">
      <c r="X282" s="12"/>
      <c r="Y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customFormat="false" ht="12.8" hidden="false" customHeight="false" outlineLevel="0" collapsed="false">
      <c r="X283" s="12"/>
      <c r="Y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customFormat="false" ht="12.8" hidden="false" customHeight="false" outlineLevel="0" collapsed="false">
      <c r="X284" s="12"/>
      <c r="Y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customFormat="false" ht="12.8" hidden="false" customHeight="false" outlineLevel="0" collapsed="false">
      <c r="X285" s="12"/>
      <c r="Y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customFormat="false" ht="12.8" hidden="false" customHeight="false" outlineLevel="0" collapsed="false">
      <c r="X286" s="12"/>
      <c r="Y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customFormat="false" ht="12.8" hidden="false" customHeight="false" outlineLevel="0" collapsed="false">
      <c r="X287" s="12"/>
      <c r="Y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customFormat="false" ht="12.8" hidden="false" customHeight="false" outlineLevel="0" collapsed="false">
      <c r="X288" s="12"/>
      <c r="Y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customFormat="false" ht="12.8" hidden="false" customHeight="false" outlineLevel="0" collapsed="false">
      <c r="X289" s="12"/>
      <c r="Y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customFormat="false" ht="12.8" hidden="false" customHeight="false" outlineLevel="0" collapsed="false">
      <c r="X290" s="12"/>
      <c r="Y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customFormat="false" ht="12.8" hidden="false" customHeight="false" outlineLevel="0" collapsed="false">
      <c r="X291" s="12"/>
      <c r="Y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customFormat="false" ht="12.8" hidden="false" customHeight="false" outlineLevel="0" collapsed="false">
      <c r="X292" s="12"/>
      <c r="Y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customFormat="false" ht="12.8" hidden="false" customHeight="false" outlineLevel="0" collapsed="false">
      <c r="X293" s="12"/>
      <c r="Y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customFormat="false" ht="12.8" hidden="false" customHeight="false" outlineLevel="0" collapsed="false">
      <c r="X294" s="12"/>
      <c r="Y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customFormat="false" ht="12.8" hidden="false" customHeight="false" outlineLevel="0" collapsed="false">
      <c r="X295" s="12"/>
      <c r="Y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customFormat="false" ht="12.8" hidden="false" customHeight="false" outlineLevel="0" collapsed="false">
      <c r="X296" s="12"/>
      <c r="Y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customFormat="false" ht="12.8" hidden="false" customHeight="false" outlineLevel="0" collapsed="false">
      <c r="X297" s="12"/>
      <c r="Y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customFormat="false" ht="12.8" hidden="false" customHeight="false" outlineLevel="0" collapsed="false">
      <c r="X298" s="12"/>
      <c r="Y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customFormat="false" ht="12.8" hidden="false" customHeight="false" outlineLevel="0" collapsed="false">
      <c r="X299" s="12"/>
      <c r="Y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customFormat="false" ht="12.8" hidden="false" customHeight="false" outlineLevel="0" collapsed="false">
      <c r="X300" s="12"/>
      <c r="Y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customFormat="false" ht="12.8" hidden="false" customHeight="false" outlineLevel="0" collapsed="false">
      <c r="X301" s="12"/>
      <c r="Y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customFormat="false" ht="12.8" hidden="false" customHeight="false" outlineLevel="0" collapsed="false">
      <c r="X302" s="12"/>
      <c r="Y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customFormat="false" ht="12.8" hidden="false" customHeight="false" outlineLevel="0" collapsed="false">
      <c r="X303" s="12"/>
      <c r="Y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customFormat="false" ht="12.8" hidden="false" customHeight="false" outlineLevel="0" collapsed="false">
      <c r="X304" s="12"/>
      <c r="Y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customFormat="false" ht="12.8" hidden="false" customHeight="false" outlineLevel="0" collapsed="false">
      <c r="X305" s="12"/>
      <c r="Y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customFormat="false" ht="12.8" hidden="false" customHeight="false" outlineLevel="0" collapsed="false">
      <c r="X306" s="12"/>
      <c r="Y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customFormat="false" ht="12.8" hidden="false" customHeight="false" outlineLevel="0" collapsed="false">
      <c r="X307" s="12"/>
      <c r="Y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customFormat="false" ht="12.8" hidden="false" customHeight="false" outlineLevel="0" collapsed="false">
      <c r="X308" s="12"/>
      <c r="Y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customFormat="false" ht="12.8" hidden="false" customHeight="false" outlineLevel="0" collapsed="false">
      <c r="X309" s="12"/>
      <c r="Y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customFormat="false" ht="12.8" hidden="false" customHeight="false" outlineLevel="0" collapsed="false">
      <c r="X310" s="12"/>
      <c r="Y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customFormat="false" ht="12.8" hidden="false" customHeight="false" outlineLevel="0" collapsed="false">
      <c r="X311" s="12"/>
      <c r="Y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customFormat="false" ht="12.8" hidden="false" customHeight="false" outlineLevel="0" collapsed="false">
      <c r="X312" s="12"/>
      <c r="Y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customFormat="false" ht="12.8" hidden="false" customHeight="false" outlineLevel="0" collapsed="false">
      <c r="X313" s="12"/>
      <c r="Y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customFormat="false" ht="12.8" hidden="false" customHeight="false" outlineLevel="0" collapsed="false">
      <c r="X314" s="12"/>
      <c r="Y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customFormat="false" ht="12.8" hidden="false" customHeight="false" outlineLevel="0" collapsed="false">
      <c r="X315" s="12"/>
      <c r="Y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customFormat="false" ht="12.8" hidden="false" customHeight="false" outlineLevel="0" collapsed="false">
      <c r="X316" s="12"/>
      <c r="Y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customFormat="false" ht="12.8" hidden="false" customHeight="false" outlineLevel="0" collapsed="false">
      <c r="X317" s="12"/>
      <c r="Y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customFormat="false" ht="12.8" hidden="false" customHeight="false" outlineLevel="0" collapsed="false">
      <c r="X318" s="12"/>
      <c r="Y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customFormat="false" ht="12.8" hidden="false" customHeight="false" outlineLevel="0" collapsed="false">
      <c r="X319" s="12"/>
      <c r="Y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customFormat="false" ht="12.8" hidden="false" customHeight="false" outlineLevel="0" collapsed="false">
      <c r="X320" s="12"/>
      <c r="Y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customFormat="false" ht="12.8" hidden="false" customHeight="false" outlineLevel="0" collapsed="false">
      <c r="X321" s="12"/>
      <c r="Y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customFormat="false" ht="12.8" hidden="false" customHeight="false" outlineLevel="0" collapsed="false">
      <c r="X322" s="12"/>
      <c r="Y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customFormat="false" ht="12.8" hidden="false" customHeight="false" outlineLevel="0" collapsed="false">
      <c r="X323" s="12"/>
      <c r="Y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customFormat="false" ht="12.8" hidden="false" customHeight="false" outlineLevel="0" collapsed="false">
      <c r="X324" s="12"/>
      <c r="Y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customFormat="false" ht="12.8" hidden="false" customHeight="false" outlineLevel="0" collapsed="false">
      <c r="X325" s="12"/>
      <c r="Y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customFormat="false" ht="12.8" hidden="false" customHeight="false" outlineLevel="0" collapsed="false">
      <c r="X326" s="12"/>
      <c r="Y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customFormat="false" ht="12.8" hidden="false" customHeight="false" outlineLevel="0" collapsed="false">
      <c r="X327" s="12"/>
      <c r="Y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customFormat="false" ht="12.8" hidden="false" customHeight="false" outlineLevel="0" collapsed="false">
      <c r="X328" s="12"/>
      <c r="Y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customFormat="false" ht="12.8" hidden="false" customHeight="false" outlineLevel="0" collapsed="false">
      <c r="X329" s="12"/>
      <c r="Y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customFormat="false" ht="12.8" hidden="false" customHeight="false" outlineLevel="0" collapsed="false">
      <c r="X330" s="12"/>
      <c r="Y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customFormat="false" ht="12.8" hidden="false" customHeight="false" outlineLevel="0" collapsed="false">
      <c r="X331" s="12"/>
      <c r="Y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customFormat="false" ht="12.8" hidden="false" customHeight="false" outlineLevel="0" collapsed="false">
      <c r="X332" s="12"/>
      <c r="Y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customFormat="false" ht="12.8" hidden="false" customHeight="false" outlineLevel="0" collapsed="false">
      <c r="X333" s="12"/>
      <c r="Y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customFormat="false" ht="12.8" hidden="false" customHeight="false" outlineLevel="0" collapsed="false">
      <c r="X334" s="12"/>
      <c r="Y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customFormat="false" ht="12.8" hidden="false" customHeight="false" outlineLevel="0" collapsed="false">
      <c r="X335" s="12"/>
      <c r="Y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customFormat="false" ht="12.8" hidden="false" customHeight="false" outlineLevel="0" collapsed="false">
      <c r="X336" s="12"/>
      <c r="Y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customFormat="false" ht="12.8" hidden="false" customHeight="false" outlineLevel="0" collapsed="false">
      <c r="X337" s="12"/>
      <c r="Y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customFormat="false" ht="12.8" hidden="false" customHeight="false" outlineLevel="0" collapsed="false">
      <c r="X338" s="12"/>
      <c r="Y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customFormat="false" ht="12.8" hidden="false" customHeight="false" outlineLevel="0" collapsed="false">
      <c r="X339" s="12"/>
      <c r="Y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customFormat="false" ht="12.8" hidden="false" customHeight="false" outlineLevel="0" collapsed="false">
      <c r="X340" s="12"/>
      <c r="Y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customFormat="false" ht="12.8" hidden="false" customHeight="false" outlineLevel="0" collapsed="false">
      <c r="X341" s="12"/>
      <c r="Y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customFormat="false" ht="12.8" hidden="false" customHeight="false" outlineLevel="0" collapsed="false">
      <c r="X342" s="12"/>
      <c r="Y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customFormat="false" ht="12.8" hidden="false" customHeight="false" outlineLevel="0" collapsed="false">
      <c r="X343" s="12"/>
      <c r="Y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customFormat="false" ht="12.8" hidden="false" customHeight="false" outlineLevel="0" collapsed="false">
      <c r="X344" s="12"/>
      <c r="Y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customFormat="false" ht="12.8" hidden="false" customHeight="false" outlineLevel="0" collapsed="false">
      <c r="X345" s="12"/>
      <c r="Y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customFormat="false" ht="12.8" hidden="false" customHeight="false" outlineLevel="0" collapsed="false">
      <c r="X346" s="12"/>
      <c r="Y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customFormat="false" ht="12.8" hidden="false" customHeight="false" outlineLevel="0" collapsed="false">
      <c r="X347" s="12"/>
      <c r="Y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customFormat="false" ht="12.8" hidden="false" customHeight="false" outlineLevel="0" collapsed="false">
      <c r="X348" s="12"/>
      <c r="Y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customFormat="false" ht="12.8" hidden="false" customHeight="false" outlineLevel="0" collapsed="false">
      <c r="X349" s="12"/>
      <c r="Y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customFormat="false" ht="12.8" hidden="false" customHeight="false" outlineLevel="0" collapsed="false">
      <c r="X350" s="12"/>
      <c r="Y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customFormat="false" ht="12.8" hidden="false" customHeight="false" outlineLevel="0" collapsed="false">
      <c r="X351" s="12"/>
      <c r="Y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customFormat="false" ht="12.8" hidden="false" customHeight="false" outlineLevel="0" collapsed="false">
      <c r="X352" s="12"/>
      <c r="Y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customFormat="false" ht="12.8" hidden="false" customHeight="false" outlineLevel="0" collapsed="false">
      <c r="X353" s="12"/>
      <c r="Y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customFormat="false" ht="12.8" hidden="false" customHeight="false" outlineLevel="0" collapsed="false">
      <c r="X354" s="12"/>
      <c r="Y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customFormat="false" ht="12.8" hidden="false" customHeight="false" outlineLevel="0" collapsed="false">
      <c r="X355" s="12"/>
      <c r="Y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customFormat="false" ht="12.8" hidden="false" customHeight="false" outlineLevel="0" collapsed="false">
      <c r="X356" s="12"/>
      <c r="Y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customFormat="false" ht="12.8" hidden="false" customHeight="false" outlineLevel="0" collapsed="false">
      <c r="X357" s="12"/>
      <c r="Y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customFormat="false" ht="12.8" hidden="false" customHeight="false" outlineLevel="0" collapsed="false">
      <c r="X358" s="12"/>
      <c r="Y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customFormat="false" ht="12.8" hidden="false" customHeight="false" outlineLevel="0" collapsed="false">
      <c r="X359" s="12"/>
      <c r="Y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customFormat="false" ht="12.8" hidden="false" customHeight="false" outlineLevel="0" collapsed="false">
      <c r="X360" s="12"/>
      <c r="Y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customFormat="false" ht="12.8" hidden="false" customHeight="false" outlineLevel="0" collapsed="false">
      <c r="X361" s="12"/>
      <c r="Y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customFormat="false" ht="12.8" hidden="false" customHeight="false" outlineLevel="0" collapsed="false">
      <c r="X362" s="12"/>
      <c r="Y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customFormat="false" ht="12.8" hidden="false" customHeight="false" outlineLevel="0" collapsed="false">
      <c r="X363" s="12"/>
      <c r="Y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customFormat="false" ht="12.8" hidden="false" customHeight="false" outlineLevel="0" collapsed="false">
      <c r="X364" s="12"/>
      <c r="Y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customFormat="false" ht="12.8" hidden="false" customHeight="false" outlineLevel="0" collapsed="false">
      <c r="X365" s="12"/>
      <c r="Y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customFormat="false" ht="12.8" hidden="false" customHeight="false" outlineLevel="0" collapsed="false">
      <c r="X366" s="12"/>
      <c r="Y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customFormat="false" ht="12.8" hidden="false" customHeight="false" outlineLevel="0" collapsed="false">
      <c r="X367" s="12"/>
      <c r="Y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customFormat="false" ht="12.8" hidden="false" customHeight="false" outlineLevel="0" collapsed="false">
      <c r="X368" s="12"/>
      <c r="Y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customFormat="false" ht="12.8" hidden="false" customHeight="false" outlineLevel="0" collapsed="false">
      <c r="X369" s="12"/>
      <c r="Y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customFormat="false" ht="12.8" hidden="false" customHeight="false" outlineLevel="0" collapsed="false">
      <c r="X370" s="12"/>
      <c r="Y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customFormat="false" ht="12.8" hidden="false" customHeight="false" outlineLevel="0" collapsed="false">
      <c r="X371" s="12"/>
      <c r="Y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customFormat="false" ht="12.8" hidden="false" customHeight="false" outlineLevel="0" collapsed="false">
      <c r="X372" s="12"/>
      <c r="Y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customFormat="false" ht="12.8" hidden="false" customHeight="false" outlineLevel="0" collapsed="false">
      <c r="X373" s="12"/>
      <c r="Y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customFormat="false" ht="12.8" hidden="false" customHeight="false" outlineLevel="0" collapsed="false">
      <c r="X374" s="12"/>
      <c r="Y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customFormat="false" ht="12.8" hidden="false" customHeight="false" outlineLevel="0" collapsed="false">
      <c r="X375" s="12"/>
      <c r="Y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customFormat="false" ht="12.8" hidden="false" customHeight="false" outlineLevel="0" collapsed="false">
      <c r="X376" s="12"/>
      <c r="Y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customFormat="false" ht="12.8" hidden="false" customHeight="false" outlineLevel="0" collapsed="false">
      <c r="X377" s="12"/>
      <c r="Y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customFormat="false" ht="12.8" hidden="false" customHeight="false" outlineLevel="0" collapsed="false">
      <c r="X378" s="12"/>
      <c r="Y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customFormat="false" ht="12.8" hidden="false" customHeight="false" outlineLevel="0" collapsed="false">
      <c r="X379" s="12"/>
      <c r="Y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customFormat="false" ht="12.8" hidden="false" customHeight="false" outlineLevel="0" collapsed="false">
      <c r="X380" s="12"/>
      <c r="Y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customFormat="false" ht="12.8" hidden="false" customHeight="false" outlineLevel="0" collapsed="false">
      <c r="X381" s="12"/>
      <c r="Y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customFormat="false" ht="12.8" hidden="false" customHeight="false" outlineLevel="0" collapsed="false">
      <c r="X382" s="12"/>
      <c r="Y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customFormat="false" ht="12.8" hidden="false" customHeight="false" outlineLevel="0" collapsed="false">
      <c r="X383" s="12"/>
      <c r="Y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customFormat="false" ht="12.8" hidden="false" customHeight="false" outlineLevel="0" collapsed="false">
      <c r="X384" s="12"/>
      <c r="Y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customFormat="false" ht="12.8" hidden="false" customHeight="false" outlineLevel="0" collapsed="false">
      <c r="X385" s="12"/>
      <c r="Y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customFormat="false" ht="12.8" hidden="false" customHeight="false" outlineLevel="0" collapsed="false">
      <c r="X386" s="12"/>
      <c r="Y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customFormat="false" ht="12.8" hidden="false" customHeight="false" outlineLevel="0" collapsed="false">
      <c r="X387" s="12"/>
      <c r="Y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customFormat="false" ht="12.8" hidden="false" customHeight="false" outlineLevel="0" collapsed="false">
      <c r="X388" s="12"/>
      <c r="Y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customFormat="false" ht="12.8" hidden="false" customHeight="false" outlineLevel="0" collapsed="false">
      <c r="X389" s="12"/>
      <c r="Y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customFormat="false" ht="12.8" hidden="false" customHeight="false" outlineLevel="0" collapsed="false">
      <c r="X390" s="12"/>
      <c r="Y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customFormat="false" ht="12.8" hidden="false" customHeight="false" outlineLevel="0" collapsed="false">
      <c r="X391" s="12"/>
      <c r="Y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customFormat="false" ht="12.8" hidden="false" customHeight="false" outlineLevel="0" collapsed="false">
      <c r="X392" s="12"/>
      <c r="Y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customFormat="false" ht="12.8" hidden="false" customHeight="false" outlineLevel="0" collapsed="false">
      <c r="X393" s="12"/>
      <c r="Y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customFormat="false" ht="12.8" hidden="false" customHeight="false" outlineLevel="0" collapsed="false">
      <c r="X394" s="12"/>
      <c r="Y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customFormat="false" ht="12.8" hidden="false" customHeight="false" outlineLevel="0" collapsed="false">
      <c r="X395" s="12"/>
      <c r="Y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customFormat="false" ht="12.8" hidden="false" customHeight="false" outlineLevel="0" collapsed="false">
      <c r="X396" s="12"/>
      <c r="Y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customFormat="false" ht="12.8" hidden="false" customHeight="false" outlineLevel="0" collapsed="false">
      <c r="X397" s="12"/>
      <c r="Y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customFormat="false" ht="12.8" hidden="false" customHeight="false" outlineLevel="0" collapsed="false">
      <c r="X398" s="12"/>
      <c r="Y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customFormat="false" ht="12.8" hidden="false" customHeight="false" outlineLevel="0" collapsed="false">
      <c r="X399" s="12"/>
      <c r="Y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customFormat="false" ht="12.8" hidden="false" customHeight="false" outlineLevel="0" collapsed="false">
      <c r="X400" s="12"/>
      <c r="Y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customFormat="false" ht="12.8" hidden="false" customHeight="false" outlineLevel="0" collapsed="false">
      <c r="X401" s="12"/>
      <c r="Y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customFormat="false" ht="12.8" hidden="false" customHeight="false" outlineLevel="0" collapsed="false">
      <c r="X402" s="12"/>
      <c r="Y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customFormat="false" ht="12.8" hidden="false" customHeight="false" outlineLevel="0" collapsed="false">
      <c r="X403" s="12"/>
      <c r="Y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customFormat="false" ht="12.8" hidden="false" customHeight="false" outlineLevel="0" collapsed="false">
      <c r="X404" s="12"/>
      <c r="Y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customFormat="false" ht="12.8" hidden="false" customHeight="false" outlineLevel="0" collapsed="false">
      <c r="X405" s="12"/>
      <c r="Y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customFormat="false" ht="12.8" hidden="false" customHeight="false" outlineLevel="0" collapsed="false">
      <c r="X406" s="12"/>
      <c r="Y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customFormat="false" ht="12.8" hidden="false" customHeight="false" outlineLevel="0" collapsed="false">
      <c r="X407" s="12"/>
      <c r="Y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customFormat="false" ht="12.8" hidden="false" customHeight="false" outlineLevel="0" collapsed="false">
      <c r="X408" s="12"/>
      <c r="Y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customFormat="false" ht="12.8" hidden="false" customHeight="false" outlineLevel="0" collapsed="false">
      <c r="X409" s="12"/>
      <c r="Y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customFormat="false" ht="12.8" hidden="false" customHeight="false" outlineLevel="0" collapsed="false">
      <c r="X410" s="12"/>
      <c r="Y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customFormat="false" ht="12.8" hidden="false" customHeight="false" outlineLevel="0" collapsed="false">
      <c r="X411" s="12"/>
      <c r="Y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customFormat="false" ht="12.8" hidden="false" customHeight="false" outlineLevel="0" collapsed="false">
      <c r="X412" s="12"/>
      <c r="Y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customFormat="false" ht="12.8" hidden="false" customHeight="false" outlineLevel="0" collapsed="false">
      <c r="X413" s="12"/>
      <c r="Y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customFormat="false" ht="12.8" hidden="false" customHeight="false" outlineLevel="0" collapsed="false">
      <c r="X414" s="12"/>
      <c r="Y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customFormat="false" ht="12.8" hidden="false" customHeight="false" outlineLevel="0" collapsed="false">
      <c r="X415" s="12"/>
      <c r="Y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customFormat="false" ht="12.8" hidden="false" customHeight="false" outlineLevel="0" collapsed="false">
      <c r="X416" s="12"/>
      <c r="Y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customFormat="false" ht="12.8" hidden="false" customHeight="false" outlineLevel="0" collapsed="false">
      <c r="X417" s="12"/>
      <c r="Y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customFormat="false" ht="12.8" hidden="false" customHeight="false" outlineLevel="0" collapsed="false">
      <c r="X418" s="12"/>
      <c r="Y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customFormat="false" ht="12.8" hidden="false" customHeight="false" outlineLevel="0" collapsed="false">
      <c r="X419" s="12"/>
      <c r="Y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customFormat="false" ht="12.8" hidden="false" customHeight="false" outlineLevel="0" collapsed="false">
      <c r="X420" s="12"/>
      <c r="Y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customFormat="false" ht="12.8" hidden="false" customHeight="false" outlineLevel="0" collapsed="false">
      <c r="X421" s="12"/>
      <c r="Y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customFormat="false" ht="12.8" hidden="false" customHeight="false" outlineLevel="0" collapsed="false">
      <c r="X422" s="12"/>
      <c r="Y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customFormat="false" ht="12.8" hidden="false" customHeight="false" outlineLevel="0" collapsed="false">
      <c r="X423" s="12"/>
      <c r="Y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customFormat="false" ht="12.8" hidden="false" customHeight="false" outlineLevel="0" collapsed="false">
      <c r="X424" s="12"/>
      <c r="Y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customFormat="false" ht="12.8" hidden="false" customHeight="false" outlineLevel="0" collapsed="false">
      <c r="X425" s="12"/>
      <c r="Y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customFormat="false" ht="12.8" hidden="false" customHeight="false" outlineLevel="0" collapsed="false">
      <c r="X426" s="12"/>
      <c r="Y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customFormat="false" ht="12.8" hidden="false" customHeight="false" outlineLevel="0" collapsed="false">
      <c r="X427" s="12"/>
      <c r="Y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customFormat="false" ht="12.8" hidden="false" customHeight="false" outlineLevel="0" collapsed="false">
      <c r="X428" s="12"/>
      <c r="Y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customFormat="false" ht="12.8" hidden="false" customHeight="false" outlineLevel="0" collapsed="false">
      <c r="X429" s="12"/>
      <c r="Y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customFormat="false" ht="12.8" hidden="false" customHeight="false" outlineLevel="0" collapsed="false">
      <c r="X430" s="12"/>
      <c r="Y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customFormat="false" ht="12.8" hidden="false" customHeight="false" outlineLevel="0" collapsed="false">
      <c r="X431" s="12"/>
      <c r="Y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customFormat="false" ht="12.8" hidden="false" customHeight="false" outlineLevel="0" collapsed="false">
      <c r="X432" s="12"/>
      <c r="Y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customFormat="false" ht="12.8" hidden="false" customHeight="false" outlineLevel="0" collapsed="false">
      <c r="X433" s="12"/>
      <c r="Y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customFormat="false" ht="12.8" hidden="false" customHeight="false" outlineLevel="0" collapsed="false">
      <c r="X434" s="12"/>
      <c r="Y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customFormat="false" ht="12.8" hidden="false" customHeight="false" outlineLevel="0" collapsed="false">
      <c r="X435" s="12"/>
      <c r="Y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customFormat="false" ht="12.8" hidden="false" customHeight="false" outlineLevel="0" collapsed="false">
      <c r="X436" s="12"/>
      <c r="Y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customFormat="false" ht="12.8" hidden="false" customHeight="false" outlineLevel="0" collapsed="false">
      <c r="X437" s="12"/>
      <c r="Y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customFormat="false" ht="12.8" hidden="false" customHeight="false" outlineLevel="0" collapsed="false">
      <c r="X438" s="12"/>
      <c r="Y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customFormat="false" ht="12.8" hidden="false" customHeight="false" outlineLevel="0" collapsed="false">
      <c r="X439" s="12"/>
      <c r="Y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customFormat="false" ht="12.8" hidden="false" customHeight="false" outlineLevel="0" collapsed="false">
      <c r="X440" s="12"/>
      <c r="Y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customFormat="false" ht="12.8" hidden="false" customHeight="false" outlineLevel="0" collapsed="false">
      <c r="X441" s="12"/>
      <c r="Y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customFormat="false" ht="12.8" hidden="false" customHeight="false" outlineLevel="0" collapsed="false">
      <c r="X442" s="12"/>
      <c r="Y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customFormat="false" ht="12.8" hidden="false" customHeight="false" outlineLevel="0" collapsed="false">
      <c r="X443" s="12"/>
      <c r="Y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customFormat="false" ht="12.8" hidden="false" customHeight="false" outlineLevel="0" collapsed="false">
      <c r="X444" s="12"/>
      <c r="Y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customFormat="false" ht="12.8" hidden="false" customHeight="false" outlineLevel="0" collapsed="false">
      <c r="X445" s="12"/>
      <c r="Y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customFormat="false" ht="12.8" hidden="false" customHeight="false" outlineLevel="0" collapsed="false">
      <c r="X446" s="12"/>
      <c r="Y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customFormat="false" ht="12.8" hidden="false" customHeight="false" outlineLevel="0" collapsed="false">
      <c r="X447" s="12"/>
      <c r="Y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customFormat="false" ht="12.8" hidden="false" customHeight="false" outlineLevel="0" collapsed="false">
      <c r="X448" s="12"/>
      <c r="Y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customFormat="false" ht="12.8" hidden="false" customHeight="false" outlineLevel="0" collapsed="false">
      <c r="X449" s="12"/>
      <c r="Y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customFormat="false" ht="12.8" hidden="false" customHeight="false" outlineLevel="0" collapsed="false">
      <c r="X450" s="12"/>
      <c r="Y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customFormat="false" ht="12.8" hidden="false" customHeight="false" outlineLevel="0" collapsed="false">
      <c r="X451" s="12"/>
      <c r="Y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customFormat="false" ht="12.8" hidden="false" customHeight="false" outlineLevel="0" collapsed="false">
      <c r="X452" s="12"/>
      <c r="Y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customFormat="false" ht="12.8" hidden="false" customHeight="false" outlineLevel="0" collapsed="false">
      <c r="X453" s="12"/>
      <c r="Y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customFormat="false" ht="12.8" hidden="false" customHeight="false" outlineLevel="0" collapsed="false">
      <c r="X454" s="12"/>
      <c r="Y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customFormat="false" ht="12.8" hidden="false" customHeight="false" outlineLevel="0" collapsed="false">
      <c r="X455" s="12"/>
      <c r="Y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customFormat="false" ht="12.8" hidden="false" customHeight="false" outlineLevel="0" collapsed="false">
      <c r="X456" s="12"/>
      <c r="Y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customFormat="false" ht="12.8" hidden="false" customHeight="false" outlineLevel="0" collapsed="false">
      <c r="X457" s="12"/>
      <c r="Y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customFormat="false" ht="12.8" hidden="false" customHeight="false" outlineLevel="0" collapsed="false">
      <c r="X458" s="12"/>
      <c r="Y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customFormat="false" ht="12.8" hidden="false" customHeight="false" outlineLevel="0" collapsed="false">
      <c r="X459" s="12"/>
      <c r="Y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customFormat="false" ht="12.8" hidden="false" customHeight="false" outlineLevel="0" collapsed="false">
      <c r="X460" s="12"/>
      <c r="Y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customFormat="false" ht="12.8" hidden="false" customHeight="false" outlineLevel="0" collapsed="false">
      <c r="X461" s="12"/>
      <c r="Y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customFormat="false" ht="12.8" hidden="false" customHeight="false" outlineLevel="0" collapsed="false">
      <c r="X462" s="12"/>
      <c r="Y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customFormat="false" ht="12.8" hidden="false" customHeight="false" outlineLevel="0" collapsed="false">
      <c r="X463" s="12"/>
      <c r="Y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customFormat="false" ht="12.8" hidden="false" customHeight="false" outlineLevel="0" collapsed="false">
      <c r="X464" s="12"/>
      <c r="Y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customFormat="false" ht="12.8" hidden="false" customHeight="false" outlineLevel="0" collapsed="false">
      <c r="X465" s="12"/>
      <c r="Y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customFormat="false" ht="12.8" hidden="false" customHeight="false" outlineLevel="0" collapsed="false">
      <c r="X466" s="12"/>
      <c r="Y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customFormat="false" ht="12.8" hidden="false" customHeight="false" outlineLevel="0" collapsed="false">
      <c r="X467" s="12"/>
      <c r="Y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customFormat="false" ht="12.8" hidden="false" customHeight="false" outlineLevel="0" collapsed="false">
      <c r="X468" s="12"/>
      <c r="Y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customFormat="false" ht="12.8" hidden="false" customHeight="false" outlineLevel="0" collapsed="false">
      <c r="X469" s="12"/>
      <c r="Y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customFormat="false" ht="12.8" hidden="false" customHeight="false" outlineLevel="0" collapsed="false">
      <c r="X470" s="12"/>
      <c r="Y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customFormat="false" ht="12.8" hidden="false" customHeight="false" outlineLevel="0" collapsed="false">
      <c r="X471" s="12"/>
      <c r="Y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customFormat="false" ht="12.8" hidden="false" customHeight="false" outlineLevel="0" collapsed="false">
      <c r="X472" s="12"/>
      <c r="Y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customFormat="false" ht="12.8" hidden="false" customHeight="false" outlineLevel="0" collapsed="false">
      <c r="X473" s="12"/>
      <c r="Y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customFormat="false" ht="12.8" hidden="false" customHeight="false" outlineLevel="0" collapsed="false">
      <c r="X474" s="12"/>
      <c r="Y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customFormat="false" ht="12.8" hidden="false" customHeight="false" outlineLevel="0" collapsed="false">
      <c r="X475" s="12"/>
      <c r="Y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customFormat="false" ht="12.8" hidden="false" customHeight="false" outlineLevel="0" collapsed="false">
      <c r="X476" s="12"/>
      <c r="Y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customFormat="false" ht="12.8" hidden="false" customHeight="false" outlineLevel="0" collapsed="false">
      <c r="X477" s="12"/>
      <c r="Y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customFormat="false" ht="12.8" hidden="false" customHeight="false" outlineLevel="0" collapsed="false">
      <c r="X478" s="12"/>
      <c r="Y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customFormat="false" ht="12.8" hidden="false" customHeight="false" outlineLevel="0" collapsed="false">
      <c r="X479" s="12"/>
      <c r="Y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customFormat="false" ht="12.8" hidden="false" customHeight="false" outlineLevel="0" collapsed="false">
      <c r="X480" s="12"/>
      <c r="Y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customFormat="false" ht="12.8" hidden="false" customHeight="false" outlineLevel="0" collapsed="false">
      <c r="X481" s="12"/>
      <c r="Y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customFormat="false" ht="12.8" hidden="false" customHeight="false" outlineLevel="0" collapsed="false">
      <c r="X482" s="12"/>
      <c r="Y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customFormat="false" ht="12.8" hidden="false" customHeight="false" outlineLevel="0" collapsed="false">
      <c r="X483" s="12"/>
      <c r="Y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customFormat="false" ht="12.8" hidden="false" customHeight="false" outlineLevel="0" collapsed="false">
      <c r="X484" s="12"/>
      <c r="Y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customFormat="false" ht="12.8" hidden="false" customHeight="false" outlineLevel="0" collapsed="false">
      <c r="X485" s="12"/>
      <c r="Y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customFormat="false" ht="12.8" hidden="false" customHeight="false" outlineLevel="0" collapsed="false">
      <c r="X486" s="12"/>
      <c r="Y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customFormat="false" ht="12.8" hidden="false" customHeight="false" outlineLevel="0" collapsed="false">
      <c r="X487" s="12"/>
      <c r="Y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customFormat="false" ht="12.8" hidden="false" customHeight="false" outlineLevel="0" collapsed="false">
      <c r="X488" s="12"/>
      <c r="Y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customFormat="false" ht="12.8" hidden="false" customHeight="false" outlineLevel="0" collapsed="false">
      <c r="X489" s="12"/>
      <c r="Y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customFormat="false" ht="12.8" hidden="false" customHeight="false" outlineLevel="0" collapsed="false">
      <c r="X490" s="12"/>
      <c r="Y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customFormat="false" ht="12.8" hidden="false" customHeight="false" outlineLevel="0" collapsed="false">
      <c r="X491" s="12"/>
      <c r="Y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customFormat="false" ht="12.8" hidden="false" customHeight="false" outlineLevel="0" collapsed="false">
      <c r="X492" s="12"/>
      <c r="Y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customFormat="false" ht="12.8" hidden="false" customHeight="false" outlineLevel="0" collapsed="false">
      <c r="X493" s="12"/>
      <c r="Y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customFormat="false" ht="12.8" hidden="false" customHeight="false" outlineLevel="0" collapsed="false">
      <c r="X494" s="12"/>
      <c r="Y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customFormat="false" ht="12.8" hidden="false" customHeight="false" outlineLevel="0" collapsed="false">
      <c r="X495" s="12"/>
      <c r="Y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customFormat="false" ht="12.8" hidden="false" customHeight="false" outlineLevel="0" collapsed="false">
      <c r="X496" s="12"/>
      <c r="Y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customFormat="false" ht="12.8" hidden="false" customHeight="false" outlineLevel="0" collapsed="false">
      <c r="X497" s="12"/>
      <c r="Y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customFormat="false" ht="12.8" hidden="false" customHeight="false" outlineLevel="0" collapsed="false">
      <c r="X498" s="12"/>
      <c r="Y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customFormat="false" ht="12.8" hidden="false" customHeight="false" outlineLevel="0" collapsed="false">
      <c r="X499" s="12"/>
      <c r="Y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customFormat="false" ht="12.8" hidden="false" customHeight="false" outlineLevel="0" collapsed="false">
      <c r="X500" s="12"/>
      <c r="Y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customFormat="false" ht="12.8" hidden="false" customHeight="false" outlineLevel="0" collapsed="false">
      <c r="X501" s="12"/>
      <c r="Y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customFormat="false" ht="12.8" hidden="false" customHeight="false" outlineLevel="0" collapsed="false">
      <c r="X502" s="12"/>
      <c r="Y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customFormat="false" ht="12.8" hidden="false" customHeight="false" outlineLevel="0" collapsed="false">
      <c r="X503" s="12"/>
      <c r="Y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customFormat="false" ht="12.8" hidden="false" customHeight="false" outlineLevel="0" collapsed="false">
      <c r="X504" s="12"/>
      <c r="Y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customFormat="false" ht="12.8" hidden="false" customHeight="false" outlineLevel="0" collapsed="false">
      <c r="X505" s="12"/>
      <c r="Y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customFormat="false" ht="12.8" hidden="false" customHeight="false" outlineLevel="0" collapsed="false">
      <c r="X506" s="12"/>
      <c r="Y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customFormat="false" ht="12.8" hidden="false" customHeight="false" outlineLevel="0" collapsed="false">
      <c r="X507" s="12"/>
      <c r="Y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customFormat="false" ht="12.8" hidden="false" customHeight="false" outlineLevel="0" collapsed="false">
      <c r="X508" s="12"/>
      <c r="Y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customFormat="false" ht="12.8" hidden="false" customHeight="false" outlineLevel="0" collapsed="false">
      <c r="X509" s="12"/>
      <c r="Y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customFormat="false" ht="12.8" hidden="false" customHeight="false" outlineLevel="0" collapsed="false">
      <c r="X510" s="12"/>
      <c r="Y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customFormat="false" ht="12.8" hidden="false" customHeight="false" outlineLevel="0" collapsed="false">
      <c r="X511" s="12"/>
      <c r="Y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customFormat="false" ht="12.8" hidden="false" customHeight="false" outlineLevel="0" collapsed="false">
      <c r="X512" s="12"/>
      <c r="Y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customFormat="false" ht="12.8" hidden="false" customHeight="false" outlineLevel="0" collapsed="false">
      <c r="X513" s="12"/>
      <c r="Y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customFormat="false" ht="12.8" hidden="false" customHeight="false" outlineLevel="0" collapsed="false">
      <c r="X514" s="12"/>
      <c r="Y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customFormat="false" ht="12.8" hidden="false" customHeight="false" outlineLevel="0" collapsed="false">
      <c r="X515" s="12"/>
      <c r="Y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customFormat="false" ht="12.8" hidden="false" customHeight="false" outlineLevel="0" collapsed="false">
      <c r="X516" s="12"/>
      <c r="Y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customFormat="false" ht="12.8" hidden="false" customHeight="false" outlineLevel="0" collapsed="false">
      <c r="X517" s="12"/>
      <c r="Y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customFormat="false" ht="12.8" hidden="false" customHeight="false" outlineLevel="0" collapsed="false">
      <c r="X518" s="12"/>
      <c r="Y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customFormat="false" ht="12.8" hidden="false" customHeight="false" outlineLevel="0" collapsed="false">
      <c r="X519" s="12"/>
      <c r="Y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customFormat="false" ht="12.8" hidden="false" customHeight="false" outlineLevel="0" collapsed="false">
      <c r="X520" s="12"/>
      <c r="Y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customFormat="false" ht="12.8" hidden="false" customHeight="false" outlineLevel="0" collapsed="false">
      <c r="X521" s="12"/>
      <c r="Y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customFormat="false" ht="12.8" hidden="false" customHeight="false" outlineLevel="0" collapsed="false">
      <c r="X522" s="12"/>
      <c r="Y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customFormat="false" ht="12.8" hidden="false" customHeight="false" outlineLevel="0" collapsed="false">
      <c r="X523" s="12"/>
      <c r="Y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customFormat="false" ht="12.8" hidden="false" customHeight="false" outlineLevel="0" collapsed="false">
      <c r="X524" s="12"/>
      <c r="Y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customFormat="false" ht="12.8" hidden="false" customHeight="false" outlineLevel="0" collapsed="false">
      <c r="X525" s="12"/>
      <c r="Y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customFormat="false" ht="12.8" hidden="false" customHeight="false" outlineLevel="0" collapsed="false">
      <c r="X526" s="12"/>
      <c r="Y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customFormat="false" ht="12.8" hidden="false" customHeight="false" outlineLevel="0" collapsed="false">
      <c r="X527" s="12"/>
      <c r="Y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customFormat="false" ht="12.8" hidden="false" customHeight="false" outlineLevel="0" collapsed="false">
      <c r="X528" s="12"/>
      <c r="Y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customFormat="false" ht="12.8" hidden="false" customHeight="false" outlineLevel="0" collapsed="false">
      <c r="X529" s="12"/>
      <c r="Y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customFormat="false" ht="12.8" hidden="false" customHeight="false" outlineLevel="0" collapsed="false">
      <c r="X530" s="12"/>
      <c r="Y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customFormat="false" ht="12.8" hidden="false" customHeight="false" outlineLevel="0" collapsed="false">
      <c r="X531" s="12"/>
      <c r="Y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customFormat="false" ht="12.8" hidden="false" customHeight="false" outlineLevel="0" collapsed="false">
      <c r="X532" s="12"/>
      <c r="Y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customFormat="false" ht="12.8" hidden="false" customHeight="false" outlineLevel="0" collapsed="false">
      <c r="X533" s="12"/>
      <c r="Y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customFormat="false" ht="12.8" hidden="false" customHeight="false" outlineLevel="0" collapsed="false">
      <c r="X534" s="12"/>
      <c r="Y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customFormat="false" ht="12.8" hidden="false" customHeight="false" outlineLevel="0" collapsed="false">
      <c r="X535" s="12"/>
      <c r="Y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customFormat="false" ht="12.8" hidden="false" customHeight="false" outlineLevel="0" collapsed="false">
      <c r="X536" s="12"/>
      <c r="Y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customFormat="false" ht="12.8" hidden="false" customHeight="false" outlineLevel="0" collapsed="false">
      <c r="X537" s="12"/>
      <c r="Y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customFormat="false" ht="12.8" hidden="false" customHeight="false" outlineLevel="0" collapsed="false">
      <c r="X538" s="12"/>
      <c r="Y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customFormat="false" ht="12.8" hidden="false" customHeight="false" outlineLevel="0" collapsed="false">
      <c r="X539" s="12"/>
      <c r="Y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customFormat="false" ht="12.8" hidden="false" customHeight="false" outlineLevel="0" collapsed="false">
      <c r="X540" s="12"/>
      <c r="Y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customFormat="false" ht="12.8" hidden="false" customHeight="false" outlineLevel="0" collapsed="false">
      <c r="X541" s="12"/>
      <c r="Y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customFormat="false" ht="12.8" hidden="false" customHeight="false" outlineLevel="0" collapsed="false">
      <c r="X542" s="12"/>
      <c r="Y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customFormat="false" ht="12.8" hidden="false" customHeight="false" outlineLevel="0" collapsed="false">
      <c r="X543" s="12"/>
      <c r="Y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customFormat="false" ht="12.8" hidden="false" customHeight="false" outlineLevel="0" collapsed="false">
      <c r="X544" s="12"/>
      <c r="Y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customFormat="false" ht="12.8" hidden="false" customHeight="false" outlineLevel="0" collapsed="false">
      <c r="X545" s="12"/>
      <c r="Y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customFormat="false" ht="12.8" hidden="false" customHeight="false" outlineLevel="0" collapsed="false">
      <c r="X546" s="12"/>
      <c r="Y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customFormat="false" ht="12.8" hidden="false" customHeight="false" outlineLevel="0" collapsed="false">
      <c r="X547" s="12"/>
      <c r="Y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customFormat="false" ht="12.8" hidden="false" customHeight="false" outlineLevel="0" collapsed="false">
      <c r="X548" s="12"/>
      <c r="Y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customFormat="false" ht="12.8" hidden="false" customHeight="false" outlineLevel="0" collapsed="false">
      <c r="X549" s="12"/>
      <c r="Y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customFormat="false" ht="12.8" hidden="false" customHeight="false" outlineLevel="0" collapsed="false">
      <c r="X550" s="12"/>
      <c r="Y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customFormat="false" ht="12.8" hidden="false" customHeight="false" outlineLevel="0" collapsed="false">
      <c r="X551" s="12"/>
      <c r="Y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customFormat="false" ht="12.8" hidden="false" customHeight="false" outlineLevel="0" collapsed="false">
      <c r="X552" s="12"/>
      <c r="Y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customFormat="false" ht="12.8" hidden="false" customHeight="false" outlineLevel="0" collapsed="false">
      <c r="X553" s="12"/>
      <c r="Y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customFormat="false" ht="12.8" hidden="false" customHeight="false" outlineLevel="0" collapsed="false">
      <c r="X554" s="12"/>
      <c r="Y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customFormat="false" ht="12.8" hidden="false" customHeight="false" outlineLevel="0" collapsed="false">
      <c r="X555" s="12"/>
      <c r="Y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customFormat="false" ht="12.8" hidden="false" customHeight="false" outlineLevel="0" collapsed="false">
      <c r="X556" s="12"/>
      <c r="Y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customFormat="false" ht="12.8" hidden="false" customHeight="false" outlineLevel="0" collapsed="false">
      <c r="X557" s="12"/>
      <c r="Y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customFormat="false" ht="12.8" hidden="false" customHeight="false" outlineLevel="0" collapsed="false">
      <c r="X558" s="12"/>
      <c r="Y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customFormat="false" ht="12.8" hidden="false" customHeight="false" outlineLevel="0" collapsed="false">
      <c r="X559" s="12"/>
      <c r="Y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customFormat="false" ht="12.8" hidden="false" customHeight="false" outlineLevel="0" collapsed="false">
      <c r="X560" s="12"/>
      <c r="Y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customFormat="false" ht="12.8" hidden="false" customHeight="false" outlineLevel="0" collapsed="false">
      <c r="X561" s="12"/>
      <c r="Y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customFormat="false" ht="12.8" hidden="false" customHeight="false" outlineLevel="0" collapsed="false">
      <c r="X562" s="12"/>
      <c r="Y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customFormat="false" ht="12.8" hidden="false" customHeight="false" outlineLevel="0" collapsed="false">
      <c r="X563" s="12"/>
      <c r="Y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customFormat="false" ht="12.8" hidden="false" customHeight="false" outlineLevel="0" collapsed="false">
      <c r="X564" s="12"/>
      <c r="Y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customFormat="false" ht="12.8" hidden="false" customHeight="false" outlineLevel="0" collapsed="false">
      <c r="X565" s="12"/>
      <c r="Y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customFormat="false" ht="12.8" hidden="false" customHeight="false" outlineLevel="0" collapsed="false">
      <c r="X566" s="12"/>
      <c r="Y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customFormat="false" ht="12.8" hidden="false" customHeight="false" outlineLevel="0" collapsed="false">
      <c r="X567" s="12"/>
      <c r="Y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customFormat="false" ht="12.8" hidden="false" customHeight="false" outlineLevel="0" collapsed="false">
      <c r="X568" s="12"/>
      <c r="Y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customFormat="false" ht="12.8" hidden="false" customHeight="false" outlineLevel="0" collapsed="false">
      <c r="X569" s="12"/>
      <c r="Y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customFormat="false" ht="12.8" hidden="false" customHeight="false" outlineLevel="0" collapsed="false">
      <c r="X570" s="12"/>
      <c r="Y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customFormat="false" ht="12.8" hidden="false" customHeight="false" outlineLevel="0" collapsed="false">
      <c r="X571" s="12"/>
      <c r="Y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customFormat="false" ht="12.8" hidden="false" customHeight="false" outlineLevel="0" collapsed="false">
      <c r="X572" s="12"/>
      <c r="Y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customFormat="false" ht="12.8" hidden="false" customHeight="false" outlineLevel="0" collapsed="false">
      <c r="X573" s="12"/>
      <c r="Y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customFormat="false" ht="12.8" hidden="false" customHeight="false" outlineLevel="0" collapsed="false">
      <c r="X574" s="12"/>
      <c r="Y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customFormat="false" ht="12.8" hidden="false" customHeight="false" outlineLevel="0" collapsed="false">
      <c r="X575" s="12"/>
      <c r="Y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customFormat="false" ht="12.8" hidden="false" customHeight="false" outlineLevel="0" collapsed="false">
      <c r="X576" s="12"/>
      <c r="Y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customFormat="false" ht="12.8" hidden="false" customHeight="false" outlineLevel="0" collapsed="false">
      <c r="X577" s="12"/>
      <c r="Y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customFormat="false" ht="12.8" hidden="false" customHeight="false" outlineLevel="0" collapsed="false">
      <c r="X578" s="12"/>
      <c r="Y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customFormat="false" ht="12.8" hidden="false" customHeight="false" outlineLevel="0" collapsed="false">
      <c r="X579" s="12"/>
      <c r="Y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customFormat="false" ht="12.8" hidden="false" customHeight="false" outlineLevel="0" collapsed="false">
      <c r="X580" s="12"/>
      <c r="Y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customFormat="false" ht="12.8" hidden="false" customHeight="false" outlineLevel="0" collapsed="false">
      <c r="X581" s="12"/>
      <c r="Y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customFormat="false" ht="12.8" hidden="false" customHeight="false" outlineLevel="0" collapsed="false">
      <c r="X582" s="12"/>
      <c r="Y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customFormat="false" ht="12.8" hidden="false" customHeight="false" outlineLevel="0" collapsed="false">
      <c r="X583" s="12"/>
      <c r="Y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customFormat="false" ht="12.8" hidden="false" customHeight="false" outlineLevel="0" collapsed="false">
      <c r="X584" s="12"/>
      <c r="Y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customFormat="false" ht="12.8" hidden="false" customHeight="false" outlineLevel="0" collapsed="false">
      <c r="X585" s="12"/>
      <c r="Y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customFormat="false" ht="12.8" hidden="false" customHeight="false" outlineLevel="0" collapsed="false">
      <c r="X586" s="12"/>
      <c r="Y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customFormat="false" ht="12.8" hidden="false" customHeight="false" outlineLevel="0" collapsed="false">
      <c r="X587" s="12"/>
      <c r="Y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customFormat="false" ht="12.8" hidden="false" customHeight="false" outlineLevel="0" collapsed="false">
      <c r="X588" s="12"/>
      <c r="Y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customFormat="false" ht="12.8" hidden="false" customHeight="false" outlineLevel="0" collapsed="false">
      <c r="X589" s="12"/>
      <c r="Y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customFormat="false" ht="12.8" hidden="false" customHeight="false" outlineLevel="0" collapsed="false">
      <c r="X590" s="12"/>
      <c r="Y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customFormat="false" ht="12.8" hidden="false" customHeight="false" outlineLevel="0" collapsed="false">
      <c r="X591" s="12"/>
      <c r="Y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customFormat="false" ht="12.8" hidden="false" customHeight="false" outlineLevel="0" collapsed="false">
      <c r="X592" s="12"/>
      <c r="Y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customFormat="false" ht="12.8" hidden="false" customHeight="false" outlineLevel="0" collapsed="false">
      <c r="X593" s="12"/>
      <c r="Y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customFormat="false" ht="12.8" hidden="false" customHeight="false" outlineLevel="0" collapsed="false">
      <c r="X594" s="12"/>
      <c r="Y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customFormat="false" ht="12.8" hidden="false" customHeight="false" outlineLevel="0" collapsed="false">
      <c r="X595" s="12"/>
      <c r="Y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customFormat="false" ht="12.8" hidden="false" customHeight="false" outlineLevel="0" collapsed="false">
      <c r="X596" s="12"/>
      <c r="Y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customFormat="false" ht="12.8" hidden="false" customHeight="false" outlineLevel="0" collapsed="false">
      <c r="X597" s="12"/>
      <c r="Y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customFormat="false" ht="12.8" hidden="false" customHeight="false" outlineLevel="0" collapsed="false">
      <c r="X598" s="12"/>
      <c r="Y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customFormat="false" ht="12.8" hidden="false" customHeight="false" outlineLevel="0" collapsed="false">
      <c r="X599" s="12"/>
      <c r="Y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customFormat="false" ht="12.8" hidden="false" customHeight="false" outlineLevel="0" collapsed="false">
      <c r="X600" s="12"/>
      <c r="Y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customFormat="false" ht="12.8" hidden="false" customHeight="false" outlineLevel="0" collapsed="false">
      <c r="X601" s="12"/>
      <c r="Y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customFormat="false" ht="12.8" hidden="false" customHeight="false" outlineLevel="0" collapsed="false">
      <c r="X602" s="12"/>
      <c r="Y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customFormat="false" ht="12.8" hidden="false" customHeight="false" outlineLevel="0" collapsed="false">
      <c r="X603" s="12"/>
      <c r="Y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customFormat="false" ht="12.8" hidden="false" customHeight="false" outlineLevel="0" collapsed="false">
      <c r="X604" s="12"/>
      <c r="Y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customFormat="false" ht="12.8" hidden="false" customHeight="false" outlineLevel="0" collapsed="false">
      <c r="X605" s="12"/>
      <c r="Y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customFormat="false" ht="12.8" hidden="false" customHeight="false" outlineLevel="0" collapsed="false">
      <c r="X606" s="12"/>
      <c r="Y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customFormat="false" ht="12.8" hidden="false" customHeight="false" outlineLevel="0" collapsed="false">
      <c r="X607" s="12"/>
      <c r="Y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customFormat="false" ht="12.8" hidden="false" customHeight="false" outlineLevel="0" collapsed="false">
      <c r="X608" s="12"/>
      <c r="Y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customFormat="false" ht="12.8" hidden="false" customHeight="false" outlineLevel="0" collapsed="false">
      <c r="X609" s="12"/>
      <c r="Y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customFormat="false" ht="12.8" hidden="false" customHeight="false" outlineLevel="0" collapsed="false">
      <c r="X610" s="12"/>
      <c r="Y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customFormat="false" ht="12.8" hidden="false" customHeight="false" outlineLevel="0" collapsed="false">
      <c r="X611" s="12"/>
      <c r="Y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customFormat="false" ht="12.8" hidden="false" customHeight="false" outlineLevel="0" collapsed="false">
      <c r="X612" s="12"/>
      <c r="Y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customFormat="false" ht="12.8" hidden="false" customHeight="false" outlineLevel="0" collapsed="false">
      <c r="X613" s="12"/>
      <c r="Y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customFormat="false" ht="12.8" hidden="false" customHeight="false" outlineLevel="0" collapsed="false">
      <c r="X614" s="12"/>
      <c r="Y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customFormat="false" ht="12.8" hidden="false" customHeight="false" outlineLevel="0" collapsed="false">
      <c r="X615" s="12"/>
      <c r="Y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customFormat="false" ht="12.8" hidden="false" customHeight="false" outlineLevel="0" collapsed="false">
      <c r="X616" s="12"/>
      <c r="Y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customFormat="false" ht="12.8" hidden="false" customHeight="false" outlineLevel="0" collapsed="false">
      <c r="X617" s="12"/>
      <c r="Y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customFormat="false" ht="12.8" hidden="false" customHeight="false" outlineLevel="0" collapsed="false">
      <c r="X618" s="12"/>
      <c r="Y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customFormat="false" ht="12.8" hidden="false" customHeight="false" outlineLevel="0" collapsed="false">
      <c r="X619" s="12"/>
      <c r="Y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customFormat="false" ht="12.8" hidden="false" customHeight="false" outlineLevel="0" collapsed="false">
      <c r="X620" s="12"/>
      <c r="Y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customFormat="false" ht="12.8" hidden="false" customHeight="false" outlineLevel="0" collapsed="false">
      <c r="X621" s="12"/>
      <c r="Y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customFormat="false" ht="12.8" hidden="false" customHeight="false" outlineLevel="0" collapsed="false">
      <c r="X622" s="12"/>
      <c r="Y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customFormat="false" ht="12.8" hidden="false" customHeight="false" outlineLevel="0" collapsed="false">
      <c r="X623" s="12"/>
      <c r="Y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customFormat="false" ht="12.8" hidden="false" customHeight="false" outlineLevel="0" collapsed="false">
      <c r="X624" s="12"/>
      <c r="Y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customFormat="false" ht="12.8" hidden="false" customHeight="false" outlineLevel="0" collapsed="false">
      <c r="X625" s="12"/>
      <c r="Y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customFormat="false" ht="12.8" hidden="false" customHeight="false" outlineLevel="0" collapsed="false">
      <c r="X626" s="12"/>
      <c r="Y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customFormat="false" ht="12.8" hidden="false" customHeight="false" outlineLevel="0" collapsed="false">
      <c r="X627" s="12"/>
      <c r="Y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customFormat="false" ht="12.8" hidden="false" customHeight="false" outlineLevel="0" collapsed="false">
      <c r="X628" s="12"/>
      <c r="Y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customFormat="false" ht="12.8" hidden="false" customHeight="false" outlineLevel="0" collapsed="false">
      <c r="X629" s="12"/>
      <c r="Y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customFormat="false" ht="12.8" hidden="false" customHeight="false" outlineLevel="0" collapsed="false">
      <c r="X630" s="12"/>
      <c r="Y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customFormat="false" ht="12.8" hidden="false" customHeight="false" outlineLevel="0" collapsed="false">
      <c r="X631" s="12"/>
      <c r="Y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customFormat="false" ht="12.8" hidden="false" customHeight="false" outlineLevel="0" collapsed="false">
      <c r="X632" s="12"/>
      <c r="Y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customFormat="false" ht="12.8" hidden="false" customHeight="false" outlineLevel="0" collapsed="false">
      <c r="X633" s="12"/>
      <c r="Y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customFormat="false" ht="12.8" hidden="false" customHeight="false" outlineLevel="0" collapsed="false">
      <c r="X634" s="12"/>
      <c r="Y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customFormat="false" ht="12.8" hidden="false" customHeight="false" outlineLevel="0" collapsed="false">
      <c r="X635" s="12"/>
      <c r="Y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customFormat="false" ht="12.8" hidden="false" customHeight="false" outlineLevel="0" collapsed="false">
      <c r="X636" s="12"/>
      <c r="Y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customFormat="false" ht="12.8" hidden="false" customHeight="false" outlineLevel="0" collapsed="false">
      <c r="X637" s="12"/>
      <c r="Y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customFormat="false" ht="12.8" hidden="false" customHeight="false" outlineLevel="0" collapsed="false">
      <c r="X638" s="12"/>
      <c r="Y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customFormat="false" ht="12.8" hidden="false" customHeight="false" outlineLevel="0" collapsed="false">
      <c r="X639" s="12"/>
      <c r="Y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customFormat="false" ht="12.8" hidden="false" customHeight="false" outlineLevel="0" collapsed="false">
      <c r="X640" s="12"/>
      <c r="Y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customFormat="false" ht="12.8" hidden="false" customHeight="false" outlineLevel="0" collapsed="false">
      <c r="X641" s="12"/>
      <c r="Y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customFormat="false" ht="12.8" hidden="false" customHeight="false" outlineLevel="0" collapsed="false">
      <c r="X642" s="12"/>
      <c r="Y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customFormat="false" ht="12.8" hidden="false" customHeight="false" outlineLevel="0" collapsed="false">
      <c r="X643" s="12"/>
      <c r="Y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customFormat="false" ht="12.8" hidden="false" customHeight="false" outlineLevel="0" collapsed="false">
      <c r="X644" s="12"/>
      <c r="Y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customFormat="false" ht="12.8" hidden="false" customHeight="false" outlineLevel="0" collapsed="false">
      <c r="X645" s="12"/>
      <c r="Y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customFormat="false" ht="12.8" hidden="false" customHeight="false" outlineLevel="0" collapsed="false">
      <c r="X646" s="12"/>
      <c r="Y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customFormat="false" ht="12.8" hidden="false" customHeight="false" outlineLevel="0" collapsed="false">
      <c r="X647" s="12"/>
      <c r="Y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customFormat="false" ht="12.8" hidden="false" customHeight="false" outlineLevel="0" collapsed="false">
      <c r="X648" s="12"/>
      <c r="Y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customFormat="false" ht="12.8" hidden="false" customHeight="false" outlineLevel="0" collapsed="false">
      <c r="X649" s="12"/>
      <c r="Y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customFormat="false" ht="12.8" hidden="false" customHeight="false" outlineLevel="0" collapsed="false">
      <c r="X650" s="12"/>
      <c r="Y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customFormat="false" ht="12.8" hidden="false" customHeight="false" outlineLevel="0" collapsed="false">
      <c r="X651" s="12"/>
      <c r="Y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customFormat="false" ht="12.8" hidden="false" customHeight="false" outlineLevel="0" collapsed="false">
      <c r="X652" s="12"/>
      <c r="Y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customFormat="false" ht="12.8" hidden="false" customHeight="false" outlineLevel="0" collapsed="false">
      <c r="X653" s="12"/>
      <c r="Y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customFormat="false" ht="12.8" hidden="false" customHeight="false" outlineLevel="0" collapsed="false">
      <c r="X654" s="12"/>
      <c r="Y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customFormat="false" ht="12.8" hidden="false" customHeight="false" outlineLevel="0" collapsed="false">
      <c r="X655" s="12"/>
      <c r="Y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customFormat="false" ht="12.8" hidden="false" customHeight="false" outlineLevel="0" collapsed="false">
      <c r="X656" s="12"/>
      <c r="Y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customFormat="false" ht="12.8" hidden="false" customHeight="false" outlineLevel="0" collapsed="false">
      <c r="X657" s="12"/>
      <c r="Y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customFormat="false" ht="12.8" hidden="false" customHeight="false" outlineLevel="0" collapsed="false">
      <c r="X658" s="12"/>
      <c r="Y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customFormat="false" ht="12.8" hidden="false" customHeight="false" outlineLevel="0" collapsed="false">
      <c r="X659" s="12"/>
      <c r="Y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customFormat="false" ht="12.8" hidden="false" customHeight="false" outlineLevel="0" collapsed="false">
      <c r="X660" s="12"/>
      <c r="Y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customFormat="false" ht="12.8" hidden="false" customHeight="false" outlineLevel="0" collapsed="false">
      <c r="X661" s="12"/>
      <c r="Y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customFormat="false" ht="12.8" hidden="false" customHeight="false" outlineLevel="0" collapsed="false">
      <c r="X662" s="12"/>
      <c r="Y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customFormat="false" ht="12.8" hidden="false" customHeight="false" outlineLevel="0" collapsed="false">
      <c r="X663" s="12"/>
      <c r="Y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customFormat="false" ht="12.8" hidden="false" customHeight="false" outlineLevel="0" collapsed="false">
      <c r="X664" s="12"/>
      <c r="Y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customFormat="false" ht="12.8" hidden="false" customHeight="false" outlineLevel="0" collapsed="false">
      <c r="X665" s="12"/>
      <c r="Y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customFormat="false" ht="12.8" hidden="false" customHeight="false" outlineLevel="0" collapsed="false">
      <c r="X666" s="12"/>
      <c r="Y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customFormat="false" ht="12.8" hidden="false" customHeight="false" outlineLevel="0" collapsed="false">
      <c r="X667" s="12"/>
      <c r="Y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customFormat="false" ht="12.8" hidden="false" customHeight="false" outlineLevel="0" collapsed="false">
      <c r="X668" s="12"/>
      <c r="Y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customFormat="false" ht="12.8" hidden="false" customHeight="false" outlineLevel="0" collapsed="false">
      <c r="X669" s="12"/>
      <c r="Y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customFormat="false" ht="12.8" hidden="false" customHeight="false" outlineLevel="0" collapsed="false">
      <c r="X670" s="12"/>
      <c r="Y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customFormat="false" ht="12.8" hidden="false" customHeight="false" outlineLevel="0" collapsed="false">
      <c r="X671" s="12"/>
      <c r="Y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customFormat="false" ht="12.8" hidden="false" customHeight="false" outlineLevel="0" collapsed="false">
      <c r="X672" s="12"/>
      <c r="Y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customFormat="false" ht="12.8" hidden="false" customHeight="false" outlineLevel="0" collapsed="false">
      <c r="X673" s="12"/>
      <c r="Y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customFormat="false" ht="12.8" hidden="false" customHeight="false" outlineLevel="0" collapsed="false">
      <c r="X674" s="12"/>
      <c r="Y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customFormat="false" ht="12.8" hidden="false" customHeight="false" outlineLevel="0" collapsed="false">
      <c r="X675" s="12"/>
      <c r="Y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customFormat="false" ht="12.8" hidden="false" customHeight="false" outlineLevel="0" collapsed="false">
      <c r="X676" s="12"/>
      <c r="Y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customFormat="false" ht="12.8" hidden="false" customHeight="false" outlineLevel="0" collapsed="false">
      <c r="X677" s="12"/>
      <c r="Y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customFormat="false" ht="12.8" hidden="false" customHeight="false" outlineLevel="0" collapsed="false">
      <c r="X678" s="12"/>
      <c r="Y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customFormat="false" ht="12.8" hidden="false" customHeight="false" outlineLevel="0" collapsed="false">
      <c r="X679" s="12"/>
      <c r="Y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customFormat="false" ht="12.8" hidden="false" customHeight="false" outlineLevel="0" collapsed="false">
      <c r="X680" s="12"/>
      <c r="Y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customFormat="false" ht="12.8" hidden="false" customHeight="false" outlineLevel="0" collapsed="false">
      <c r="X681" s="12"/>
      <c r="Y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customFormat="false" ht="12.8" hidden="false" customHeight="false" outlineLevel="0" collapsed="false">
      <c r="X682" s="12"/>
      <c r="Y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customFormat="false" ht="12.8" hidden="false" customHeight="false" outlineLevel="0" collapsed="false">
      <c r="X683" s="12"/>
      <c r="Y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customFormat="false" ht="12.8" hidden="false" customHeight="false" outlineLevel="0" collapsed="false">
      <c r="X684" s="12"/>
      <c r="Y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customFormat="false" ht="12.8" hidden="false" customHeight="false" outlineLevel="0" collapsed="false">
      <c r="X685" s="12"/>
      <c r="Y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customFormat="false" ht="12.8" hidden="false" customHeight="false" outlineLevel="0" collapsed="false">
      <c r="X686" s="12"/>
      <c r="Y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customFormat="false" ht="12.8" hidden="false" customHeight="false" outlineLevel="0" collapsed="false">
      <c r="X687" s="12"/>
      <c r="Y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customFormat="false" ht="12.8" hidden="false" customHeight="false" outlineLevel="0" collapsed="false">
      <c r="X688" s="12"/>
      <c r="Y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customFormat="false" ht="12.8" hidden="false" customHeight="false" outlineLevel="0" collapsed="false">
      <c r="X689" s="12"/>
      <c r="Y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customFormat="false" ht="12.8" hidden="false" customHeight="false" outlineLevel="0" collapsed="false">
      <c r="X690" s="12"/>
      <c r="Y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customFormat="false" ht="12.8" hidden="false" customHeight="false" outlineLevel="0" collapsed="false">
      <c r="X691" s="12"/>
      <c r="Y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customFormat="false" ht="12.8" hidden="false" customHeight="false" outlineLevel="0" collapsed="false">
      <c r="X692" s="12"/>
      <c r="Y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customFormat="false" ht="12.8" hidden="false" customHeight="false" outlineLevel="0" collapsed="false">
      <c r="X693" s="12"/>
      <c r="Y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customFormat="false" ht="12.8" hidden="false" customHeight="false" outlineLevel="0" collapsed="false">
      <c r="X694" s="12"/>
      <c r="Y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customFormat="false" ht="12.8" hidden="false" customHeight="false" outlineLevel="0" collapsed="false">
      <c r="X695" s="12"/>
      <c r="Y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customFormat="false" ht="12.8" hidden="false" customHeight="false" outlineLevel="0" collapsed="false">
      <c r="X696" s="12"/>
      <c r="Y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customFormat="false" ht="12.8" hidden="false" customHeight="false" outlineLevel="0" collapsed="false">
      <c r="X697" s="12"/>
      <c r="Y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customFormat="false" ht="12.8" hidden="false" customHeight="false" outlineLevel="0" collapsed="false">
      <c r="X698" s="12"/>
      <c r="Y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customFormat="false" ht="12.8" hidden="false" customHeight="false" outlineLevel="0" collapsed="false">
      <c r="X699" s="12"/>
      <c r="Y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customFormat="false" ht="12.8" hidden="false" customHeight="false" outlineLevel="0" collapsed="false">
      <c r="X700" s="12"/>
      <c r="Y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customFormat="false" ht="12.8" hidden="false" customHeight="false" outlineLevel="0" collapsed="false">
      <c r="X701" s="12"/>
      <c r="Y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customFormat="false" ht="12.8" hidden="false" customHeight="false" outlineLevel="0" collapsed="false">
      <c r="X702" s="12"/>
      <c r="Y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customFormat="false" ht="12.8" hidden="false" customHeight="false" outlineLevel="0" collapsed="false">
      <c r="X703" s="12"/>
      <c r="Y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customFormat="false" ht="12.8" hidden="false" customHeight="false" outlineLevel="0" collapsed="false">
      <c r="X704" s="12"/>
      <c r="Y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customFormat="false" ht="12.8" hidden="false" customHeight="false" outlineLevel="0" collapsed="false">
      <c r="X705" s="12"/>
      <c r="Y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customFormat="false" ht="12.8" hidden="false" customHeight="false" outlineLevel="0" collapsed="false">
      <c r="X706" s="12"/>
      <c r="Y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customFormat="false" ht="12.8" hidden="false" customHeight="false" outlineLevel="0" collapsed="false">
      <c r="X707" s="12"/>
      <c r="Y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customFormat="false" ht="12.8" hidden="false" customHeight="false" outlineLevel="0" collapsed="false">
      <c r="X708" s="12"/>
      <c r="Y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customFormat="false" ht="12.8" hidden="false" customHeight="false" outlineLevel="0" collapsed="false">
      <c r="X709" s="12"/>
      <c r="Y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customFormat="false" ht="12.8" hidden="false" customHeight="false" outlineLevel="0" collapsed="false">
      <c r="X710" s="12"/>
      <c r="Y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customFormat="false" ht="12.8" hidden="false" customHeight="false" outlineLevel="0" collapsed="false">
      <c r="X711" s="12"/>
      <c r="Y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customFormat="false" ht="12.8" hidden="false" customHeight="false" outlineLevel="0" collapsed="false">
      <c r="X712" s="12"/>
      <c r="Y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customFormat="false" ht="12.8" hidden="false" customHeight="false" outlineLevel="0" collapsed="false">
      <c r="X713" s="12"/>
      <c r="Y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customFormat="false" ht="12.8" hidden="false" customHeight="false" outlineLevel="0" collapsed="false">
      <c r="X714" s="12"/>
      <c r="Y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customFormat="false" ht="12.8" hidden="false" customHeight="false" outlineLevel="0" collapsed="false">
      <c r="X715" s="12"/>
      <c r="Y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customFormat="false" ht="12.8" hidden="false" customHeight="false" outlineLevel="0" collapsed="false">
      <c r="X716" s="12"/>
      <c r="Y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customFormat="false" ht="12.8" hidden="false" customHeight="false" outlineLevel="0" collapsed="false">
      <c r="X717" s="12"/>
      <c r="Y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customFormat="false" ht="12.8" hidden="false" customHeight="false" outlineLevel="0" collapsed="false">
      <c r="X718" s="12"/>
      <c r="Y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customFormat="false" ht="12.8" hidden="false" customHeight="false" outlineLevel="0" collapsed="false">
      <c r="X719" s="12"/>
      <c r="Y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customFormat="false" ht="12.8" hidden="false" customHeight="false" outlineLevel="0" collapsed="false">
      <c r="X720" s="12"/>
      <c r="Y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customFormat="false" ht="12.8" hidden="false" customHeight="false" outlineLevel="0" collapsed="false">
      <c r="X721" s="12"/>
      <c r="Y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customFormat="false" ht="12.8" hidden="false" customHeight="false" outlineLevel="0" collapsed="false">
      <c r="X722" s="12"/>
      <c r="Y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customFormat="false" ht="12.8" hidden="false" customHeight="false" outlineLevel="0" collapsed="false">
      <c r="X723" s="12"/>
      <c r="Y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customFormat="false" ht="12.8" hidden="false" customHeight="false" outlineLevel="0" collapsed="false">
      <c r="X724" s="12"/>
      <c r="Y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customFormat="false" ht="12.8" hidden="false" customHeight="false" outlineLevel="0" collapsed="false">
      <c r="X725" s="12"/>
      <c r="Y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customFormat="false" ht="12.8" hidden="false" customHeight="false" outlineLevel="0" collapsed="false">
      <c r="X726" s="12"/>
      <c r="Y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customFormat="false" ht="12.8" hidden="false" customHeight="false" outlineLevel="0" collapsed="false">
      <c r="X727" s="12"/>
      <c r="Y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customFormat="false" ht="12.8" hidden="false" customHeight="false" outlineLevel="0" collapsed="false">
      <c r="X728" s="12"/>
      <c r="Y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customFormat="false" ht="12.8" hidden="false" customHeight="false" outlineLevel="0" collapsed="false">
      <c r="X729" s="12"/>
      <c r="Y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customFormat="false" ht="12.8" hidden="false" customHeight="false" outlineLevel="0" collapsed="false">
      <c r="X730" s="12"/>
      <c r="Y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customFormat="false" ht="12.8" hidden="false" customHeight="false" outlineLevel="0" collapsed="false">
      <c r="X731" s="12"/>
      <c r="Y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customFormat="false" ht="12.8" hidden="false" customHeight="false" outlineLevel="0" collapsed="false">
      <c r="X732" s="12"/>
      <c r="Y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customFormat="false" ht="12.8" hidden="false" customHeight="false" outlineLevel="0" collapsed="false">
      <c r="X733" s="12"/>
      <c r="Y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customFormat="false" ht="12.8" hidden="false" customHeight="false" outlineLevel="0" collapsed="false">
      <c r="X734" s="12"/>
      <c r="Y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customFormat="false" ht="12.8" hidden="false" customHeight="false" outlineLevel="0" collapsed="false">
      <c r="X735" s="12"/>
      <c r="Y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customFormat="false" ht="12.8" hidden="false" customHeight="false" outlineLevel="0" collapsed="false">
      <c r="X736" s="12"/>
      <c r="Y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customFormat="false" ht="12.8" hidden="false" customHeight="false" outlineLevel="0" collapsed="false">
      <c r="X737" s="12"/>
      <c r="Y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customFormat="false" ht="12.8" hidden="false" customHeight="false" outlineLevel="0" collapsed="false">
      <c r="X738" s="12"/>
      <c r="Y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customFormat="false" ht="12.8" hidden="false" customHeight="false" outlineLevel="0" collapsed="false">
      <c r="X739" s="12"/>
      <c r="Y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customFormat="false" ht="12.8" hidden="false" customHeight="false" outlineLevel="0" collapsed="false">
      <c r="X740" s="12"/>
      <c r="Y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customFormat="false" ht="12.8" hidden="false" customHeight="false" outlineLevel="0" collapsed="false">
      <c r="X741" s="12"/>
      <c r="Y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customFormat="false" ht="12.8" hidden="false" customHeight="false" outlineLevel="0" collapsed="false">
      <c r="X742" s="12"/>
      <c r="Y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customFormat="false" ht="12.8" hidden="false" customHeight="false" outlineLevel="0" collapsed="false">
      <c r="X743" s="12"/>
      <c r="Y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customFormat="false" ht="12.8" hidden="false" customHeight="false" outlineLevel="0" collapsed="false">
      <c r="X744" s="12"/>
      <c r="Y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customFormat="false" ht="12.8" hidden="false" customHeight="false" outlineLevel="0" collapsed="false">
      <c r="X745" s="12"/>
      <c r="Y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customFormat="false" ht="12.8" hidden="false" customHeight="false" outlineLevel="0" collapsed="false">
      <c r="X746" s="12"/>
      <c r="Y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customFormat="false" ht="12.8" hidden="false" customHeight="false" outlineLevel="0" collapsed="false">
      <c r="X747" s="12"/>
      <c r="Y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customFormat="false" ht="12.8" hidden="false" customHeight="false" outlineLevel="0" collapsed="false">
      <c r="X748" s="12"/>
      <c r="Y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customFormat="false" ht="12.8" hidden="false" customHeight="false" outlineLevel="0" collapsed="false">
      <c r="X749" s="12"/>
      <c r="Y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customFormat="false" ht="12.8" hidden="false" customHeight="false" outlineLevel="0" collapsed="false">
      <c r="X750" s="12"/>
      <c r="Y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customFormat="false" ht="12.8" hidden="false" customHeight="false" outlineLevel="0" collapsed="false">
      <c r="X751" s="12"/>
      <c r="Y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customFormat="false" ht="12.8" hidden="false" customHeight="false" outlineLevel="0" collapsed="false">
      <c r="X752" s="12"/>
      <c r="Y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customFormat="false" ht="12.8" hidden="false" customHeight="false" outlineLevel="0" collapsed="false">
      <c r="X753" s="12"/>
      <c r="Y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customFormat="false" ht="12.8" hidden="false" customHeight="false" outlineLevel="0" collapsed="false">
      <c r="X754" s="12"/>
      <c r="Y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customFormat="false" ht="12.8" hidden="false" customHeight="false" outlineLevel="0" collapsed="false">
      <c r="X755" s="12"/>
      <c r="Y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customFormat="false" ht="12.8" hidden="false" customHeight="false" outlineLevel="0" collapsed="false">
      <c r="X756" s="12"/>
      <c r="Y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customFormat="false" ht="12.8" hidden="false" customHeight="false" outlineLevel="0" collapsed="false">
      <c r="X757" s="12"/>
      <c r="Y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customFormat="false" ht="12.8" hidden="false" customHeight="false" outlineLevel="0" collapsed="false">
      <c r="X758" s="12"/>
      <c r="Y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customFormat="false" ht="12.8" hidden="false" customHeight="false" outlineLevel="0" collapsed="false">
      <c r="X759" s="12"/>
      <c r="Y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customFormat="false" ht="12.8" hidden="false" customHeight="false" outlineLevel="0" collapsed="false">
      <c r="X760" s="12"/>
      <c r="Y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customFormat="false" ht="12.8" hidden="false" customHeight="false" outlineLevel="0" collapsed="false">
      <c r="X761" s="12"/>
      <c r="Y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customFormat="false" ht="12.8" hidden="false" customHeight="false" outlineLevel="0" collapsed="false">
      <c r="X762" s="12"/>
      <c r="Y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customFormat="false" ht="12.8" hidden="false" customHeight="false" outlineLevel="0" collapsed="false">
      <c r="X763" s="12"/>
      <c r="Y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customFormat="false" ht="12.8" hidden="false" customHeight="false" outlineLevel="0" collapsed="false">
      <c r="X764" s="12"/>
      <c r="Y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customFormat="false" ht="12.8" hidden="false" customHeight="false" outlineLevel="0" collapsed="false">
      <c r="X765" s="12"/>
      <c r="Y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customFormat="false" ht="12.8" hidden="false" customHeight="false" outlineLevel="0" collapsed="false">
      <c r="X766" s="12"/>
      <c r="Y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customFormat="false" ht="12.8" hidden="false" customHeight="false" outlineLevel="0" collapsed="false">
      <c r="X767" s="12"/>
      <c r="Y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customFormat="false" ht="12.8" hidden="false" customHeight="false" outlineLevel="0" collapsed="false">
      <c r="X768" s="12"/>
      <c r="Y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customFormat="false" ht="12.8" hidden="false" customHeight="false" outlineLevel="0" collapsed="false">
      <c r="X769" s="12"/>
      <c r="Y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customFormat="false" ht="12.8" hidden="false" customHeight="false" outlineLevel="0" collapsed="false">
      <c r="X770" s="12"/>
      <c r="Y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customFormat="false" ht="12.8" hidden="false" customHeight="false" outlineLevel="0" collapsed="false">
      <c r="X771" s="12"/>
      <c r="Y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customFormat="false" ht="12.8" hidden="false" customHeight="false" outlineLevel="0" collapsed="false">
      <c r="X772" s="12"/>
      <c r="Y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customFormat="false" ht="12.8" hidden="false" customHeight="false" outlineLevel="0" collapsed="false">
      <c r="X773" s="12"/>
      <c r="Y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customFormat="false" ht="12.8" hidden="false" customHeight="false" outlineLevel="0" collapsed="false">
      <c r="X774" s="12"/>
      <c r="Y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customFormat="false" ht="12.8" hidden="false" customHeight="false" outlineLevel="0" collapsed="false">
      <c r="X775" s="12"/>
      <c r="Y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customFormat="false" ht="12.8" hidden="false" customHeight="false" outlineLevel="0" collapsed="false">
      <c r="X776" s="12"/>
      <c r="Y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customFormat="false" ht="12.8" hidden="false" customHeight="false" outlineLevel="0" collapsed="false">
      <c r="X777" s="12"/>
      <c r="Y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customFormat="false" ht="12.8" hidden="false" customHeight="false" outlineLevel="0" collapsed="false">
      <c r="X778" s="12"/>
      <c r="Y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customFormat="false" ht="12.8" hidden="false" customHeight="false" outlineLevel="0" collapsed="false">
      <c r="X779" s="12"/>
      <c r="Y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customFormat="false" ht="12.8" hidden="false" customHeight="false" outlineLevel="0" collapsed="false">
      <c r="X780" s="12"/>
      <c r="Y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customFormat="false" ht="12.8" hidden="false" customHeight="false" outlineLevel="0" collapsed="false">
      <c r="X781" s="12"/>
      <c r="Y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customFormat="false" ht="12.8" hidden="false" customHeight="false" outlineLevel="0" collapsed="false">
      <c r="X782" s="12"/>
      <c r="Y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customFormat="false" ht="12.8" hidden="false" customHeight="false" outlineLevel="0" collapsed="false">
      <c r="X783" s="12"/>
      <c r="Y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customFormat="false" ht="12.8" hidden="false" customHeight="false" outlineLevel="0" collapsed="false">
      <c r="X784" s="12"/>
      <c r="Y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customFormat="false" ht="12.8" hidden="false" customHeight="false" outlineLevel="0" collapsed="false">
      <c r="X785" s="12"/>
      <c r="Y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customFormat="false" ht="12.8" hidden="false" customHeight="false" outlineLevel="0" collapsed="false">
      <c r="X786" s="12"/>
      <c r="Y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customFormat="false" ht="12.8" hidden="false" customHeight="false" outlineLevel="0" collapsed="false">
      <c r="X787" s="12"/>
      <c r="Y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customFormat="false" ht="12.8" hidden="false" customHeight="false" outlineLevel="0" collapsed="false">
      <c r="X788" s="12"/>
      <c r="Y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customFormat="false" ht="12.8" hidden="false" customHeight="false" outlineLevel="0" collapsed="false">
      <c r="X789" s="12"/>
      <c r="Y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customFormat="false" ht="12.8" hidden="false" customHeight="false" outlineLevel="0" collapsed="false">
      <c r="X790" s="12"/>
      <c r="Y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customFormat="false" ht="12.8" hidden="false" customHeight="false" outlineLevel="0" collapsed="false">
      <c r="X791" s="12"/>
      <c r="Y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customFormat="false" ht="12.8" hidden="false" customHeight="false" outlineLevel="0" collapsed="false">
      <c r="X792" s="12"/>
      <c r="Y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customFormat="false" ht="12.8" hidden="false" customHeight="false" outlineLevel="0" collapsed="false">
      <c r="X793" s="12"/>
      <c r="Y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customFormat="false" ht="12.8" hidden="false" customHeight="false" outlineLevel="0" collapsed="false">
      <c r="X794" s="12"/>
      <c r="Y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customFormat="false" ht="12.8" hidden="false" customHeight="false" outlineLevel="0" collapsed="false">
      <c r="X795" s="12"/>
      <c r="Y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customFormat="false" ht="12.8" hidden="false" customHeight="false" outlineLevel="0" collapsed="false">
      <c r="X796" s="12"/>
      <c r="Y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customFormat="false" ht="12.8" hidden="false" customHeight="false" outlineLevel="0" collapsed="false">
      <c r="X797" s="12"/>
      <c r="Y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customFormat="false" ht="12.8" hidden="false" customHeight="false" outlineLevel="0" collapsed="false">
      <c r="X798" s="12"/>
      <c r="Y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customFormat="false" ht="12.8" hidden="false" customHeight="false" outlineLevel="0" collapsed="false">
      <c r="X799" s="12"/>
      <c r="Y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customFormat="false" ht="12.8" hidden="false" customHeight="false" outlineLevel="0" collapsed="false">
      <c r="X800" s="12"/>
      <c r="Y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customFormat="false" ht="12.8" hidden="false" customHeight="false" outlineLevel="0" collapsed="false">
      <c r="X801" s="12"/>
      <c r="Y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customFormat="false" ht="12.8" hidden="false" customHeight="false" outlineLevel="0" collapsed="false">
      <c r="X802" s="12"/>
      <c r="Y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customFormat="false" ht="12.8" hidden="false" customHeight="false" outlineLevel="0" collapsed="false">
      <c r="X803" s="12"/>
      <c r="Y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customFormat="false" ht="12.8" hidden="false" customHeight="false" outlineLevel="0" collapsed="false">
      <c r="X804" s="12"/>
      <c r="Y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customFormat="false" ht="12.8" hidden="false" customHeight="false" outlineLevel="0" collapsed="false">
      <c r="X805" s="12"/>
      <c r="Y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customFormat="false" ht="12.8" hidden="false" customHeight="false" outlineLevel="0" collapsed="false">
      <c r="X806" s="12"/>
      <c r="Y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customFormat="false" ht="12.8" hidden="false" customHeight="false" outlineLevel="0" collapsed="false">
      <c r="X807" s="12"/>
      <c r="Y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customFormat="false" ht="12.8" hidden="false" customHeight="false" outlineLevel="0" collapsed="false">
      <c r="X808" s="12"/>
      <c r="Y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customFormat="false" ht="12.8" hidden="false" customHeight="false" outlineLevel="0" collapsed="false">
      <c r="X809" s="12"/>
      <c r="Y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customFormat="false" ht="12.8" hidden="false" customHeight="false" outlineLevel="0" collapsed="false">
      <c r="X810" s="12"/>
      <c r="Y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customFormat="false" ht="12.8" hidden="false" customHeight="false" outlineLevel="0" collapsed="false">
      <c r="X811" s="12"/>
      <c r="Y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customFormat="false" ht="12.8" hidden="false" customHeight="false" outlineLevel="0" collapsed="false">
      <c r="X812" s="12"/>
      <c r="Y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customFormat="false" ht="12.8" hidden="false" customHeight="false" outlineLevel="0" collapsed="false">
      <c r="X813" s="12"/>
      <c r="Y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customFormat="false" ht="12.8" hidden="false" customHeight="false" outlineLevel="0" collapsed="false">
      <c r="X814" s="12"/>
      <c r="Y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customFormat="false" ht="12.8" hidden="false" customHeight="false" outlineLevel="0" collapsed="false">
      <c r="X815" s="12"/>
      <c r="Y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customFormat="false" ht="12.8" hidden="false" customHeight="false" outlineLevel="0" collapsed="false">
      <c r="X816" s="12"/>
      <c r="Y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customFormat="false" ht="12.8" hidden="false" customHeight="false" outlineLevel="0" collapsed="false">
      <c r="X817" s="12"/>
      <c r="Y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customFormat="false" ht="12.8" hidden="false" customHeight="false" outlineLevel="0" collapsed="false">
      <c r="X818" s="12"/>
      <c r="Y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customFormat="false" ht="12.8" hidden="false" customHeight="false" outlineLevel="0" collapsed="false">
      <c r="X819" s="12"/>
      <c r="Y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customFormat="false" ht="12.8" hidden="false" customHeight="false" outlineLevel="0" collapsed="false">
      <c r="X820" s="12"/>
      <c r="Y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customFormat="false" ht="12.8" hidden="false" customHeight="false" outlineLevel="0" collapsed="false">
      <c r="X821" s="12"/>
      <c r="Y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customFormat="false" ht="12.8" hidden="false" customHeight="false" outlineLevel="0" collapsed="false">
      <c r="X822" s="12"/>
      <c r="Y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customFormat="false" ht="12.8" hidden="false" customHeight="false" outlineLevel="0" collapsed="false">
      <c r="X823" s="12"/>
      <c r="Y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customFormat="false" ht="12.8" hidden="false" customHeight="false" outlineLevel="0" collapsed="false">
      <c r="X824" s="12"/>
      <c r="Y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customFormat="false" ht="12.8" hidden="false" customHeight="false" outlineLevel="0" collapsed="false">
      <c r="X825" s="12"/>
      <c r="Y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customFormat="false" ht="12.8" hidden="false" customHeight="false" outlineLevel="0" collapsed="false">
      <c r="X826" s="12"/>
      <c r="Y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customFormat="false" ht="12.8" hidden="false" customHeight="false" outlineLevel="0" collapsed="false">
      <c r="X827" s="12"/>
      <c r="Y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customFormat="false" ht="12.8" hidden="false" customHeight="false" outlineLevel="0" collapsed="false">
      <c r="X828" s="12"/>
      <c r="Y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customFormat="false" ht="12.8" hidden="false" customHeight="false" outlineLevel="0" collapsed="false">
      <c r="X829" s="12"/>
      <c r="Y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customFormat="false" ht="12.8" hidden="false" customHeight="false" outlineLevel="0" collapsed="false">
      <c r="X830" s="12"/>
      <c r="Y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customFormat="false" ht="12.8" hidden="false" customHeight="false" outlineLevel="0" collapsed="false">
      <c r="X831" s="12"/>
      <c r="Y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customFormat="false" ht="12.8" hidden="false" customHeight="false" outlineLevel="0" collapsed="false">
      <c r="X832" s="12"/>
      <c r="Y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customFormat="false" ht="12.8" hidden="false" customHeight="false" outlineLevel="0" collapsed="false">
      <c r="X833" s="12"/>
      <c r="Y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customFormat="false" ht="12.8" hidden="false" customHeight="false" outlineLevel="0" collapsed="false">
      <c r="X834" s="12"/>
      <c r="Y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customFormat="false" ht="12.8" hidden="false" customHeight="false" outlineLevel="0" collapsed="false">
      <c r="X835" s="12"/>
      <c r="Y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customFormat="false" ht="12.8" hidden="false" customHeight="false" outlineLevel="0" collapsed="false">
      <c r="X836" s="12"/>
      <c r="Y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customFormat="false" ht="12.8" hidden="false" customHeight="false" outlineLevel="0" collapsed="false">
      <c r="X837" s="12"/>
      <c r="Y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customFormat="false" ht="12.8" hidden="false" customHeight="false" outlineLevel="0" collapsed="false">
      <c r="X838" s="12"/>
      <c r="Y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customFormat="false" ht="12.8" hidden="false" customHeight="false" outlineLevel="0" collapsed="false">
      <c r="X839" s="12"/>
      <c r="Y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customFormat="false" ht="12.8" hidden="false" customHeight="false" outlineLevel="0" collapsed="false">
      <c r="X840" s="12"/>
      <c r="Y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customFormat="false" ht="12.8" hidden="false" customHeight="false" outlineLevel="0" collapsed="false">
      <c r="X841" s="12"/>
      <c r="Y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customFormat="false" ht="12.8" hidden="false" customHeight="false" outlineLevel="0" collapsed="false">
      <c r="X842" s="12"/>
      <c r="Y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customFormat="false" ht="12.8" hidden="false" customHeight="false" outlineLevel="0" collapsed="false">
      <c r="X843" s="12"/>
      <c r="Y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customFormat="false" ht="12.8" hidden="false" customHeight="false" outlineLevel="0" collapsed="false">
      <c r="X844" s="12"/>
      <c r="Y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customFormat="false" ht="12.8" hidden="false" customHeight="false" outlineLevel="0" collapsed="false">
      <c r="X845" s="12"/>
      <c r="Y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customFormat="false" ht="12.8" hidden="false" customHeight="false" outlineLevel="0" collapsed="false">
      <c r="X846" s="12"/>
      <c r="Y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customFormat="false" ht="12.8" hidden="false" customHeight="false" outlineLevel="0" collapsed="false">
      <c r="X847" s="12"/>
      <c r="Y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customFormat="false" ht="12.8" hidden="false" customHeight="false" outlineLevel="0" collapsed="false">
      <c r="X848" s="12"/>
      <c r="Y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customFormat="false" ht="12.8" hidden="false" customHeight="false" outlineLevel="0" collapsed="false">
      <c r="X849" s="12"/>
      <c r="Y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customFormat="false" ht="12.8" hidden="false" customHeight="false" outlineLevel="0" collapsed="false">
      <c r="X850" s="12"/>
      <c r="Y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customFormat="false" ht="12.8" hidden="false" customHeight="false" outlineLevel="0" collapsed="false">
      <c r="X851" s="12"/>
      <c r="Y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customFormat="false" ht="12.8" hidden="false" customHeight="false" outlineLevel="0" collapsed="false">
      <c r="X852" s="12"/>
      <c r="Y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customFormat="false" ht="12.8" hidden="false" customHeight="false" outlineLevel="0" collapsed="false">
      <c r="X853" s="12"/>
      <c r="Y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customFormat="false" ht="12.8" hidden="false" customHeight="false" outlineLevel="0" collapsed="false">
      <c r="X854" s="12"/>
      <c r="Y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customFormat="false" ht="12.8" hidden="false" customHeight="false" outlineLevel="0" collapsed="false">
      <c r="X855" s="12"/>
      <c r="Y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customFormat="false" ht="12.8" hidden="false" customHeight="false" outlineLevel="0" collapsed="false">
      <c r="X856" s="12"/>
      <c r="Y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customFormat="false" ht="12.8" hidden="false" customHeight="false" outlineLevel="0" collapsed="false">
      <c r="X857" s="12"/>
      <c r="Y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customFormat="false" ht="12.8" hidden="false" customHeight="false" outlineLevel="0" collapsed="false">
      <c r="X858" s="12"/>
      <c r="Y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customFormat="false" ht="12.8" hidden="false" customHeight="false" outlineLevel="0" collapsed="false">
      <c r="X859" s="12"/>
      <c r="Y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customFormat="false" ht="12.8" hidden="false" customHeight="false" outlineLevel="0" collapsed="false">
      <c r="X860" s="12"/>
      <c r="Y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customFormat="false" ht="12.8" hidden="false" customHeight="false" outlineLevel="0" collapsed="false">
      <c r="X861" s="12"/>
      <c r="Y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customFormat="false" ht="12.8" hidden="false" customHeight="false" outlineLevel="0" collapsed="false">
      <c r="X862" s="12"/>
      <c r="Y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customFormat="false" ht="12.8" hidden="false" customHeight="false" outlineLevel="0" collapsed="false">
      <c r="X863" s="12"/>
      <c r="Y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customFormat="false" ht="12.8" hidden="false" customHeight="false" outlineLevel="0" collapsed="false">
      <c r="X864" s="12"/>
      <c r="Y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customFormat="false" ht="12.8" hidden="false" customHeight="false" outlineLevel="0" collapsed="false">
      <c r="X865" s="12"/>
      <c r="Y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customFormat="false" ht="12.8" hidden="false" customHeight="false" outlineLevel="0" collapsed="false">
      <c r="X866" s="12"/>
      <c r="Y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customFormat="false" ht="12.8" hidden="false" customHeight="false" outlineLevel="0" collapsed="false">
      <c r="X867" s="12"/>
      <c r="Y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customFormat="false" ht="12.8" hidden="false" customHeight="false" outlineLevel="0" collapsed="false">
      <c r="X868" s="12"/>
      <c r="Y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customFormat="false" ht="12.8" hidden="false" customHeight="false" outlineLevel="0" collapsed="false">
      <c r="X869" s="12"/>
      <c r="Y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customFormat="false" ht="12.8" hidden="false" customHeight="false" outlineLevel="0" collapsed="false">
      <c r="X870" s="12"/>
      <c r="Y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customFormat="false" ht="12.8" hidden="false" customHeight="false" outlineLevel="0" collapsed="false">
      <c r="X871" s="12"/>
      <c r="Y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customFormat="false" ht="12.8" hidden="false" customHeight="false" outlineLevel="0" collapsed="false">
      <c r="X872" s="12"/>
      <c r="Y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customFormat="false" ht="12.8" hidden="false" customHeight="false" outlineLevel="0" collapsed="false">
      <c r="X873" s="12"/>
      <c r="Y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customFormat="false" ht="12.8" hidden="false" customHeight="false" outlineLevel="0" collapsed="false">
      <c r="X874" s="12"/>
      <c r="Y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customFormat="false" ht="12.8" hidden="false" customHeight="false" outlineLevel="0" collapsed="false">
      <c r="X875" s="12"/>
      <c r="Y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customFormat="false" ht="12.8" hidden="false" customHeight="false" outlineLevel="0" collapsed="false">
      <c r="X876" s="12"/>
      <c r="Y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customFormat="false" ht="12.8" hidden="false" customHeight="false" outlineLevel="0" collapsed="false">
      <c r="X877" s="12"/>
      <c r="Y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customFormat="false" ht="12.8" hidden="false" customHeight="false" outlineLevel="0" collapsed="false">
      <c r="X878" s="12"/>
      <c r="Y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customFormat="false" ht="12.8" hidden="false" customHeight="false" outlineLevel="0" collapsed="false">
      <c r="X879" s="12"/>
      <c r="Y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customFormat="false" ht="12.8" hidden="false" customHeight="false" outlineLevel="0" collapsed="false">
      <c r="X880" s="12"/>
      <c r="Y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customFormat="false" ht="12.8" hidden="false" customHeight="false" outlineLevel="0" collapsed="false">
      <c r="X881" s="12"/>
      <c r="Y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customFormat="false" ht="12.8" hidden="false" customHeight="false" outlineLevel="0" collapsed="false">
      <c r="X882" s="12"/>
      <c r="Y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customFormat="false" ht="12.8" hidden="false" customHeight="false" outlineLevel="0" collapsed="false">
      <c r="X883" s="12"/>
      <c r="Y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customFormat="false" ht="12.8" hidden="false" customHeight="false" outlineLevel="0" collapsed="false">
      <c r="X884" s="12"/>
      <c r="Y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customFormat="false" ht="12.8" hidden="false" customHeight="false" outlineLevel="0" collapsed="false">
      <c r="X885" s="12"/>
      <c r="Y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customFormat="false" ht="12.8" hidden="false" customHeight="false" outlineLevel="0" collapsed="false">
      <c r="X886" s="12"/>
      <c r="Y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customFormat="false" ht="12.8" hidden="false" customHeight="false" outlineLevel="0" collapsed="false">
      <c r="X887" s="12"/>
      <c r="Y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customFormat="false" ht="12.8" hidden="false" customHeight="false" outlineLevel="0" collapsed="false">
      <c r="X888" s="12"/>
      <c r="Y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customFormat="false" ht="12.8" hidden="false" customHeight="false" outlineLevel="0" collapsed="false">
      <c r="X889" s="12"/>
      <c r="Y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customFormat="false" ht="12.8" hidden="false" customHeight="false" outlineLevel="0" collapsed="false">
      <c r="X890" s="12"/>
      <c r="Y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customFormat="false" ht="12.8" hidden="false" customHeight="false" outlineLevel="0" collapsed="false">
      <c r="X891" s="12"/>
      <c r="Y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customFormat="false" ht="12.8" hidden="false" customHeight="false" outlineLevel="0" collapsed="false">
      <c r="X892" s="12"/>
      <c r="Y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customFormat="false" ht="12.8" hidden="false" customHeight="false" outlineLevel="0" collapsed="false">
      <c r="X893" s="12"/>
      <c r="Y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customFormat="false" ht="12.8" hidden="false" customHeight="false" outlineLevel="0" collapsed="false">
      <c r="X894" s="12"/>
      <c r="Y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customFormat="false" ht="12.8" hidden="false" customHeight="false" outlineLevel="0" collapsed="false">
      <c r="X895" s="12"/>
      <c r="Y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customFormat="false" ht="12.8" hidden="false" customHeight="false" outlineLevel="0" collapsed="false">
      <c r="X896" s="12"/>
      <c r="Y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customFormat="false" ht="12.8" hidden="false" customHeight="false" outlineLevel="0" collapsed="false">
      <c r="X897" s="12"/>
      <c r="Y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customFormat="false" ht="12.8" hidden="false" customHeight="false" outlineLevel="0" collapsed="false">
      <c r="X898" s="12"/>
      <c r="Y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customFormat="false" ht="12.8" hidden="false" customHeight="false" outlineLevel="0" collapsed="false">
      <c r="X899" s="12"/>
      <c r="Y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customFormat="false" ht="12.8" hidden="false" customHeight="false" outlineLevel="0" collapsed="false">
      <c r="X900" s="12"/>
      <c r="Y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customFormat="false" ht="12.8" hidden="false" customHeight="false" outlineLevel="0" collapsed="false">
      <c r="X901" s="12"/>
      <c r="Y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customFormat="false" ht="12.8" hidden="false" customHeight="false" outlineLevel="0" collapsed="false">
      <c r="X902" s="12"/>
      <c r="Y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customFormat="false" ht="12.8" hidden="false" customHeight="false" outlineLevel="0" collapsed="false">
      <c r="X903" s="12"/>
      <c r="Y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customFormat="false" ht="12.8" hidden="false" customHeight="false" outlineLevel="0" collapsed="false">
      <c r="X904" s="12"/>
      <c r="Y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customFormat="false" ht="12.8" hidden="false" customHeight="false" outlineLevel="0" collapsed="false">
      <c r="X905" s="12"/>
      <c r="Y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customFormat="false" ht="12.8" hidden="false" customHeight="false" outlineLevel="0" collapsed="false">
      <c r="X906" s="12"/>
      <c r="Y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customFormat="false" ht="12.8" hidden="false" customHeight="false" outlineLevel="0" collapsed="false">
      <c r="X907" s="12"/>
      <c r="Y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customFormat="false" ht="12.8" hidden="false" customHeight="false" outlineLevel="0" collapsed="false">
      <c r="X908" s="12"/>
      <c r="Y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customFormat="false" ht="12.8" hidden="false" customHeight="false" outlineLevel="0" collapsed="false">
      <c r="X909" s="12"/>
      <c r="Y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customFormat="false" ht="12.8" hidden="false" customHeight="false" outlineLevel="0" collapsed="false">
      <c r="X910" s="12"/>
      <c r="Y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customFormat="false" ht="12.8" hidden="false" customHeight="false" outlineLevel="0" collapsed="false">
      <c r="X911" s="12"/>
      <c r="Y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customFormat="false" ht="12.8" hidden="false" customHeight="false" outlineLevel="0" collapsed="false">
      <c r="X912" s="12"/>
      <c r="Y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customFormat="false" ht="12.8" hidden="false" customHeight="false" outlineLevel="0" collapsed="false">
      <c r="X913" s="12"/>
      <c r="Y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customFormat="false" ht="12.8" hidden="false" customHeight="false" outlineLevel="0" collapsed="false">
      <c r="X914" s="12"/>
      <c r="Y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customFormat="false" ht="12.8" hidden="false" customHeight="false" outlineLevel="0" collapsed="false">
      <c r="X915" s="12"/>
      <c r="Y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customFormat="false" ht="12.8" hidden="false" customHeight="false" outlineLevel="0" collapsed="false">
      <c r="X916" s="12"/>
      <c r="Y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customFormat="false" ht="12.8" hidden="false" customHeight="false" outlineLevel="0" collapsed="false">
      <c r="X917" s="12"/>
      <c r="Y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customFormat="false" ht="12.8" hidden="false" customHeight="false" outlineLevel="0" collapsed="false">
      <c r="X918" s="12"/>
      <c r="Y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customFormat="false" ht="12.8" hidden="false" customHeight="false" outlineLevel="0" collapsed="false">
      <c r="X919" s="12"/>
      <c r="Y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customFormat="false" ht="12.8" hidden="false" customHeight="false" outlineLevel="0" collapsed="false">
      <c r="X920" s="12"/>
      <c r="Y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customFormat="false" ht="12.8" hidden="false" customHeight="false" outlineLevel="0" collapsed="false">
      <c r="X921" s="12"/>
      <c r="Y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customFormat="false" ht="12.8" hidden="false" customHeight="false" outlineLevel="0" collapsed="false">
      <c r="X922" s="12"/>
      <c r="Y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customFormat="false" ht="12.8" hidden="false" customHeight="false" outlineLevel="0" collapsed="false">
      <c r="X923" s="12"/>
      <c r="Y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customFormat="false" ht="12.8" hidden="false" customHeight="false" outlineLevel="0" collapsed="false">
      <c r="X924" s="12"/>
      <c r="Y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customFormat="false" ht="12.8" hidden="false" customHeight="false" outlineLevel="0" collapsed="false">
      <c r="X925" s="12"/>
      <c r="Y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customFormat="false" ht="12.8" hidden="false" customHeight="false" outlineLevel="0" collapsed="false">
      <c r="X926" s="12"/>
      <c r="Y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customFormat="false" ht="12.8" hidden="false" customHeight="false" outlineLevel="0" collapsed="false">
      <c r="X927" s="12"/>
      <c r="Y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customFormat="false" ht="12.8" hidden="false" customHeight="false" outlineLevel="0" collapsed="false">
      <c r="X928" s="12"/>
      <c r="Y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customFormat="false" ht="12.8" hidden="false" customHeight="false" outlineLevel="0" collapsed="false">
      <c r="X929" s="12"/>
      <c r="Y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customFormat="false" ht="12.8" hidden="false" customHeight="false" outlineLevel="0" collapsed="false">
      <c r="X930" s="12"/>
      <c r="Y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customFormat="false" ht="12.8" hidden="false" customHeight="false" outlineLevel="0" collapsed="false">
      <c r="X931" s="12"/>
      <c r="Y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customFormat="false" ht="12.8" hidden="false" customHeight="false" outlineLevel="0" collapsed="false">
      <c r="X932" s="12"/>
      <c r="Y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customFormat="false" ht="12.8" hidden="false" customHeight="false" outlineLevel="0" collapsed="false">
      <c r="X933" s="12"/>
      <c r="Y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customFormat="false" ht="12.8" hidden="false" customHeight="false" outlineLevel="0" collapsed="false">
      <c r="X934" s="12"/>
      <c r="Y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customFormat="false" ht="12.8" hidden="false" customHeight="false" outlineLevel="0" collapsed="false">
      <c r="X935" s="12"/>
      <c r="Y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customFormat="false" ht="12.8" hidden="false" customHeight="false" outlineLevel="0" collapsed="false">
      <c r="X936" s="12"/>
      <c r="Y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customFormat="false" ht="12.8" hidden="false" customHeight="false" outlineLevel="0" collapsed="false">
      <c r="X937" s="12"/>
      <c r="Y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customFormat="false" ht="12.8" hidden="false" customHeight="false" outlineLevel="0" collapsed="false">
      <c r="X938" s="12"/>
      <c r="Y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customFormat="false" ht="12.8" hidden="false" customHeight="false" outlineLevel="0" collapsed="false">
      <c r="X939" s="12"/>
      <c r="Y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customFormat="false" ht="12.8" hidden="false" customHeight="false" outlineLevel="0" collapsed="false">
      <c r="X940" s="12"/>
      <c r="Y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customFormat="false" ht="12.8" hidden="false" customHeight="false" outlineLevel="0" collapsed="false">
      <c r="X941" s="12"/>
      <c r="Y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customFormat="false" ht="12.8" hidden="false" customHeight="false" outlineLevel="0" collapsed="false">
      <c r="X942" s="12"/>
      <c r="Y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customFormat="false" ht="12.8" hidden="false" customHeight="false" outlineLevel="0" collapsed="false">
      <c r="X943" s="12"/>
      <c r="Y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customFormat="false" ht="12.8" hidden="false" customHeight="false" outlineLevel="0" collapsed="false">
      <c r="X944" s="12"/>
      <c r="Y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customFormat="false" ht="12.8" hidden="false" customHeight="false" outlineLevel="0" collapsed="false">
      <c r="X945" s="12"/>
      <c r="Y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customFormat="false" ht="12.8" hidden="false" customHeight="false" outlineLevel="0" collapsed="false">
      <c r="X946" s="12"/>
      <c r="Y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customFormat="false" ht="12.8" hidden="false" customHeight="false" outlineLevel="0" collapsed="false">
      <c r="X947" s="12"/>
      <c r="Y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customFormat="false" ht="12.8" hidden="false" customHeight="false" outlineLevel="0" collapsed="false">
      <c r="X948" s="12"/>
      <c r="Y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customFormat="false" ht="12.8" hidden="false" customHeight="false" outlineLevel="0" collapsed="false">
      <c r="X949" s="12"/>
      <c r="Y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customFormat="false" ht="12.8" hidden="false" customHeight="false" outlineLevel="0" collapsed="false">
      <c r="X950" s="12"/>
      <c r="Y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customFormat="false" ht="12.8" hidden="false" customHeight="false" outlineLevel="0" collapsed="false">
      <c r="X951" s="12"/>
      <c r="Y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customFormat="false" ht="12.8" hidden="false" customHeight="false" outlineLevel="0" collapsed="false">
      <c r="X952" s="12"/>
      <c r="Y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customFormat="false" ht="12.8" hidden="false" customHeight="false" outlineLevel="0" collapsed="false">
      <c r="X953" s="12"/>
      <c r="Y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customFormat="false" ht="12.8" hidden="false" customHeight="false" outlineLevel="0" collapsed="false">
      <c r="X954" s="12"/>
      <c r="Y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customFormat="false" ht="12.8" hidden="false" customHeight="false" outlineLevel="0" collapsed="false">
      <c r="X955" s="12"/>
      <c r="Y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customFormat="false" ht="12.8" hidden="false" customHeight="false" outlineLevel="0" collapsed="false">
      <c r="X956" s="12"/>
      <c r="Y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customFormat="false" ht="12.8" hidden="false" customHeight="false" outlineLevel="0" collapsed="false">
      <c r="X957" s="12"/>
      <c r="Y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customFormat="false" ht="12.8" hidden="false" customHeight="false" outlineLevel="0" collapsed="false">
      <c r="X958" s="12"/>
      <c r="Y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customFormat="false" ht="12.8" hidden="false" customHeight="false" outlineLevel="0" collapsed="false">
      <c r="X959" s="12"/>
      <c r="Y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customFormat="false" ht="12.8" hidden="false" customHeight="false" outlineLevel="0" collapsed="false">
      <c r="X960" s="12"/>
      <c r="Y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customFormat="false" ht="12.8" hidden="false" customHeight="false" outlineLevel="0" collapsed="false">
      <c r="X961" s="12"/>
      <c r="Y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customFormat="false" ht="12.8" hidden="false" customHeight="false" outlineLevel="0" collapsed="false">
      <c r="X962" s="12"/>
      <c r="Y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customFormat="false" ht="12.8" hidden="false" customHeight="false" outlineLevel="0" collapsed="false">
      <c r="X963" s="12"/>
      <c r="Y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customFormat="false" ht="12.8" hidden="false" customHeight="false" outlineLevel="0" collapsed="false">
      <c r="X964" s="12"/>
      <c r="Y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customFormat="false" ht="12.8" hidden="false" customHeight="false" outlineLevel="0" collapsed="false">
      <c r="X965" s="12"/>
      <c r="Y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customFormat="false" ht="12.8" hidden="false" customHeight="false" outlineLevel="0" collapsed="false">
      <c r="X966" s="12"/>
      <c r="Y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customFormat="false" ht="12.8" hidden="false" customHeight="false" outlineLevel="0" collapsed="false">
      <c r="X967" s="12"/>
      <c r="Y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customFormat="false" ht="12.8" hidden="false" customHeight="false" outlineLevel="0" collapsed="false">
      <c r="X968" s="12"/>
      <c r="Y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customFormat="false" ht="12.8" hidden="false" customHeight="false" outlineLevel="0" collapsed="false">
      <c r="X969" s="12"/>
      <c r="Y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="3" customFormat="true" ht="12.8" hidden="false" customHeight="false" outlineLevel="0" collapsed="false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2"/>
      <c r="Y970" s="12"/>
      <c r="Z970" s="14"/>
      <c r="AA970" s="14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="3" customFormat="true" ht="12.8" hidden="false" customHeight="false" outlineLevel="0" collapsed="false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2"/>
      <c r="Y971" s="12"/>
      <c r="Z971" s="14"/>
      <c r="AA971" s="14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="3" customFormat="true" ht="12.8" hidden="false" customHeight="false" outlineLevel="0" collapsed="false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2"/>
      <c r="Y972" s="12"/>
      <c r="Z972" s="14"/>
      <c r="AA972" s="14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="3" customFormat="true" ht="12.8" hidden="false" customHeight="false" outlineLevel="0" collapsed="false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2"/>
      <c r="Y973" s="12"/>
      <c r="Z973" s="14"/>
      <c r="AA973" s="14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="3" customFormat="true" ht="12.8" hidden="false" customHeight="false" outlineLevel="0" collapsed="false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2"/>
      <c r="Y974" s="12"/>
      <c r="Z974" s="14"/>
      <c r="AA974" s="14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="3" customFormat="true" ht="12.8" hidden="false" customHeight="false" outlineLevel="0" collapsed="false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2"/>
      <c r="Y975" s="12"/>
      <c r="Z975" s="14"/>
      <c r="AA975" s="14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="3" customFormat="true" ht="12.8" hidden="false" customHeight="false" outlineLevel="0" collapsed="false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2"/>
      <c r="Y976" s="12"/>
      <c r="Z976" s="14"/>
      <c r="AA976" s="14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="3" customFormat="true" ht="12.8" hidden="false" customHeight="false" outlineLevel="0" collapsed="false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2"/>
      <c r="Y977" s="12"/>
      <c r="Z977" s="14"/>
      <c r="AA977" s="14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="3" customFormat="true" ht="12.8" hidden="false" customHeight="false" outlineLevel="0" collapsed="false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2"/>
      <c r="Y978" s="12"/>
      <c r="Z978" s="14"/>
      <c r="AA978" s="14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="3" customFormat="true" ht="12.8" hidden="false" customHeight="false" outlineLevel="0" collapsed="false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2"/>
      <c r="Y979" s="12"/>
      <c r="Z979" s="14"/>
      <c r="AA979" s="14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="3" customFormat="true" ht="12.8" hidden="false" customHeight="false" outlineLevel="0" collapsed="false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2"/>
      <c r="Y980" s="12"/>
      <c r="Z980" s="14"/>
      <c r="AA980" s="14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="3" customFormat="true" ht="12.8" hidden="false" customHeight="false" outlineLevel="0" collapsed="false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2"/>
      <c r="Y981" s="12"/>
      <c r="Z981" s="14"/>
      <c r="AA981" s="14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="3" customFormat="true" ht="12.8" hidden="false" customHeight="false" outlineLevel="0" collapsed="false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2"/>
      <c r="Y982" s="12"/>
      <c r="Z982" s="14"/>
      <c r="AA982" s="14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="3" customFormat="true" ht="12.8" hidden="false" customHeight="false" outlineLevel="0" collapsed="false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2"/>
      <c r="Y983" s="12"/>
      <c r="Z983" s="14"/>
      <c r="AA983" s="14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s="3" customFormat="true" ht="12.8" hidden="false" customHeight="false" outlineLevel="0" collapsed="false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2"/>
      <c r="Y984" s="12"/>
      <c r="Z984" s="14"/>
      <c r="AA984" s="14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s="3" customFormat="true" ht="12.8" hidden="false" customHeight="false" outlineLevel="0" collapsed="false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2"/>
      <c r="Y985" s="12"/>
      <c r="Z985" s="14"/>
      <c r="AA985" s="14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s="3" customFormat="true" ht="12.8" hidden="false" customHeight="false" outlineLevel="0" collapsed="false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2"/>
      <c r="Y986" s="12"/>
      <c r="Z986" s="14"/>
      <c r="AA986" s="14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s="3" customFormat="true" ht="12.8" hidden="false" customHeight="false" outlineLevel="0" collapsed="false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2"/>
      <c r="Y987" s="12"/>
      <c r="Z987" s="14"/>
      <c r="AA987" s="14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s="3" customFormat="true" ht="12.8" hidden="false" customHeight="false" outlineLevel="0" collapsed="false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2"/>
      <c r="Y988" s="12"/>
      <c r="Z988" s="14"/>
      <c r="AA988" s="14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s="3" customFormat="true" ht="12.8" hidden="false" customHeight="false" outlineLevel="0" collapsed="false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2"/>
      <c r="Y989" s="12"/>
      <c r="Z989" s="14"/>
      <c r="AA989" s="14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s="3" customFormat="true" ht="12.8" hidden="false" customHeight="false" outlineLevel="0" collapsed="false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2"/>
      <c r="Y990" s="12"/>
      <c r="Z990" s="14"/>
      <c r="AA990" s="14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s="3" customFormat="true" ht="12.8" hidden="false" customHeight="false" outlineLevel="0" collapsed="false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2"/>
      <c r="Y991" s="12"/>
      <c r="Z991" s="14"/>
      <c r="AA991" s="14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s="3" customFormat="true" ht="12.8" hidden="false" customHeight="false" outlineLevel="0" collapsed="false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2"/>
      <c r="Y992" s="12"/>
      <c r="Z992" s="14"/>
      <c r="AA992" s="14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s="3" customFormat="true" ht="12.8" hidden="false" customHeight="false" outlineLevel="0" collapsed="false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2"/>
      <c r="Y993" s="12"/>
      <c r="Z993" s="14"/>
      <c r="AA993" s="14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s="3" customFormat="true" ht="12.8" hidden="false" customHeight="false" outlineLevel="0" collapsed="false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2"/>
      <c r="Y994" s="12"/>
      <c r="Z994" s="14"/>
      <c r="AA994" s="14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s="3" customFormat="true" ht="12.8" hidden="false" customHeight="false" outlineLevel="0" collapsed="false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2"/>
      <c r="Y995" s="12"/>
      <c r="Z995" s="14"/>
      <c r="AA995" s="14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s="3" customFormat="true" ht="12.8" hidden="false" customHeight="false" outlineLevel="0" collapsed="false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2"/>
      <c r="Y996" s="12"/>
      <c r="Z996" s="14"/>
      <c r="AA996" s="14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s="3" customFormat="true" ht="12.8" hidden="false" customHeight="false" outlineLevel="0" collapsed="false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2"/>
      <c r="Y997" s="12"/>
      <c r="Z997" s="14"/>
      <c r="AA997" s="14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s="3" customFormat="true" ht="12.8" hidden="false" customHeight="false" outlineLevel="0" collapsed="false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2"/>
      <c r="Y998" s="12"/>
      <c r="Z998" s="14"/>
      <c r="AA998" s="14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s="3" customFormat="true" ht="12.8" hidden="false" customHeight="false" outlineLevel="0" collapsed="false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2"/>
      <c r="Y999" s="12"/>
      <c r="Z999" s="14"/>
      <c r="AA999" s="14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s="3" customFormat="true" ht="12.8" hidden="false" customHeight="false" outlineLevel="0" collapsed="false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2"/>
      <c r="Y1000" s="12"/>
      <c r="Z1000" s="14"/>
      <c r="AA1000" s="14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s="3" customFormat="true" ht="12.8" hidden="false" customHeight="false" outlineLevel="0" collapsed="false">
      <c r="A1001" s="1"/>
      <c r="B1001" s="14"/>
      <c r="C1001" s="14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2"/>
      <c r="Y1001" s="12"/>
      <c r="Z1001" s="14"/>
      <c r="AA1001" s="14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s="3" customFormat="true" ht="12.8" hidden="false" customHeight="false" outlineLevel="0" collapsed="false">
      <c r="A1002" s="1"/>
      <c r="B1002" s="14"/>
      <c r="C1002" s="1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2"/>
      <c r="Y1002" s="12"/>
      <c r="Z1002" s="14"/>
      <c r="AA1002" s="14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s="3" customFormat="true" ht="12.8" hidden="false" customHeight="false" outlineLevel="0" collapsed="false">
      <c r="A1003" s="1"/>
      <c r="B1003" s="14"/>
      <c r="C1003" s="14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2"/>
      <c r="Y1003" s="12"/>
      <c r="Z1003" s="14"/>
      <c r="AA1003" s="14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s="3" customFormat="true" ht="12.8" hidden="false" customHeight="false" outlineLevel="0" collapsed="false">
      <c r="A1004" s="1"/>
      <c r="B1004" s="14"/>
      <c r="C1004" s="14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2"/>
      <c r="Y1004" s="12"/>
      <c r="Z1004" s="14"/>
      <c r="AA1004" s="14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s="3" customFormat="true" ht="12.8" hidden="false" customHeight="false" outlineLevel="0" collapsed="false">
      <c r="A1005" s="1"/>
      <c r="B1005" s="14"/>
      <c r="C1005" s="14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2"/>
      <c r="Y1005" s="12"/>
      <c r="Z1005" s="14"/>
      <c r="AA1005" s="14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s="3" customFormat="true" ht="12.8" hidden="false" customHeight="false" outlineLevel="0" collapsed="false">
      <c r="A1006" s="1"/>
      <c r="B1006" s="14"/>
      <c r="C1006" s="14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2"/>
      <c r="Y1006" s="12"/>
      <c r="Z1006" s="14"/>
      <c r="AA1006" s="14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s="3" customFormat="true" ht="12.8" hidden="false" customHeight="false" outlineLevel="0" collapsed="false">
      <c r="A1007" s="1"/>
      <c r="B1007" s="14"/>
      <c r="C1007" s="14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2"/>
      <c r="Y1007" s="12"/>
      <c r="Z1007" s="14"/>
      <c r="AA1007" s="14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s="3" customFormat="true" ht="12.8" hidden="false" customHeight="false" outlineLevel="0" collapsed="false">
      <c r="A1008" s="1"/>
      <c r="B1008" s="14"/>
      <c r="C1008" s="14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2"/>
      <c r="Y1008" s="12"/>
      <c r="Z1008" s="14"/>
      <c r="AA1008" s="14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s="3" customFormat="true" ht="12.8" hidden="false" customHeight="false" outlineLevel="0" collapsed="false">
      <c r="A1009" s="1"/>
      <c r="B1009" s="14"/>
      <c r="C1009" s="14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2"/>
      <c r="Y1009" s="12"/>
      <c r="Z1009" s="14"/>
      <c r="AA1009" s="14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s="3" customFormat="true" ht="12.8" hidden="false" customHeight="false" outlineLevel="0" collapsed="false">
      <c r="A1010" s="1"/>
      <c r="B1010" s="14"/>
      <c r="C1010" s="14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2"/>
      <c r="Y1010" s="12"/>
      <c r="Z1010" s="14"/>
      <c r="AA1010" s="14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s="3" customFormat="true" ht="12.8" hidden="false" customHeight="false" outlineLevel="0" collapsed="false">
      <c r="A1011" s="1"/>
      <c r="B1011" s="14"/>
      <c r="C1011" s="14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2"/>
      <c r="Y1011" s="12"/>
      <c r="Z1011" s="14"/>
      <c r="AA1011" s="14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s="3" customFormat="true" ht="12.8" hidden="false" customHeight="false" outlineLevel="0" collapsed="false">
      <c r="A1012" s="1"/>
      <c r="B1012" s="14"/>
      <c r="C1012" s="14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2"/>
      <c r="Y1012" s="12"/>
      <c r="Z1012" s="14"/>
      <c r="AA1012" s="14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s="3" customFormat="true" ht="12.8" hidden="false" customHeight="false" outlineLevel="0" collapsed="false">
      <c r="A1013" s="1"/>
      <c r="B1013" s="14"/>
      <c r="C1013" s="14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2"/>
      <c r="Y1013" s="12"/>
      <c r="Z1013" s="14"/>
      <c r="AA1013" s="14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s="3" customFormat="true" ht="12.8" hidden="false" customHeight="false" outlineLevel="0" collapsed="false">
      <c r="A1014" s="1"/>
      <c r="B1014" s="14"/>
      <c r="C1014" s="14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2"/>
      <c r="Y1014" s="12"/>
      <c r="Z1014" s="14"/>
      <c r="AA1014" s="14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s="3" customFormat="true" ht="12.8" hidden="false" customHeight="false" outlineLevel="0" collapsed="false">
      <c r="A1015" s="1"/>
      <c r="B1015" s="14"/>
      <c r="C1015" s="14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2"/>
      <c r="Y1015" s="12"/>
      <c r="Z1015" s="14"/>
      <c r="AA1015" s="14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s="3" customFormat="true" ht="12.8" hidden="false" customHeight="false" outlineLevel="0" collapsed="false">
      <c r="A1016" s="1"/>
      <c r="B1016" s="14"/>
      <c r="C1016" s="14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2"/>
      <c r="Y1016" s="12"/>
      <c r="Z1016" s="14"/>
      <c r="AA1016" s="14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s="3" customFormat="true" ht="12.8" hidden="false" customHeight="false" outlineLevel="0" collapsed="false">
      <c r="A1017" s="1"/>
      <c r="B1017" s="14"/>
      <c r="C1017" s="14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2"/>
      <c r="Y1017" s="12"/>
      <c r="Z1017" s="14"/>
      <c r="AA1017" s="14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s="3" customFormat="true" ht="12.8" hidden="false" customHeight="false" outlineLevel="0" collapsed="false">
      <c r="A1018" s="1"/>
      <c r="B1018" s="14"/>
      <c r="C1018" s="14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2"/>
      <c r="Y1018" s="12"/>
      <c r="Z1018" s="14"/>
      <c r="AA1018" s="14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s="3" customFormat="true" ht="12.8" hidden="false" customHeight="false" outlineLevel="0" collapsed="false">
      <c r="A1019" s="1"/>
      <c r="B1019" s="14"/>
      <c r="C1019" s="14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2"/>
      <c r="Y1019" s="12"/>
      <c r="Z1019" s="14"/>
      <c r="AA1019" s="14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s="3" customFormat="true" ht="12.8" hidden="false" customHeight="false" outlineLevel="0" collapsed="false">
      <c r="A1020" s="1"/>
      <c r="B1020" s="14"/>
      <c r="C1020" s="14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2"/>
      <c r="Y1020" s="12"/>
      <c r="Z1020" s="14"/>
      <c r="AA1020" s="14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s="3" customFormat="true" ht="12.8" hidden="false" customHeight="false" outlineLevel="0" collapsed="false">
      <c r="A1021" s="1"/>
      <c r="B1021" s="14"/>
      <c r="C1021" s="14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2"/>
      <c r="Y1021" s="12"/>
      <c r="Z1021" s="14"/>
      <c r="AA1021" s="14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s="3" customFormat="true" ht="12.8" hidden="false" customHeight="false" outlineLevel="0" collapsed="false">
      <c r="A1022" s="1"/>
      <c r="B1022" s="14"/>
      <c r="C1022" s="14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2"/>
      <c r="Y1022" s="12"/>
      <c r="Z1022" s="14"/>
      <c r="AA1022" s="14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s="3" customFormat="true" ht="12.8" hidden="false" customHeight="false" outlineLevel="0" collapsed="false">
      <c r="A1023" s="1"/>
      <c r="B1023" s="14"/>
      <c r="C1023" s="14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2"/>
      <c r="Y1023" s="12"/>
      <c r="Z1023" s="14"/>
      <c r="AA1023" s="14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s="3" customFormat="true" ht="12.8" hidden="false" customHeight="false" outlineLevel="0" collapsed="false">
      <c r="A1024" s="1"/>
      <c r="B1024" s="14"/>
      <c r="C1024" s="14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2"/>
      <c r="Y1024" s="12"/>
      <c r="Z1024" s="14"/>
      <c r="AA1024" s="14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s="3" customFormat="true" ht="12.8" hidden="false" customHeight="false" outlineLevel="0" collapsed="false">
      <c r="A1025" s="1"/>
      <c r="B1025" s="14"/>
      <c r="C1025" s="14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2"/>
      <c r="Y1025" s="12"/>
      <c r="Z1025" s="14"/>
      <c r="AA1025" s="14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s="3" customFormat="true" ht="12.8" hidden="false" customHeight="false" outlineLevel="0" collapsed="false">
      <c r="A1026" s="1"/>
      <c r="B1026" s="14"/>
      <c r="C1026" s="14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2"/>
      <c r="Y1026" s="12"/>
      <c r="Z1026" s="14"/>
      <c r="AA1026" s="14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s="3" customFormat="true" ht="12.8" hidden="false" customHeight="false" outlineLevel="0" collapsed="false">
      <c r="A1027" s="1"/>
      <c r="B1027" s="14"/>
      <c r="C1027" s="14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2"/>
      <c r="Y1027" s="12"/>
      <c r="Z1027" s="14"/>
      <c r="AA1027" s="14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s="3" customFormat="true" ht="12.8" hidden="false" customHeight="false" outlineLevel="0" collapsed="false">
      <c r="A1028" s="1"/>
      <c r="B1028" s="14"/>
      <c r="C1028" s="14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2"/>
      <c r="Y1028" s="12"/>
      <c r="Z1028" s="14"/>
      <c r="AA1028" s="14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s="3" customFormat="true" ht="12.8" hidden="false" customHeight="false" outlineLevel="0" collapsed="false">
      <c r="A1029" s="1"/>
      <c r="B1029" s="14"/>
      <c r="C1029" s="14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2"/>
      <c r="Y1029" s="12"/>
      <c r="Z1029" s="14"/>
      <c r="AA1029" s="14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s="3" customFormat="true" ht="12.8" hidden="false" customHeight="false" outlineLevel="0" collapsed="false">
      <c r="A1030" s="1"/>
      <c r="B1030" s="14"/>
      <c r="C1030" s="14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2"/>
      <c r="Y1030" s="12"/>
      <c r="Z1030" s="14"/>
      <c r="AA1030" s="14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s="3" customFormat="true" ht="12.8" hidden="false" customHeight="false" outlineLevel="0" collapsed="false">
      <c r="A1031" s="1"/>
      <c r="B1031" s="14"/>
      <c r="C1031" s="14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2"/>
      <c r="Y1031" s="12"/>
      <c r="Z1031" s="14"/>
      <c r="AA1031" s="14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s="3" customFormat="true" ht="12.8" hidden="false" customHeight="false" outlineLevel="0" collapsed="false">
      <c r="A1032" s="1"/>
      <c r="B1032" s="14"/>
      <c r="C1032" s="14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2"/>
      <c r="Y1032" s="12"/>
      <c r="Z1032" s="14"/>
      <c r="AA1032" s="14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s="3" customFormat="true" ht="12.8" hidden="false" customHeight="false" outlineLevel="0" collapsed="false">
      <c r="A1033" s="1"/>
      <c r="B1033" s="14"/>
      <c r="C1033" s="14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2"/>
      <c r="Y1033" s="12"/>
      <c r="Z1033" s="14"/>
      <c r="AA1033" s="14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s="3" customFormat="true" ht="12.8" hidden="false" customHeight="false" outlineLevel="0" collapsed="false">
      <c r="A1034" s="1"/>
      <c r="B1034" s="14"/>
      <c r="C1034" s="14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2"/>
      <c r="Y1034" s="12"/>
      <c r="Z1034" s="14"/>
      <c r="AA1034" s="14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s="3" customFormat="true" ht="12.8" hidden="false" customHeight="false" outlineLevel="0" collapsed="false">
      <c r="A1035" s="1"/>
      <c r="B1035" s="14"/>
      <c r="C1035" s="14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2"/>
      <c r="Y1035" s="12"/>
      <c r="Z1035" s="14"/>
      <c r="AA1035" s="14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s="3" customFormat="true" ht="12.8" hidden="false" customHeight="false" outlineLevel="0" collapsed="false">
      <c r="A1036" s="1"/>
      <c r="B1036" s="14"/>
      <c r="C1036" s="14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2"/>
      <c r="Y1036" s="12"/>
      <c r="Z1036" s="14"/>
      <c r="AA1036" s="14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s="3" customFormat="true" ht="12.8" hidden="false" customHeight="false" outlineLevel="0" collapsed="false">
      <c r="A1037" s="1"/>
      <c r="B1037" s="14"/>
      <c r="C1037" s="14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2"/>
      <c r="Y1037" s="12"/>
      <c r="Z1037" s="14"/>
      <c r="AA1037" s="14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s="3" customFormat="true" ht="12.8" hidden="false" customHeight="false" outlineLevel="0" collapsed="false">
      <c r="A1038" s="1"/>
      <c r="B1038" s="14"/>
      <c r="C1038" s="14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2"/>
      <c r="Y1038" s="12"/>
      <c r="Z1038" s="14"/>
      <c r="AA1038" s="14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s="3" customFormat="true" ht="12.8" hidden="false" customHeight="false" outlineLevel="0" collapsed="false">
      <c r="A1039" s="1"/>
      <c r="B1039" s="14"/>
      <c r="C1039" s="14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2"/>
      <c r="Y1039" s="12"/>
      <c r="Z1039" s="14"/>
      <c r="AA1039" s="14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s="3" customFormat="true" ht="12.8" hidden="false" customHeight="false" outlineLevel="0" collapsed="false">
      <c r="A1040" s="1"/>
      <c r="B1040" s="14"/>
      <c r="C1040" s="14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2"/>
      <c r="Y1040" s="12"/>
      <c r="Z1040" s="14"/>
      <c r="AA1040" s="14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s="3" customFormat="true" ht="12.8" hidden="false" customHeight="false" outlineLevel="0" collapsed="false">
      <c r="A1041" s="1"/>
      <c r="B1041" s="14"/>
      <c r="C1041" s="14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2"/>
      <c r="Y1041" s="12"/>
      <c r="Z1041" s="14"/>
      <c r="AA1041" s="14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s="3" customFormat="true" ht="12.8" hidden="false" customHeight="false" outlineLevel="0" collapsed="false">
      <c r="A1042" s="1"/>
      <c r="B1042" s="14"/>
      <c r="C1042" s="14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2"/>
      <c r="Y1042" s="12"/>
      <c r="Z1042" s="14"/>
      <c r="AA1042" s="14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s="3" customFormat="true" ht="12.8" hidden="false" customHeight="false" outlineLevel="0" collapsed="false">
      <c r="A1043" s="1"/>
      <c r="B1043" s="14"/>
      <c r="C1043" s="14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2"/>
      <c r="Y1043" s="12"/>
      <c r="Z1043" s="14"/>
      <c r="AA1043" s="14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s="3" customFormat="true" ht="12.8" hidden="false" customHeight="false" outlineLevel="0" collapsed="false">
      <c r="A1044" s="1"/>
      <c r="B1044" s="14"/>
      <c r="C1044" s="14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2"/>
      <c r="Y1044" s="12"/>
      <c r="Z1044" s="14"/>
      <c r="AA1044" s="14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s="3" customFormat="true" ht="12.8" hidden="false" customHeight="false" outlineLevel="0" collapsed="false">
      <c r="A1045" s="1"/>
      <c r="B1045" s="14"/>
      <c r="C1045" s="14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2"/>
      <c r="Y1045" s="12"/>
      <c r="Z1045" s="14"/>
      <c r="AA1045" s="14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12.8" hidden="false" customHeight="false" outlineLevel="0" collapsed="false">
      <c r="X1046" s="12"/>
      <c r="Y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12.8" hidden="false" customHeight="false" outlineLevel="0" collapsed="false">
      <c r="X1047" s="12"/>
      <c r="Y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12.8" hidden="false" customHeight="false" outlineLevel="0" collapsed="false">
      <c r="X1048" s="12"/>
      <c r="Y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12.8" hidden="false" customHeight="false" outlineLevel="0" collapsed="false">
      <c r="X1049" s="12"/>
      <c r="Y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12.8" hidden="false" customHeight="false" outlineLevel="0" collapsed="false">
      <c r="X1050" s="12"/>
      <c r="Y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12.8" hidden="false" customHeight="false" outlineLevel="0" collapsed="false">
      <c r="X1051" s="12"/>
      <c r="Y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12.8" hidden="false" customHeight="false" outlineLevel="0" collapsed="false">
      <c r="X1052" s="12"/>
      <c r="Y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12.8" hidden="false" customHeight="false" outlineLevel="0" collapsed="false">
      <c r="X1053" s="12"/>
      <c r="Y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12.8" hidden="false" customHeight="false" outlineLevel="0" collapsed="false">
      <c r="X1054" s="12"/>
      <c r="Y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12.8" hidden="false" customHeight="false" outlineLevel="0" collapsed="false">
      <c r="X1055" s="12"/>
      <c r="Y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12.8" hidden="false" customHeight="false" outlineLevel="0" collapsed="false">
      <c r="X1056" s="12"/>
      <c r="Y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12.8" hidden="false" customHeight="false" outlineLevel="0" collapsed="false">
      <c r="X1057" s="12"/>
      <c r="Y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12.8" hidden="false" customHeight="false" outlineLevel="0" collapsed="false">
      <c r="X1058" s="12"/>
      <c r="Y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12.8" hidden="false" customHeight="false" outlineLevel="0" collapsed="false">
      <c r="X1059" s="12"/>
      <c r="Y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12.8" hidden="false" customHeight="false" outlineLevel="0" collapsed="false">
      <c r="X1060" s="12"/>
      <c r="Y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12.8" hidden="false" customHeight="false" outlineLevel="0" collapsed="false">
      <c r="X1061" s="12"/>
      <c r="Y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12.8" hidden="false" customHeight="false" outlineLevel="0" collapsed="false">
      <c r="X1062" s="12"/>
      <c r="Y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12.8" hidden="false" customHeight="false" outlineLevel="0" collapsed="false">
      <c r="X1063" s="12"/>
      <c r="Y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12.8" hidden="false" customHeight="false" outlineLevel="0" collapsed="false">
      <c r="X1064" s="12"/>
      <c r="Y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12.8" hidden="false" customHeight="false" outlineLevel="0" collapsed="false">
      <c r="X1065" s="12"/>
      <c r="Y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12.8" hidden="false" customHeight="false" outlineLevel="0" collapsed="false">
      <c r="X1066" s="12"/>
      <c r="Y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12.8" hidden="false" customHeight="false" outlineLevel="0" collapsed="false">
      <c r="X1067" s="12"/>
      <c r="Y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12.8" hidden="false" customHeight="false" outlineLevel="0" collapsed="false">
      <c r="X1068" s="12"/>
      <c r="Y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12.8" hidden="false" customHeight="false" outlineLevel="0" collapsed="false">
      <c r="X1069" s="12"/>
      <c r="Y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12.8" hidden="false" customHeight="false" outlineLevel="0" collapsed="false">
      <c r="X1070" s="12"/>
      <c r="Y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12.8" hidden="false" customHeight="false" outlineLevel="0" collapsed="false">
      <c r="X1071" s="12"/>
      <c r="Y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12.8" hidden="false" customHeight="false" outlineLevel="0" collapsed="false">
      <c r="X1072" s="12"/>
      <c r="Y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12.8" hidden="false" customHeight="false" outlineLevel="0" collapsed="false">
      <c r="X1073" s="12"/>
      <c r="Y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12.8" hidden="false" customHeight="false" outlineLevel="0" collapsed="false">
      <c r="X1074" s="12"/>
      <c r="Y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12.8" hidden="false" customHeight="false" outlineLevel="0" collapsed="false">
      <c r="X1075" s="12"/>
      <c r="Y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12.8" hidden="false" customHeight="false" outlineLevel="0" collapsed="false">
      <c r="X1076" s="12"/>
      <c r="Y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12.8" hidden="false" customHeight="false" outlineLevel="0" collapsed="false">
      <c r="X1077" s="12"/>
      <c r="Y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12.8" hidden="false" customHeight="false" outlineLevel="0" collapsed="false">
      <c r="X1078" s="12"/>
      <c r="Y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12.8" hidden="false" customHeight="false" outlineLevel="0" collapsed="false">
      <c r="X1079" s="12"/>
      <c r="Y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12.8" hidden="false" customHeight="false" outlineLevel="0" collapsed="false">
      <c r="X1080" s="12"/>
      <c r="Y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12.8" hidden="false" customHeight="false" outlineLevel="0" collapsed="false">
      <c r="X1081" s="12"/>
      <c r="Y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12.8" hidden="false" customHeight="false" outlineLevel="0" collapsed="false">
      <c r="X1082" s="12"/>
      <c r="Y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12.8" hidden="false" customHeight="false" outlineLevel="0" collapsed="false">
      <c r="X1083" s="12"/>
      <c r="Y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12.8" hidden="false" customHeight="false" outlineLevel="0" collapsed="false">
      <c r="X1084" s="12"/>
      <c r="Y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12.8" hidden="false" customHeight="false" outlineLevel="0" collapsed="false">
      <c r="X1085" s="12"/>
      <c r="Y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12.8" hidden="false" customHeight="false" outlineLevel="0" collapsed="false">
      <c r="X1086" s="12"/>
      <c r="Y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12.8" hidden="false" customHeight="false" outlineLevel="0" collapsed="false">
      <c r="X1087" s="12"/>
      <c r="Y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12.8" hidden="false" customHeight="false" outlineLevel="0" collapsed="false">
      <c r="X1088" s="12"/>
      <c r="Y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12.8" hidden="false" customHeight="false" outlineLevel="0" collapsed="false">
      <c r="X1089" s="12"/>
      <c r="Y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12.8" hidden="false" customHeight="false" outlineLevel="0" collapsed="false">
      <c r="X1090" s="12"/>
      <c r="Y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12.8" hidden="false" customHeight="false" outlineLevel="0" collapsed="false">
      <c r="X1091" s="12"/>
      <c r="Y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12.8" hidden="false" customHeight="false" outlineLevel="0" collapsed="false">
      <c r="X1092" s="12"/>
      <c r="Y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12.8" hidden="false" customHeight="false" outlineLevel="0" collapsed="false">
      <c r="X1093" s="12"/>
      <c r="Y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12.8" hidden="false" customHeight="false" outlineLevel="0" collapsed="false">
      <c r="X1094" s="12"/>
      <c r="Y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12.8" hidden="false" customHeight="false" outlineLevel="0" collapsed="false">
      <c r="X1095" s="12"/>
      <c r="Y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12.8" hidden="false" customHeight="false" outlineLevel="0" collapsed="false">
      <c r="X1096" s="12"/>
      <c r="Y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12.8" hidden="false" customHeight="false" outlineLevel="0" collapsed="false">
      <c r="X1097" s="12"/>
      <c r="Y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12.8" hidden="false" customHeight="false" outlineLevel="0" collapsed="false">
      <c r="X1098" s="12"/>
      <c r="Y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12.8" hidden="false" customHeight="false" outlineLevel="0" collapsed="false">
      <c r="X1099" s="12"/>
      <c r="Y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12.8" hidden="false" customHeight="false" outlineLevel="0" collapsed="false">
      <c r="X1100" s="12"/>
      <c r="Y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12.8" hidden="false" customHeight="false" outlineLevel="0" collapsed="false">
      <c r="X1101" s="12"/>
      <c r="Y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12.8" hidden="false" customHeight="false" outlineLevel="0" collapsed="false">
      <c r="X1102" s="12"/>
      <c r="Y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12.8" hidden="false" customHeight="false" outlineLevel="0" collapsed="false">
      <c r="X1103" s="12"/>
      <c r="Y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12.8" hidden="false" customHeight="false" outlineLevel="0" collapsed="false">
      <c r="X1104" s="12"/>
      <c r="Y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12.8" hidden="false" customHeight="false" outlineLevel="0" collapsed="false">
      <c r="X1105" s="12"/>
      <c r="Y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12.8" hidden="false" customHeight="false" outlineLevel="0" collapsed="false">
      <c r="X1106" s="12"/>
      <c r="Y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2" topLeftCell="O3" activePane="bottomLeft" state="frozen"/>
      <selection pane="topLeft" activeCell="A1" activeCellId="0" sqref="A1"/>
      <selection pane="bottomLeft" activeCell="Z16" activeCellId="0" sqref="Z16"/>
    </sheetView>
  </sheetViews>
  <sheetFormatPr defaultColWidth="11.53515625" defaultRowHeight="25.9" customHeight="true" zeroHeight="false" outlineLevelRow="3" outlineLevelCol="1"/>
  <cols>
    <col collapsed="false" customWidth="false" hidden="false" outlineLevel="0" max="1" min="1" style="1" width="11.51"/>
    <col collapsed="false" customWidth="true" hidden="false" outlineLevel="0" max="2" min="2" style="2" width="35.26"/>
    <col collapsed="false" customWidth="true" hidden="false" outlineLevel="0" max="3" min="3" style="14" width="44.51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3" width="55.34"/>
    <col collapsed="false" customWidth="true" hidden="false" outlineLevel="0" max="8" min="8" style="1" width="64.57"/>
    <col collapsed="false" customWidth="true" hidden="false" outlineLevel="1" max="9" min="9" style="1" width="18.45"/>
    <col collapsed="false" customWidth="true" hidden="false" outlineLevel="0" max="10" min="10" style="1" width="43.82"/>
    <col collapsed="false" customWidth="true" hidden="false" outlineLevel="1" max="11" min="11" style="1" width="23.07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2" min="20" style="1" width="13.83"/>
    <col collapsed="false" customWidth="true" hidden="false" outlineLevel="1" max="23" min="23" style="1" width="16.12"/>
    <col collapsed="false" customWidth="false" hidden="false" outlineLevel="0" max="24" min="24" style="14" width="11.53"/>
    <col collapsed="false" customWidth="false" hidden="false" outlineLevel="0" max="16384" min="41" style="3" width="11.53"/>
  </cols>
  <sheetData>
    <row r="1" s="14" customFormat="true" ht="12.95" hidden="false" customHeight="true" outlineLevel="0" collapsed="false">
      <c r="A1" s="2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="14" customFormat="true" ht="12.95" hidden="false" customHeight="true" outlineLevel="0" collapsed="false">
      <c r="A2" s="2" t="s">
        <v>177</v>
      </c>
      <c r="B2" s="6" t="s">
        <v>178</v>
      </c>
      <c r="C2" s="6" t="s">
        <v>179</v>
      </c>
      <c r="D2" s="6" t="s">
        <v>183</v>
      </c>
      <c r="E2" s="6" t="s">
        <v>184</v>
      </c>
      <c r="F2" s="6" t="s">
        <v>185</v>
      </c>
      <c r="G2" s="6" t="s">
        <v>688</v>
      </c>
      <c r="H2" s="6" t="s">
        <v>186</v>
      </c>
      <c r="I2" s="6" t="s">
        <v>187</v>
      </c>
      <c r="J2" s="6" t="s">
        <v>188</v>
      </c>
      <c r="K2" s="6" t="s">
        <v>189</v>
      </c>
      <c r="L2" s="6" t="s">
        <v>190</v>
      </c>
      <c r="M2" s="6" t="s">
        <v>191</v>
      </c>
      <c r="N2" s="6" t="s">
        <v>192</v>
      </c>
      <c r="O2" s="6" t="s">
        <v>193</v>
      </c>
      <c r="P2" s="6" t="s">
        <v>194</v>
      </c>
      <c r="Q2" s="6" t="s">
        <v>195</v>
      </c>
      <c r="R2" s="6" t="s">
        <v>196</v>
      </c>
      <c r="S2" s="6" t="s">
        <v>454</v>
      </c>
      <c r="T2" s="6" t="s">
        <v>455</v>
      </c>
      <c r="U2" s="6" t="s">
        <v>456</v>
      </c>
      <c r="V2" s="6" t="s">
        <v>457</v>
      </c>
      <c r="W2" s="6" t="s">
        <v>458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="14" customFormat="true" ht="12.95" hidden="false" customHeight="true" outlineLevel="0" collapsed="false">
      <c r="A3" s="2" t="n">
        <v>1</v>
      </c>
      <c r="B3" s="6" t="s">
        <v>689</v>
      </c>
      <c r="C3" s="6" t="s">
        <v>463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="14" customFormat="true" ht="12.95" hidden="false" customHeight="true" outlineLevel="1" collapsed="false">
      <c r="A4" s="2" t="n">
        <v>1.1</v>
      </c>
      <c r="B4" s="6" t="s">
        <v>690</v>
      </c>
      <c r="C4" s="6" t="s">
        <v>223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="14" customFormat="true" ht="12.95" hidden="false" customHeight="true" outlineLevel="3" collapsed="false">
      <c r="A5" s="2" t="n">
        <v>1.101</v>
      </c>
      <c r="B5" s="6" t="s">
        <v>690</v>
      </c>
      <c r="C5" s="6" t="s">
        <v>691</v>
      </c>
      <c r="D5" s="6" t="s">
        <v>316</v>
      </c>
      <c r="E5" s="6" t="s">
        <v>378</v>
      </c>
      <c r="F5" s="6" t="s">
        <v>692</v>
      </c>
      <c r="G5" s="6" t="s">
        <v>693</v>
      </c>
      <c r="H5" s="6" t="s">
        <v>694</v>
      </c>
      <c r="I5" s="6" t="s">
        <v>235</v>
      </c>
      <c r="J5" s="6" t="s">
        <v>695</v>
      </c>
      <c r="K5" s="6" t="s">
        <v>39</v>
      </c>
      <c r="L5" s="6" t="s">
        <v>238</v>
      </c>
      <c r="M5" s="6"/>
      <c r="N5" s="6"/>
      <c r="O5" s="6"/>
      <c r="P5" s="6"/>
      <c r="Q5" s="6"/>
      <c r="R5" s="6"/>
      <c r="S5" s="6" t="s">
        <v>471</v>
      </c>
      <c r="T5" s="6" t="s">
        <v>472</v>
      </c>
      <c r="U5" s="6" t="s">
        <v>473</v>
      </c>
      <c r="V5" s="6" t="s">
        <v>474</v>
      </c>
      <c r="W5" s="6" t="s">
        <v>475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="14" customFormat="true" ht="12.95" hidden="false" customHeight="true" outlineLevel="3" collapsed="false">
      <c r="A6" s="2" t="n">
        <v>1.102</v>
      </c>
      <c r="B6" s="6" t="s">
        <v>690</v>
      </c>
      <c r="C6" s="6" t="s">
        <v>696</v>
      </c>
      <c r="D6" s="6" t="s">
        <v>316</v>
      </c>
      <c r="E6" s="6" t="s">
        <v>378</v>
      </c>
      <c r="F6" s="6" t="s">
        <v>697</v>
      </c>
      <c r="G6" s="6" t="s">
        <v>693</v>
      </c>
      <c r="H6" s="6" t="s">
        <v>698</v>
      </c>
      <c r="I6" s="6" t="s">
        <v>235</v>
      </c>
      <c r="J6" s="6" t="s">
        <v>695</v>
      </c>
      <c r="K6" s="6" t="s">
        <v>39</v>
      </c>
      <c r="L6" s="6" t="s">
        <v>699</v>
      </c>
      <c r="M6" s="6" t="s">
        <v>700</v>
      </c>
      <c r="N6" s="6" t="s">
        <v>701</v>
      </c>
      <c r="O6" s="6" t="s">
        <v>702</v>
      </c>
      <c r="P6" s="6" t="s">
        <v>703</v>
      </c>
      <c r="Q6" s="6" t="s">
        <v>289</v>
      </c>
      <c r="R6" s="6" t="s">
        <v>290</v>
      </c>
      <c r="S6" s="6" t="s">
        <v>471</v>
      </c>
      <c r="T6" s="6" t="s">
        <v>472</v>
      </c>
      <c r="U6" s="6" t="s">
        <v>473</v>
      </c>
      <c r="V6" s="6" t="s">
        <v>474</v>
      </c>
      <c r="W6" s="6" t="s">
        <v>475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="14" customFormat="true" ht="12.95" hidden="false" customHeight="true" outlineLevel="2" collapsed="false">
      <c r="A7" s="2" t="n">
        <v>1.2</v>
      </c>
      <c r="B7" s="6" t="s">
        <v>704</v>
      </c>
      <c r="C7" s="6" t="s">
        <v>223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="14" customFormat="true" ht="12.95" hidden="false" customHeight="true" outlineLevel="3" collapsed="false">
      <c r="A8" s="2" t="n">
        <v>1.201</v>
      </c>
      <c r="B8" s="6" t="s">
        <v>704</v>
      </c>
      <c r="C8" s="6" t="s">
        <v>691</v>
      </c>
      <c r="D8" s="6" t="s">
        <v>316</v>
      </c>
      <c r="E8" s="6" t="s">
        <v>378</v>
      </c>
      <c r="F8" s="6" t="s">
        <v>692</v>
      </c>
      <c r="G8" s="6" t="s">
        <v>705</v>
      </c>
      <c r="H8" s="6" t="s">
        <v>694</v>
      </c>
      <c r="I8" s="6" t="s">
        <v>235</v>
      </c>
      <c r="J8" s="6" t="s">
        <v>706</v>
      </c>
      <c r="K8" s="6" t="s">
        <v>39</v>
      </c>
      <c r="L8" s="6" t="s">
        <v>238</v>
      </c>
      <c r="M8" s="6"/>
      <c r="N8" s="6"/>
      <c r="O8" s="6"/>
      <c r="P8" s="6"/>
      <c r="Q8" s="6"/>
      <c r="R8" s="6"/>
      <c r="S8" s="6" t="s">
        <v>471</v>
      </c>
      <c r="T8" s="6" t="s">
        <v>472</v>
      </c>
      <c r="U8" s="6" t="s">
        <v>473</v>
      </c>
      <c r="V8" s="6" t="s">
        <v>474</v>
      </c>
      <c r="W8" s="6" t="s">
        <v>475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="14" customFormat="true" ht="12.95" hidden="false" customHeight="true" outlineLevel="3" collapsed="false">
      <c r="A9" s="2" t="n">
        <v>1.202</v>
      </c>
      <c r="B9" s="6" t="s">
        <v>704</v>
      </c>
      <c r="C9" s="6" t="s">
        <v>696</v>
      </c>
      <c r="D9" s="6" t="s">
        <v>316</v>
      </c>
      <c r="E9" s="6" t="s">
        <v>707</v>
      </c>
      <c r="F9" s="6" t="s">
        <v>697</v>
      </c>
      <c r="G9" s="6" t="s">
        <v>705</v>
      </c>
      <c r="H9" s="6" t="s">
        <v>698</v>
      </c>
      <c r="I9" s="6" t="s">
        <v>235</v>
      </c>
      <c r="J9" s="6" t="s">
        <v>706</v>
      </c>
      <c r="K9" s="6" t="s">
        <v>39</v>
      </c>
      <c r="L9" s="6" t="s">
        <v>699</v>
      </c>
      <c r="M9" s="6" t="s">
        <v>700</v>
      </c>
      <c r="N9" s="6" t="s">
        <v>701</v>
      </c>
      <c r="O9" s="6" t="s">
        <v>702</v>
      </c>
      <c r="P9" s="6" t="s">
        <v>703</v>
      </c>
      <c r="Q9" s="6" t="s">
        <v>289</v>
      </c>
      <c r="R9" s="6" t="s">
        <v>290</v>
      </c>
      <c r="S9" s="6" t="s">
        <v>471</v>
      </c>
      <c r="T9" s="6" t="s">
        <v>472</v>
      </c>
      <c r="U9" s="6" t="s">
        <v>473</v>
      </c>
      <c r="V9" s="6" t="s">
        <v>474</v>
      </c>
      <c r="W9" s="6" t="s">
        <v>475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="14" customFormat="true" ht="12.95" hidden="false" customHeight="true" outlineLevel="2" collapsed="false">
      <c r="A10" s="2" t="n">
        <v>1.3</v>
      </c>
      <c r="B10" s="6" t="s">
        <v>708</v>
      </c>
      <c r="C10" s="6" t="s">
        <v>223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="14" customFormat="true" ht="12.95" hidden="false" customHeight="true" outlineLevel="3" collapsed="false">
      <c r="A11" s="2" t="n">
        <v>1.301</v>
      </c>
      <c r="B11" s="6" t="s">
        <v>708</v>
      </c>
      <c r="C11" s="6" t="s">
        <v>691</v>
      </c>
      <c r="D11" s="6" t="s">
        <v>316</v>
      </c>
      <c r="E11" s="6" t="s">
        <v>378</v>
      </c>
      <c r="F11" s="6" t="s">
        <v>692</v>
      </c>
      <c r="G11" s="6" t="s">
        <v>709</v>
      </c>
      <c r="H11" s="6" t="s">
        <v>694</v>
      </c>
      <c r="I11" s="6" t="s">
        <v>235</v>
      </c>
      <c r="J11" s="6" t="s">
        <v>710</v>
      </c>
      <c r="K11" s="6" t="s">
        <v>39</v>
      </c>
      <c r="L11" s="6" t="s">
        <v>238</v>
      </c>
      <c r="M11" s="6"/>
      <c r="N11" s="6"/>
      <c r="O11" s="6"/>
      <c r="P11" s="6"/>
      <c r="Q11" s="6"/>
      <c r="R11" s="6"/>
      <c r="S11" s="6" t="s">
        <v>471</v>
      </c>
      <c r="T11" s="6" t="s">
        <v>472</v>
      </c>
      <c r="U11" s="6" t="s">
        <v>473</v>
      </c>
      <c r="V11" s="6" t="s">
        <v>474</v>
      </c>
      <c r="W11" s="6" t="s">
        <v>475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="14" customFormat="true" ht="12.95" hidden="false" customHeight="true" outlineLevel="3" collapsed="false">
      <c r="A12" s="2" t="n">
        <v>1.302</v>
      </c>
      <c r="B12" s="6" t="s">
        <v>708</v>
      </c>
      <c r="C12" s="6" t="s">
        <v>696</v>
      </c>
      <c r="D12" s="6" t="s">
        <v>316</v>
      </c>
      <c r="E12" s="6" t="s">
        <v>378</v>
      </c>
      <c r="F12" s="6" t="s">
        <v>697</v>
      </c>
      <c r="G12" s="6" t="s">
        <v>709</v>
      </c>
      <c r="H12" s="6" t="s">
        <v>698</v>
      </c>
      <c r="I12" s="6" t="s">
        <v>235</v>
      </c>
      <c r="J12" s="6" t="s">
        <v>710</v>
      </c>
      <c r="K12" s="6" t="s">
        <v>39</v>
      </c>
      <c r="L12" s="6" t="s">
        <v>699</v>
      </c>
      <c r="M12" s="6" t="s">
        <v>700</v>
      </c>
      <c r="N12" s="6" t="s">
        <v>701</v>
      </c>
      <c r="O12" s="6" t="s">
        <v>702</v>
      </c>
      <c r="P12" s="6" t="s">
        <v>703</v>
      </c>
      <c r="Q12" s="6" t="s">
        <v>289</v>
      </c>
      <c r="R12" s="6" t="s">
        <v>290</v>
      </c>
      <c r="S12" s="6" t="s">
        <v>471</v>
      </c>
      <c r="T12" s="6" t="s">
        <v>472</v>
      </c>
      <c r="U12" s="6" t="s">
        <v>473</v>
      </c>
      <c r="V12" s="6" t="s">
        <v>474</v>
      </c>
      <c r="W12" s="6" t="s">
        <v>475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="14" customFormat="true" ht="12.95" hidden="false" customHeight="true" outlineLevel="1" collapsed="false">
      <c r="A13" s="2" t="n">
        <v>1.4</v>
      </c>
      <c r="B13" s="6" t="s">
        <v>690</v>
      </c>
      <c r="C13" s="6" t="s">
        <v>711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="14" customFormat="true" ht="12.95" hidden="false" customHeight="true" outlineLevel="3" collapsed="false">
      <c r="A14" s="2" t="n">
        <v>1.401</v>
      </c>
      <c r="B14" s="6" t="s">
        <v>690</v>
      </c>
      <c r="C14" s="6" t="s">
        <v>712</v>
      </c>
      <c r="D14" s="6" t="s">
        <v>316</v>
      </c>
      <c r="E14" s="6" t="s">
        <v>378</v>
      </c>
      <c r="F14" s="6" t="s">
        <v>692</v>
      </c>
      <c r="G14" s="6" t="s">
        <v>693</v>
      </c>
      <c r="H14" s="6" t="s">
        <v>713</v>
      </c>
      <c r="I14" s="6" t="s">
        <v>235</v>
      </c>
      <c r="J14" s="6" t="s">
        <v>695</v>
      </c>
      <c r="K14" s="6" t="s">
        <v>39</v>
      </c>
      <c r="L14" s="6" t="s">
        <v>714</v>
      </c>
      <c r="M14" s="6"/>
      <c r="N14" s="6"/>
      <c r="O14" s="6"/>
      <c r="P14" s="6"/>
      <c r="Q14" s="6"/>
      <c r="R14" s="6"/>
      <c r="S14" s="6" t="s">
        <v>471</v>
      </c>
      <c r="T14" s="6" t="s">
        <v>472</v>
      </c>
      <c r="U14" s="6" t="s">
        <v>473</v>
      </c>
      <c r="V14" s="6" t="s">
        <v>474</v>
      </c>
      <c r="W14" s="6" t="s">
        <v>475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="14" customFormat="true" ht="12.95" hidden="false" customHeight="true" outlineLevel="3" collapsed="false">
      <c r="A15" s="2" t="n">
        <v>1.402</v>
      </c>
      <c r="B15" s="6" t="s">
        <v>690</v>
      </c>
      <c r="C15" s="6" t="s">
        <v>715</v>
      </c>
      <c r="D15" s="6" t="s">
        <v>316</v>
      </c>
      <c r="E15" s="6" t="s">
        <v>378</v>
      </c>
      <c r="F15" s="6" t="s">
        <v>697</v>
      </c>
      <c r="G15" s="6" t="s">
        <v>693</v>
      </c>
      <c r="H15" s="6" t="s">
        <v>716</v>
      </c>
      <c r="I15" s="6" t="s">
        <v>235</v>
      </c>
      <c r="J15" s="6" t="s">
        <v>695</v>
      </c>
      <c r="K15" s="6" t="s">
        <v>39</v>
      </c>
      <c r="L15" s="6" t="s">
        <v>501</v>
      </c>
      <c r="M15" s="6" t="s">
        <v>502</v>
      </c>
      <c r="N15" s="6" t="s">
        <v>503</v>
      </c>
      <c r="O15" s="6" t="s">
        <v>504</v>
      </c>
      <c r="P15" s="6" t="s">
        <v>505</v>
      </c>
      <c r="Q15" s="6" t="s">
        <v>717</v>
      </c>
      <c r="R15" s="6" t="s">
        <v>718</v>
      </c>
      <c r="S15" s="6" t="s">
        <v>471</v>
      </c>
      <c r="T15" s="6" t="s">
        <v>472</v>
      </c>
      <c r="U15" s="6" t="s">
        <v>473</v>
      </c>
      <c r="V15" s="6" t="s">
        <v>474</v>
      </c>
      <c r="W15" s="6" t="s">
        <v>475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="14" customFormat="true" ht="12.95" hidden="false" customHeight="true" outlineLevel="2" collapsed="false">
      <c r="A16" s="2" t="n">
        <v>1.5</v>
      </c>
      <c r="B16" s="6" t="s">
        <v>704</v>
      </c>
      <c r="C16" s="6" t="s">
        <v>711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="14" customFormat="true" ht="12.95" hidden="false" customHeight="true" outlineLevel="3" collapsed="false">
      <c r="A17" s="2" t="n">
        <v>1.501</v>
      </c>
      <c r="B17" s="6" t="s">
        <v>704</v>
      </c>
      <c r="C17" s="6" t="s">
        <v>712</v>
      </c>
      <c r="D17" s="6" t="s">
        <v>316</v>
      </c>
      <c r="E17" s="6" t="s">
        <v>378</v>
      </c>
      <c r="F17" s="6" t="s">
        <v>692</v>
      </c>
      <c r="G17" s="6" t="s">
        <v>705</v>
      </c>
      <c r="H17" s="6" t="s">
        <v>713</v>
      </c>
      <c r="I17" s="6" t="s">
        <v>235</v>
      </c>
      <c r="J17" s="6" t="s">
        <v>706</v>
      </c>
      <c r="K17" s="6" t="s">
        <v>39</v>
      </c>
      <c r="L17" s="6" t="s">
        <v>714</v>
      </c>
      <c r="M17" s="6"/>
      <c r="N17" s="6"/>
      <c r="O17" s="6"/>
      <c r="P17" s="6"/>
      <c r="Q17" s="6"/>
      <c r="R17" s="6"/>
      <c r="S17" s="6" t="s">
        <v>471</v>
      </c>
      <c r="T17" s="6" t="s">
        <v>472</v>
      </c>
      <c r="U17" s="6" t="s">
        <v>473</v>
      </c>
      <c r="V17" s="6" t="s">
        <v>474</v>
      </c>
      <c r="W17" s="6" t="s">
        <v>475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="14" customFormat="true" ht="12.95" hidden="false" customHeight="true" outlineLevel="3" collapsed="false">
      <c r="A18" s="2" t="n">
        <v>1.502</v>
      </c>
      <c r="B18" s="6" t="s">
        <v>704</v>
      </c>
      <c r="C18" s="6" t="s">
        <v>715</v>
      </c>
      <c r="D18" s="6" t="s">
        <v>316</v>
      </c>
      <c r="E18" s="6" t="s">
        <v>378</v>
      </c>
      <c r="F18" s="6" t="s">
        <v>697</v>
      </c>
      <c r="G18" s="6" t="s">
        <v>705</v>
      </c>
      <c r="H18" s="6" t="s">
        <v>716</v>
      </c>
      <c r="I18" s="6" t="s">
        <v>235</v>
      </c>
      <c r="J18" s="6" t="s">
        <v>706</v>
      </c>
      <c r="K18" s="6" t="s">
        <v>39</v>
      </c>
      <c r="L18" s="6" t="s">
        <v>501</v>
      </c>
      <c r="M18" s="6" t="s">
        <v>502</v>
      </c>
      <c r="N18" s="6" t="s">
        <v>503</v>
      </c>
      <c r="O18" s="6" t="s">
        <v>504</v>
      </c>
      <c r="P18" s="6" t="s">
        <v>505</v>
      </c>
      <c r="Q18" s="6" t="s">
        <v>717</v>
      </c>
      <c r="R18" s="6" t="s">
        <v>718</v>
      </c>
      <c r="S18" s="6" t="s">
        <v>471</v>
      </c>
      <c r="T18" s="6" t="s">
        <v>472</v>
      </c>
      <c r="U18" s="6" t="s">
        <v>473</v>
      </c>
      <c r="V18" s="6" t="s">
        <v>474</v>
      </c>
      <c r="W18" s="6" t="s">
        <v>475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="14" customFormat="true" ht="12.95" hidden="false" customHeight="true" outlineLevel="2" collapsed="false">
      <c r="A19" s="2" t="n">
        <v>1.6</v>
      </c>
      <c r="B19" s="6" t="s">
        <v>708</v>
      </c>
      <c r="C19" s="6" t="s">
        <v>711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="14" customFormat="true" ht="12.95" hidden="false" customHeight="true" outlineLevel="3" collapsed="false">
      <c r="A20" s="2" t="n">
        <v>1.601</v>
      </c>
      <c r="B20" s="6" t="s">
        <v>708</v>
      </c>
      <c r="C20" s="6" t="s">
        <v>712</v>
      </c>
      <c r="D20" s="6" t="s">
        <v>316</v>
      </c>
      <c r="E20" s="6" t="s">
        <v>378</v>
      </c>
      <c r="F20" s="6" t="s">
        <v>692</v>
      </c>
      <c r="G20" s="6" t="s">
        <v>709</v>
      </c>
      <c r="H20" s="6" t="s">
        <v>713</v>
      </c>
      <c r="I20" s="6" t="s">
        <v>235</v>
      </c>
      <c r="J20" s="6" t="s">
        <v>710</v>
      </c>
      <c r="K20" s="6" t="s">
        <v>39</v>
      </c>
      <c r="L20" s="6" t="s">
        <v>714</v>
      </c>
      <c r="M20" s="6"/>
      <c r="N20" s="6"/>
      <c r="O20" s="6"/>
      <c r="P20" s="6"/>
      <c r="Q20" s="6"/>
      <c r="R20" s="6"/>
      <c r="S20" s="6" t="s">
        <v>471</v>
      </c>
      <c r="T20" s="6" t="s">
        <v>472</v>
      </c>
      <c r="U20" s="6" t="s">
        <v>473</v>
      </c>
      <c r="V20" s="6" t="s">
        <v>474</v>
      </c>
      <c r="W20" s="6" t="s">
        <v>475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="14" customFormat="true" ht="12.95" hidden="false" customHeight="true" outlineLevel="3" collapsed="false">
      <c r="A21" s="2" t="n">
        <v>1.602</v>
      </c>
      <c r="B21" s="6" t="s">
        <v>708</v>
      </c>
      <c r="C21" s="6" t="s">
        <v>715</v>
      </c>
      <c r="D21" s="6" t="s">
        <v>316</v>
      </c>
      <c r="E21" s="6" t="s">
        <v>378</v>
      </c>
      <c r="F21" s="6" t="s">
        <v>697</v>
      </c>
      <c r="G21" s="6" t="s">
        <v>709</v>
      </c>
      <c r="H21" s="6" t="s">
        <v>716</v>
      </c>
      <c r="I21" s="6" t="s">
        <v>235</v>
      </c>
      <c r="J21" s="6" t="s">
        <v>710</v>
      </c>
      <c r="K21" s="6" t="s">
        <v>39</v>
      </c>
      <c r="L21" s="6" t="s">
        <v>501</v>
      </c>
      <c r="M21" s="6" t="s">
        <v>502</v>
      </c>
      <c r="N21" s="6" t="s">
        <v>503</v>
      </c>
      <c r="O21" s="6" t="s">
        <v>504</v>
      </c>
      <c r="P21" s="6" t="s">
        <v>505</v>
      </c>
      <c r="Q21" s="6" t="s">
        <v>717</v>
      </c>
      <c r="R21" s="6" t="s">
        <v>718</v>
      </c>
      <c r="S21" s="6" t="s">
        <v>471</v>
      </c>
      <c r="T21" s="6" t="s">
        <v>472</v>
      </c>
      <c r="U21" s="6" t="s">
        <v>473</v>
      </c>
      <c r="V21" s="6" t="s">
        <v>474</v>
      </c>
      <c r="W21" s="6" t="s">
        <v>475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="14" customFormat="true" ht="12.95" hidden="false" customHeight="true" outlineLevel="1" collapsed="false">
      <c r="A22" s="2" t="n">
        <v>1.7</v>
      </c>
      <c r="B22" s="6" t="s">
        <v>690</v>
      </c>
      <c r="C22" s="6" t="s">
        <v>719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="14" customFormat="true" ht="12.95" hidden="false" customHeight="true" outlineLevel="3" collapsed="false">
      <c r="A23" s="2" t="n">
        <v>1.701</v>
      </c>
      <c r="B23" s="6" t="s">
        <v>690</v>
      </c>
      <c r="C23" s="6" t="s">
        <v>720</v>
      </c>
      <c r="D23" s="6" t="s">
        <v>316</v>
      </c>
      <c r="E23" s="6" t="s">
        <v>378</v>
      </c>
      <c r="F23" s="6" t="s">
        <v>692</v>
      </c>
      <c r="G23" s="6" t="s">
        <v>693</v>
      </c>
      <c r="H23" s="6" t="s">
        <v>721</v>
      </c>
      <c r="I23" s="6" t="s">
        <v>235</v>
      </c>
      <c r="J23" s="6" t="s">
        <v>695</v>
      </c>
      <c r="K23" s="6" t="s">
        <v>39</v>
      </c>
      <c r="L23" s="6" t="s">
        <v>516</v>
      </c>
      <c r="M23" s="6"/>
      <c r="N23" s="6"/>
      <c r="O23" s="6"/>
      <c r="P23" s="6"/>
      <c r="Q23" s="6"/>
      <c r="R23" s="6"/>
      <c r="S23" s="6" t="s">
        <v>471</v>
      </c>
      <c r="T23" s="6" t="s">
        <v>472</v>
      </c>
      <c r="U23" s="6" t="s">
        <v>473</v>
      </c>
      <c r="V23" s="6" t="s">
        <v>474</v>
      </c>
      <c r="W23" s="6" t="s">
        <v>475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="14" customFormat="true" ht="12.95" hidden="false" customHeight="true" outlineLevel="3" collapsed="false">
      <c r="A24" s="2" t="n">
        <v>1.702</v>
      </c>
      <c r="B24" s="6" t="s">
        <v>690</v>
      </c>
      <c r="C24" s="6" t="s">
        <v>722</v>
      </c>
      <c r="D24" s="6" t="s">
        <v>316</v>
      </c>
      <c r="E24" s="6" t="s">
        <v>378</v>
      </c>
      <c r="F24" s="6" t="s">
        <v>697</v>
      </c>
      <c r="G24" s="6" t="s">
        <v>693</v>
      </c>
      <c r="H24" s="6" t="s">
        <v>723</v>
      </c>
      <c r="I24" s="6" t="s">
        <v>235</v>
      </c>
      <c r="J24" s="6" t="s">
        <v>695</v>
      </c>
      <c r="K24" s="6" t="s">
        <v>39</v>
      </c>
      <c r="L24" s="6" t="s">
        <v>724</v>
      </c>
      <c r="M24" s="6" t="s">
        <v>725</v>
      </c>
      <c r="N24" s="6" t="s">
        <v>726</v>
      </c>
      <c r="O24" s="6" t="s">
        <v>727</v>
      </c>
      <c r="P24" s="6" t="s">
        <v>728</v>
      </c>
      <c r="Q24" s="6" t="s">
        <v>729</v>
      </c>
      <c r="R24" s="6" t="s">
        <v>730</v>
      </c>
      <c r="S24" s="6" t="s">
        <v>471</v>
      </c>
      <c r="T24" s="6" t="s">
        <v>472</v>
      </c>
      <c r="U24" s="6" t="s">
        <v>473</v>
      </c>
      <c r="V24" s="6" t="s">
        <v>474</v>
      </c>
      <c r="W24" s="6" t="s">
        <v>475</v>
      </c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="14" customFormat="true" ht="12.95" hidden="false" customHeight="true" outlineLevel="2" collapsed="false">
      <c r="A25" s="2" t="n">
        <v>1.8</v>
      </c>
      <c r="B25" s="6" t="s">
        <v>704</v>
      </c>
      <c r="C25" s="6" t="s">
        <v>719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="14" customFormat="true" ht="12.95" hidden="false" customHeight="true" outlineLevel="3" collapsed="false">
      <c r="A26" s="2" t="n">
        <v>1.801</v>
      </c>
      <c r="B26" s="6" t="s">
        <v>704</v>
      </c>
      <c r="C26" s="6" t="s">
        <v>720</v>
      </c>
      <c r="D26" s="6" t="s">
        <v>316</v>
      </c>
      <c r="E26" s="6" t="s">
        <v>378</v>
      </c>
      <c r="F26" s="6" t="s">
        <v>692</v>
      </c>
      <c r="G26" s="6" t="s">
        <v>705</v>
      </c>
      <c r="H26" s="6" t="s">
        <v>721</v>
      </c>
      <c r="I26" s="6" t="s">
        <v>235</v>
      </c>
      <c r="J26" s="6" t="s">
        <v>706</v>
      </c>
      <c r="K26" s="6" t="s">
        <v>39</v>
      </c>
      <c r="L26" s="6" t="s">
        <v>516</v>
      </c>
      <c r="M26" s="6"/>
      <c r="N26" s="6"/>
      <c r="O26" s="6"/>
      <c r="P26" s="6"/>
      <c r="Q26" s="6"/>
      <c r="R26" s="6"/>
      <c r="S26" s="6" t="s">
        <v>471</v>
      </c>
      <c r="T26" s="6" t="s">
        <v>472</v>
      </c>
      <c r="U26" s="6" t="s">
        <v>473</v>
      </c>
      <c r="V26" s="6" t="s">
        <v>474</v>
      </c>
      <c r="W26" s="6" t="s">
        <v>475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="14" customFormat="true" ht="12.95" hidden="false" customHeight="true" outlineLevel="3" collapsed="false">
      <c r="A27" s="2" t="n">
        <v>1.802</v>
      </c>
      <c r="B27" s="6" t="s">
        <v>704</v>
      </c>
      <c r="C27" s="6" t="s">
        <v>722</v>
      </c>
      <c r="D27" s="6" t="s">
        <v>316</v>
      </c>
      <c r="E27" s="6" t="s">
        <v>378</v>
      </c>
      <c r="F27" s="6" t="s">
        <v>697</v>
      </c>
      <c r="G27" s="6" t="s">
        <v>705</v>
      </c>
      <c r="H27" s="6" t="s">
        <v>723</v>
      </c>
      <c r="I27" s="6" t="s">
        <v>235</v>
      </c>
      <c r="J27" s="6" t="s">
        <v>706</v>
      </c>
      <c r="K27" s="6" t="s">
        <v>39</v>
      </c>
      <c r="L27" s="6" t="s">
        <v>724</v>
      </c>
      <c r="M27" s="6" t="s">
        <v>725</v>
      </c>
      <c r="N27" s="6" t="s">
        <v>726</v>
      </c>
      <c r="O27" s="6" t="s">
        <v>727</v>
      </c>
      <c r="P27" s="6" t="s">
        <v>728</v>
      </c>
      <c r="Q27" s="6" t="s">
        <v>729</v>
      </c>
      <c r="R27" s="6" t="s">
        <v>730</v>
      </c>
      <c r="S27" s="6" t="s">
        <v>471</v>
      </c>
      <c r="T27" s="6" t="s">
        <v>472</v>
      </c>
      <c r="U27" s="6" t="s">
        <v>473</v>
      </c>
      <c r="V27" s="6" t="s">
        <v>474</v>
      </c>
      <c r="W27" s="6" t="s">
        <v>475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="14" customFormat="true" ht="12.95" hidden="false" customHeight="true" outlineLevel="2" collapsed="false">
      <c r="A28" s="2" t="n">
        <v>1.9</v>
      </c>
      <c r="B28" s="6" t="s">
        <v>708</v>
      </c>
      <c r="C28" s="6" t="s">
        <v>719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="14" customFormat="true" ht="12.95" hidden="false" customHeight="true" outlineLevel="3" collapsed="false">
      <c r="A29" s="2" t="n">
        <v>1.901</v>
      </c>
      <c r="B29" s="6" t="s">
        <v>708</v>
      </c>
      <c r="C29" s="6" t="s">
        <v>720</v>
      </c>
      <c r="D29" s="6" t="s">
        <v>316</v>
      </c>
      <c r="E29" s="6" t="s">
        <v>378</v>
      </c>
      <c r="F29" s="6" t="s">
        <v>692</v>
      </c>
      <c r="G29" s="6" t="s">
        <v>709</v>
      </c>
      <c r="H29" s="6" t="s">
        <v>721</v>
      </c>
      <c r="I29" s="6" t="s">
        <v>235</v>
      </c>
      <c r="J29" s="6" t="s">
        <v>710</v>
      </c>
      <c r="K29" s="6" t="s">
        <v>39</v>
      </c>
      <c r="L29" s="6" t="s">
        <v>516</v>
      </c>
      <c r="M29" s="6"/>
      <c r="N29" s="6"/>
      <c r="O29" s="6"/>
      <c r="P29" s="6"/>
      <c r="Q29" s="6"/>
      <c r="R29" s="6"/>
      <c r="S29" s="6" t="s">
        <v>471</v>
      </c>
      <c r="T29" s="6" t="s">
        <v>472</v>
      </c>
      <c r="U29" s="6" t="s">
        <v>473</v>
      </c>
      <c r="V29" s="6" t="s">
        <v>474</v>
      </c>
      <c r="W29" s="6" t="s">
        <v>475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="14" customFormat="true" ht="12.95" hidden="false" customHeight="true" outlineLevel="3" collapsed="false">
      <c r="A30" s="2" t="n">
        <v>1.902</v>
      </c>
      <c r="B30" s="6" t="s">
        <v>708</v>
      </c>
      <c r="C30" s="6" t="s">
        <v>722</v>
      </c>
      <c r="D30" s="6" t="s">
        <v>316</v>
      </c>
      <c r="E30" s="6" t="s">
        <v>378</v>
      </c>
      <c r="F30" s="6" t="s">
        <v>697</v>
      </c>
      <c r="G30" s="6" t="s">
        <v>709</v>
      </c>
      <c r="H30" s="6" t="s">
        <v>723</v>
      </c>
      <c r="I30" s="6" t="s">
        <v>235</v>
      </c>
      <c r="J30" s="6" t="s">
        <v>710</v>
      </c>
      <c r="K30" s="6" t="s">
        <v>39</v>
      </c>
      <c r="L30" s="6" t="s">
        <v>724</v>
      </c>
      <c r="M30" s="6" t="s">
        <v>725</v>
      </c>
      <c r="N30" s="6" t="s">
        <v>726</v>
      </c>
      <c r="O30" s="6" t="s">
        <v>727</v>
      </c>
      <c r="P30" s="6" t="s">
        <v>728</v>
      </c>
      <c r="Q30" s="6" t="s">
        <v>729</v>
      </c>
      <c r="R30" s="6" t="s">
        <v>730</v>
      </c>
      <c r="S30" s="6" t="s">
        <v>471</v>
      </c>
      <c r="T30" s="6" t="s">
        <v>472</v>
      </c>
      <c r="U30" s="6" t="s">
        <v>473</v>
      </c>
      <c r="V30" s="6" t="s">
        <v>474</v>
      </c>
      <c r="W30" s="6" t="s">
        <v>475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="14" customFormat="true" ht="12.95" hidden="false" customHeight="true" outlineLevel="1" collapsed="false">
      <c r="A31" s="2" t="n">
        <v>1.1</v>
      </c>
      <c r="B31" s="6" t="s">
        <v>690</v>
      </c>
      <c r="C31" s="6" t="s">
        <v>731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="14" customFormat="true" ht="12.95" hidden="false" customHeight="true" outlineLevel="3" collapsed="false">
      <c r="A32" s="2" t="n">
        <v>1.1001</v>
      </c>
      <c r="B32" s="6" t="s">
        <v>690</v>
      </c>
      <c r="C32" s="6" t="s">
        <v>732</v>
      </c>
      <c r="D32" s="6" t="s">
        <v>316</v>
      </c>
      <c r="E32" s="6" t="s">
        <v>378</v>
      </c>
      <c r="F32" s="6" t="s">
        <v>692</v>
      </c>
      <c r="G32" s="6" t="s">
        <v>693</v>
      </c>
      <c r="H32" s="6" t="s">
        <v>733</v>
      </c>
      <c r="I32" s="6" t="s">
        <v>235</v>
      </c>
      <c r="J32" s="6" t="s">
        <v>695</v>
      </c>
      <c r="K32" s="6" t="s">
        <v>39</v>
      </c>
      <c r="L32" s="6" t="s">
        <v>536</v>
      </c>
      <c r="M32" s="6"/>
      <c r="N32" s="6"/>
      <c r="O32" s="6"/>
      <c r="P32" s="6"/>
      <c r="Q32" s="6"/>
      <c r="R32" s="6"/>
      <c r="S32" s="6" t="s">
        <v>471</v>
      </c>
      <c r="T32" s="6" t="s">
        <v>472</v>
      </c>
      <c r="U32" s="6" t="s">
        <v>473</v>
      </c>
      <c r="V32" s="6" t="s">
        <v>474</v>
      </c>
      <c r="W32" s="6" t="s">
        <v>475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="14" customFormat="true" ht="12.95" hidden="false" customHeight="true" outlineLevel="3" collapsed="false">
      <c r="A33" s="2" t="n">
        <v>1.1002</v>
      </c>
      <c r="B33" s="6" t="s">
        <v>690</v>
      </c>
      <c r="C33" s="6" t="s">
        <v>734</v>
      </c>
      <c r="D33" s="6" t="s">
        <v>316</v>
      </c>
      <c r="E33" s="6" t="s">
        <v>378</v>
      </c>
      <c r="F33" s="6" t="s">
        <v>697</v>
      </c>
      <c r="G33" s="6" t="s">
        <v>693</v>
      </c>
      <c r="H33" s="6" t="s">
        <v>735</v>
      </c>
      <c r="I33" s="6" t="s">
        <v>235</v>
      </c>
      <c r="J33" s="6" t="s">
        <v>695</v>
      </c>
      <c r="K33" s="6" t="s">
        <v>39</v>
      </c>
      <c r="L33" s="6" t="s">
        <v>541</v>
      </c>
      <c r="M33" s="6" t="s">
        <v>542</v>
      </c>
      <c r="N33" s="6" t="s">
        <v>543</v>
      </c>
      <c r="O33" s="6" t="s">
        <v>544</v>
      </c>
      <c r="P33" s="6" t="s">
        <v>545</v>
      </c>
      <c r="Q33" s="6" t="s">
        <v>736</v>
      </c>
      <c r="R33" s="6" t="s">
        <v>737</v>
      </c>
      <c r="S33" s="6" t="s">
        <v>471</v>
      </c>
      <c r="T33" s="6" t="s">
        <v>472</v>
      </c>
      <c r="U33" s="6" t="s">
        <v>473</v>
      </c>
      <c r="V33" s="6" t="s">
        <v>474</v>
      </c>
      <c r="W33" s="6" t="s">
        <v>475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="14" customFormat="true" ht="12.95" hidden="false" customHeight="true" outlineLevel="2" collapsed="false">
      <c r="A34" s="2" t="n">
        <v>1.11</v>
      </c>
      <c r="B34" s="6" t="s">
        <v>704</v>
      </c>
      <c r="C34" s="6" t="s">
        <v>731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="14" customFormat="true" ht="12.95" hidden="false" customHeight="true" outlineLevel="3" collapsed="false">
      <c r="A35" s="2" t="n">
        <v>1.1101</v>
      </c>
      <c r="B35" s="6" t="s">
        <v>704</v>
      </c>
      <c r="C35" s="6" t="s">
        <v>732</v>
      </c>
      <c r="D35" s="6" t="s">
        <v>316</v>
      </c>
      <c r="E35" s="6" t="s">
        <v>378</v>
      </c>
      <c r="F35" s="6" t="s">
        <v>692</v>
      </c>
      <c r="G35" s="6" t="s">
        <v>705</v>
      </c>
      <c r="H35" s="6" t="s">
        <v>733</v>
      </c>
      <c r="I35" s="6" t="s">
        <v>235</v>
      </c>
      <c r="J35" s="6" t="s">
        <v>706</v>
      </c>
      <c r="K35" s="6" t="s">
        <v>39</v>
      </c>
      <c r="L35" s="6" t="s">
        <v>536</v>
      </c>
      <c r="M35" s="6"/>
      <c r="N35" s="6"/>
      <c r="O35" s="6"/>
      <c r="P35" s="6"/>
      <c r="Q35" s="6"/>
      <c r="R35" s="6"/>
      <c r="S35" s="6" t="s">
        <v>471</v>
      </c>
      <c r="T35" s="6" t="s">
        <v>472</v>
      </c>
      <c r="U35" s="6" t="s">
        <v>473</v>
      </c>
      <c r="V35" s="6" t="s">
        <v>474</v>
      </c>
      <c r="W35" s="6" t="s">
        <v>475</v>
      </c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="14" customFormat="true" ht="12.95" hidden="false" customHeight="true" outlineLevel="3" collapsed="false">
      <c r="A36" s="2" t="n">
        <v>1.1102</v>
      </c>
      <c r="B36" s="6" t="s">
        <v>704</v>
      </c>
      <c r="C36" s="6" t="s">
        <v>734</v>
      </c>
      <c r="D36" s="6" t="s">
        <v>316</v>
      </c>
      <c r="E36" s="6" t="s">
        <v>378</v>
      </c>
      <c r="F36" s="6" t="s">
        <v>697</v>
      </c>
      <c r="G36" s="6" t="s">
        <v>705</v>
      </c>
      <c r="H36" s="6" t="s">
        <v>735</v>
      </c>
      <c r="I36" s="6" t="s">
        <v>235</v>
      </c>
      <c r="J36" s="6" t="s">
        <v>706</v>
      </c>
      <c r="K36" s="6" t="s">
        <v>39</v>
      </c>
      <c r="L36" s="6" t="s">
        <v>541</v>
      </c>
      <c r="M36" s="6" t="s">
        <v>542</v>
      </c>
      <c r="N36" s="6" t="s">
        <v>543</v>
      </c>
      <c r="O36" s="6" t="s">
        <v>544</v>
      </c>
      <c r="P36" s="6" t="s">
        <v>545</v>
      </c>
      <c r="Q36" s="6" t="s">
        <v>736</v>
      </c>
      <c r="R36" s="6" t="s">
        <v>737</v>
      </c>
      <c r="S36" s="6" t="s">
        <v>471</v>
      </c>
      <c r="T36" s="6" t="s">
        <v>472</v>
      </c>
      <c r="U36" s="6" t="s">
        <v>473</v>
      </c>
      <c r="V36" s="6" t="s">
        <v>474</v>
      </c>
      <c r="W36" s="6" t="s">
        <v>475</v>
      </c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="14" customFormat="true" ht="12.95" hidden="false" customHeight="true" outlineLevel="2" collapsed="false">
      <c r="A37" s="2" t="n">
        <v>1.12</v>
      </c>
      <c r="B37" s="6" t="s">
        <v>708</v>
      </c>
      <c r="C37" s="6" t="s">
        <v>731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="14" customFormat="true" ht="12.95" hidden="false" customHeight="true" outlineLevel="3" collapsed="false">
      <c r="A38" s="2" t="n">
        <v>1.1201</v>
      </c>
      <c r="B38" s="6" t="s">
        <v>708</v>
      </c>
      <c r="C38" s="6" t="s">
        <v>732</v>
      </c>
      <c r="D38" s="6" t="s">
        <v>316</v>
      </c>
      <c r="E38" s="6" t="s">
        <v>378</v>
      </c>
      <c r="F38" s="6" t="s">
        <v>692</v>
      </c>
      <c r="G38" s="6" t="s">
        <v>709</v>
      </c>
      <c r="H38" s="6" t="s">
        <v>733</v>
      </c>
      <c r="I38" s="6" t="s">
        <v>235</v>
      </c>
      <c r="J38" s="6" t="s">
        <v>710</v>
      </c>
      <c r="K38" s="6" t="s">
        <v>39</v>
      </c>
      <c r="L38" s="6" t="s">
        <v>536</v>
      </c>
      <c r="M38" s="6"/>
      <c r="N38" s="6"/>
      <c r="O38" s="6"/>
      <c r="P38" s="6"/>
      <c r="Q38" s="6"/>
      <c r="R38" s="6"/>
      <c r="S38" s="6" t="s">
        <v>471</v>
      </c>
      <c r="T38" s="6" t="s">
        <v>472</v>
      </c>
      <c r="U38" s="6" t="s">
        <v>473</v>
      </c>
      <c r="V38" s="6" t="s">
        <v>474</v>
      </c>
      <c r="W38" s="6" t="s">
        <v>475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="14" customFormat="true" ht="12.95" hidden="false" customHeight="true" outlineLevel="3" collapsed="false">
      <c r="A39" s="2" t="n">
        <v>1.1202</v>
      </c>
      <c r="B39" s="6" t="s">
        <v>708</v>
      </c>
      <c r="C39" s="6" t="s">
        <v>734</v>
      </c>
      <c r="D39" s="6" t="s">
        <v>316</v>
      </c>
      <c r="E39" s="6" t="s">
        <v>378</v>
      </c>
      <c r="F39" s="6" t="s">
        <v>697</v>
      </c>
      <c r="G39" s="6" t="s">
        <v>709</v>
      </c>
      <c r="H39" s="6" t="s">
        <v>735</v>
      </c>
      <c r="I39" s="6" t="s">
        <v>235</v>
      </c>
      <c r="J39" s="6" t="s">
        <v>710</v>
      </c>
      <c r="K39" s="6" t="s">
        <v>39</v>
      </c>
      <c r="L39" s="6" t="s">
        <v>541</v>
      </c>
      <c r="M39" s="6" t="s">
        <v>542</v>
      </c>
      <c r="N39" s="6" t="s">
        <v>543</v>
      </c>
      <c r="O39" s="6" t="s">
        <v>544</v>
      </c>
      <c r="P39" s="6" t="s">
        <v>545</v>
      </c>
      <c r="Q39" s="6" t="s">
        <v>736</v>
      </c>
      <c r="R39" s="6" t="s">
        <v>737</v>
      </c>
      <c r="S39" s="6" t="s">
        <v>471</v>
      </c>
      <c r="T39" s="6" t="s">
        <v>472</v>
      </c>
      <c r="U39" s="6" t="s">
        <v>473</v>
      </c>
      <c r="V39" s="6" t="s">
        <v>474</v>
      </c>
      <c r="W39" s="6" t="s">
        <v>475</v>
      </c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="14" customFormat="true" ht="12.95" hidden="false" customHeight="true" outlineLevel="0" collapsed="false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5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="14" customFormat="true" ht="12.95" hidden="false" customHeight="true" outlineLevel="0" collapsed="false">
      <c r="A41" s="2" t="n">
        <v>2</v>
      </c>
      <c r="B41" s="6" t="s">
        <v>689</v>
      </c>
      <c r="C41" s="6" t="s">
        <v>550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">
        <v>738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="14" customFormat="true" ht="12.95" hidden="false" customHeight="true" outlineLevel="1" collapsed="false">
      <c r="A42" s="2" t="n">
        <v>2.1</v>
      </c>
      <c r="B42" s="6" t="s">
        <v>690</v>
      </c>
      <c r="C42" s="6" t="s">
        <v>312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 t="s">
        <v>738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="14" customFormat="true" ht="12.95" hidden="false" customHeight="true" outlineLevel="3" collapsed="false">
      <c r="A43" s="2" t="n">
        <v>2.101</v>
      </c>
      <c r="B43" s="6" t="s">
        <v>690</v>
      </c>
      <c r="C43" s="6" t="s">
        <v>739</v>
      </c>
      <c r="D43" s="6" t="s">
        <v>316</v>
      </c>
      <c r="E43" s="6" t="s">
        <v>378</v>
      </c>
      <c r="F43" s="6" t="s">
        <v>692</v>
      </c>
      <c r="G43" s="6" t="s">
        <v>693</v>
      </c>
      <c r="H43" s="6" t="s">
        <v>740</v>
      </c>
      <c r="I43" s="6" t="s">
        <v>235</v>
      </c>
      <c r="J43" s="6" t="s">
        <v>695</v>
      </c>
      <c r="K43" s="6" t="s">
        <v>39</v>
      </c>
      <c r="L43" s="6" t="s">
        <v>318</v>
      </c>
      <c r="M43" s="6"/>
      <c r="N43" s="6"/>
      <c r="O43" s="6"/>
      <c r="P43" s="6"/>
      <c r="Q43" s="6"/>
      <c r="R43" s="6"/>
      <c r="S43" s="6" t="s">
        <v>471</v>
      </c>
      <c r="T43" s="6" t="s">
        <v>472</v>
      </c>
      <c r="U43" s="6" t="s">
        <v>473</v>
      </c>
      <c r="V43" s="6" t="s">
        <v>474</v>
      </c>
      <c r="W43" s="6" t="s">
        <v>475</v>
      </c>
      <c r="X43" s="6" t="s">
        <v>741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="14" customFormat="true" ht="12.95" hidden="false" customHeight="true" outlineLevel="3" collapsed="false">
      <c r="A44" s="2" t="n">
        <v>2.102</v>
      </c>
      <c r="B44" s="6" t="s">
        <v>690</v>
      </c>
      <c r="C44" s="6" t="s">
        <v>742</v>
      </c>
      <c r="D44" s="6" t="s">
        <v>316</v>
      </c>
      <c r="E44" s="6" t="s">
        <v>378</v>
      </c>
      <c r="F44" s="6" t="s">
        <v>697</v>
      </c>
      <c r="G44" s="6" t="s">
        <v>693</v>
      </c>
      <c r="H44" s="6" t="s">
        <v>743</v>
      </c>
      <c r="I44" s="6" t="s">
        <v>235</v>
      </c>
      <c r="J44" s="6" t="s">
        <v>695</v>
      </c>
      <c r="K44" s="6" t="s">
        <v>39</v>
      </c>
      <c r="L44" s="6" t="s">
        <v>347</v>
      </c>
      <c r="M44" s="6" t="s">
        <v>348</v>
      </c>
      <c r="N44" s="6" t="s">
        <v>349</v>
      </c>
      <c r="O44" s="6" t="s">
        <v>350</v>
      </c>
      <c r="P44" s="6" t="s">
        <v>351</v>
      </c>
      <c r="Q44" s="6"/>
      <c r="R44" s="6"/>
      <c r="S44" s="6" t="s">
        <v>471</v>
      </c>
      <c r="T44" s="6" t="s">
        <v>472</v>
      </c>
      <c r="U44" s="6" t="s">
        <v>473</v>
      </c>
      <c r="V44" s="6" t="s">
        <v>474</v>
      </c>
      <c r="W44" s="6" t="s">
        <v>475</v>
      </c>
      <c r="X44" s="6" t="s">
        <v>741</v>
      </c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="14" customFormat="true" ht="12.95" hidden="false" customHeight="true" outlineLevel="2" collapsed="false">
      <c r="A45" s="2" t="n">
        <v>2.2</v>
      </c>
      <c r="B45" s="6" t="s">
        <v>704</v>
      </c>
      <c r="C45" s="6" t="s">
        <v>312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738</v>
      </c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="14" customFormat="true" ht="12.95" hidden="false" customHeight="true" outlineLevel="3" collapsed="false">
      <c r="A46" s="2" t="n">
        <v>2.201</v>
      </c>
      <c r="B46" s="6" t="s">
        <v>704</v>
      </c>
      <c r="C46" s="6" t="s">
        <v>739</v>
      </c>
      <c r="D46" s="6" t="s">
        <v>316</v>
      </c>
      <c r="E46" s="6" t="s">
        <v>378</v>
      </c>
      <c r="F46" s="6" t="s">
        <v>692</v>
      </c>
      <c r="G46" s="6" t="s">
        <v>705</v>
      </c>
      <c r="H46" s="6" t="s">
        <v>740</v>
      </c>
      <c r="I46" s="6" t="s">
        <v>235</v>
      </c>
      <c r="J46" s="6" t="s">
        <v>706</v>
      </c>
      <c r="K46" s="6" t="s">
        <v>39</v>
      </c>
      <c r="L46" s="6" t="s">
        <v>318</v>
      </c>
      <c r="M46" s="6"/>
      <c r="N46" s="6"/>
      <c r="O46" s="6"/>
      <c r="P46" s="6"/>
      <c r="Q46" s="6"/>
      <c r="R46" s="6"/>
      <c r="S46" s="6" t="s">
        <v>471</v>
      </c>
      <c r="T46" s="6" t="s">
        <v>472</v>
      </c>
      <c r="U46" s="6" t="s">
        <v>473</v>
      </c>
      <c r="V46" s="6" t="s">
        <v>474</v>
      </c>
      <c r="W46" s="6" t="s">
        <v>475</v>
      </c>
      <c r="X46" s="6" t="s">
        <v>741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="14" customFormat="true" ht="12.95" hidden="false" customHeight="true" outlineLevel="3" collapsed="false">
      <c r="A47" s="2" t="n">
        <v>2.202</v>
      </c>
      <c r="B47" s="6" t="s">
        <v>704</v>
      </c>
      <c r="C47" s="6" t="s">
        <v>742</v>
      </c>
      <c r="D47" s="6" t="s">
        <v>316</v>
      </c>
      <c r="E47" s="6" t="s">
        <v>378</v>
      </c>
      <c r="F47" s="6" t="s">
        <v>697</v>
      </c>
      <c r="G47" s="6" t="s">
        <v>705</v>
      </c>
      <c r="H47" s="6" t="s">
        <v>743</v>
      </c>
      <c r="I47" s="6" t="s">
        <v>235</v>
      </c>
      <c r="J47" s="6" t="s">
        <v>706</v>
      </c>
      <c r="K47" s="6" t="s">
        <v>39</v>
      </c>
      <c r="L47" s="6" t="s">
        <v>347</v>
      </c>
      <c r="M47" s="6" t="s">
        <v>348</v>
      </c>
      <c r="N47" s="6" t="s">
        <v>349</v>
      </c>
      <c r="O47" s="6" t="s">
        <v>350</v>
      </c>
      <c r="P47" s="6" t="s">
        <v>351</v>
      </c>
      <c r="Q47" s="6"/>
      <c r="R47" s="6"/>
      <c r="S47" s="6" t="s">
        <v>471</v>
      </c>
      <c r="T47" s="6" t="s">
        <v>472</v>
      </c>
      <c r="U47" s="6" t="s">
        <v>473</v>
      </c>
      <c r="V47" s="6" t="s">
        <v>474</v>
      </c>
      <c r="W47" s="6" t="s">
        <v>475</v>
      </c>
      <c r="X47" s="6" t="s">
        <v>741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="14" customFormat="true" ht="12.95" hidden="false" customHeight="true" outlineLevel="2" collapsed="false">
      <c r="A48" s="2" t="n">
        <v>2.3</v>
      </c>
      <c r="B48" s="6" t="s">
        <v>708</v>
      </c>
      <c r="C48" s="6" t="s">
        <v>312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">
        <v>738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="14" customFormat="true" ht="12.95" hidden="false" customHeight="true" outlineLevel="3" collapsed="false">
      <c r="A49" s="2" t="n">
        <v>2.301</v>
      </c>
      <c r="B49" s="6" t="s">
        <v>708</v>
      </c>
      <c r="C49" s="6" t="s">
        <v>739</v>
      </c>
      <c r="D49" s="6" t="s">
        <v>316</v>
      </c>
      <c r="E49" s="6" t="s">
        <v>378</v>
      </c>
      <c r="F49" s="6" t="s">
        <v>692</v>
      </c>
      <c r="G49" s="6" t="s">
        <v>709</v>
      </c>
      <c r="H49" s="6" t="s">
        <v>740</v>
      </c>
      <c r="I49" s="6" t="s">
        <v>235</v>
      </c>
      <c r="J49" s="6" t="s">
        <v>710</v>
      </c>
      <c r="K49" s="6" t="s">
        <v>39</v>
      </c>
      <c r="L49" s="6" t="s">
        <v>318</v>
      </c>
      <c r="M49" s="6"/>
      <c r="N49" s="6"/>
      <c r="O49" s="6"/>
      <c r="P49" s="6"/>
      <c r="Q49" s="6"/>
      <c r="R49" s="6"/>
      <c r="S49" s="6" t="s">
        <v>471</v>
      </c>
      <c r="T49" s="6" t="s">
        <v>472</v>
      </c>
      <c r="U49" s="6" t="s">
        <v>473</v>
      </c>
      <c r="V49" s="6" t="s">
        <v>474</v>
      </c>
      <c r="W49" s="6" t="s">
        <v>475</v>
      </c>
      <c r="X49" s="6" t="s">
        <v>741</v>
      </c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="14" customFormat="true" ht="12.95" hidden="false" customHeight="true" outlineLevel="3" collapsed="false">
      <c r="A50" s="2" t="n">
        <v>2.302</v>
      </c>
      <c r="B50" s="6" t="s">
        <v>708</v>
      </c>
      <c r="C50" s="6" t="s">
        <v>742</v>
      </c>
      <c r="D50" s="6" t="s">
        <v>316</v>
      </c>
      <c r="E50" s="6" t="s">
        <v>378</v>
      </c>
      <c r="F50" s="6" t="s">
        <v>697</v>
      </c>
      <c r="G50" s="6" t="s">
        <v>709</v>
      </c>
      <c r="H50" s="6" t="s">
        <v>743</v>
      </c>
      <c r="I50" s="6" t="s">
        <v>235</v>
      </c>
      <c r="J50" s="6" t="s">
        <v>710</v>
      </c>
      <c r="K50" s="6" t="s">
        <v>39</v>
      </c>
      <c r="L50" s="6" t="s">
        <v>347</v>
      </c>
      <c r="M50" s="6" t="s">
        <v>348</v>
      </c>
      <c r="N50" s="6" t="s">
        <v>349</v>
      </c>
      <c r="O50" s="6" t="s">
        <v>350</v>
      </c>
      <c r="P50" s="6" t="s">
        <v>351</v>
      </c>
      <c r="Q50" s="6"/>
      <c r="R50" s="6"/>
      <c r="S50" s="6" t="s">
        <v>471</v>
      </c>
      <c r="T50" s="6" t="s">
        <v>472</v>
      </c>
      <c r="U50" s="6" t="s">
        <v>473</v>
      </c>
      <c r="V50" s="6" t="s">
        <v>474</v>
      </c>
      <c r="W50" s="6" t="s">
        <v>475</v>
      </c>
      <c r="X50" s="6" t="s">
        <v>741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="14" customFormat="true" ht="12.95" hidden="false" customHeight="true" outlineLevel="1" collapsed="false">
      <c r="A51" s="2" t="n">
        <v>2.4</v>
      </c>
      <c r="B51" s="6" t="s">
        <v>690</v>
      </c>
      <c r="C51" s="6" t="s">
        <v>744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">
        <v>738</v>
      </c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="14" customFormat="true" ht="12.95" hidden="false" customHeight="true" outlineLevel="3" collapsed="false">
      <c r="A52" s="2" t="n">
        <v>2.401</v>
      </c>
      <c r="B52" s="6" t="s">
        <v>690</v>
      </c>
      <c r="C52" s="6" t="s">
        <v>745</v>
      </c>
      <c r="D52" s="6" t="s">
        <v>316</v>
      </c>
      <c r="E52" s="6" t="s">
        <v>378</v>
      </c>
      <c r="F52" s="6" t="s">
        <v>692</v>
      </c>
      <c r="G52" s="6" t="s">
        <v>693</v>
      </c>
      <c r="H52" s="6" t="s">
        <v>746</v>
      </c>
      <c r="I52" s="6" t="s">
        <v>235</v>
      </c>
      <c r="J52" s="6" t="s">
        <v>695</v>
      </c>
      <c r="K52" s="6" t="s">
        <v>39</v>
      </c>
      <c r="L52" s="6" t="s">
        <v>573</v>
      </c>
      <c r="M52" s="6"/>
      <c r="N52" s="6"/>
      <c r="O52" s="6"/>
      <c r="P52" s="6"/>
      <c r="Q52" s="6"/>
      <c r="R52" s="6"/>
      <c r="S52" s="6" t="s">
        <v>471</v>
      </c>
      <c r="T52" s="6" t="s">
        <v>472</v>
      </c>
      <c r="U52" s="6" t="s">
        <v>473</v>
      </c>
      <c r="V52" s="6" t="s">
        <v>474</v>
      </c>
      <c r="W52" s="6" t="s">
        <v>475</v>
      </c>
      <c r="X52" s="6" t="s">
        <v>741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s="14" customFormat="true" ht="12.95" hidden="false" customHeight="true" outlineLevel="3" collapsed="false">
      <c r="A53" s="2" t="n">
        <v>2.402</v>
      </c>
      <c r="B53" s="6" t="s">
        <v>690</v>
      </c>
      <c r="C53" s="6" t="s">
        <v>747</v>
      </c>
      <c r="D53" s="6" t="s">
        <v>316</v>
      </c>
      <c r="E53" s="6" t="s">
        <v>378</v>
      </c>
      <c r="F53" s="6" t="s">
        <v>697</v>
      </c>
      <c r="G53" s="6" t="s">
        <v>693</v>
      </c>
      <c r="H53" s="6" t="s">
        <v>748</v>
      </c>
      <c r="I53" s="6" t="s">
        <v>235</v>
      </c>
      <c r="J53" s="6" t="s">
        <v>695</v>
      </c>
      <c r="K53" s="6" t="s">
        <v>39</v>
      </c>
      <c r="L53" s="6" t="s">
        <v>749</v>
      </c>
      <c r="M53" s="6" t="s">
        <v>750</v>
      </c>
      <c r="N53" s="6" t="s">
        <v>751</v>
      </c>
      <c r="O53" s="6" t="s">
        <v>752</v>
      </c>
      <c r="P53" s="6" t="s">
        <v>753</v>
      </c>
      <c r="Q53" s="6"/>
      <c r="R53" s="6"/>
      <c r="S53" s="6" t="s">
        <v>471</v>
      </c>
      <c r="T53" s="6" t="s">
        <v>472</v>
      </c>
      <c r="U53" s="6" t="s">
        <v>473</v>
      </c>
      <c r="V53" s="6" t="s">
        <v>474</v>
      </c>
      <c r="W53" s="6" t="s">
        <v>475</v>
      </c>
      <c r="X53" s="6" t="s">
        <v>741</v>
      </c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="14" customFormat="true" ht="12.95" hidden="false" customHeight="true" outlineLevel="2" collapsed="false">
      <c r="A54" s="2" t="n">
        <v>2.5</v>
      </c>
      <c r="B54" s="6" t="s">
        <v>704</v>
      </c>
      <c r="C54" s="6" t="s">
        <v>744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 t="s">
        <v>738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="14" customFormat="true" ht="12.95" hidden="false" customHeight="true" outlineLevel="3" collapsed="false">
      <c r="A55" s="2" t="n">
        <v>2.501</v>
      </c>
      <c r="B55" s="6" t="s">
        <v>704</v>
      </c>
      <c r="C55" s="6" t="s">
        <v>745</v>
      </c>
      <c r="D55" s="6" t="s">
        <v>316</v>
      </c>
      <c r="E55" s="6" t="s">
        <v>378</v>
      </c>
      <c r="F55" s="6" t="s">
        <v>692</v>
      </c>
      <c r="G55" s="6" t="s">
        <v>705</v>
      </c>
      <c r="H55" s="6" t="s">
        <v>746</v>
      </c>
      <c r="I55" s="6" t="s">
        <v>235</v>
      </c>
      <c r="J55" s="6" t="s">
        <v>706</v>
      </c>
      <c r="K55" s="6" t="s">
        <v>39</v>
      </c>
      <c r="L55" s="6" t="s">
        <v>573</v>
      </c>
      <c r="M55" s="6"/>
      <c r="N55" s="6"/>
      <c r="O55" s="6"/>
      <c r="P55" s="6"/>
      <c r="Q55" s="6"/>
      <c r="R55" s="6"/>
      <c r="S55" s="6" t="s">
        <v>471</v>
      </c>
      <c r="T55" s="6" t="s">
        <v>472</v>
      </c>
      <c r="U55" s="6" t="s">
        <v>473</v>
      </c>
      <c r="V55" s="6" t="s">
        <v>474</v>
      </c>
      <c r="W55" s="6" t="s">
        <v>475</v>
      </c>
      <c r="X55" s="6" t="s">
        <v>741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="14" customFormat="true" ht="12.95" hidden="false" customHeight="true" outlineLevel="3" collapsed="false">
      <c r="A56" s="2" t="n">
        <v>2.502</v>
      </c>
      <c r="B56" s="6" t="s">
        <v>704</v>
      </c>
      <c r="C56" s="6" t="s">
        <v>747</v>
      </c>
      <c r="D56" s="6" t="s">
        <v>316</v>
      </c>
      <c r="E56" s="6" t="s">
        <v>378</v>
      </c>
      <c r="F56" s="6" t="s">
        <v>697</v>
      </c>
      <c r="G56" s="6" t="s">
        <v>705</v>
      </c>
      <c r="H56" s="6" t="s">
        <v>748</v>
      </c>
      <c r="I56" s="6" t="s">
        <v>235</v>
      </c>
      <c r="J56" s="6" t="s">
        <v>706</v>
      </c>
      <c r="K56" s="6" t="s">
        <v>39</v>
      </c>
      <c r="L56" s="6" t="s">
        <v>749</v>
      </c>
      <c r="M56" s="6" t="s">
        <v>750</v>
      </c>
      <c r="N56" s="6" t="s">
        <v>751</v>
      </c>
      <c r="O56" s="6" t="s">
        <v>752</v>
      </c>
      <c r="P56" s="6" t="s">
        <v>753</v>
      </c>
      <c r="Q56" s="6"/>
      <c r="R56" s="6"/>
      <c r="S56" s="6" t="s">
        <v>471</v>
      </c>
      <c r="T56" s="6" t="s">
        <v>472</v>
      </c>
      <c r="U56" s="6" t="s">
        <v>473</v>
      </c>
      <c r="V56" s="6" t="s">
        <v>474</v>
      </c>
      <c r="W56" s="6" t="s">
        <v>475</v>
      </c>
      <c r="X56" s="6" t="s">
        <v>741</v>
      </c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="14" customFormat="true" ht="12.95" hidden="false" customHeight="true" outlineLevel="2" collapsed="false">
      <c r="A57" s="2" t="n">
        <v>2.6</v>
      </c>
      <c r="B57" s="6" t="s">
        <v>708</v>
      </c>
      <c r="C57" s="6" t="s">
        <v>744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738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="14" customFormat="true" ht="12.95" hidden="false" customHeight="true" outlineLevel="3" collapsed="false">
      <c r="A58" s="2" t="n">
        <v>2.601</v>
      </c>
      <c r="B58" s="6" t="s">
        <v>708</v>
      </c>
      <c r="C58" s="6" t="s">
        <v>745</v>
      </c>
      <c r="D58" s="6" t="s">
        <v>316</v>
      </c>
      <c r="E58" s="6" t="s">
        <v>378</v>
      </c>
      <c r="F58" s="6" t="s">
        <v>692</v>
      </c>
      <c r="G58" s="6" t="s">
        <v>709</v>
      </c>
      <c r="H58" s="6" t="s">
        <v>746</v>
      </c>
      <c r="I58" s="6" t="s">
        <v>235</v>
      </c>
      <c r="J58" s="6" t="s">
        <v>710</v>
      </c>
      <c r="K58" s="6" t="s">
        <v>39</v>
      </c>
      <c r="L58" s="6" t="s">
        <v>573</v>
      </c>
      <c r="M58" s="6"/>
      <c r="N58" s="6"/>
      <c r="O58" s="6"/>
      <c r="P58" s="6"/>
      <c r="Q58" s="6"/>
      <c r="R58" s="6"/>
      <c r="S58" s="6" t="s">
        <v>471</v>
      </c>
      <c r="T58" s="6" t="s">
        <v>472</v>
      </c>
      <c r="U58" s="6" t="s">
        <v>473</v>
      </c>
      <c r="V58" s="6" t="s">
        <v>474</v>
      </c>
      <c r="W58" s="6" t="s">
        <v>475</v>
      </c>
      <c r="X58" s="6" t="s">
        <v>741</v>
      </c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="14" customFormat="true" ht="12.95" hidden="false" customHeight="true" outlineLevel="3" collapsed="false">
      <c r="A59" s="2" t="n">
        <v>2.602</v>
      </c>
      <c r="B59" s="6" t="s">
        <v>708</v>
      </c>
      <c r="C59" s="6" t="s">
        <v>747</v>
      </c>
      <c r="D59" s="6" t="s">
        <v>316</v>
      </c>
      <c r="E59" s="6" t="s">
        <v>378</v>
      </c>
      <c r="F59" s="6" t="s">
        <v>697</v>
      </c>
      <c r="G59" s="6" t="s">
        <v>709</v>
      </c>
      <c r="H59" s="6" t="s">
        <v>748</v>
      </c>
      <c r="I59" s="6" t="s">
        <v>235</v>
      </c>
      <c r="J59" s="6" t="s">
        <v>710</v>
      </c>
      <c r="K59" s="6" t="s">
        <v>39</v>
      </c>
      <c r="L59" s="6" t="s">
        <v>749</v>
      </c>
      <c r="M59" s="6" t="s">
        <v>750</v>
      </c>
      <c r="N59" s="6" t="s">
        <v>751</v>
      </c>
      <c r="O59" s="6" t="s">
        <v>752</v>
      </c>
      <c r="P59" s="6" t="s">
        <v>753</v>
      </c>
      <c r="Q59" s="6"/>
      <c r="R59" s="6"/>
      <c r="S59" s="6" t="s">
        <v>471</v>
      </c>
      <c r="T59" s="6" t="s">
        <v>472</v>
      </c>
      <c r="U59" s="6" t="s">
        <v>473</v>
      </c>
      <c r="V59" s="6" t="s">
        <v>474</v>
      </c>
      <c r="W59" s="6" t="s">
        <v>475</v>
      </c>
      <c r="X59" s="6" t="s">
        <v>741</v>
      </c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="14" customFormat="true" ht="12.95" hidden="false" customHeight="true" outlineLevel="1" collapsed="false">
      <c r="A60" s="2" t="n">
        <v>2.7</v>
      </c>
      <c r="B60" s="6" t="s">
        <v>690</v>
      </c>
      <c r="C60" s="6" t="s">
        <v>754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738</v>
      </c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="14" customFormat="true" ht="12.95" hidden="false" customHeight="true" outlineLevel="3" collapsed="false">
      <c r="A61" s="2" t="n">
        <v>2.701</v>
      </c>
      <c r="B61" s="6" t="s">
        <v>690</v>
      </c>
      <c r="C61" s="6" t="s">
        <v>755</v>
      </c>
      <c r="D61" s="6" t="s">
        <v>316</v>
      </c>
      <c r="E61" s="6" t="s">
        <v>378</v>
      </c>
      <c r="F61" s="6" t="s">
        <v>692</v>
      </c>
      <c r="G61" s="6" t="s">
        <v>693</v>
      </c>
      <c r="H61" s="6" t="s">
        <v>756</v>
      </c>
      <c r="I61" s="6" t="s">
        <v>235</v>
      </c>
      <c r="J61" s="6" t="s">
        <v>695</v>
      </c>
      <c r="K61" s="6" t="s">
        <v>39</v>
      </c>
      <c r="L61" s="6" t="s">
        <v>591</v>
      </c>
      <c r="M61" s="6"/>
      <c r="N61" s="6"/>
      <c r="O61" s="6"/>
      <c r="P61" s="6"/>
      <c r="Q61" s="6"/>
      <c r="R61" s="6"/>
      <c r="S61" s="6" t="s">
        <v>471</v>
      </c>
      <c r="T61" s="6" t="s">
        <v>472</v>
      </c>
      <c r="U61" s="6" t="s">
        <v>473</v>
      </c>
      <c r="V61" s="6" t="s">
        <v>474</v>
      </c>
      <c r="W61" s="6" t="s">
        <v>475</v>
      </c>
      <c r="X61" s="6" t="s">
        <v>741</v>
      </c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s="14" customFormat="true" ht="12.95" hidden="false" customHeight="true" outlineLevel="3" collapsed="false">
      <c r="A62" s="2" t="n">
        <v>2.702</v>
      </c>
      <c r="B62" s="6" t="s">
        <v>690</v>
      </c>
      <c r="C62" s="6" t="s">
        <v>757</v>
      </c>
      <c r="D62" s="6" t="s">
        <v>316</v>
      </c>
      <c r="E62" s="6" t="s">
        <v>378</v>
      </c>
      <c r="F62" s="6" t="s">
        <v>697</v>
      </c>
      <c r="G62" s="6" t="s">
        <v>693</v>
      </c>
      <c r="H62" s="6" t="s">
        <v>758</v>
      </c>
      <c r="I62" s="6" t="s">
        <v>235</v>
      </c>
      <c r="J62" s="6" t="s">
        <v>695</v>
      </c>
      <c r="K62" s="6" t="s">
        <v>39</v>
      </c>
      <c r="L62" s="6" t="s">
        <v>749</v>
      </c>
      <c r="M62" s="6" t="s">
        <v>750</v>
      </c>
      <c r="N62" s="6" t="s">
        <v>751</v>
      </c>
      <c r="O62" s="6" t="s">
        <v>752</v>
      </c>
      <c r="P62" s="6" t="s">
        <v>753</v>
      </c>
      <c r="Q62" s="6"/>
      <c r="R62" s="6"/>
      <c r="S62" s="6" t="s">
        <v>471</v>
      </c>
      <c r="T62" s="6" t="s">
        <v>472</v>
      </c>
      <c r="U62" s="6" t="s">
        <v>473</v>
      </c>
      <c r="V62" s="6" t="s">
        <v>474</v>
      </c>
      <c r="W62" s="6" t="s">
        <v>475</v>
      </c>
      <c r="X62" s="6" t="s">
        <v>741</v>
      </c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="14" customFormat="true" ht="12.95" hidden="false" customHeight="true" outlineLevel="2" collapsed="false">
      <c r="A63" s="2" t="n">
        <v>2.8</v>
      </c>
      <c r="B63" s="6" t="s">
        <v>704</v>
      </c>
      <c r="C63" s="6" t="s">
        <v>754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">
        <v>738</v>
      </c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="14" customFormat="true" ht="12.95" hidden="false" customHeight="true" outlineLevel="3" collapsed="false">
      <c r="A64" s="2" t="n">
        <v>2.801</v>
      </c>
      <c r="B64" s="6" t="s">
        <v>704</v>
      </c>
      <c r="C64" s="6" t="s">
        <v>755</v>
      </c>
      <c r="D64" s="6" t="s">
        <v>316</v>
      </c>
      <c r="E64" s="6" t="s">
        <v>378</v>
      </c>
      <c r="F64" s="6" t="s">
        <v>692</v>
      </c>
      <c r="G64" s="6" t="s">
        <v>705</v>
      </c>
      <c r="H64" s="6" t="s">
        <v>756</v>
      </c>
      <c r="I64" s="6" t="s">
        <v>235</v>
      </c>
      <c r="J64" s="6" t="s">
        <v>706</v>
      </c>
      <c r="K64" s="6" t="s">
        <v>39</v>
      </c>
      <c r="L64" s="6" t="s">
        <v>591</v>
      </c>
      <c r="M64" s="6"/>
      <c r="N64" s="6"/>
      <c r="O64" s="6"/>
      <c r="P64" s="6"/>
      <c r="Q64" s="6"/>
      <c r="R64" s="6"/>
      <c r="S64" s="6" t="s">
        <v>471</v>
      </c>
      <c r="T64" s="6" t="s">
        <v>472</v>
      </c>
      <c r="U64" s="6" t="s">
        <v>473</v>
      </c>
      <c r="V64" s="6" t="s">
        <v>474</v>
      </c>
      <c r="W64" s="6" t="s">
        <v>475</v>
      </c>
      <c r="X64" s="6" t="s">
        <v>741</v>
      </c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s="14" customFormat="true" ht="12.95" hidden="false" customHeight="true" outlineLevel="3" collapsed="false">
      <c r="A65" s="2" t="n">
        <v>2.802</v>
      </c>
      <c r="B65" s="6" t="s">
        <v>704</v>
      </c>
      <c r="C65" s="6" t="s">
        <v>757</v>
      </c>
      <c r="D65" s="6" t="s">
        <v>316</v>
      </c>
      <c r="E65" s="6" t="s">
        <v>378</v>
      </c>
      <c r="F65" s="6" t="s">
        <v>697</v>
      </c>
      <c r="G65" s="6" t="s">
        <v>705</v>
      </c>
      <c r="H65" s="6" t="s">
        <v>758</v>
      </c>
      <c r="I65" s="6" t="s">
        <v>235</v>
      </c>
      <c r="J65" s="6" t="s">
        <v>706</v>
      </c>
      <c r="K65" s="6" t="s">
        <v>39</v>
      </c>
      <c r="L65" s="6" t="s">
        <v>749</v>
      </c>
      <c r="M65" s="6" t="s">
        <v>750</v>
      </c>
      <c r="N65" s="6" t="s">
        <v>751</v>
      </c>
      <c r="O65" s="6" t="s">
        <v>752</v>
      </c>
      <c r="P65" s="6" t="s">
        <v>753</v>
      </c>
      <c r="Q65" s="6"/>
      <c r="R65" s="6"/>
      <c r="S65" s="6" t="s">
        <v>471</v>
      </c>
      <c r="T65" s="6" t="s">
        <v>472</v>
      </c>
      <c r="U65" s="6" t="s">
        <v>473</v>
      </c>
      <c r="V65" s="6" t="s">
        <v>474</v>
      </c>
      <c r="W65" s="6" t="s">
        <v>475</v>
      </c>
      <c r="X65" s="6" t="s">
        <v>741</v>
      </c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="14" customFormat="true" ht="12.95" hidden="false" customHeight="true" outlineLevel="2" collapsed="false">
      <c r="A66" s="2" t="n">
        <v>2.9</v>
      </c>
      <c r="B66" s="6" t="s">
        <v>708</v>
      </c>
      <c r="C66" s="6" t="s">
        <v>754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 t="s">
        <v>738</v>
      </c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="14" customFormat="true" ht="12.95" hidden="false" customHeight="true" outlineLevel="3" collapsed="false">
      <c r="A67" s="2" t="n">
        <v>2.901</v>
      </c>
      <c r="B67" s="6" t="s">
        <v>708</v>
      </c>
      <c r="C67" s="6" t="s">
        <v>755</v>
      </c>
      <c r="D67" s="6" t="s">
        <v>316</v>
      </c>
      <c r="E67" s="6" t="s">
        <v>378</v>
      </c>
      <c r="F67" s="6" t="s">
        <v>692</v>
      </c>
      <c r="G67" s="6" t="s">
        <v>709</v>
      </c>
      <c r="H67" s="6" t="s">
        <v>756</v>
      </c>
      <c r="I67" s="6" t="s">
        <v>235</v>
      </c>
      <c r="J67" s="6" t="s">
        <v>710</v>
      </c>
      <c r="K67" s="6" t="s">
        <v>39</v>
      </c>
      <c r="L67" s="6" t="s">
        <v>591</v>
      </c>
      <c r="M67" s="6"/>
      <c r="N67" s="6"/>
      <c r="O67" s="6"/>
      <c r="P67" s="6"/>
      <c r="Q67" s="6"/>
      <c r="R67" s="6"/>
      <c r="S67" s="6" t="s">
        <v>471</v>
      </c>
      <c r="T67" s="6" t="s">
        <v>472</v>
      </c>
      <c r="U67" s="6" t="s">
        <v>473</v>
      </c>
      <c r="V67" s="6" t="s">
        <v>474</v>
      </c>
      <c r="W67" s="6" t="s">
        <v>475</v>
      </c>
      <c r="X67" s="6" t="s">
        <v>741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="14" customFormat="true" ht="12.95" hidden="false" customHeight="true" outlineLevel="3" collapsed="false">
      <c r="A68" s="2" t="n">
        <v>2.902</v>
      </c>
      <c r="B68" s="6" t="s">
        <v>708</v>
      </c>
      <c r="C68" s="6" t="s">
        <v>757</v>
      </c>
      <c r="D68" s="6" t="s">
        <v>316</v>
      </c>
      <c r="E68" s="6" t="s">
        <v>378</v>
      </c>
      <c r="F68" s="6" t="s">
        <v>697</v>
      </c>
      <c r="G68" s="6" t="s">
        <v>709</v>
      </c>
      <c r="H68" s="6" t="s">
        <v>758</v>
      </c>
      <c r="I68" s="6" t="s">
        <v>235</v>
      </c>
      <c r="J68" s="6" t="s">
        <v>710</v>
      </c>
      <c r="K68" s="6" t="s">
        <v>39</v>
      </c>
      <c r="L68" s="6" t="s">
        <v>749</v>
      </c>
      <c r="M68" s="6" t="s">
        <v>750</v>
      </c>
      <c r="N68" s="6" t="s">
        <v>751</v>
      </c>
      <c r="O68" s="6" t="s">
        <v>752</v>
      </c>
      <c r="P68" s="6" t="s">
        <v>753</v>
      </c>
      <c r="Q68" s="6"/>
      <c r="R68" s="6"/>
      <c r="S68" s="6" t="s">
        <v>471</v>
      </c>
      <c r="T68" s="6" t="s">
        <v>472</v>
      </c>
      <c r="U68" s="6" t="s">
        <v>473</v>
      </c>
      <c r="V68" s="6" t="s">
        <v>474</v>
      </c>
      <c r="W68" s="6" t="s">
        <v>475</v>
      </c>
      <c r="X68" s="6" t="s">
        <v>741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="14" customFormat="true" ht="12.95" hidden="false" customHeight="true" outlineLevel="1" collapsed="false">
      <c r="A69" s="2" t="n">
        <v>2.1</v>
      </c>
      <c r="B69" s="6" t="s">
        <v>690</v>
      </c>
      <c r="C69" s="6" t="s">
        <v>759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">
        <v>738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="14" customFormat="true" ht="12.95" hidden="false" customHeight="true" outlineLevel="3" collapsed="false">
      <c r="A70" s="2" t="n">
        <v>2.1001</v>
      </c>
      <c r="B70" s="6" t="s">
        <v>690</v>
      </c>
      <c r="C70" s="6" t="s">
        <v>760</v>
      </c>
      <c r="D70" s="6" t="s">
        <v>316</v>
      </c>
      <c r="E70" s="6" t="s">
        <v>378</v>
      </c>
      <c r="F70" s="6" t="s">
        <v>692</v>
      </c>
      <c r="G70" s="6" t="s">
        <v>693</v>
      </c>
      <c r="H70" s="6" t="s">
        <v>761</v>
      </c>
      <c r="I70" s="6" t="s">
        <v>235</v>
      </c>
      <c r="J70" s="6" t="s">
        <v>695</v>
      </c>
      <c r="K70" s="6" t="s">
        <v>39</v>
      </c>
      <c r="L70" s="6" t="s">
        <v>609</v>
      </c>
      <c r="M70" s="6"/>
      <c r="N70" s="6"/>
      <c r="O70" s="6"/>
      <c r="P70" s="6"/>
      <c r="Q70" s="6"/>
      <c r="R70" s="6"/>
      <c r="S70" s="6" t="s">
        <v>471</v>
      </c>
      <c r="T70" s="6" t="s">
        <v>472</v>
      </c>
      <c r="U70" s="6" t="s">
        <v>473</v>
      </c>
      <c r="V70" s="6" t="s">
        <v>474</v>
      </c>
      <c r="W70" s="6" t="s">
        <v>475</v>
      </c>
      <c r="X70" s="6" t="s">
        <v>741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="14" customFormat="true" ht="12.95" hidden="false" customHeight="true" outlineLevel="3" collapsed="false">
      <c r="A71" s="2" t="n">
        <v>2.1002</v>
      </c>
      <c r="B71" s="6" t="s">
        <v>690</v>
      </c>
      <c r="C71" s="6" t="s">
        <v>762</v>
      </c>
      <c r="D71" s="6" t="s">
        <v>316</v>
      </c>
      <c r="E71" s="6" t="s">
        <v>378</v>
      </c>
      <c r="F71" s="6" t="s">
        <v>697</v>
      </c>
      <c r="G71" s="6" t="s">
        <v>693</v>
      </c>
      <c r="H71" s="6" t="s">
        <v>763</v>
      </c>
      <c r="I71" s="6" t="s">
        <v>235</v>
      </c>
      <c r="J71" s="6" t="s">
        <v>695</v>
      </c>
      <c r="K71" s="6" t="s">
        <v>39</v>
      </c>
      <c r="L71" s="6" t="s">
        <v>749</v>
      </c>
      <c r="M71" s="6" t="s">
        <v>750</v>
      </c>
      <c r="N71" s="6" t="s">
        <v>751</v>
      </c>
      <c r="O71" s="6" t="s">
        <v>752</v>
      </c>
      <c r="P71" s="6" t="s">
        <v>753</v>
      </c>
      <c r="Q71" s="6"/>
      <c r="R71" s="6"/>
      <c r="S71" s="6" t="s">
        <v>471</v>
      </c>
      <c r="T71" s="6" t="s">
        <v>472</v>
      </c>
      <c r="U71" s="6" t="s">
        <v>473</v>
      </c>
      <c r="V71" s="6" t="s">
        <v>474</v>
      </c>
      <c r="W71" s="6" t="s">
        <v>475</v>
      </c>
      <c r="X71" s="6" t="s">
        <v>741</v>
      </c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="14" customFormat="true" ht="12.95" hidden="false" customHeight="true" outlineLevel="2" collapsed="false">
      <c r="A72" s="2" t="n">
        <v>2.11</v>
      </c>
      <c r="B72" s="6" t="s">
        <v>704</v>
      </c>
      <c r="C72" s="6" t="s">
        <v>759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 t="s">
        <v>738</v>
      </c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="14" customFormat="true" ht="12.95" hidden="false" customHeight="true" outlineLevel="3" collapsed="false">
      <c r="A73" s="2" t="n">
        <v>2.1101</v>
      </c>
      <c r="B73" s="6" t="s">
        <v>704</v>
      </c>
      <c r="C73" s="6" t="s">
        <v>760</v>
      </c>
      <c r="D73" s="6" t="s">
        <v>316</v>
      </c>
      <c r="E73" s="6" t="s">
        <v>378</v>
      </c>
      <c r="F73" s="6" t="s">
        <v>692</v>
      </c>
      <c r="G73" s="6" t="s">
        <v>705</v>
      </c>
      <c r="H73" s="6" t="s">
        <v>761</v>
      </c>
      <c r="I73" s="6" t="s">
        <v>235</v>
      </c>
      <c r="J73" s="6" t="s">
        <v>706</v>
      </c>
      <c r="K73" s="6" t="s">
        <v>39</v>
      </c>
      <c r="L73" s="6" t="s">
        <v>609</v>
      </c>
      <c r="M73" s="6"/>
      <c r="N73" s="6"/>
      <c r="O73" s="6"/>
      <c r="P73" s="6"/>
      <c r="Q73" s="6"/>
      <c r="R73" s="6"/>
      <c r="S73" s="6" t="s">
        <v>471</v>
      </c>
      <c r="T73" s="6" t="s">
        <v>472</v>
      </c>
      <c r="U73" s="6" t="s">
        <v>473</v>
      </c>
      <c r="V73" s="6" t="s">
        <v>474</v>
      </c>
      <c r="W73" s="6" t="s">
        <v>475</v>
      </c>
      <c r="X73" s="6" t="s">
        <v>741</v>
      </c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="14" customFormat="true" ht="12.95" hidden="false" customHeight="true" outlineLevel="3" collapsed="false">
      <c r="A74" s="2" t="n">
        <v>2.1102</v>
      </c>
      <c r="B74" s="6" t="s">
        <v>704</v>
      </c>
      <c r="C74" s="6" t="s">
        <v>762</v>
      </c>
      <c r="D74" s="6" t="s">
        <v>316</v>
      </c>
      <c r="E74" s="6" t="s">
        <v>378</v>
      </c>
      <c r="F74" s="6" t="s">
        <v>697</v>
      </c>
      <c r="G74" s="6" t="s">
        <v>705</v>
      </c>
      <c r="H74" s="6" t="s">
        <v>763</v>
      </c>
      <c r="I74" s="6" t="s">
        <v>235</v>
      </c>
      <c r="J74" s="6" t="s">
        <v>706</v>
      </c>
      <c r="K74" s="6" t="s">
        <v>39</v>
      </c>
      <c r="L74" s="6" t="s">
        <v>749</v>
      </c>
      <c r="M74" s="6" t="s">
        <v>750</v>
      </c>
      <c r="N74" s="6" t="s">
        <v>751</v>
      </c>
      <c r="O74" s="6" t="s">
        <v>752</v>
      </c>
      <c r="P74" s="6" t="s">
        <v>753</v>
      </c>
      <c r="Q74" s="6"/>
      <c r="R74" s="6"/>
      <c r="S74" s="6" t="s">
        <v>471</v>
      </c>
      <c r="T74" s="6" t="s">
        <v>472</v>
      </c>
      <c r="U74" s="6" t="s">
        <v>473</v>
      </c>
      <c r="V74" s="6" t="s">
        <v>474</v>
      </c>
      <c r="W74" s="6" t="s">
        <v>475</v>
      </c>
      <c r="X74" s="6" t="s">
        <v>741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="14" customFormat="true" ht="12.95" hidden="false" customHeight="true" outlineLevel="2" collapsed="false">
      <c r="A75" s="2" t="n">
        <v>2.12</v>
      </c>
      <c r="B75" s="6" t="s">
        <v>708</v>
      </c>
      <c r="C75" s="6" t="s">
        <v>759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">
        <v>738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="14" customFormat="true" ht="12.95" hidden="false" customHeight="true" outlineLevel="3" collapsed="false">
      <c r="A76" s="2" t="n">
        <v>2.1201</v>
      </c>
      <c r="B76" s="6" t="s">
        <v>708</v>
      </c>
      <c r="C76" s="6" t="s">
        <v>760</v>
      </c>
      <c r="D76" s="6" t="s">
        <v>316</v>
      </c>
      <c r="E76" s="6" t="s">
        <v>378</v>
      </c>
      <c r="F76" s="6" t="s">
        <v>692</v>
      </c>
      <c r="G76" s="6" t="s">
        <v>709</v>
      </c>
      <c r="H76" s="6" t="s">
        <v>761</v>
      </c>
      <c r="I76" s="6" t="s">
        <v>235</v>
      </c>
      <c r="J76" s="6" t="s">
        <v>710</v>
      </c>
      <c r="K76" s="6" t="s">
        <v>39</v>
      </c>
      <c r="L76" s="6" t="s">
        <v>609</v>
      </c>
      <c r="M76" s="6"/>
      <c r="N76" s="6"/>
      <c r="O76" s="6"/>
      <c r="P76" s="6"/>
      <c r="Q76" s="6"/>
      <c r="R76" s="6"/>
      <c r="S76" s="6" t="s">
        <v>471</v>
      </c>
      <c r="T76" s="6" t="s">
        <v>472</v>
      </c>
      <c r="U76" s="6" t="s">
        <v>473</v>
      </c>
      <c r="V76" s="6" t="s">
        <v>474</v>
      </c>
      <c r="W76" s="6" t="s">
        <v>475</v>
      </c>
      <c r="X76" s="6" t="s">
        <v>741</v>
      </c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="14" customFormat="true" ht="12.95" hidden="false" customHeight="true" outlineLevel="3" collapsed="false">
      <c r="A77" s="2" t="n">
        <v>2.1202</v>
      </c>
      <c r="B77" s="6" t="s">
        <v>708</v>
      </c>
      <c r="C77" s="6" t="s">
        <v>762</v>
      </c>
      <c r="D77" s="6" t="s">
        <v>316</v>
      </c>
      <c r="E77" s="6" t="s">
        <v>378</v>
      </c>
      <c r="F77" s="6" t="s">
        <v>697</v>
      </c>
      <c r="G77" s="6" t="s">
        <v>709</v>
      </c>
      <c r="H77" s="6" t="s">
        <v>763</v>
      </c>
      <c r="I77" s="6" t="s">
        <v>235</v>
      </c>
      <c r="J77" s="6" t="s">
        <v>710</v>
      </c>
      <c r="K77" s="6" t="s">
        <v>39</v>
      </c>
      <c r="L77" s="6" t="s">
        <v>749</v>
      </c>
      <c r="M77" s="6" t="s">
        <v>750</v>
      </c>
      <c r="N77" s="6" t="s">
        <v>751</v>
      </c>
      <c r="O77" s="6" t="s">
        <v>752</v>
      </c>
      <c r="P77" s="6" t="s">
        <v>753</v>
      </c>
      <c r="Q77" s="6"/>
      <c r="R77" s="6"/>
      <c r="S77" s="6" t="s">
        <v>471</v>
      </c>
      <c r="T77" s="6" t="s">
        <v>472</v>
      </c>
      <c r="U77" s="6" t="s">
        <v>473</v>
      </c>
      <c r="V77" s="6" t="s">
        <v>474</v>
      </c>
      <c r="W77" s="6" t="s">
        <v>475</v>
      </c>
      <c r="X77" s="6" t="s">
        <v>741</v>
      </c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="14" customFormat="true" ht="12.9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="14" customFormat="true" ht="12.95" hidden="false" customHeight="true" outlineLevel="0" collapsed="false">
      <c r="A79" s="2" t="n">
        <v>3</v>
      </c>
      <c r="B79" s="6" t="s">
        <v>689</v>
      </c>
      <c r="C79" s="6" t="s">
        <v>622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="14" customFormat="true" ht="12.95" hidden="false" customHeight="true" outlineLevel="1" collapsed="false">
      <c r="A80" s="2" t="n">
        <v>3.1</v>
      </c>
      <c r="B80" s="6" t="s">
        <v>690</v>
      </c>
      <c r="C80" s="6" t="s">
        <v>374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="14" customFormat="true" ht="12.95" hidden="false" customHeight="true" outlineLevel="3" collapsed="false">
      <c r="A81" s="2" t="n">
        <v>3.101</v>
      </c>
      <c r="B81" s="6" t="s">
        <v>690</v>
      </c>
      <c r="C81" s="6" t="s">
        <v>376</v>
      </c>
      <c r="D81" s="6" t="s">
        <v>316</v>
      </c>
      <c r="E81" s="6" t="s">
        <v>378</v>
      </c>
      <c r="F81" s="6" t="s">
        <v>692</v>
      </c>
      <c r="G81" s="6" t="s">
        <v>693</v>
      </c>
      <c r="H81" s="6" t="s">
        <v>380</v>
      </c>
      <c r="I81" s="6" t="s">
        <v>235</v>
      </c>
      <c r="J81" s="6" t="s">
        <v>695</v>
      </c>
      <c r="K81" s="6" t="s">
        <v>39</v>
      </c>
      <c r="L81" s="6" t="s">
        <v>381</v>
      </c>
      <c r="M81" s="6"/>
      <c r="N81" s="6"/>
      <c r="O81" s="6"/>
      <c r="P81" s="6"/>
      <c r="Q81" s="6"/>
      <c r="R81" s="6"/>
      <c r="S81" s="6" t="s">
        <v>471</v>
      </c>
      <c r="T81" s="6" t="s">
        <v>472</v>
      </c>
      <c r="U81" s="6" t="s">
        <v>473</v>
      </c>
      <c r="V81" s="6" t="s">
        <v>474</v>
      </c>
      <c r="W81" s="6" t="s">
        <v>475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="14" customFormat="true" ht="12.95" hidden="false" customHeight="true" outlineLevel="3" collapsed="false">
      <c r="A82" s="2" t="n">
        <v>3.102</v>
      </c>
      <c r="B82" s="6" t="s">
        <v>690</v>
      </c>
      <c r="C82" s="6" t="s">
        <v>404</v>
      </c>
      <c r="D82" s="6" t="s">
        <v>316</v>
      </c>
      <c r="E82" s="6" t="s">
        <v>378</v>
      </c>
      <c r="F82" s="6" t="s">
        <v>697</v>
      </c>
      <c r="G82" s="6" t="s">
        <v>693</v>
      </c>
      <c r="H82" s="6" t="s">
        <v>407</v>
      </c>
      <c r="I82" s="6" t="s">
        <v>235</v>
      </c>
      <c r="J82" s="6" t="s">
        <v>695</v>
      </c>
      <c r="K82" s="6" t="s">
        <v>39</v>
      </c>
      <c r="L82" s="6" t="s">
        <v>749</v>
      </c>
      <c r="M82" s="6" t="s">
        <v>750</v>
      </c>
      <c r="N82" s="6" t="s">
        <v>751</v>
      </c>
      <c r="O82" s="6" t="s">
        <v>752</v>
      </c>
      <c r="P82" s="6" t="s">
        <v>753</v>
      </c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="14" customFormat="true" ht="12.95" hidden="false" customHeight="true" outlineLevel="2" collapsed="false">
      <c r="A83" s="2" t="n">
        <v>3.2</v>
      </c>
      <c r="B83" s="6" t="s">
        <v>704</v>
      </c>
      <c r="C83" s="6" t="s">
        <v>374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="14" customFormat="true" ht="12.95" hidden="false" customHeight="true" outlineLevel="3" collapsed="false">
      <c r="A84" s="2" t="n">
        <v>3.201</v>
      </c>
      <c r="B84" s="6" t="s">
        <v>704</v>
      </c>
      <c r="C84" s="6" t="s">
        <v>376</v>
      </c>
      <c r="D84" s="6" t="s">
        <v>316</v>
      </c>
      <c r="E84" s="6" t="s">
        <v>378</v>
      </c>
      <c r="F84" s="6" t="s">
        <v>692</v>
      </c>
      <c r="G84" s="6" t="s">
        <v>705</v>
      </c>
      <c r="H84" s="6" t="s">
        <v>380</v>
      </c>
      <c r="I84" s="6" t="s">
        <v>235</v>
      </c>
      <c r="J84" s="6" t="s">
        <v>706</v>
      </c>
      <c r="K84" s="6" t="s">
        <v>39</v>
      </c>
      <c r="L84" s="6" t="s">
        <v>381</v>
      </c>
      <c r="M84" s="6"/>
      <c r="N84" s="6"/>
      <c r="O84" s="6"/>
      <c r="P84" s="6"/>
      <c r="Q84" s="6"/>
      <c r="R84" s="6"/>
      <c r="S84" s="6" t="s">
        <v>471</v>
      </c>
      <c r="T84" s="6" t="s">
        <v>472</v>
      </c>
      <c r="U84" s="6" t="s">
        <v>473</v>
      </c>
      <c r="V84" s="6" t="s">
        <v>474</v>
      </c>
      <c r="W84" s="6" t="s">
        <v>475</v>
      </c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="14" customFormat="true" ht="12.95" hidden="false" customHeight="true" outlineLevel="3" collapsed="false">
      <c r="A85" s="2" t="n">
        <v>3.202</v>
      </c>
      <c r="B85" s="6" t="s">
        <v>704</v>
      </c>
      <c r="C85" s="6" t="s">
        <v>404</v>
      </c>
      <c r="D85" s="6" t="s">
        <v>316</v>
      </c>
      <c r="E85" s="6" t="s">
        <v>378</v>
      </c>
      <c r="F85" s="6" t="s">
        <v>697</v>
      </c>
      <c r="G85" s="6" t="s">
        <v>705</v>
      </c>
      <c r="H85" s="6" t="s">
        <v>407</v>
      </c>
      <c r="I85" s="6" t="s">
        <v>235</v>
      </c>
      <c r="J85" s="6" t="s">
        <v>706</v>
      </c>
      <c r="K85" s="6" t="s">
        <v>39</v>
      </c>
      <c r="L85" s="6" t="s">
        <v>749</v>
      </c>
      <c r="M85" s="6" t="s">
        <v>750</v>
      </c>
      <c r="N85" s="6" t="s">
        <v>751</v>
      </c>
      <c r="O85" s="6" t="s">
        <v>752</v>
      </c>
      <c r="P85" s="6" t="s">
        <v>753</v>
      </c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="14" customFormat="true" ht="12.95" hidden="false" customHeight="true" outlineLevel="2" collapsed="false">
      <c r="A86" s="2" t="n">
        <v>3.3</v>
      </c>
      <c r="B86" s="6" t="s">
        <v>708</v>
      </c>
      <c r="C86" s="6" t="s">
        <v>374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="14" customFormat="true" ht="12.95" hidden="false" customHeight="true" outlineLevel="3" collapsed="false">
      <c r="A87" s="2" t="n">
        <v>3.301</v>
      </c>
      <c r="B87" s="6" t="s">
        <v>708</v>
      </c>
      <c r="C87" s="6" t="s">
        <v>376</v>
      </c>
      <c r="D87" s="6" t="s">
        <v>316</v>
      </c>
      <c r="E87" s="6" t="s">
        <v>378</v>
      </c>
      <c r="F87" s="6" t="s">
        <v>379</v>
      </c>
      <c r="G87" s="6" t="s">
        <v>709</v>
      </c>
      <c r="H87" s="6" t="s">
        <v>380</v>
      </c>
      <c r="I87" s="6" t="s">
        <v>235</v>
      </c>
      <c r="J87" s="6" t="s">
        <v>710</v>
      </c>
      <c r="K87" s="6" t="s">
        <v>39</v>
      </c>
      <c r="L87" s="6" t="s">
        <v>381</v>
      </c>
      <c r="M87" s="6"/>
      <c r="N87" s="6"/>
      <c r="O87" s="6"/>
      <c r="P87" s="6"/>
      <c r="Q87" s="6"/>
      <c r="R87" s="6"/>
      <c r="S87" s="6" t="s">
        <v>471</v>
      </c>
      <c r="T87" s="6" t="s">
        <v>472</v>
      </c>
      <c r="U87" s="6" t="s">
        <v>473</v>
      </c>
      <c r="V87" s="6" t="s">
        <v>474</v>
      </c>
      <c r="W87" s="6" t="s">
        <v>475</v>
      </c>
      <c r="X87" s="14" t="s">
        <v>741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="14" customFormat="true" ht="12.95" hidden="false" customHeight="true" outlineLevel="3" collapsed="false">
      <c r="A88" s="2" t="n">
        <v>3.302</v>
      </c>
      <c r="B88" s="6" t="s">
        <v>708</v>
      </c>
      <c r="C88" s="6" t="s">
        <v>404</v>
      </c>
      <c r="D88" s="6" t="s">
        <v>316</v>
      </c>
      <c r="E88" s="6" t="s">
        <v>378</v>
      </c>
      <c r="F88" s="6" t="s">
        <v>406</v>
      </c>
      <c r="G88" s="9" t="s">
        <v>709</v>
      </c>
      <c r="H88" s="9" t="s">
        <v>407</v>
      </c>
      <c r="I88" s="9" t="s">
        <v>235</v>
      </c>
      <c r="J88" s="9" t="s">
        <v>710</v>
      </c>
      <c r="K88" s="9" t="s">
        <v>39</v>
      </c>
      <c r="L88" s="9" t="s">
        <v>408</v>
      </c>
      <c r="M88" s="9" t="s">
        <v>409</v>
      </c>
      <c r="N88" s="9" t="s">
        <v>410</v>
      </c>
      <c r="O88" s="9" t="s">
        <v>411</v>
      </c>
      <c r="P88" s="9" t="s">
        <v>412</v>
      </c>
      <c r="Q88" s="9" t="s">
        <v>413</v>
      </c>
      <c r="R88" s="9" t="s">
        <v>414</v>
      </c>
      <c r="S88" s="9"/>
      <c r="T88" s="9" t="s">
        <v>471</v>
      </c>
      <c r="U88" s="9" t="s">
        <v>472</v>
      </c>
      <c r="V88" s="9" t="s">
        <v>473</v>
      </c>
      <c r="W88" s="9" t="s">
        <v>474</v>
      </c>
      <c r="X88" s="14" t="s">
        <v>764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s="14" customFormat="true" ht="12.95" hidden="false" customHeight="true" outlineLevel="1" collapsed="false">
      <c r="A89" s="2" t="n">
        <v>3.4</v>
      </c>
      <c r="B89" s="2" t="s">
        <v>690</v>
      </c>
      <c r="C89" s="1" t="s">
        <v>765</v>
      </c>
      <c r="D89" s="6"/>
      <c r="E89" s="6"/>
      <c r="F89" s="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s="14" customFormat="true" ht="12.95" hidden="false" customHeight="true" outlineLevel="3" collapsed="false">
      <c r="A90" s="1" t="n">
        <v>3.401</v>
      </c>
      <c r="B90" s="2" t="s">
        <v>690</v>
      </c>
      <c r="C90" s="1" t="s">
        <v>766</v>
      </c>
      <c r="D90" s="1" t="s">
        <v>316</v>
      </c>
      <c r="E90" s="1" t="s">
        <v>378</v>
      </c>
      <c r="F90" s="2" t="s">
        <v>379</v>
      </c>
      <c r="G90" s="13" t="s">
        <v>693</v>
      </c>
      <c r="H90" s="1" t="s">
        <v>767</v>
      </c>
      <c r="I90" s="1" t="s">
        <v>235</v>
      </c>
      <c r="J90" s="1" t="s">
        <v>695</v>
      </c>
      <c r="K90" s="1" t="s">
        <v>39</v>
      </c>
      <c r="L90" s="1" t="s">
        <v>643</v>
      </c>
      <c r="M90" s="1"/>
      <c r="N90" s="1"/>
      <c r="O90" s="1"/>
      <c r="P90" s="1"/>
      <c r="Q90" s="1"/>
      <c r="R90" s="1"/>
      <c r="S90" s="1" t="s">
        <v>471</v>
      </c>
      <c r="T90" s="1" t="s">
        <v>472</v>
      </c>
      <c r="U90" s="1" t="s">
        <v>473</v>
      </c>
      <c r="V90" s="1" t="s">
        <v>474</v>
      </c>
      <c r="W90" s="1" t="s">
        <v>475</v>
      </c>
      <c r="X90" s="14" t="s">
        <v>741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s="14" customFormat="true" ht="12.95" hidden="false" customHeight="true" outlineLevel="3" collapsed="false">
      <c r="A91" s="1" t="n">
        <v>3.402</v>
      </c>
      <c r="B91" s="2" t="s">
        <v>690</v>
      </c>
      <c r="C91" s="1" t="s">
        <v>768</v>
      </c>
      <c r="D91" s="1" t="s">
        <v>316</v>
      </c>
      <c r="E91" s="1" t="s">
        <v>378</v>
      </c>
      <c r="F91" s="2" t="s">
        <v>406</v>
      </c>
      <c r="G91" s="13" t="s">
        <v>693</v>
      </c>
      <c r="H91" s="1" t="s">
        <v>769</v>
      </c>
      <c r="I91" s="1" t="s">
        <v>235</v>
      </c>
      <c r="J91" s="1" t="s">
        <v>695</v>
      </c>
      <c r="K91" s="1" t="s">
        <v>39</v>
      </c>
      <c r="L91" s="1" t="s">
        <v>749</v>
      </c>
      <c r="M91" s="1" t="s">
        <v>750</v>
      </c>
      <c r="N91" s="1" t="s">
        <v>751</v>
      </c>
      <c r="O91" s="1" t="s">
        <v>752</v>
      </c>
      <c r="P91" s="1" t="s">
        <v>753</v>
      </c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471</v>
      </c>
      <c r="X91" s="14" t="s">
        <v>770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="14" customFormat="true" ht="12.95" hidden="false" customHeight="true" outlineLevel="2" collapsed="false">
      <c r="A92" s="1" t="n">
        <v>3.5</v>
      </c>
      <c r="B92" s="2" t="s">
        <v>704</v>
      </c>
      <c r="C92" s="1" t="s">
        <v>765</v>
      </c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="14" customFormat="true" ht="12.95" hidden="false" customHeight="true" outlineLevel="3" collapsed="false">
      <c r="A93" s="1" t="n">
        <v>3.501</v>
      </c>
      <c r="B93" s="2" t="s">
        <v>704</v>
      </c>
      <c r="C93" s="1" t="s">
        <v>766</v>
      </c>
      <c r="D93" s="1" t="s">
        <v>316</v>
      </c>
      <c r="E93" s="1" t="s">
        <v>378</v>
      </c>
      <c r="F93" s="2" t="s">
        <v>379</v>
      </c>
      <c r="G93" s="13" t="s">
        <v>705</v>
      </c>
      <c r="H93" s="1" t="s">
        <v>767</v>
      </c>
      <c r="I93" s="1" t="s">
        <v>235</v>
      </c>
      <c r="J93" s="1" t="s">
        <v>706</v>
      </c>
      <c r="K93" s="1" t="s">
        <v>39</v>
      </c>
      <c r="L93" s="1" t="s">
        <v>643</v>
      </c>
      <c r="M93" s="1"/>
      <c r="N93" s="1"/>
      <c r="O93" s="1"/>
      <c r="P93" s="1"/>
      <c r="Q93" s="1"/>
      <c r="R93" s="1"/>
      <c r="S93" s="1" t="s">
        <v>471</v>
      </c>
      <c r="T93" s="1" t="s">
        <v>472</v>
      </c>
      <c r="U93" s="1" t="s">
        <v>473</v>
      </c>
      <c r="V93" s="1" t="s">
        <v>474</v>
      </c>
      <c r="W93" s="1" t="s">
        <v>475</v>
      </c>
      <c r="X93" s="14" t="s">
        <v>741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="14" customFormat="true" ht="12.95" hidden="false" customHeight="true" outlineLevel="3" collapsed="false">
      <c r="A94" s="1" t="n">
        <v>3.502</v>
      </c>
      <c r="B94" s="2" t="s">
        <v>704</v>
      </c>
      <c r="C94" s="1" t="s">
        <v>768</v>
      </c>
      <c r="D94" s="1" t="s">
        <v>316</v>
      </c>
      <c r="E94" s="1" t="s">
        <v>378</v>
      </c>
      <c r="F94" s="2" t="s">
        <v>406</v>
      </c>
      <c r="G94" s="13" t="s">
        <v>705</v>
      </c>
      <c r="H94" s="1" t="s">
        <v>769</v>
      </c>
      <c r="I94" s="1" t="s">
        <v>235</v>
      </c>
      <c r="J94" s="1" t="s">
        <v>706</v>
      </c>
      <c r="K94" s="1" t="s">
        <v>39</v>
      </c>
      <c r="L94" s="1" t="s">
        <v>749</v>
      </c>
      <c r="M94" s="1" t="s">
        <v>750</v>
      </c>
      <c r="N94" s="1" t="s">
        <v>751</v>
      </c>
      <c r="O94" s="1" t="s">
        <v>752</v>
      </c>
      <c r="P94" s="1" t="s">
        <v>753</v>
      </c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471</v>
      </c>
      <c r="X94" s="14" t="s">
        <v>771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="14" customFormat="true" ht="12.95" hidden="false" customHeight="true" outlineLevel="2" collapsed="false">
      <c r="A95" s="1" t="n">
        <v>3.6</v>
      </c>
      <c r="B95" s="2" t="s">
        <v>708</v>
      </c>
      <c r="C95" s="1" t="s">
        <v>765</v>
      </c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s="14" customFormat="true" ht="12.95" hidden="false" customHeight="true" outlineLevel="3" collapsed="false">
      <c r="A96" s="1" t="n">
        <v>3.601</v>
      </c>
      <c r="B96" s="2" t="s">
        <v>708</v>
      </c>
      <c r="C96" s="1" t="s">
        <v>766</v>
      </c>
      <c r="D96" s="1" t="s">
        <v>316</v>
      </c>
      <c r="E96" s="1" t="s">
        <v>378</v>
      </c>
      <c r="F96" s="2" t="s">
        <v>379</v>
      </c>
      <c r="G96" s="13" t="s">
        <v>709</v>
      </c>
      <c r="H96" s="1" t="s">
        <v>767</v>
      </c>
      <c r="I96" s="1" t="s">
        <v>235</v>
      </c>
      <c r="J96" s="1" t="s">
        <v>710</v>
      </c>
      <c r="K96" s="1" t="s">
        <v>39</v>
      </c>
      <c r="L96" s="1" t="s">
        <v>643</v>
      </c>
      <c r="M96" s="1"/>
      <c r="N96" s="1"/>
      <c r="O96" s="1"/>
      <c r="P96" s="1"/>
      <c r="Q96" s="1"/>
      <c r="R96" s="1"/>
      <c r="S96" s="1" t="s">
        <v>471</v>
      </c>
      <c r="T96" s="1" t="s">
        <v>472</v>
      </c>
      <c r="U96" s="1" t="s">
        <v>473</v>
      </c>
      <c r="V96" s="1" t="s">
        <v>474</v>
      </c>
      <c r="W96" s="1" t="s">
        <v>475</v>
      </c>
      <c r="X96" s="14" t="s">
        <v>741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s="14" customFormat="true" ht="12.95" hidden="false" customHeight="true" outlineLevel="3" collapsed="false">
      <c r="A97" s="1" t="n">
        <v>3.602</v>
      </c>
      <c r="B97" s="2" t="s">
        <v>708</v>
      </c>
      <c r="C97" s="1" t="s">
        <v>768</v>
      </c>
      <c r="D97" s="1" t="s">
        <v>316</v>
      </c>
      <c r="E97" s="1" t="s">
        <v>378</v>
      </c>
      <c r="F97" s="2" t="s">
        <v>406</v>
      </c>
      <c r="G97" s="13" t="s">
        <v>709</v>
      </c>
      <c r="H97" s="1" t="s">
        <v>769</v>
      </c>
      <c r="I97" s="1" t="s">
        <v>235</v>
      </c>
      <c r="J97" s="1" t="s">
        <v>710</v>
      </c>
      <c r="K97" s="1" t="s">
        <v>39</v>
      </c>
      <c r="L97" s="1" t="s">
        <v>749</v>
      </c>
      <c r="M97" s="1" t="s">
        <v>750</v>
      </c>
      <c r="N97" s="1" t="s">
        <v>751</v>
      </c>
      <c r="O97" s="1" t="s">
        <v>752</v>
      </c>
      <c r="P97" s="1" t="s">
        <v>753</v>
      </c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471</v>
      </c>
      <c r="X97" s="14" t="s">
        <v>772</v>
      </c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s="14" customFormat="true" ht="12.95" hidden="false" customHeight="true" outlineLevel="1" collapsed="false">
      <c r="A98" s="1" t="n">
        <v>3.7</v>
      </c>
      <c r="B98" s="2" t="s">
        <v>690</v>
      </c>
      <c r="C98" s="1" t="s">
        <v>663</v>
      </c>
      <c r="D98" s="1" t="s">
        <v>316</v>
      </c>
      <c r="E98" s="1" t="s">
        <v>378</v>
      </c>
      <c r="F98" s="2" t="s">
        <v>379</v>
      </c>
      <c r="G98" s="13" t="s">
        <v>693</v>
      </c>
      <c r="H98" s="1" t="s">
        <v>665</v>
      </c>
      <c r="I98" s="1" t="s">
        <v>235</v>
      </c>
      <c r="J98" s="1" t="s">
        <v>695</v>
      </c>
      <c r="K98" s="1" t="s">
        <v>39</v>
      </c>
      <c r="L98" s="1" t="s">
        <v>663</v>
      </c>
      <c r="M98" s="1"/>
      <c r="N98" s="1"/>
      <c r="O98" s="1"/>
      <c r="P98" s="1"/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475</v>
      </c>
      <c r="X98" s="14" t="s">
        <v>741</v>
      </c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s="14" customFormat="true" ht="12.95" hidden="false" customHeight="true" outlineLevel="2" collapsed="false">
      <c r="A99" s="1" t="n">
        <v>3.701</v>
      </c>
      <c r="B99" s="2" t="s">
        <v>704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705</v>
      </c>
      <c r="H99" s="1" t="s">
        <v>665</v>
      </c>
      <c r="I99" s="1" t="s">
        <v>235</v>
      </c>
      <c r="J99" s="1" t="s">
        <v>706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 t="s">
        <v>741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s="14" customFormat="true" ht="12.95" hidden="false" customHeight="true" outlineLevel="2" collapsed="false">
      <c r="A100" s="1" t="n">
        <v>3.702</v>
      </c>
      <c r="B100" s="2" t="s">
        <v>708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709</v>
      </c>
      <c r="H100" s="1" t="s">
        <v>665</v>
      </c>
      <c r="I100" s="1" t="s">
        <v>235</v>
      </c>
      <c r="J100" s="1" t="s">
        <v>710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 t="s">
        <v>741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s="14" customFormat="true" ht="12.95" hidden="false" customHeight="true" outlineLevel="1" collapsed="false">
      <c r="A101" s="1" t="n">
        <v>3.8</v>
      </c>
      <c r="B101" s="2" t="s">
        <v>690</v>
      </c>
      <c r="C101" s="1" t="s">
        <v>670</v>
      </c>
      <c r="D101" s="1" t="s">
        <v>316</v>
      </c>
      <c r="E101" s="1" t="s">
        <v>378</v>
      </c>
      <c r="F101" s="2" t="s">
        <v>379</v>
      </c>
      <c r="G101" s="13" t="s">
        <v>693</v>
      </c>
      <c r="H101" s="1" t="s">
        <v>672</v>
      </c>
      <c r="I101" s="1" t="s">
        <v>235</v>
      </c>
      <c r="J101" s="1" t="s">
        <v>695</v>
      </c>
      <c r="K101" s="1" t="s">
        <v>39</v>
      </c>
      <c r="L101" s="1" t="s">
        <v>670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 t="s">
        <v>741</v>
      </c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s="14" customFormat="true" ht="12.95" hidden="false" customHeight="true" outlineLevel="2" collapsed="false">
      <c r="A102" s="1" t="n">
        <v>3.801</v>
      </c>
      <c r="B102" s="2" t="s">
        <v>704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705</v>
      </c>
      <c r="H102" s="1" t="s">
        <v>672</v>
      </c>
      <c r="I102" s="1" t="s">
        <v>235</v>
      </c>
      <c r="J102" s="1" t="s">
        <v>706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s="14" customFormat="true" ht="12.95" hidden="false" customHeight="true" outlineLevel="2" collapsed="false">
      <c r="A103" s="1" t="n">
        <v>3.802</v>
      </c>
      <c r="B103" s="2" t="s">
        <v>708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709</v>
      </c>
      <c r="H103" s="1" t="s">
        <v>672</v>
      </c>
      <c r="I103" s="1" t="s">
        <v>235</v>
      </c>
      <c r="J103" s="1" t="s">
        <v>710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s="14" customFormat="true" ht="12.95" hidden="false" customHeight="true" outlineLevel="0" collapsed="false">
      <c r="A104" s="1"/>
      <c r="B104" s="2"/>
      <c r="C104" s="1"/>
      <c r="D104" s="1"/>
      <c r="E104" s="1"/>
      <c r="F104" s="2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s="14" customFormat="true" ht="12.95" hidden="false" customHeight="true" outlineLevel="0" collapsed="false">
      <c r="A105" s="1" t="n">
        <v>4</v>
      </c>
      <c r="B105" s="2" t="s">
        <v>689</v>
      </c>
      <c r="C105" s="1" t="s">
        <v>676</v>
      </c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s="14" customFormat="true" ht="12.95" hidden="false" customHeight="true" outlineLevel="1" collapsed="false">
      <c r="A106" s="1" t="n">
        <v>4.1</v>
      </c>
      <c r="B106" s="2" t="s">
        <v>690</v>
      </c>
      <c r="C106" s="1" t="s">
        <v>437</v>
      </c>
      <c r="D106" s="1" t="s">
        <v>316</v>
      </c>
      <c r="E106" s="1" t="s">
        <v>378</v>
      </c>
      <c r="F106" s="2" t="s">
        <v>379</v>
      </c>
      <c r="G106" s="13" t="s">
        <v>693</v>
      </c>
      <c r="H106" s="1" t="s">
        <v>439</v>
      </c>
      <c r="I106" s="1" t="s">
        <v>440</v>
      </c>
      <c r="J106" s="1" t="s">
        <v>695</v>
      </c>
      <c r="K106" s="1" t="s">
        <v>39</v>
      </c>
      <c r="L106" s="1" t="s">
        <v>437</v>
      </c>
      <c r="M106" s="1"/>
      <c r="N106" s="1"/>
      <c r="O106" s="1"/>
      <c r="P106" s="1"/>
      <c r="Q106" s="1"/>
      <c r="R106" s="1"/>
      <c r="S106" s="1" t="s">
        <v>471</v>
      </c>
      <c r="T106" s="1" t="s">
        <v>472</v>
      </c>
      <c r="U106" s="1" t="s">
        <v>473</v>
      </c>
      <c r="V106" s="1" t="s">
        <v>474</v>
      </c>
      <c r="W106" s="1" t="s">
        <v>475</v>
      </c>
      <c r="X106" s="14" t="s">
        <v>741</v>
      </c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95" hidden="false" customHeight="true" outlineLevel="2" collapsed="false">
      <c r="A107" s="1" t="n">
        <v>4.101</v>
      </c>
      <c r="B107" s="2" t="s">
        <v>704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705</v>
      </c>
      <c r="H107" s="1" t="s">
        <v>439</v>
      </c>
      <c r="I107" s="1" t="s">
        <v>440</v>
      </c>
      <c r="J107" s="1" t="s">
        <v>706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 t="s">
        <v>741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95" hidden="false" customHeight="true" outlineLevel="2" collapsed="false">
      <c r="A108" s="1" t="n">
        <v>4.102</v>
      </c>
      <c r="B108" s="2" t="s">
        <v>708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709</v>
      </c>
      <c r="H108" s="1" t="s">
        <v>439</v>
      </c>
      <c r="I108" s="1" t="s">
        <v>440</v>
      </c>
      <c r="J108" s="1" t="s">
        <v>710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 t="s">
        <v>741</v>
      </c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95" hidden="false" customHeight="true" outlineLevel="1" collapsed="false">
      <c r="A109" s="1" t="n">
        <v>4.2</v>
      </c>
      <c r="B109" s="2" t="s">
        <v>690</v>
      </c>
      <c r="C109" s="1" t="s">
        <v>447</v>
      </c>
      <c r="D109" s="1" t="s">
        <v>316</v>
      </c>
      <c r="E109" s="1" t="s">
        <v>378</v>
      </c>
      <c r="F109" s="2" t="s">
        <v>379</v>
      </c>
      <c r="G109" s="13" t="s">
        <v>693</v>
      </c>
      <c r="H109" s="1" t="s">
        <v>449</v>
      </c>
      <c r="I109" s="1" t="s">
        <v>440</v>
      </c>
      <c r="J109" s="1" t="s">
        <v>695</v>
      </c>
      <c r="K109" s="1" t="s">
        <v>39</v>
      </c>
      <c r="L109" s="1" t="s">
        <v>447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 t="s">
        <v>741</v>
      </c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95" hidden="false" customHeight="true" outlineLevel="2" collapsed="false">
      <c r="A110" s="1" t="n">
        <v>4.201</v>
      </c>
      <c r="B110" s="2" t="s">
        <v>704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705</v>
      </c>
      <c r="H110" s="1" t="s">
        <v>449</v>
      </c>
      <c r="I110" s="1" t="s">
        <v>440</v>
      </c>
      <c r="J110" s="1" t="s">
        <v>706</v>
      </c>
      <c r="K110" s="1" t="s">
        <v>39</v>
      </c>
      <c r="L110" s="1" t="s">
        <v>447</v>
      </c>
      <c r="M110" s="1"/>
      <c r="N110" s="1"/>
      <c r="O110" s="1"/>
      <c r="P110" s="1"/>
      <c r="Q110" s="1"/>
      <c r="R110" s="1"/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14" t="s">
        <v>741</v>
      </c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95" hidden="false" customHeight="true" outlineLevel="2" collapsed="false">
      <c r="A111" s="1" t="n">
        <v>4.202</v>
      </c>
      <c r="B111" s="2" t="s">
        <v>708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709</v>
      </c>
      <c r="H111" s="1" t="s">
        <v>449</v>
      </c>
      <c r="I111" s="1" t="s">
        <v>440</v>
      </c>
      <c r="J111" s="1" t="s">
        <v>710</v>
      </c>
      <c r="K111" s="1" t="s">
        <v>39</v>
      </c>
      <c r="L111" s="1" t="s">
        <v>447</v>
      </c>
      <c r="M111" s="1"/>
      <c r="N111" s="1"/>
      <c r="O111" s="1"/>
      <c r="P111" s="1"/>
      <c r="Q111" s="1"/>
      <c r="R111" s="1"/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14" t="s">
        <v>741</v>
      </c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95" hidden="false" customHeight="true" outlineLevel="1" collapsed="false">
      <c r="A112" s="1" t="n">
        <v>4.3</v>
      </c>
      <c r="B112" s="2" t="s">
        <v>690</v>
      </c>
      <c r="C112" s="1" t="s">
        <v>680</v>
      </c>
      <c r="D112" s="1" t="s">
        <v>316</v>
      </c>
      <c r="E112" s="1" t="s">
        <v>378</v>
      </c>
      <c r="F112" s="2" t="s">
        <v>379</v>
      </c>
      <c r="G112" s="13" t="s">
        <v>693</v>
      </c>
      <c r="H112" s="1" t="s">
        <v>681</v>
      </c>
      <c r="I112" s="1" t="s">
        <v>440</v>
      </c>
      <c r="J112" s="1" t="s">
        <v>695</v>
      </c>
      <c r="K112" s="1" t="s">
        <v>39</v>
      </c>
      <c r="L112" s="1" t="s">
        <v>680</v>
      </c>
      <c r="M112" s="1"/>
      <c r="N112" s="1"/>
      <c r="O112" s="1"/>
      <c r="P112" s="1"/>
      <c r="Q112" s="1"/>
      <c r="R112" s="1"/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14" t="s">
        <v>741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95" hidden="false" customHeight="true" outlineLevel="2" collapsed="false">
      <c r="A113" s="1" t="n">
        <v>4.301</v>
      </c>
      <c r="B113" s="2" t="s">
        <v>704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705</v>
      </c>
      <c r="H113" s="1" t="s">
        <v>681</v>
      </c>
      <c r="I113" s="1" t="s">
        <v>440</v>
      </c>
      <c r="J113" s="1" t="s">
        <v>706</v>
      </c>
      <c r="K113" s="1" t="s">
        <v>39</v>
      </c>
      <c r="L113" s="1" t="s">
        <v>680</v>
      </c>
      <c r="M113" s="1"/>
      <c r="N113" s="1"/>
      <c r="O113" s="1"/>
      <c r="P113" s="1"/>
      <c r="Q113" s="1"/>
      <c r="R113" s="1"/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14" t="s">
        <v>741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95" hidden="false" customHeight="true" outlineLevel="2" collapsed="false">
      <c r="A114" s="1" t="n">
        <v>4.302</v>
      </c>
      <c r="B114" s="2" t="s">
        <v>708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709</v>
      </c>
      <c r="H114" s="1" t="s">
        <v>681</v>
      </c>
      <c r="I114" s="1" t="s">
        <v>440</v>
      </c>
      <c r="J114" s="1" t="s">
        <v>710</v>
      </c>
      <c r="K114" s="1" t="s">
        <v>39</v>
      </c>
      <c r="L114" s="1" t="s">
        <v>680</v>
      </c>
      <c r="M114" s="1"/>
      <c r="N114" s="1"/>
      <c r="O114" s="1"/>
      <c r="P114" s="1"/>
      <c r="Q114" s="1"/>
      <c r="R114" s="1"/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14" t="s">
        <v>741</v>
      </c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95" hidden="false" customHeight="true" outlineLevel="1" collapsed="false">
      <c r="A115" s="1" t="n">
        <v>4.4</v>
      </c>
      <c r="B115" s="2" t="s">
        <v>690</v>
      </c>
      <c r="C115" s="1" t="s">
        <v>683</v>
      </c>
      <c r="D115" s="1" t="s">
        <v>316</v>
      </c>
      <c r="E115" s="1" t="s">
        <v>378</v>
      </c>
      <c r="F115" s="2" t="s">
        <v>379</v>
      </c>
      <c r="G115" s="13" t="s">
        <v>693</v>
      </c>
      <c r="H115" s="1" t="s">
        <v>684</v>
      </c>
      <c r="I115" s="1" t="s">
        <v>440</v>
      </c>
      <c r="J115" s="1" t="s">
        <v>695</v>
      </c>
      <c r="K115" s="1" t="s">
        <v>39</v>
      </c>
      <c r="L115" s="1" t="s">
        <v>683</v>
      </c>
      <c r="M115" s="1"/>
      <c r="N115" s="1"/>
      <c r="O115" s="1"/>
      <c r="P115" s="1"/>
      <c r="Q115" s="1"/>
      <c r="R115" s="1"/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14" t="s">
        <v>773</v>
      </c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95" hidden="false" customHeight="true" outlineLevel="2" collapsed="false">
      <c r="A116" s="1" t="n">
        <v>4.401</v>
      </c>
      <c r="B116" s="2" t="s">
        <v>704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705</v>
      </c>
      <c r="H116" s="1" t="s">
        <v>684</v>
      </c>
      <c r="I116" s="1" t="s">
        <v>440</v>
      </c>
      <c r="J116" s="1" t="s">
        <v>706</v>
      </c>
      <c r="K116" s="1" t="s">
        <v>39</v>
      </c>
      <c r="L116" s="1" t="s">
        <v>683</v>
      </c>
      <c r="M116" s="1"/>
      <c r="N116" s="1"/>
      <c r="O116" s="1"/>
      <c r="P116" s="1"/>
      <c r="Q116" s="1"/>
      <c r="R116" s="1"/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14" t="s">
        <v>741</v>
      </c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95" hidden="false" customHeight="true" outlineLevel="2" collapsed="false">
      <c r="A117" s="1" t="n">
        <v>4.402</v>
      </c>
      <c r="B117" s="2" t="s">
        <v>708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709</v>
      </c>
      <c r="H117" s="1" t="s">
        <v>684</v>
      </c>
      <c r="I117" s="1" t="s">
        <v>440</v>
      </c>
      <c r="J117" s="1" t="s">
        <v>710</v>
      </c>
      <c r="K117" s="1" t="s">
        <v>39</v>
      </c>
      <c r="L117" s="1" t="s">
        <v>683</v>
      </c>
      <c r="M117" s="1"/>
      <c r="N117" s="1"/>
      <c r="O117" s="1"/>
      <c r="P117" s="1"/>
      <c r="Q117" s="1"/>
      <c r="R117" s="1"/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14" t="s">
        <v>741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95" hidden="false" customHeight="true" outlineLevel="1" collapsed="false">
      <c r="A118" s="1" t="n">
        <v>4.5</v>
      </c>
      <c r="B118" s="2" t="s">
        <v>690</v>
      </c>
      <c r="C118" s="1" t="s">
        <v>686</v>
      </c>
      <c r="D118" s="1" t="s">
        <v>316</v>
      </c>
      <c r="E118" s="1" t="s">
        <v>378</v>
      </c>
      <c r="F118" s="2" t="s">
        <v>379</v>
      </c>
      <c r="G118" s="13" t="s">
        <v>693</v>
      </c>
      <c r="H118" s="1" t="s">
        <v>687</v>
      </c>
      <c r="I118" s="1" t="s">
        <v>440</v>
      </c>
      <c r="J118" s="1" t="s">
        <v>695</v>
      </c>
      <c r="K118" s="1" t="s">
        <v>39</v>
      </c>
      <c r="L118" s="1" t="s">
        <v>686</v>
      </c>
      <c r="M118" s="1"/>
      <c r="N118" s="1"/>
      <c r="O118" s="1"/>
      <c r="P118" s="1"/>
      <c r="Q118" s="1"/>
      <c r="R118" s="1"/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14" t="s">
        <v>741</v>
      </c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s="14" customFormat="true" ht="12.95" hidden="false" customHeight="true" outlineLevel="2" collapsed="false">
      <c r="A119" s="1" t="n">
        <v>4.501</v>
      </c>
      <c r="B119" s="2" t="s">
        <v>704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705</v>
      </c>
      <c r="H119" s="1" t="s">
        <v>687</v>
      </c>
      <c r="I119" s="1" t="s">
        <v>440</v>
      </c>
      <c r="J119" s="1" t="s">
        <v>706</v>
      </c>
      <c r="K119" s="1" t="s">
        <v>39</v>
      </c>
      <c r="L119" s="1" t="s">
        <v>686</v>
      </c>
      <c r="M119" s="1"/>
      <c r="N119" s="1"/>
      <c r="O119" s="1"/>
      <c r="P119" s="1"/>
      <c r="Q119" s="1"/>
      <c r="R119" s="1"/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14" t="s">
        <v>741</v>
      </c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s="14" customFormat="true" ht="12.95" hidden="false" customHeight="true" outlineLevel="2" collapsed="false">
      <c r="A120" s="1" t="n">
        <v>4.502</v>
      </c>
      <c r="B120" s="2" t="s">
        <v>708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709</v>
      </c>
      <c r="H120" s="1" t="s">
        <v>687</v>
      </c>
      <c r="I120" s="1" t="s">
        <v>440</v>
      </c>
      <c r="J120" s="1" t="s">
        <v>710</v>
      </c>
      <c r="K120" s="1" t="s">
        <v>39</v>
      </c>
      <c r="L120" s="1" t="s">
        <v>686</v>
      </c>
      <c r="M120" s="1"/>
      <c r="N120" s="1"/>
      <c r="O120" s="1"/>
      <c r="P120" s="1"/>
      <c r="Q120" s="1"/>
      <c r="R120" s="1"/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14" t="s">
        <v>741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s="14" customFormat="true" ht="25.9" hidden="false" customHeight="true" outlineLevel="0" collapsed="false">
      <c r="B121" s="2"/>
      <c r="G121" s="13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s="14" customFormat="true" ht="25.9" hidden="false" customHeight="true" outlineLevel="0" collapsed="false">
      <c r="B122" s="2"/>
      <c r="G122" s="13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s="14" customFormat="true" ht="25.9" hidden="false" customHeight="true" outlineLevel="0" collapsed="false">
      <c r="B123" s="2"/>
      <c r="G123" s="13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s="14" customFormat="true" ht="25.9" hidden="false" customHeight="true" outlineLevel="0" collapsed="false">
      <c r="B124" s="2"/>
      <c r="G124" s="13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s="14" customFormat="true" ht="25.9" hidden="false" customHeight="true" outlineLevel="0" collapsed="false">
      <c r="B125" s="2"/>
      <c r="G125" s="13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s="14" customFormat="true" ht="25.9" hidden="false" customHeight="true" outlineLevel="0" collapsed="false">
      <c r="B126" s="2"/>
      <c r="G126" s="13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s="14" customFormat="true" ht="25.9" hidden="false" customHeight="true" outlineLevel="0" collapsed="false">
      <c r="B127" s="2"/>
      <c r="G127" s="13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s="14" customFormat="true" ht="25.9" hidden="false" customHeight="true" outlineLevel="0" collapsed="false">
      <c r="B128" s="2"/>
      <c r="G128" s="13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s="14" customFormat="true" ht="25.9" hidden="false" customHeight="true" outlineLevel="0" collapsed="false">
      <c r="B129" s="2"/>
      <c r="G129" s="13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s="14" customFormat="true" ht="25.9" hidden="false" customHeight="true" outlineLevel="0" collapsed="false">
      <c r="B130" s="2"/>
      <c r="G130" s="13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s="14" customFormat="true" ht="25.9" hidden="false" customHeight="true" outlineLevel="0" collapsed="false">
      <c r="B131" s="2"/>
      <c r="G131" s="13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s="14" customFormat="true" ht="25.9" hidden="false" customHeight="true" outlineLevel="0" collapsed="false">
      <c r="B132" s="2"/>
      <c r="G132" s="13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s="14" customFormat="true" ht="25.9" hidden="false" customHeight="true" outlineLevel="0" collapsed="false">
      <c r="B133" s="2"/>
      <c r="G133" s="13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s="14" customFormat="true" ht="25.9" hidden="false" customHeight="true" outlineLevel="0" collapsed="false">
      <c r="B134" s="2"/>
      <c r="G134" s="13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s="14" customFormat="true" ht="25.9" hidden="false" customHeight="true" outlineLevel="0" collapsed="false">
      <c r="B135" s="2"/>
      <c r="G135" s="13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s="14" customFormat="true" ht="25.9" hidden="false" customHeight="true" outlineLevel="0" collapsed="false">
      <c r="B136" s="2"/>
      <c r="G136" s="13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s="14" customFormat="true" ht="25.9" hidden="false" customHeight="true" outlineLevel="0" collapsed="false">
      <c r="A137" s="1"/>
      <c r="B137" s="2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s="14" customFormat="true" ht="25.9" hidden="false" customHeight="true" outlineLevel="0" collapsed="false">
      <c r="A138" s="1"/>
      <c r="B138" s="2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s="14" customFormat="true" ht="25.9" hidden="false" customHeight="true" outlineLevel="0" collapsed="false">
      <c r="A139" s="1"/>
      <c r="B139" s="2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s="14" customFormat="true" ht="25.9" hidden="false" customHeight="true" outlineLevel="0" collapsed="false">
      <c r="A140" s="1"/>
      <c r="B140" s="2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s="14" customFormat="true" ht="25.9" hidden="false" customHeight="true" outlineLevel="0" collapsed="false">
      <c r="A141" s="1"/>
      <c r="B141" s="2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s="14" customFormat="true" ht="25.9" hidden="false" customHeight="true" outlineLevel="0" collapsed="false">
      <c r="A142" s="1"/>
      <c r="B142" s="2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s="14" customFormat="true" ht="25.9" hidden="false" customHeight="true" outlineLevel="0" collapsed="false">
      <c r="A143" s="1"/>
      <c r="B143" s="2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s="14" customFormat="true" ht="25.9" hidden="false" customHeight="true" outlineLevel="0" collapsed="false">
      <c r="A144" s="1"/>
      <c r="B144" s="2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s="14" customFormat="true" ht="25.9" hidden="false" customHeight="true" outlineLevel="0" collapsed="false">
      <c r="A145" s="1"/>
      <c r="B145" s="2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s="14" customFormat="true" ht="25.9" hidden="false" customHeight="true" outlineLevel="0" collapsed="false">
      <c r="A146" s="1"/>
      <c r="B146" s="2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s="14" customFormat="true" ht="25.9" hidden="false" customHeight="true" outlineLevel="0" collapsed="false">
      <c r="A147" s="1"/>
      <c r="B147" s="2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s="14" customFormat="true" ht="25.9" hidden="false" customHeight="true" outlineLevel="0" collapsed="false">
      <c r="A148" s="1"/>
      <c r="B148" s="2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s="14" customFormat="true" ht="25.9" hidden="false" customHeight="true" outlineLevel="0" collapsed="false">
      <c r="A149" s="1"/>
      <c r="B149" s="2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s="14" customFormat="true" ht="25.9" hidden="false" customHeight="true" outlineLevel="0" collapsed="false">
      <c r="A150" s="1"/>
      <c r="B150" s="2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s="14" customFormat="true" ht="25.9" hidden="false" customHeight="true" outlineLevel="0" collapsed="false">
      <c r="A151" s="1"/>
      <c r="B151" s="2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s="14" customFormat="true" ht="25.9" hidden="false" customHeight="true" outlineLevel="0" collapsed="false">
      <c r="A152" s="1"/>
      <c r="B152" s="2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s="14" customFormat="true" ht="25.9" hidden="false" customHeight="true" outlineLevel="0" collapsed="false">
      <c r="A153" s="1"/>
      <c r="B153" s="2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s="14" customFormat="true" ht="25.9" hidden="false" customHeight="true" outlineLevel="0" collapsed="false">
      <c r="A154" s="1"/>
      <c r="B154" s="2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s="14" customFormat="true" ht="25.9" hidden="false" customHeight="true" outlineLevel="0" collapsed="false">
      <c r="A155" s="1"/>
      <c r="B155" s="2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s="14" customFormat="true" ht="25.9" hidden="false" customHeight="true" outlineLevel="0" collapsed="false">
      <c r="A156" s="1"/>
      <c r="B156" s="2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s="14" customFormat="true" ht="25.9" hidden="false" customHeight="true" outlineLevel="0" collapsed="false">
      <c r="A157" s="1"/>
      <c r="B157" s="2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s="14" customFormat="true" ht="25.9" hidden="false" customHeight="true" outlineLevel="0" collapsed="false">
      <c r="A158" s="1"/>
      <c r="B158" s="2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s="14" customFormat="true" ht="25.9" hidden="false" customHeight="true" outlineLevel="0" collapsed="false">
      <c r="A159" s="1"/>
      <c r="B159" s="2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s="14" customFormat="true" ht="25.9" hidden="false" customHeight="true" outlineLevel="0" collapsed="false">
      <c r="A160" s="1"/>
      <c r="B160" s="2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s="14" customFormat="true" ht="25.9" hidden="false" customHeight="true" outlineLevel="0" collapsed="false">
      <c r="A161" s="1"/>
      <c r="B161" s="2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s="14" customFormat="true" ht="25.9" hidden="false" customHeight="true" outlineLevel="0" collapsed="false">
      <c r="A162" s="1"/>
      <c r="B162" s="2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s="14" customFormat="true" ht="25.9" hidden="false" customHeight="true" outlineLevel="0" collapsed="false">
      <c r="A163" s="1"/>
      <c r="B163" s="2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s="14" customFormat="true" ht="25.9" hidden="false" customHeight="true" outlineLevel="0" collapsed="false">
      <c r="A164" s="1"/>
      <c r="B164" s="2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s="14" customFormat="true" ht="25.9" hidden="false" customHeight="true" outlineLevel="0" collapsed="false">
      <c r="A165" s="1"/>
      <c r="B165" s="2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s="14" customFormat="true" ht="25.9" hidden="false" customHeight="true" outlineLevel="0" collapsed="false">
      <c r="A166" s="1"/>
      <c r="B166" s="2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s="14" customFormat="true" ht="25.9" hidden="false" customHeight="true" outlineLevel="0" collapsed="false">
      <c r="A167" s="1"/>
      <c r="B167" s="2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s="14" customFormat="true" ht="25.9" hidden="false" customHeight="true" outlineLevel="0" collapsed="false">
      <c r="A168" s="1"/>
      <c r="B168" s="2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s="14" customFormat="true" ht="25.9" hidden="false" customHeight="true" outlineLevel="0" collapsed="false">
      <c r="A169" s="1"/>
      <c r="B169" s="2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s="14" customFormat="true" ht="25.9" hidden="false" customHeight="true" outlineLevel="0" collapsed="false">
      <c r="A170" s="1"/>
      <c r="B170" s="2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s="14" customFormat="true" ht="25.9" hidden="false" customHeight="true" outlineLevel="0" collapsed="false">
      <c r="A171" s="1"/>
      <c r="B171" s="2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s="14" customFormat="true" ht="25.9" hidden="false" customHeight="true" outlineLevel="0" collapsed="false">
      <c r="A172" s="1"/>
      <c r="B172" s="2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s="14" customFormat="true" ht="25.9" hidden="false" customHeight="true" outlineLevel="0" collapsed="false">
      <c r="A173" s="1"/>
      <c r="B173" s="2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s="14" customFormat="true" ht="25.9" hidden="false" customHeight="true" outlineLevel="0" collapsed="false">
      <c r="A174" s="1"/>
      <c r="B174" s="2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s="14" customFormat="true" ht="25.9" hidden="false" customHeight="true" outlineLevel="0" collapsed="false">
      <c r="A175" s="1"/>
      <c r="B175" s="2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s="14" customFormat="true" ht="25.9" hidden="false" customHeight="true" outlineLevel="0" collapsed="false">
      <c r="A176" s="1"/>
      <c r="B176" s="2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s="14" customFormat="true" ht="25.9" hidden="false" customHeight="true" outlineLevel="0" collapsed="false">
      <c r="A177" s="1"/>
      <c r="B177" s="2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s="14" customFormat="true" ht="25.9" hidden="false" customHeight="true" outlineLevel="0" collapsed="false">
      <c r="A178" s="1"/>
      <c r="B178" s="2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s="14" customFormat="true" ht="25.9" hidden="false" customHeight="true" outlineLevel="0" collapsed="false">
      <c r="A179" s="1"/>
      <c r="B179" s="2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s="14" customFormat="true" ht="25.9" hidden="false" customHeight="true" outlineLevel="0" collapsed="false">
      <c r="A180" s="1"/>
      <c r="B180" s="2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s="14" customFormat="true" ht="25.9" hidden="false" customHeight="true" outlineLevel="0" collapsed="false">
      <c r="A181" s="1"/>
      <c r="B181" s="2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s="14" customFormat="true" ht="25.9" hidden="false" customHeight="true" outlineLevel="0" collapsed="false">
      <c r="A182" s="1"/>
      <c r="B182" s="2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s="14" customFormat="true" ht="25.9" hidden="false" customHeight="true" outlineLevel="0" collapsed="false">
      <c r="A183" s="1"/>
      <c r="B183" s="2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s="14" customFormat="true" ht="25.9" hidden="false" customHeight="true" outlineLevel="0" collapsed="false">
      <c r="A184" s="1"/>
      <c r="B184" s="2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s="14" customFormat="true" ht="25.9" hidden="false" customHeight="true" outlineLevel="0" collapsed="false">
      <c r="A185" s="1"/>
      <c r="B185" s="2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s="14" customFormat="true" ht="25.9" hidden="false" customHeight="true" outlineLevel="0" collapsed="false">
      <c r="A186" s="1"/>
      <c r="B186" s="2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s="14" customFormat="true" ht="25.9" hidden="false" customHeight="true" outlineLevel="0" collapsed="false">
      <c r="A187" s="1"/>
      <c r="B187" s="2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s="14" customFormat="true" ht="25.9" hidden="false" customHeight="true" outlineLevel="0" collapsed="false">
      <c r="A188" s="1"/>
      <c r="B188" s="2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s="14" customFormat="true" ht="25.9" hidden="false" customHeight="true" outlineLevel="0" collapsed="false">
      <c r="A189" s="1"/>
      <c r="B189" s="2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s="14" customFormat="true" ht="25.9" hidden="false" customHeight="true" outlineLevel="0" collapsed="false">
      <c r="A190" s="1"/>
      <c r="B190" s="2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s="14" customFormat="true" ht="25.9" hidden="false" customHeight="true" outlineLevel="0" collapsed="false">
      <c r="A191" s="1"/>
      <c r="B191" s="2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s="14" customFormat="true" ht="25.9" hidden="false" customHeight="true" outlineLevel="0" collapsed="false">
      <c r="A192" s="1"/>
      <c r="B192" s="2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s="14" customFormat="true" ht="25.9" hidden="false" customHeight="true" outlineLevel="0" collapsed="false">
      <c r="A193" s="1"/>
      <c r="B193" s="2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s="14" customFormat="true" ht="25.9" hidden="false" customHeight="true" outlineLevel="0" collapsed="false">
      <c r="A194" s="1"/>
      <c r="B194" s="2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s="14" customFormat="true" ht="25.9" hidden="false" customHeight="true" outlineLevel="0" collapsed="false">
      <c r="A195" s="1"/>
      <c r="B195" s="2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s="14" customFormat="true" ht="25.9" hidden="false" customHeight="true" outlineLevel="0" collapsed="false">
      <c r="A196" s="1"/>
      <c r="B196" s="2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s="14" customFormat="true" ht="25.9" hidden="false" customHeight="true" outlineLevel="0" collapsed="false">
      <c r="A197" s="1"/>
      <c r="B197" s="2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s="14" customFormat="true" ht="25.9" hidden="false" customHeight="true" outlineLevel="0" collapsed="false">
      <c r="A198" s="1"/>
      <c r="B198" s="2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s="14" customFormat="true" ht="25.9" hidden="false" customHeight="true" outlineLevel="0" collapsed="false">
      <c r="A199" s="1"/>
      <c r="B199" s="2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s="14" customFormat="true" ht="25.9" hidden="false" customHeight="true" outlineLevel="0" collapsed="false">
      <c r="A200" s="1"/>
      <c r="B200" s="2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s="14" customFormat="true" ht="25.9" hidden="false" customHeight="true" outlineLevel="0" collapsed="false">
      <c r="A201" s="1"/>
      <c r="B201" s="2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s="14" customFormat="true" ht="25.9" hidden="false" customHeight="true" outlineLevel="0" collapsed="false">
      <c r="A202" s="1"/>
      <c r="B202" s="2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s="14" customFormat="true" ht="25.9" hidden="false" customHeight="true" outlineLevel="0" collapsed="false">
      <c r="A203" s="1"/>
      <c r="B203" s="2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s="14" customFormat="true" ht="25.9" hidden="false" customHeight="true" outlineLevel="0" collapsed="false">
      <c r="A204" s="1"/>
      <c r="B204" s="2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s="14" customFormat="true" ht="25.9" hidden="false" customHeight="true" outlineLevel="0" collapsed="false">
      <c r="A205" s="1"/>
      <c r="B205" s="2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s="14" customFormat="true" ht="25.9" hidden="false" customHeight="true" outlineLevel="0" collapsed="false">
      <c r="A206" s="1"/>
      <c r="B206" s="2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s="14" customFormat="true" ht="25.9" hidden="false" customHeight="true" outlineLevel="0" collapsed="false">
      <c r="A207" s="1"/>
      <c r="B207" s="2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s="14" customFormat="true" ht="25.9" hidden="false" customHeight="true" outlineLevel="0" collapsed="false">
      <c r="A208" s="1"/>
      <c r="B208" s="2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s="14" customFormat="true" ht="25.9" hidden="false" customHeight="true" outlineLevel="0" collapsed="false">
      <c r="A209" s="1"/>
      <c r="B209" s="2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s="14" customFormat="true" ht="25.9" hidden="false" customHeight="true" outlineLevel="0" collapsed="false">
      <c r="A210" s="1"/>
      <c r="B210" s="2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s="14" customFormat="true" ht="25.9" hidden="false" customHeight="true" outlineLevel="0" collapsed="false">
      <c r="A211" s="1"/>
      <c r="B211" s="2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s="14" customFormat="true" ht="25.9" hidden="false" customHeight="true" outlineLevel="0" collapsed="false">
      <c r="A212" s="1"/>
      <c r="B212" s="2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s="14" customFormat="true" ht="25.9" hidden="false" customHeight="true" outlineLevel="0" collapsed="false">
      <c r="A213" s="1"/>
      <c r="B213" s="2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s="14" customFormat="true" ht="25.9" hidden="false" customHeight="true" outlineLevel="0" collapsed="false">
      <c r="A214" s="1"/>
      <c r="B214" s="2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s="14" customFormat="true" ht="25.9" hidden="false" customHeight="true" outlineLevel="0" collapsed="false">
      <c r="A215" s="1"/>
      <c r="B215" s="2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s="14" customFormat="true" ht="25.9" hidden="false" customHeight="true" outlineLevel="0" collapsed="false">
      <c r="A216" s="1"/>
      <c r="B216" s="2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s="14" customFormat="true" ht="25.9" hidden="false" customHeight="true" outlineLevel="0" collapsed="false">
      <c r="A217" s="1"/>
      <c r="B217" s="2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s="14" customFormat="true" ht="25.9" hidden="false" customHeight="true" outlineLevel="0" collapsed="false">
      <c r="A218" s="1"/>
      <c r="B218" s="2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s="14" customFormat="true" ht="25.9" hidden="false" customHeight="true" outlineLevel="0" collapsed="false">
      <c r="A219" s="1"/>
      <c r="B219" s="2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s="14" customFormat="true" ht="25.9" hidden="false" customHeight="true" outlineLevel="0" collapsed="false">
      <c r="A220" s="1"/>
      <c r="B220" s="2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s="14" customFormat="true" ht="25.9" hidden="false" customHeight="true" outlineLevel="0" collapsed="false">
      <c r="A221" s="1"/>
      <c r="B221" s="2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s="14" customFormat="true" ht="25.9" hidden="false" customHeight="true" outlineLevel="0" collapsed="false">
      <c r="A222" s="1"/>
      <c r="B222" s="2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s="14" customFormat="true" ht="25.9" hidden="false" customHeight="true" outlineLevel="0" collapsed="false">
      <c r="A223" s="1"/>
      <c r="B223" s="2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s="14" customFormat="true" ht="25.9" hidden="false" customHeight="true" outlineLevel="0" collapsed="false">
      <c r="A224" s="1"/>
      <c r="B224" s="2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s="14" customFormat="true" ht="25.9" hidden="false" customHeight="true" outlineLevel="0" collapsed="false">
      <c r="A225" s="1"/>
      <c r="B225" s="2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s="14" customFormat="true" ht="25.9" hidden="false" customHeight="true" outlineLevel="0" collapsed="false">
      <c r="A226" s="1"/>
      <c r="B226" s="2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s="14" customFormat="true" ht="25.9" hidden="false" customHeight="true" outlineLevel="0" collapsed="false">
      <c r="A227" s="1"/>
      <c r="B227" s="2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s="14" customFormat="true" ht="25.9" hidden="false" customHeight="true" outlineLevel="0" collapsed="false">
      <c r="A228" s="1"/>
      <c r="B228" s="2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s="14" customFormat="true" ht="25.9" hidden="false" customHeight="true" outlineLevel="0" collapsed="false">
      <c r="A229" s="1"/>
      <c r="B229" s="2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s="14" customFormat="true" ht="25.9" hidden="false" customHeight="true" outlineLevel="0" collapsed="false">
      <c r="A230" s="1"/>
      <c r="B230" s="2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s="14" customFormat="true" ht="25.9" hidden="false" customHeight="true" outlineLevel="0" collapsed="false">
      <c r="A231" s="1"/>
      <c r="B231" s="2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s="14" customFormat="true" ht="25.9" hidden="false" customHeight="true" outlineLevel="0" collapsed="false">
      <c r="A232" s="1"/>
      <c r="B232" s="2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s="14" customFormat="true" ht="25.9" hidden="false" customHeight="true" outlineLevel="0" collapsed="false">
      <c r="A233" s="1"/>
      <c r="B233" s="2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s="14" customFormat="true" ht="25.9" hidden="false" customHeight="true" outlineLevel="0" collapsed="false">
      <c r="A234" s="1"/>
      <c r="B234" s="2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s="14" customFormat="true" ht="25.9" hidden="false" customHeight="true" outlineLevel="0" collapsed="false">
      <c r="A235" s="1"/>
      <c r="B235" s="2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s="14" customFormat="true" ht="25.9" hidden="false" customHeight="true" outlineLevel="0" collapsed="false">
      <c r="A236" s="1"/>
      <c r="B236" s="2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s="14" customFormat="true" ht="25.9" hidden="false" customHeight="true" outlineLevel="0" collapsed="false">
      <c r="A237" s="1"/>
      <c r="B237" s="2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s="14" customFormat="true" ht="25.9" hidden="false" customHeight="true" outlineLevel="0" collapsed="false">
      <c r="A238" s="1"/>
      <c r="B238" s="2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s="14" customFormat="true" ht="25.9" hidden="false" customHeight="true" outlineLevel="0" collapsed="false">
      <c r="A239" s="1"/>
      <c r="B239" s="2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s="14" customFormat="true" ht="25.9" hidden="false" customHeight="true" outlineLevel="0" collapsed="false">
      <c r="A240" s="1"/>
      <c r="B240" s="2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s="14" customFormat="true" ht="25.9" hidden="false" customHeight="true" outlineLevel="0" collapsed="false">
      <c r="A241" s="1"/>
      <c r="B241" s="2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s="14" customFormat="true" ht="25.9" hidden="false" customHeight="true" outlineLevel="0" collapsed="false">
      <c r="A242" s="1"/>
      <c r="B242" s="2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s="14" customFormat="true" ht="25.9" hidden="false" customHeight="true" outlineLevel="0" collapsed="false">
      <c r="A243" s="1"/>
      <c r="B243" s="2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s="14" customFormat="true" ht="25.9" hidden="false" customHeight="true" outlineLevel="0" collapsed="false">
      <c r="A244" s="1"/>
      <c r="B244" s="2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s="14" customFormat="true" ht="25.9" hidden="false" customHeight="true" outlineLevel="0" collapsed="false">
      <c r="A245" s="1"/>
      <c r="B245" s="2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s="14" customFormat="true" ht="25.9" hidden="false" customHeight="true" outlineLevel="0" collapsed="false">
      <c r="A246" s="1"/>
      <c r="B246" s="2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s="14" customFormat="true" ht="25.9" hidden="false" customHeight="true" outlineLevel="0" collapsed="false">
      <c r="A247" s="1"/>
      <c r="B247" s="2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s="14" customFormat="true" ht="25.9" hidden="false" customHeight="true" outlineLevel="0" collapsed="false">
      <c r="A248" s="1"/>
      <c r="B248" s="2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s="14" customFormat="true" ht="25.9" hidden="false" customHeight="true" outlineLevel="0" collapsed="false">
      <c r="A249" s="1"/>
      <c r="B249" s="2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s="14" customFormat="true" ht="25.9" hidden="false" customHeight="true" outlineLevel="0" collapsed="false">
      <c r="A250" s="1"/>
      <c r="B250" s="2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s="14" customFormat="true" ht="25.9" hidden="false" customHeight="true" outlineLevel="0" collapsed="false">
      <c r="A251" s="1"/>
      <c r="B251" s="2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s="14" customFormat="true" ht="25.9" hidden="false" customHeight="true" outlineLevel="0" collapsed="false">
      <c r="A252" s="1"/>
      <c r="B252" s="2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s="14" customFormat="true" ht="25.9" hidden="false" customHeight="true" outlineLevel="0" collapsed="false">
      <c r="A253" s="1"/>
      <c r="B253" s="2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s="14" customFormat="true" ht="25.9" hidden="false" customHeight="true" outlineLevel="0" collapsed="false">
      <c r="A254" s="1"/>
      <c r="B254" s="2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s="14" customFormat="true" ht="25.9" hidden="false" customHeight="true" outlineLevel="0" collapsed="false">
      <c r="A255" s="1"/>
      <c r="B255" s="2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s="14" customFormat="true" ht="25.9" hidden="false" customHeight="true" outlineLevel="0" collapsed="false">
      <c r="A256" s="1"/>
      <c r="B256" s="2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s="14" customFormat="true" ht="25.9" hidden="false" customHeight="true" outlineLevel="0" collapsed="false">
      <c r="A257" s="1"/>
      <c r="B257" s="2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s="14" customFormat="true" ht="25.9" hidden="false" customHeight="true" outlineLevel="0" collapsed="false">
      <c r="A258" s="1"/>
      <c r="B258" s="2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s="14" customFormat="true" ht="25.9" hidden="false" customHeight="true" outlineLevel="0" collapsed="false">
      <c r="A259" s="1"/>
      <c r="B259" s="2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s="14" customFormat="true" ht="25.9" hidden="false" customHeight="true" outlineLevel="0" collapsed="false">
      <c r="A260" s="1"/>
      <c r="B260" s="2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s="14" customFormat="true" ht="25.9" hidden="false" customHeight="true" outlineLevel="0" collapsed="false">
      <c r="A261" s="1"/>
      <c r="B261" s="2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s="14" customFormat="true" ht="25.9" hidden="false" customHeight="true" outlineLevel="0" collapsed="false">
      <c r="A262" s="1"/>
      <c r="B262" s="2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s="14" customFormat="true" ht="25.9" hidden="false" customHeight="true" outlineLevel="0" collapsed="false">
      <c r="A263" s="1"/>
      <c r="B263" s="2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s="14" customFormat="true" ht="25.9" hidden="false" customHeight="true" outlineLevel="0" collapsed="false">
      <c r="A264" s="1"/>
      <c r="B264" s="2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s="14" customFormat="true" ht="25.9" hidden="false" customHeight="true" outlineLevel="0" collapsed="false">
      <c r="A265" s="1"/>
      <c r="B265" s="2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s="14" customFormat="true" ht="25.9" hidden="false" customHeight="true" outlineLevel="0" collapsed="false">
      <c r="A266" s="1"/>
      <c r="B266" s="2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s="14" customFormat="true" ht="25.9" hidden="false" customHeight="true" outlineLevel="0" collapsed="false">
      <c r="A267" s="1"/>
      <c r="B267" s="2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s="14" customFormat="true" ht="25.9" hidden="false" customHeight="true" outlineLevel="0" collapsed="false">
      <c r="A268" s="1"/>
      <c r="B268" s="2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s="14" customFormat="true" ht="25.9" hidden="false" customHeight="true" outlineLevel="0" collapsed="false">
      <c r="A269" s="1"/>
      <c r="B269" s="2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s="14" customFormat="true" ht="25.9" hidden="false" customHeight="true" outlineLevel="0" collapsed="false">
      <c r="A270" s="1"/>
      <c r="B270" s="2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s="14" customFormat="true" ht="25.9" hidden="false" customHeight="true" outlineLevel="0" collapsed="false">
      <c r="A271" s="1"/>
      <c r="B271" s="2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s="14" customFormat="true" ht="25.9" hidden="false" customHeight="true" outlineLevel="0" collapsed="false">
      <c r="A272" s="1"/>
      <c r="B272" s="2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s="14" customFormat="true" ht="25.9" hidden="false" customHeight="true" outlineLevel="0" collapsed="false">
      <c r="A273" s="1"/>
      <c r="B273" s="2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s="14" customFormat="true" ht="25.9" hidden="false" customHeight="true" outlineLevel="0" collapsed="false">
      <c r="A274" s="1"/>
      <c r="B274" s="2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s="14" customFormat="true" ht="25.9" hidden="false" customHeight="true" outlineLevel="0" collapsed="false">
      <c r="A275" s="1"/>
      <c r="B275" s="2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s="14" customFormat="true" ht="25.9" hidden="false" customHeight="true" outlineLevel="0" collapsed="false">
      <c r="A276" s="1"/>
      <c r="B276" s="2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s="14" customFormat="true" ht="25.9" hidden="false" customHeight="true" outlineLevel="0" collapsed="false">
      <c r="A277" s="1"/>
      <c r="B277" s="2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s="14" customFormat="true" ht="25.9" hidden="false" customHeight="true" outlineLevel="0" collapsed="false">
      <c r="A278" s="1"/>
      <c r="B278" s="2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s="14" customFormat="true" ht="25.9" hidden="false" customHeight="true" outlineLevel="0" collapsed="false">
      <c r="A279" s="1"/>
      <c r="B279" s="2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s="14" customFormat="true" ht="25.9" hidden="false" customHeight="true" outlineLevel="0" collapsed="false">
      <c r="A280" s="1"/>
      <c r="B280" s="2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s="14" customFormat="true" ht="25.9" hidden="false" customHeight="true" outlineLevel="0" collapsed="false">
      <c r="A281" s="1"/>
      <c r="B281" s="2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s="14" customFormat="true" ht="25.9" hidden="false" customHeight="true" outlineLevel="0" collapsed="false">
      <c r="A282" s="1"/>
      <c r="B282" s="2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s="14" customFormat="true" ht="25.9" hidden="false" customHeight="true" outlineLevel="0" collapsed="false">
      <c r="A283" s="1"/>
      <c r="B283" s="2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s="14" customFormat="true" ht="25.9" hidden="false" customHeight="true" outlineLevel="0" collapsed="false">
      <c r="A284" s="1"/>
      <c r="B284" s="2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s="14" customFormat="true" ht="25.9" hidden="false" customHeight="true" outlineLevel="0" collapsed="false">
      <c r="A285" s="1"/>
      <c r="B285" s="2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s="14" customFormat="true" ht="25.9" hidden="false" customHeight="true" outlineLevel="0" collapsed="false">
      <c r="A286" s="1"/>
      <c r="B286" s="2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s="14" customFormat="true" ht="25.9" hidden="false" customHeight="true" outlineLevel="0" collapsed="false">
      <c r="A287" s="1"/>
      <c r="B287" s="2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s="14" customFormat="true" ht="25.9" hidden="false" customHeight="true" outlineLevel="0" collapsed="false">
      <c r="A288" s="1"/>
      <c r="B288" s="2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s="14" customFormat="true" ht="25.9" hidden="false" customHeight="true" outlineLevel="0" collapsed="false">
      <c r="A289" s="1"/>
      <c r="B289" s="2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s="14" customFormat="true" ht="25.9" hidden="false" customHeight="true" outlineLevel="0" collapsed="false">
      <c r="A290" s="1"/>
      <c r="B290" s="2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s="14" customFormat="true" ht="25.9" hidden="false" customHeight="true" outlineLevel="0" collapsed="false">
      <c r="A291" s="1"/>
      <c r="B291" s="2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s="14" customFormat="true" ht="25.9" hidden="false" customHeight="true" outlineLevel="0" collapsed="false">
      <c r="A292" s="1"/>
      <c r="B292" s="2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s="14" customFormat="true" ht="25.9" hidden="false" customHeight="true" outlineLevel="0" collapsed="false">
      <c r="A293" s="1"/>
      <c r="B293" s="2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s="14" customFormat="true" ht="25.9" hidden="false" customHeight="true" outlineLevel="0" collapsed="false">
      <c r="A294" s="1"/>
      <c r="B294" s="2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s="14" customFormat="true" ht="25.9" hidden="false" customHeight="true" outlineLevel="0" collapsed="false">
      <c r="A295" s="1"/>
      <c r="B295" s="2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s="14" customFormat="true" ht="25.9" hidden="false" customHeight="true" outlineLevel="0" collapsed="false">
      <c r="A296" s="1"/>
      <c r="B296" s="2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s="14" customFormat="true" ht="25.9" hidden="false" customHeight="true" outlineLevel="0" collapsed="false">
      <c r="A297" s="1"/>
      <c r="B297" s="2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s="14" customFormat="true" ht="25.9" hidden="false" customHeight="true" outlineLevel="0" collapsed="false">
      <c r="A298" s="1"/>
      <c r="B298" s="2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s="14" customFormat="true" ht="25.9" hidden="false" customHeight="true" outlineLevel="0" collapsed="false">
      <c r="A299" s="1"/>
      <c r="B299" s="2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s="14" customFormat="true" ht="25.9" hidden="false" customHeight="true" outlineLevel="0" collapsed="false">
      <c r="A300" s="1"/>
      <c r="B300" s="2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s="14" customFormat="true" ht="25.9" hidden="false" customHeight="true" outlineLevel="0" collapsed="false">
      <c r="A301" s="1"/>
      <c r="B301" s="2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s="14" customFormat="true" ht="25.9" hidden="false" customHeight="true" outlineLevel="0" collapsed="false">
      <c r="A302" s="1"/>
      <c r="B302" s="2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s="14" customFormat="true" ht="25.9" hidden="false" customHeight="true" outlineLevel="0" collapsed="false">
      <c r="A303" s="1"/>
      <c r="B303" s="2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s="14" customFormat="true" ht="25.9" hidden="false" customHeight="true" outlineLevel="0" collapsed="false">
      <c r="A304" s="1"/>
      <c r="B304" s="2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s="14" customFormat="true" ht="25.9" hidden="false" customHeight="true" outlineLevel="0" collapsed="false">
      <c r="A305" s="1"/>
      <c r="B305" s="2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s="14" customFormat="true" ht="25.9" hidden="false" customHeight="true" outlineLevel="0" collapsed="false">
      <c r="A306" s="1"/>
      <c r="B306" s="2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s="14" customFormat="true" ht="25.9" hidden="false" customHeight="true" outlineLevel="0" collapsed="false">
      <c r="A307" s="1"/>
      <c r="B307" s="2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s="14" customFormat="true" ht="25.9" hidden="false" customHeight="true" outlineLevel="0" collapsed="false">
      <c r="A308" s="1"/>
      <c r="B308" s="2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s="14" customFormat="true" ht="25.9" hidden="false" customHeight="true" outlineLevel="0" collapsed="false">
      <c r="A309" s="1"/>
      <c r="B309" s="2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s="14" customFormat="true" ht="25.9" hidden="false" customHeight="true" outlineLevel="0" collapsed="false">
      <c r="A310" s="1"/>
      <c r="B310" s="2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s="14" customFormat="true" ht="25.9" hidden="false" customHeight="true" outlineLevel="0" collapsed="false">
      <c r="A311" s="1"/>
      <c r="B311" s="2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s="14" customFormat="true" ht="25.9" hidden="false" customHeight="true" outlineLevel="0" collapsed="false">
      <c r="A312" s="1"/>
      <c r="B312" s="2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s="14" customFormat="true" ht="25.9" hidden="false" customHeight="true" outlineLevel="0" collapsed="false">
      <c r="A313" s="1"/>
      <c r="B313" s="2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s="14" customFormat="true" ht="25.9" hidden="false" customHeight="true" outlineLevel="0" collapsed="false">
      <c r="A314" s="1"/>
      <c r="B314" s="2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s="14" customFormat="true" ht="25.9" hidden="false" customHeight="true" outlineLevel="0" collapsed="false">
      <c r="A315" s="1"/>
      <c r="B315" s="2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s="14" customFormat="true" ht="25.9" hidden="false" customHeight="true" outlineLevel="0" collapsed="false">
      <c r="A316" s="1"/>
      <c r="B316" s="2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s="14" customFormat="true" ht="25.9" hidden="false" customHeight="true" outlineLevel="0" collapsed="false">
      <c r="A317" s="1"/>
      <c r="B317" s="2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s="14" customFormat="true" ht="25.9" hidden="false" customHeight="true" outlineLevel="0" collapsed="false">
      <c r="A318" s="1"/>
      <c r="B318" s="2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s="14" customFormat="true" ht="25.9" hidden="false" customHeight="true" outlineLevel="0" collapsed="false">
      <c r="A319" s="1"/>
      <c r="B319" s="2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s="14" customFormat="true" ht="25.9" hidden="false" customHeight="true" outlineLevel="0" collapsed="false">
      <c r="A320" s="1"/>
      <c r="B320" s="2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s="14" customFormat="true" ht="25.9" hidden="false" customHeight="true" outlineLevel="0" collapsed="false">
      <c r="A321" s="1"/>
      <c r="B321" s="2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s="14" customFormat="true" ht="25.9" hidden="false" customHeight="true" outlineLevel="0" collapsed="false">
      <c r="A322" s="1"/>
      <c r="B322" s="2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s="14" customFormat="true" ht="25.9" hidden="false" customHeight="true" outlineLevel="0" collapsed="false">
      <c r="A323" s="1"/>
      <c r="B323" s="2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s="14" customFormat="true" ht="25.9" hidden="false" customHeight="true" outlineLevel="0" collapsed="false">
      <c r="A324" s="1"/>
      <c r="B324" s="2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s="14" customFormat="true" ht="25.9" hidden="false" customHeight="true" outlineLevel="0" collapsed="false">
      <c r="A325" s="1"/>
      <c r="B325" s="2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s="14" customFormat="true" ht="25.9" hidden="false" customHeight="true" outlineLevel="0" collapsed="false">
      <c r="A326" s="1"/>
      <c r="B326" s="2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s="14" customFormat="true" ht="25.9" hidden="false" customHeight="true" outlineLevel="0" collapsed="false">
      <c r="A327" s="1"/>
      <c r="B327" s="2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s="14" customFormat="true" ht="25.9" hidden="false" customHeight="true" outlineLevel="0" collapsed="false">
      <c r="A328" s="1"/>
      <c r="B328" s="2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s="14" customFormat="true" ht="25.9" hidden="false" customHeight="true" outlineLevel="0" collapsed="false">
      <c r="A329" s="1"/>
      <c r="B329" s="2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s="14" customFormat="true" ht="25.9" hidden="false" customHeight="true" outlineLevel="0" collapsed="false">
      <c r="A330" s="1"/>
      <c r="B330" s="2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s="14" customFormat="true" ht="25.9" hidden="false" customHeight="true" outlineLevel="0" collapsed="false">
      <c r="A331" s="1"/>
      <c r="B331" s="2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s="14" customFormat="true" ht="25.9" hidden="false" customHeight="true" outlineLevel="0" collapsed="false">
      <c r="A332" s="1"/>
      <c r="B332" s="2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s="14" customFormat="true" ht="25.9" hidden="false" customHeight="true" outlineLevel="0" collapsed="false">
      <c r="A333" s="1"/>
      <c r="B333" s="2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s="14" customFormat="true" ht="25.9" hidden="false" customHeight="true" outlineLevel="0" collapsed="false">
      <c r="A334" s="1"/>
      <c r="B334" s="2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s="14" customFormat="true" ht="25.9" hidden="false" customHeight="true" outlineLevel="0" collapsed="false">
      <c r="A335" s="1"/>
      <c r="B335" s="2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s="14" customFormat="true" ht="25.9" hidden="false" customHeight="true" outlineLevel="0" collapsed="false">
      <c r="A336" s="1"/>
      <c r="B336" s="2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s="14" customFormat="true" ht="25.9" hidden="false" customHeight="true" outlineLevel="0" collapsed="false">
      <c r="A337" s="1"/>
      <c r="B337" s="2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s="14" customFormat="true" ht="25.9" hidden="false" customHeight="true" outlineLevel="0" collapsed="false">
      <c r="A338" s="1"/>
      <c r="B338" s="2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s="14" customFormat="true" ht="25.9" hidden="false" customHeight="true" outlineLevel="0" collapsed="false">
      <c r="A339" s="1"/>
      <c r="B339" s="2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s="14" customFormat="true" ht="25.9" hidden="false" customHeight="true" outlineLevel="0" collapsed="false">
      <c r="A340" s="1"/>
      <c r="B340" s="2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s="14" customFormat="true" ht="25.9" hidden="false" customHeight="true" outlineLevel="0" collapsed="false">
      <c r="A341" s="1"/>
      <c r="B341" s="2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s="14" customFormat="true" ht="25.9" hidden="false" customHeight="true" outlineLevel="0" collapsed="false">
      <c r="A342" s="1"/>
      <c r="B342" s="2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s="14" customFormat="true" ht="25.9" hidden="false" customHeight="true" outlineLevel="0" collapsed="false">
      <c r="A343" s="1"/>
      <c r="B343" s="2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s="14" customFormat="true" ht="25.9" hidden="false" customHeight="true" outlineLevel="0" collapsed="false">
      <c r="A344" s="1"/>
      <c r="B344" s="2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s="14" customFormat="true" ht="25.9" hidden="false" customHeight="true" outlineLevel="0" collapsed="false">
      <c r="A345" s="1"/>
      <c r="B345" s="2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s="14" customFormat="true" ht="25.9" hidden="false" customHeight="true" outlineLevel="0" collapsed="false">
      <c r="A346" s="1"/>
      <c r="B346" s="2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s="14" customFormat="true" ht="25.9" hidden="false" customHeight="true" outlineLevel="0" collapsed="false">
      <c r="A347" s="1"/>
      <c r="B347" s="2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s="14" customFormat="true" ht="25.9" hidden="false" customHeight="true" outlineLevel="0" collapsed="false">
      <c r="A348" s="1"/>
      <c r="B348" s="2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s="14" customFormat="true" ht="25.9" hidden="false" customHeight="true" outlineLevel="0" collapsed="false">
      <c r="A349" s="1"/>
      <c r="B349" s="2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s="14" customFormat="true" ht="25.9" hidden="false" customHeight="true" outlineLevel="0" collapsed="false">
      <c r="A350" s="1"/>
      <c r="B350" s="2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s="14" customFormat="true" ht="25.9" hidden="false" customHeight="true" outlineLevel="0" collapsed="false">
      <c r="A351" s="1"/>
      <c r="B351" s="2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s="14" customFormat="true" ht="25.9" hidden="false" customHeight="true" outlineLevel="0" collapsed="false">
      <c r="A352" s="1"/>
      <c r="B352" s="2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s="14" customFormat="true" ht="25.9" hidden="false" customHeight="true" outlineLevel="0" collapsed="false">
      <c r="A353" s="1"/>
      <c r="B353" s="2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s="14" customFormat="true" ht="25.9" hidden="false" customHeight="true" outlineLevel="0" collapsed="false">
      <c r="A354" s="1"/>
      <c r="B354" s="2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s="14" customFormat="true" ht="25.9" hidden="false" customHeight="true" outlineLevel="0" collapsed="false">
      <c r="A355" s="1"/>
      <c r="B355" s="2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s="14" customFormat="true" ht="25.9" hidden="false" customHeight="true" outlineLevel="0" collapsed="false">
      <c r="A356" s="1"/>
      <c r="B356" s="2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s="14" customFormat="true" ht="25.9" hidden="false" customHeight="true" outlineLevel="0" collapsed="false">
      <c r="A357" s="1"/>
      <c r="B357" s="2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s="14" customFormat="true" ht="25.9" hidden="false" customHeight="true" outlineLevel="0" collapsed="false">
      <c r="A358" s="1"/>
      <c r="B358" s="2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s="14" customFormat="true" ht="25.9" hidden="false" customHeight="true" outlineLevel="0" collapsed="false">
      <c r="A359" s="1"/>
      <c r="B359" s="2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s="14" customFormat="true" ht="25.9" hidden="false" customHeight="true" outlineLevel="0" collapsed="false">
      <c r="A360" s="1"/>
      <c r="B360" s="2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s="14" customFormat="true" ht="25.9" hidden="false" customHeight="true" outlineLevel="0" collapsed="false">
      <c r="A361" s="1"/>
      <c r="B361" s="2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s="14" customFormat="true" ht="25.9" hidden="false" customHeight="true" outlineLevel="0" collapsed="false">
      <c r="A362" s="1"/>
      <c r="B362" s="2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s="14" customFormat="true" ht="25.9" hidden="false" customHeight="true" outlineLevel="0" collapsed="false">
      <c r="A363" s="1"/>
      <c r="B363" s="2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s="14" customFormat="true" ht="25.9" hidden="false" customHeight="true" outlineLevel="0" collapsed="false">
      <c r="A364" s="1"/>
      <c r="B364" s="2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s="14" customFormat="true" ht="25.9" hidden="false" customHeight="true" outlineLevel="0" collapsed="false">
      <c r="A365" s="1"/>
      <c r="B365" s="2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s="14" customFormat="true" ht="25.9" hidden="false" customHeight="true" outlineLevel="0" collapsed="false">
      <c r="A366" s="1"/>
      <c r="B366" s="2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s="14" customFormat="true" ht="25.9" hidden="false" customHeight="true" outlineLevel="0" collapsed="false">
      <c r="A367" s="1"/>
      <c r="B367" s="2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s="14" customFormat="true" ht="25.9" hidden="false" customHeight="true" outlineLevel="0" collapsed="false">
      <c r="A368" s="1"/>
      <c r="B368" s="2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s="14" customFormat="true" ht="25.9" hidden="false" customHeight="true" outlineLevel="0" collapsed="false">
      <c r="A369" s="1"/>
      <c r="B369" s="2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s="14" customFormat="true" ht="25.9" hidden="false" customHeight="true" outlineLevel="0" collapsed="false">
      <c r="A370" s="1"/>
      <c r="B370" s="2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s="14" customFormat="true" ht="25.9" hidden="false" customHeight="true" outlineLevel="0" collapsed="false">
      <c r="A371" s="1"/>
      <c r="B371" s="2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s="14" customFormat="true" ht="25.9" hidden="false" customHeight="true" outlineLevel="0" collapsed="false">
      <c r="A372" s="1"/>
      <c r="B372" s="2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s="14" customFormat="true" ht="25.9" hidden="false" customHeight="true" outlineLevel="0" collapsed="false">
      <c r="A373" s="1"/>
      <c r="B373" s="2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s="14" customFormat="true" ht="25.9" hidden="false" customHeight="true" outlineLevel="0" collapsed="false">
      <c r="A374" s="1"/>
      <c r="B374" s="2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s="14" customFormat="true" ht="25.9" hidden="false" customHeight="true" outlineLevel="0" collapsed="false">
      <c r="A375" s="1"/>
      <c r="B375" s="2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s="14" customFormat="true" ht="25.9" hidden="false" customHeight="true" outlineLevel="0" collapsed="false">
      <c r="A376" s="1"/>
      <c r="B376" s="2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s="14" customFormat="true" ht="25.9" hidden="false" customHeight="true" outlineLevel="0" collapsed="false">
      <c r="A377" s="1"/>
      <c r="B377" s="2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s="14" customFormat="true" ht="25.9" hidden="false" customHeight="true" outlineLevel="0" collapsed="false">
      <c r="A378" s="1"/>
      <c r="B378" s="2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s="14" customFormat="true" ht="25.9" hidden="false" customHeight="true" outlineLevel="0" collapsed="false">
      <c r="A379" s="1"/>
      <c r="B379" s="2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s="14" customFormat="true" ht="25.9" hidden="false" customHeight="true" outlineLevel="0" collapsed="false">
      <c r="A380" s="1"/>
      <c r="B380" s="2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s="14" customFormat="true" ht="25.9" hidden="false" customHeight="true" outlineLevel="0" collapsed="false">
      <c r="A381" s="1"/>
      <c r="B381" s="2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s="14" customFormat="true" ht="25.9" hidden="false" customHeight="true" outlineLevel="0" collapsed="false">
      <c r="A382" s="1"/>
      <c r="B382" s="2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s="14" customFormat="true" ht="25.9" hidden="false" customHeight="true" outlineLevel="0" collapsed="false">
      <c r="A383" s="1"/>
      <c r="B383" s="2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s="14" customFormat="true" ht="25.9" hidden="false" customHeight="true" outlineLevel="0" collapsed="false">
      <c r="A384" s="1"/>
      <c r="B384" s="2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s="14" customFormat="true" ht="25.9" hidden="false" customHeight="true" outlineLevel="0" collapsed="false">
      <c r="A385" s="1"/>
      <c r="B385" s="2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s="14" customFormat="true" ht="25.9" hidden="false" customHeight="true" outlineLevel="0" collapsed="false">
      <c r="A386" s="1"/>
      <c r="B386" s="2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s="14" customFormat="true" ht="25.9" hidden="false" customHeight="true" outlineLevel="0" collapsed="false">
      <c r="A387" s="1"/>
      <c r="B387" s="2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s="14" customFormat="true" ht="25.9" hidden="false" customHeight="true" outlineLevel="0" collapsed="false">
      <c r="A388" s="1"/>
      <c r="B388" s="2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s="14" customFormat="true" ht="25.9" hidden="false" customHeight="true" outlineLevel="0" collapsed="false">
      <c r="A389" s="1"/>
      <c r="B389" s="2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s="14" customFormat="true" ht="25.9" hidden="false" customHeight="true" outlineLevel="0" collapsed="false">
      <c r="A390" s="1"/>
      <c r="B390" s="2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s="14" customFormat="true" ht="25.9" hidden="false" customHeight="true" outlineLevel="0" collapsed="false">
      <c r="A391" s="1"/>
      <c r="B391" s="2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s="14" customFormat="true" ht="25.9" hidden="false" customHeight="true" outlineLevel="0" collapsed="false">
      <c r="A392" s="1"/>
      <c r="B392" s="2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s="14" customFormat="true" ht="25.9" hidden="false" customHeight="true" outlineLevel="0" collapsed="false">
      <c r="A393" s="1"/>
      <c r="B393" s="2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s="14" customFormat="true" ht="25.9" hidden="false" customHeight="true" outlineLevel="0" collapsed="false">
      <c r="A394" s="1"/>
      <c r="B394" s="2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s="14" customFormat="true" ht="25.9" hidden="false" customHeight="true" outlineLevel="0" collapsed="false">
      <c r="A395" s="1"/>
      <c r="B395" s="2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s="14" customFormat="true" ht="25.9" hidden="false" customHeight="true" outlineLevel="0" collapsed="false">
      <c r="A396" s="1"/>
      <c r="B396" s="2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s="14" customFormat="true" ht="25.9" hidden="false" customHeight="true" outlineLevel="0" collapsed="false">
      <c r="A397" s="1"/>
      <c r="B397" s="2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s="14" customFormat="true" ht="25.9" hidden="false" customHeight="true" outlineLevel="0" collapsed="false">
      <c r="A398" s="1"/>
      <c r="B398" s="2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s="14" customFormat="true" ht="25.9" hidden="false" customHeight="true" outlineLevel="0" collapsed="false">
      <c r="A399" s="1"/>
      <c r="B399" s="2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s="14" customFormat="true" ht="25.9" hidden="false" customHeight="true" outlineLevel="0" collapsed="false">
      <c r="A400" s="1"/>
      <c r="B400" s="2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s="14" customFormat="true" ht="25.9" hidden="false" customHeight="true" outlineLevel="0" collapsed="false">
      <c r="A401" s="1"/>
      <c r="B401" s="2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s="14" customFormat="true" ht="25.9" hidden="false" customHeight="true" outlineLevel="0" collapsed="false">
      <c r="A402" s="1"/>
      <c r="B402" s="2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s="14" customFormat="true" ht="25.9" hidden="false" customHeight="true" outlineLevel="0" collapsed="false">
      <c r="A403" s="1"/>
      <c r="B403" s="2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s="14" customFormat="true" ht="25.9" hidden="false" customHeight="true" outlineLevel="0" collapsed="false">
      <c r="A404" s="1"/>
      <c r="B404" s="2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s="14" customFormat="true" ht="25.9" hidden="false" customHeight="true" outlineLevel="0" collapsed="false">
      <c r="A405" s="1"/>
      <c r="B405" s="2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s="14" customFormat="true" ht="25.9" hidden="false" customHeight="true" outlineLevel="0" collapsed="false">
      <c r="A406" s="1"/>
      <c r="B406" s="2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s="14" customFormat="true" ht="25.9" hidden="false" customHeight="true" outlineLevel="0" collapsed="false">
      <c r="A407" s="1"/>
      <c r="B407" s="2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s="14" customFormat="true" ht="25.9" hidden="false" customHeight="true" outlineLevel="0" collapsed="false">
      <c r="A408" s="1"/>
      <c r="B408" s="2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s="14" customFormat="true" ht="25.9" hidden="false" customHeight="true" outlineLevel="0" collapsed="false">
      <c r="A409" s="1"/>
      <c r="B409" s="2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s="14" customFormat="true" ht="25.9" hidden="false" customHeight="true" outlineLevel="0" collapsed="false">
      <c r="A410" s="1"/>
      <c r="B410" s="2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s="14" customFormat="true" ht="25.9" hidden="false" customHeight="true" outlineLevel="0" collapsed="false">
      <c r="A411" s="1"/>
      <c r="B411" s="2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s="14" customFormat="true" ht="25.9" hidden="false" customHeight="true" outlineLevel="0" collapsed="false">
      <c r="A412" s="1"/>
      <c r="B412" s="2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s="14" customFormat="true" ht="25.9" hidden="false" customHeight="true" outlineLevel="0" collapsed="false">
      <c r="A413" s="1"/>
      <c r="B413" s="2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s="14" customFormat="true" ht="25.9" hidden="false" customHeight="true" outlineLevel="0" collapsed="false">
      <c r="A414" s="1"/>
      <c r="B414" s="2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s="14" customFormat="true" ht="25.9" hidden="false" customHeight="true" outlineLevel="0" collapsed="false">
      <c r="A415" s="1"/>
      <c r="B415" s="2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s="14" customFormat="true" ht="25.9" hidden="false" customHeight="true" outlineLevel="0" collapsed="false">
      <c r="A416" s="1"/>
      <c r="B416" s="2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s="14" customFormat="true" ht="25.9" hidden="false" customHeight="true" outlineLevel="0" collapsed="false">
      <c r="A417" s="1"/>
      <c r="B417" s="2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s="14" customFormat="true" ht="25.9" hidden="false" customHeight="true" outlineLevel="0" collapsed="false">
      <c r="A418" s="1"/>
      <c r="B418" s="2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s="14" customFormat="true" ht="25.9" hidden="false" customHeight="true" outlineLevel="0" collapsed="false">
      <c r="A419" s="1"/>
      <c r="B419" s="2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s="14" customFormat="true" ht="25.9" hidden="false" customHeight="true" outlineLevel="0" collapsed="false">
      <c r="A420" s="1"/>
      <c r="B420" s="2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s="14" customFormat="true" ht="25.9" hidden="false" customHeight="true" outlineLevel="0" collapsed="false">
      <c r="A421" s="1"/>
      <c r="B421" s="2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s="14" customFormat="true" ht="25.9" hidden="false" customHeight="true" outlineLevel="0" collapsed="false">
      <c r="A422" s="1"/>
      <c r="B422" s="2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s="14" customFormat="true" ht="25.9" hidden="false" customHeight="true" outlineLevel="0" collapsed="false">
      <c r="A423" s="1"/>
      <c r="B423" s="2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s="14" customFormat="true" ht="25.9" hidden="false" customHeight="true" outlineLevel="0" collapsed="false">
      <c r="A424" s="1"/>
      <c r="B424" s="2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s="14" customFormat="true" ht="25.9" hidden="false" customHeight="true" outlineLevel="0" collapsed="false">
      <c r="A425" s="1"/>
      <c r="B425" s="2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s="14" customFormat="true" ht="25.9" hidden="false" customHeight="true" outlineLevel="0" collapsed="false">
      <c r="A426" s="1"/>
      <c r="B426" s="2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s="14" customFormat="true" ht="25.9" hidden="false" customHeight="true" outlineLevel="0" collapsed="false">
      <c r="A427" s="1"/>
      <c r="B427" s="2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s="14" customFormat="true" ht="25.9" hidden="false" customHeight="true" outlineLevel="0" collapsed="false">
      <c r="A428" s="1"/>
      <c r="B428" s="2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s="14" customFormat="true" ht="25.9" hidden="false" customHeight="true" outlineLevel="0" collapsed="false">
      <c r="A429" s="1"/>
      <c r="B429" s="2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s="14" customFormat="true" ht="25.9" hidden="false" customHeight="true" outlineLevel="0" collapsed="false">
      <c r="A430" s="1"/>
      <c r="B430" s="2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s="14" customFormat="true" ht="25.9" hidden="false" customHeight="true" outlineLevel="0" collapsed="false">
      <c r="A431" s="1"/>
      <c r="B431" s="2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s="14" customFormat="true" ht="25.9" hidden="false" customHeight="true" outlineLevel="0" collapsed="false">
      <c r="A432" s="1"/>
      <c r="B432" s="2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s="14" customFormat="true" ht="25.9" hidden="false" customHeight="true" outlineLevel="0" collapsed="false">
      <c r="A433" s="1"/>
      <c r="B433" s="2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s="14" customFormat="true" ht="25.9" hidden="false" customHeight="true" outlineLevel="0" collapsed="false">
      <c r="A434" s="1"/>
      <c r="B434" s="2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s="14" customFormat="true" ht="25.9" hidden="false" customHeight="true" outlineLevel="0" collapsed="false">
      <c r="A435" s="1"/>
      <c r="B435" s="2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s="14" customFormat="true" ht="25.9" hidden="false" customHeight="true" outlineLevel="0" collapsed="false">
      <c r="A436" s="1"/>
      <c r="B436" s="2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s="14" customFormat="true" ht="25.9" hidden="false" customHeight="true" outlineLevel="0" collapsed="false">
      <c r="A437" s="1"/>
      <c r="B437" s="2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s="14" customFormat="true" ht="25.9" hidden="false" customHeight="true" outlineLevel="0" collapsed="false">
      <c r="A438" s="1"/>
      <c r="B438" s="2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s="14" customFormat="true" ht="25.9" hidden="false" customHeight="true" outlineLevel="0" collapsed="false">
      <c r="A439" s="1"/>
      <c r="B439" s="2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s="14" customFormat="true" ht="25.9" hidden="false" customHeight="true" outlineLevel="0" collapsed="false">
      <c r="A440" s="1"/>
      <c r="B440" s="2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s="14" customFormat="true" ht="25.9" hidden="false" customHeight="true" outlineLevel="0" collapsed="false">
      <c r="A441" s="1"/>
      <c r="B441" s="2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s="14" customFormat="true" ht="25.9" hidden="false" customHeight="true" outlineLevel="0" collapsed="false">
      <c r="A442" s="1"/>
      <c r="B442" s="2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s="14" customFormat="true" ht="25.9" hidden="false" customHeight="true" outlineLevel="0" collapsed="false">
      <c r="A443" s="1"/>
      <c r="B443" s="2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s="14" customFormat="true" ht="25.9" hidden="false" customHeight="true" outlineLevel="0" collapsed="false">
      <c r="A444" s="1"/>
      <c r="B444" s="2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s="14" customFormat="true" ht="25.9" hidden="false" customHeight="true" outlineLevel="0" collapsed="false">
      <c r="A445" s="1"/>
      <c r="B445" s="2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s="14" customFormat="true" ht="25.9" hidden="false" customHeight="true" outlineLevel="0" collapsed="false">
      <c r="A446" s="1"/>
      <c r="B446" s="2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s="14" customFormat="true" ht="25.9" hidden="false" customHeight="true" outlineLevel="0" collapsed="false">
      <c r="A447" s="1"/>
      <c r="B447" s="2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s="14" customFormat="true" ht="25.9" hidden="false" customHeight="true" outlineLevel="0" collapsed="false">
      <c r="A448" s="1"/>
      <c r="B448" s="2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s="14" customFormat="true" ht="25.9" hidden="false" customHeight="true" outlineLevel="0" collapsed="false">
      <c r="A449" s="1"/>
      <c r="B449" s="2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s="14" customFormat="true" ht="25.9" hidden="false" customHeight="true" outlineLevel="0" collapsed="false">
      <c r="A450" s="1"/>
      <c r="B450" s="2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s="14" customFormat="true" ht="25.9" hidden="false" customHeight="true" outlineLevel="0" collapsed="false">
      <c r="A451" s="1"/>
      <c r="B451" s="2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s="14" customFormat="true" ht="25.9" hidden="false" customHeight="true" outlineLevel="0" collapsed="false">
      <c r="A452" s="1"/>
      <c r="B452" s="2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s="14" customFormat="true" ht="25.9" hidden="false" customHeight="true" outlineLevel="0" collapsed="false">
      <c r="A453" s="1"/>
      <c r="B453" s="2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s="14" customFormat="true" ht="25.9" hidden="false" customHeight="true" outlineLevel="0" collapsed="false">
      <c r="A454" s="1"/>
      <c r="B454" s="2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s="14" customFormat="true" ht="25.9" hidden="false" customHeight="true" outlineLevel="0" collapsed="false">
      <c r="A455" s="1"/>
      <c r="B455" s="2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s="14" customFormat="true" ht="25.9" hidden="false" customHeight="true" outlineLevel="0" collapsed="false">
      <c r="A456" s="1"/>
      <c r="B456" s="2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s="14" customFormat="true" ht="25.9" hidden="false" customHeight="true" outlineLevel="0" collapsed="false">
      <c r="A457" s="1"/>
      <c r="B457" s="2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s="14" customFormat="true" ht="25.9" hidden="false" customHeight="true" outlineLevel="0" collapsed="false">
      <c r="A458" s="1"/>
      <c r="B458" s="2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s="14" customFormat="true" ht="25.9" hidden="false" customHeight="true" outlineLevel="0" collapsed="false">
      <c r="A459" s="1"/>
      <c r="B459" s="2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s="14" customFormat="true" ht="25.9" hidden="false" customHeight="true" outlineLevel="0" collapsed="false">
      <c r="A460" s="1"/>
      <c r="B460" s="2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s="14" customFormat="true" ht="25.9" hidden="false" customHeight="true" outlineLevel="0" collapsed="false">
      <c r="A461" s="1"/>
      <c r="B461" s="2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s="14" customFormat="true" ht="25.9" hidden="false" customHeight="true" outlineLevel="0" collapsed="false">
      <c r="A462" s="1"/>
      <c r="B462" s="2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s="14" customFormat="true" ht="25.9" hidden="false" customHeight="true" outlineLevel="0" collapsed="false">
      <c r="A463" s="1"/>
      <c r="B463" s="2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s="14" customFormat="true" ht="25.9" hidden="false" customHeight="true" outlineLevel="0" collapsed="false">
      <c r="A464" s="1"/>
      <c r="B464" s="2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s="14" customFormat="true" ht="25.9" hidden="false" customHeight="true" outlineLevel="0" collapsed="false">
      <c r="A465" s="1"/>
      <c r="B465" s="2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s="14" customFormat="true" ht="25.9" hidden="false" customHeight="true" outlineLevel="0" collapsed="false">
      <c r="A466" s="1"/>
      <c r="B466" s="2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s="14" customFormat="true" ht="25.9" hidden="false" customHeight="true" outlineLevel="0" collapsed="false">
      <c r="A467" s="1"/>
      <c r="B467" s="2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s="14" customFormat="true" ht="25.9" hidden="false" customHeight="true" outlineLevel="0" collapsed="false">
      <c r="A468" s="1"/>
      <c r="B468" s="2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s="14" customFormat="true" ht="25.9" hidden="false" customHeight="true" outlineLevel="0" collapsed="false">
      <c r="A469" s="1"/>
      <c r="B469" s="2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s="14" customFormat="true" ht="25.9" hidden="false" customHeight="true" outlineLevel="0" collapsed="false">
      <c r="A470" s="1"/>
      <c r="B470" s="2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s="14" customFormat="true" ht="25.9" hidden="false" customHeight="true" outlineLevel="0" collapsed="false">
      <c r="A471" s="1"/>
      <c r="B471" s="2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s="14" customFormat="true" ht="25.9" hidden="false" customHeight="true" outlineLevel="0" collapsed="false">
      <c r="A472" s="1"/>
      <c r="B472" s="2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s="14" customFormat="true" ht="25.9" hidden="false" customHeight="true" outlineLevel="0" collapsed="false">
      <c r="A473" s="1"/>
      <c r="B473" s="2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s="14" customFormat="true" ht="25.9" hidden="false" customHeight="true" outlineLevel="0" collapsed="false">
      <c r="A474" s="1"/>
      <c r="B474" s="2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s="14" customFormat="true" ht="25.9" hidden="false" customHeight="true" outlineLevel="0" collapsed="false">
      <c r="A475" s="1"/>
      <c r="B475" s="2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s="14" customFormat="true" ht="25.9" hidden="false" customHeight="true" outlineLevel="0" collapsed="false">
      <c r="A476" s="1"/>
      <c r="B476" s="2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s="14" customFormat="true" ht="25.9" hidden="false" customHeight="true" outlineLevel="0" collapsed="false">
      <c r="A477" s="1"/>
      <c r="B477" s="2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s="14" customFormat="true" ht="25.9" hidden="false" customHeight="true" outlineLevel="0" collapsed="false">
      <c r="A478" s="1"/>
      <c r="B478" s="2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s="14" customFormat="true" ht="25.9" hidden="false" customHeight="true" outlineLevel="0" collapsed="false">
      <c r="A479" s="1"/>
      <c r="B479" s="2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s="14" customFormat="true" ht="25.9" hidden="false" customHeight="true" outlineLevel="0" collapsed="false">
      <c r="A480" s="1"/>
      <c r="B480" s="2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s="14" customFormat="true" ht="25.9" hidden="false" customHeight="true" outlineLevel="0" collapsed="false">
      <c r="A481" s="1"/>
      <c r="B481" s="2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s="14" customFormat="true" ht="25.9" hidden="false" customHeight="true" outlineLevel="0" collapsed="false">
      <c r="A482" s="1"/>
      <c r="B482" s="2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s="14" customFormat="true" ht="25.9" hidden="false" customHeight="true" outlineLevel="0" collapsed="false">
      <c r="A483" s="1"/>
      <c r="B483" s="2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s="14" customFormat="true" ht="25.9" hidden="false" customHeight="true" outlineLevel="0" collapsed="false">
      <c r="A484" s="1"/>
      <c r="B484" s="2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s="14" customFormat="true" ht="25.9" hidden="false" customHeight="true" outlineLevel="0" collapsed="false">
      <c r="A485" s="1"/>
      <c r="B485" s="2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s="14" customFormat="true" ht="25.9" hidden="false" customHeight="true" outlineLevel="0" collapsed="false">
      <c r="A486" s="1"/>
      <c r="B486" s="2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s="14" customFormat="true" ht="25.9" hidden="false" customHeight="true" outlineLevel="0" collapsed="false">
      <c r="A487" s="1"/>
      <c r="B487" s="2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s="14" customFormat="true" ht="25.9" hidden="false" customHeight="true" outlineLevel="0" collapsed="false">
      <c r="A488" s="1"/>
      <c r="B488" s="2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s="14" customFormat="true" ht="25.9" hidden="false" customHeight="true" outlineLevel="0" collapsed="false">
      <c r="A489" s="1"/>
      <c r="B489" s="2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s="14" customFormat="true" ht="25.9" hidden="false" customHeight="true" outlineLevel="0" collapsed="false">
      <c r="A490" s="1"/>
      <c r="B490" s="2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s="14" customFormat="true" ht="25.9" hidden="false" customHeight="true" outlineLevel="0" collapsed="false">
      <c r="A491" s="1"/>
      <c r="B491" s="2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s="14" customFormat="true" ht="25.9" hidden="false" customHeight="true" outlineLevel="0" collapsed="false">
      <c r="A492" s="1"/>
      <c r="B492" s="2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s="14" customFormat="true" ht="25.9" hidden="false" customHeight="true" outlineLevel="0" collapsed="false">
      <c r="A493" s="1"/>
      <c r="B493" s="2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s="14" customFormat="true" ht="25.9" hidden="false" customHeight="true" outlineLevel="0" collapsed="false">
      <c r="A494" s="1"/>
      <c r="B494" s="2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s="14" customFormat="true" ht="25.9" hidden="false" customHeight="true" outlineLevel="0" collapsed="false">
      <c r="A495" s="1"/>
      <c r="B495" s="2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s="14" customFormat="true" ht="25.9" hidden="false" customHeight="true" outlineLevel="0" collapsed="false">
      <c r="A496" s="1"/>
      <c r="B496" s="2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s="14" customFormat="true" ht="25.9" hidden="false" customHeight="true" outlineLevel="0" collapsed="false">
      <c r="A497" s="1"/>
      <c r="B497" s="2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s="14" customFormat="true" ht="25.9" hidden="false" customHeight="true" outlineLevel="0" collapsed="false">
      <c r="A498" s="1"/>
      <c r="B498" s="2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s="14" customFormat="true" ht="25.9" hidden="false" customHeight="true" outlineLevel="0" collapsed="false">
      <c r="A499" s="1"/>
      <c r="B499" s="2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s="14" customFormat="true" ht="25.9" hidden="false" customHeight="true" outlineLevel="0" collapsed="false">
      <c r="A500" s="1"/>
      <c r="B500" s="2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s="14" customFormat="true" ht="25.9" hidden="false" customHeight="true" outlineLevel="0" collapsed="false">
      <c r="A501" s="1"/>
      <c r="B501" s="2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s="14" customFormat="true" ht="25.9" hidden="false" customHeight="true" outlineLevel="0" collapsed="false">
      <c r="A502" s="1"/>
      <c r="B502" s="2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s="14" customFormat="true" ht="25.9" hidden="false" customHeight="true" outlineLevel="0" collapsed="false">
      <c r="A503" s="1"/>
      <c r="B503" s="2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s="14" customFormat="true" ht="25.9" hidden="false" customHeight="true" outlineLevel="0" collapsed="false">
      <c r="A504" s="1"/>
      <c r="B504" s="2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s="14" customFormat="true" ht="25.9" hidden="false" customHeight="true" outlineLevel="0" collapsed="false">
      <c r="A505" s="1"/>
      <c r="B505" s="2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s="14" customFormat="true" ht="25.9" hidden="false" customHeight="true" outlineLevel="0" collapsed="false">
      <c r="A506" s="1"/>
      <c r="B506" s="2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s="14" customFormat="true" ht="25.9" hidden="false" customHeight="true" outlineLevel="0" collapsed="false">
      <c r="A507" s="1"/>
      <c r="B507" s="2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s="14" customFormat="true" ht="25.9" hidden="false" customHeight="true" outlineLevel="0" collapsed="false">
      <c r="A508" s="1"/>
      <c r="B508" s="2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s="14" customFormat="true" ht="25.9" hidden="false" customHeight="true" outlineLevel="0" collapsed="false">
      <c r="A509" s="1"/>
      <c r="B509" s="2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s="14" customFormat="true" ht="25.9" hidden="false" customHeight="true" outlineLevel="0" collapsed="false">
      <c r="A510" s="1"/>
      <c r="B510" s="2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s="14" customFormat="true" ht="25.9" hidden="false" customHeight="true" outlineLevel="0" collapsed="false">
      <c r="A511" s="1"/>
      <c r="B511" s="2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s="14" customFormat="true" ht="25.9" hidden="false" customHeight="true" outlineLevel="0" collapsed="false">
      <c r="A512" s="1"/>
      <c r="B512" s="2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s="14" customFormat="true" ht="25.9" hidden="false" customHeight="true" outlineLevel="0" collapsed="false">
      <c r="A513" s="1"/>
      <c r="B513" s="2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s="14" customFormat="true" ht="25.9" hidden="false" customHeight="true" outlineLevel="0" collapsed="false">
      <c r="A514" s="1"/>
      <c r="B514" s="2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s="14" customFormat="true" ht="25.9" hidden="false" customHeight="true" outlineLevel="0" collapsed="false">
      <c r="A515" s="1"/>
      <c r="B515" s="2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s="14" customFormat="true" ht="25.9" hidden="false" customHeight="true" outlineLevel="0" collapsed="false">
      <c r="A516" s="1"/>
      <c r="B516" s="2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s="14" customFormat="true" ht="25.9" hidden="false" customHeight="true" outlineLevel="0" collapsed="false">
      <c r="A517" s="1"/>
      <c r="B517" s="2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s="14" customFormat="true" ht="25.9" hidden="false" customHeight="true" outlineLevel="0" collapsed="false">
      <c r="A518" s="1"/>
      <c r="B518" s="2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s="14" customFormat="true" ht="25.9" hidden="false" customHeight="true" outlineLevel="0" collapsed="false">
      <c r="A519" s="1"/>
      <c r="B519" s="2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s="14" customFormat="true" ht="25.9" hidden="false" customHeight="true" outlineLevel="0" collapsed="false">
      <c r="A520" s="1"/>
      <c r="B520" s="2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s="14" customFormat="true" ht="25.9" hidden="false" customHeight="true" outlineLevel="0" collapsed="false">
      <c r="A521" s="1"/>
      <c r="B521" s="2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s="14" customFormat="true" ht="25.9" hidden="false" customHeight="true" outlineLevel="0" collapsed="false">
      <c r="A522" s="1"/>
      <c r="B522" s="2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s="14" customFormat="true" ht="25.9" hidden="false" customHeight="true" outlineLevel="0" collapsed="false">
      <c r="A523" s="1"/>
      <c r="B523" s="2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s="14" customFormat="true" ht="25.9" hidden="false" customHeight="true" outlineLevel="0" collapsed="false">
      <c r="A524" s="1"/>
      <c r="B524" s="2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s="14" customFormat="true" ht="25.9" hidden="false" customHeight="true" outlineLevel="0" collapsed="false">
      <c r="A525" s="1"/>
      <c r="B525" s="2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s="14" customFormat="true" ht="25.9" hidden="false" customHeight="true" outlineLevel="0" collapsed="false">
      <c r="A526" s="1"/>
      <c r="B526" s="2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s="14" customFormat="true" ht="25.9" hidden="false" customHeight="true" outlineLevel="0" collapsed="false">
      <c r="A527" s="1"/>
      <c r="B527" s="2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s="14" customFormat="true" ht="25.9" hidden="false" customHeight="true" outlineLevel="0" collapsed="false">
      <c r="A528" s="1"/>
      <c r="B528" s="2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s="14" customFormat="true" ht="25.9" hidden="false" customHeight="true" outlineLevel="0" collapsed="false">
      <c r="A529" s="1"/>
      <c r="B529" s="2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s="14" customFormat="true" ht="25.9" hidden="false" customHeight="true" outlineLevel="0" collapsed="false">
      <c r="A530" s="1"/>
      <c r="B530" s="2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s="14" customFormat="true" ht="25.9" hidden="false" customHeight="true" outlineLevel="0" collapsed="false">
      <c r="A531" s="1"/>
      <c r="B531" s="2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s="14" customFormat="true" ht="25.9" hidden="false" customHeight="true" outlineLevel="0" collapsed="false">
      <c r="A532" s="1"/>
      <c r="B532" s="2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s="14" customFormat="true" ht="25.9" hidden="false" customHeight="true" outlineLevel="0" collapsed="false">
      <c r="A533" s="1"/>
      <c r="B533" s="2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s="14" customFormat="true" ht="25.9" hidden="false" customHeight="true" outlineLevel="0" collapsed="false">
      <c r="A534" s="1"/>
      <c r="B534" s="2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s="14" customFormat="true" ht="25.9" hidden="false" customHeight="true" outlineLevel="0" collapsed="false">
      <c r="A535" s="1"/>
      <c r="B535" s="2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s="14" customFormat="true" ht="25.9" hidden="false" customHeight="true" outlineLevel="0" collapsed="false">
      <c r="A536" s="1"/>
      <c r="B536" s="2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s="14" customFormat="true" ht="25.9" hidden="false" customHeight="true" outlineLevel="0" collapsed="false">
      <c r="A537" s="1"/>
      <c r="B537" s="2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s="14" customFormat="true" ht="25.9" hidden="false" customHeight="true" outlineLevel="0" collapsed="false">
      <c r="A538" s="1"/>
      <c r="B538" s="2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s="14" customFormat="true" ht="25.9" hidden="false" customHeight="true" outlineLevel="0" collapsed="false">
      <c r="A539" s="1"/>
      <c r="B539" s="2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s="14" customFormat="true" ht="25.9" hidden="false" customHeight="true" outlineLevel="0" collapsed="false">
      <c r="A540" s="1"/>
      <c r="B540" s="2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s="14" customFormat="true" ht="25.9" hidden="false" customHeight="true" outlineLevel="0" collapsed="false">
      <c r="A541" s="1"/>
      <c r="B541" s="2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s="14" customFormat="true" ht="25.9" hidden="false" customHeight="true" outlineLevel="0" collapsed="false">
      <c r="A542" s="1"/>
      <c r="B542" s="2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s="14" customFormat="true" ht="25.9" hidden="false" customHeight="true" outlineLevel="0" collapsed="false">
      <c r="A543" s="1"/>
      <c r="B543" s="2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s="14" customFormat="true" ht="25.9" hidden="false" customHeight="true" outlineLevel="0" collapsed="false">
      <c r="A544" s="1"/>
      <c r="B544" s="2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s="14" customFormat="true" ht="25.9" hidden="false" customHeight="true" outlineLevel="0" collapsed="false">
      <c r="A545" s="1"/>
      <c r="B545" s="2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s="14" customFormat="true" ht="25.9" hidden="false" customHeight="true" outlineLevel="0" collapsed="false">
      <c r="A546" s="1"/>
      <c r="B546" s="2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s="14" customFormat="true" ht="25.9" hidden="false" customHeight="true" outlineLevel="0" collapsed="false">
      <c r="A547" s="1"/>
      <c r="B547" s="2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s="14" customFormat="true" ht="25.9" hidden="false" customHeight="true" outlineLevel="0" collapsed="false">
      <c r="A548" s="1"/>
      <c r="B548" s="2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s="14" customFormat="true" ht="25.9" hidden="false" customHeight="true" outlineLevel="0" collapsed="false">
      <c r="A549" s="1"/>
      <c r="B549" s="2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s="14" customFormat="true" ht="25.9" hidden="false" customHeight="true" outlineLevel="0" collapsed="false">
      <c r="A550" s="1"/>
      <c r="B550" s="2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s="14" customFormat="true" ht="25.9" hidden="false" customHeight="true" outlineLevel="0" collapsed="false">
      <c r="A551" s="1"/>
      <c r="B551" s="2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s="14" customFormat="true" ht="25.9" hidden="false" customHeight="true" outlineLevel="0" collapsed="false">
      <c r="A552" s="1"/>
      <c r="B552" s="2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s="14" customFormat="true" ht="25.9" hidden="false" customHeight="true" outlineLevel="0" collapsed="false">
      <c r="A553" s="1"/>
      <c r="B553" s="2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s="14" customFormat="true" ht="25.9" hidden="false" customHeight="true" outlineLevel="0" collapsed="false">
      <c r="A554" s="1"/>
      <c r="B554" s="2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s="14" customFormat="true" ht="25.9" hidden="false" customHeight="true" outlineLevel="0" collapsed="false">
      <c r="A555" s="1"/>
      <c r="B555" s="2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s="14" customFormat="true" ht="25.9" hidden="false" customHeight="true" outlineLevel="0" collapsed="false">
      <c r="A556" s="1"/>
      <c r="B556" s="2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s="14" customFormat="true" ht="25.9" hidden="false" customHeight="true" outlineLevel="0" collapsed="false">
      <c r="A557" s="1"/>
      <c r="B557" s="2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s="14" customFormat="true" ht="25.9" hidden="false" customHeight="true" outlineLevel="0" collapsed="false">
      <c r="A558" s="1"/>
      <c r="B558" s="2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s="14" customFormat="true" ht="25.9" hidden="false" customHeight="true" outlineLevel="0" collapsed="false">
      <c r="A559" s="1"/>
      <c r="B559" s="2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s="14" customFormat="true" ht="25.9" hidden="false" customHeight="true" outlineLevel="0" collapsed="false">
      <c r="A560" s="1"/>
      <c r="B560" s="2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s="14" customFormat="true" ht="25.9" hidden="false" customHeight="true" outlineLevel="0" collapsed="false">
      <c r="A561" s="1"/>
      <c r="B561" s="2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s="14" customFormat="true" ht="25.9" hidden="false" customHeight="true" outlineLevel="0" collapsed="false">
      <c r="A562" s="1"/>
      <c r="B562" s="2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s="14" customFormat="true" ht="25.9" hidden="false" customHeight="true" outlineLevel="0" collapsed="false">
      <c r="A563" s="1"/>
      <c r="B563" s="2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s="14" customFormat="true" ht="25.9" hidden="false" customHeight="true" outlineLevel="0" collapsed="false">
      <c r="A564" s="1"/>
      <c r="B564" s="2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s="14" customFormat="true" ht="25.9" hidden="false" customHeight="true" outlineLevel="0" collapsed="false">
      <c r="A565" s="1"/>
      <c r="B565" s="2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s="14" customFormat="true" ht="25.9" hidden="false" customHeight="true" outlineLevel="0" collapsed="false">
      <c r="A566" s="1"/>
      <c r="B566" s="2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s="14" customFormat="true" ht="25.9" hidden="false" customHeight="true" outlineLevel="0" collapsed="false">
      <c r="A567" s="1"/>
      <c r="B567" s="2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s="14" customFormat="true" ht="25.9" hidden="false" customHeight="true" outlineLevel="0" collapsed="false">
      <c r="A568" s="1"/>
      <c r="B568" s="2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s="14" customFormat="true" ht="25.9" hidden="false" customHeight="true" outlineLevel="0" collapsed="false">
      <c r="A569" s="1"/>
      <c r="B569" s="2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s="14" customFormat="true" ht="25.9" hidden="false" customHeight="true" outlineLevel="0" collapsed="false">
      <c r="A570" s="1"/>
      <c r="B570" s="2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s="14" customFormat="true" ht="25.9" hidden="false" customHeight="true" outlineLevel="0" collapsed="false">
      <c r="A571" s="1"/>
      <c r="B571" s="2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s="14" customFormat="true" ht="25.9" hidden="false" customHeight="true" outlineLevel="0" collapsed="false">
      <c r="A572" s="1"/>
      <c r="B572" s="2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s="14" customFormat="true" ht="25.9" hidden="false" customHeight="true" outlineLevel="0" collapsed="false">
      <c r="A573" s="1"/>
      <c r="B573" s="2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s="14" customFormat="true" ht="25.9" hidden="false" customHeight="true" outlineLevel="0" collapsed="false">
      <c r="A574" s="1"/>
      <c r="B574" s="2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s="14" customFormat="true" ht="25.9" hidden="false" customHeight="true" outlineLevel="0" collapsed="false">
      <c r="A575" s="1"/>
      <c r="B575" s="2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s="14" customFormat="true" ht="25.9" hidden="false" customHeight="true" outlineLevel="0" collapsed="false">
      <c r="A576" s="1"/>
      <c r="B576" s="2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s="14" customFormat="true" ht="25.9" hidden="false" customHeight="true" outlineLevel="0" collapsed="false">
      <c r="A577" s="1"/>
      <c r="B577" s="2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s="14" customFormat="true" ht="25.9" hidden="false" customHeight="true" outlineLevel="0" collapsed="false">
      <c r="A578" s="1"/>
      <c r="B578" s="2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s="14" customFormat="true" ht="25.9" hidden="false" customHeight="true" outlineLevel="0" collapsed="false">
      <c r="A579" s="1"/>
      <c r="B579" s="2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s="14" customFormat="true" ht="25.9" hidden="false" customHeight="true" outlineLevel="0" collapsed="false">
      <c r="A580" s="1"/>
      <c r="B580" s="2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s="14" customFormat="true" ht="25.9" hidden="false" customHeight="true" outlineLevel="0" collapsed="false">
      <c r="A581" s="1"/>
      <c r="B581" s="2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s="14" customFormat="true" ht="25.9" hidden="false" customHeight="true" outlineLevel="0" collapsed="false">
      <c r="A582" s="1"/>
      <c r="B582" s="2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s="14" customFormat="true" ht="25.9" hidden="false" customHeight="true" outlineLevel="0" collapsed="false">
      <c r="A583" s="1"/>
      <c r="B583" s="2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s="14" customFormat="true" ht="25.9" hidden="false" customHeight="true" outlineLevel="0" collapsed="false">
      <c r="A584" s="1"/>
      <c r="B584" s="2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s="14" customFormat="true" ht="25.9" hidden="false" customHeight="true" outlineLevel="0" collapsed="false">
      <c r="A585" s="1"/>
      <c r="B585" s="2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s="14" customFormat="true" ht="25.9" hidden="false" customHeight="true" outlineLevel="0" collapsed="false">
      <c r="A586" s="1"/>
      <c r="B586" s="2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s="14" customFormat="true" ht="25.9" hidden="false" customHeight="true" outlineLevel="0" collapsed="false">
      <c r="A587" s="1"/>
      <c r="B587" s="2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s="14" customFormat="true" ht="25.9" hidden="false" customHeight="true" outlineLevel="0" collapsed="false">
      <c r="A588" s="1"/>
      <c r="B588" s="2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s="14" customFormat="true" ht="25.9" hidden="false" customHeight="true" outlineLevel="0" collapsed="false">
      <c r="A589" s="1"/>
      <c r="B589" s="2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s="14" customFormat="true" ht="25.9" hidden="false" customHeight="true" outlineLevel="0" collapsed="false">
      <c r="A590" s="1"/>
      <c r="B590" s="2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s="14" customFormat="true" ht="25.9" hidden="false" customHeight="true" outlineLevel="0" collapsed="false">
      <c r="A591" s="1"/>
      <c r="B591" s="2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s="14" customFormat="true" ht="25.9" hidden="false" customHeight="true" outlineLevel="0" collapsed="false">
      <c r="A592" s="1"/>
      <c r="B592" s="2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s="14" customFormat="true" ht="25.9" hidden="false" customHeight="true" outlineLevel="0" collapsed="false">
      <c r="A593" s="1"/>
      <c r="B593" s="2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s="14" customFormat="true" ht="25.9" hidden="false" customHeight="true" outlineLevel="0" collapsed="false">
      <c r="A594" s="1"/>
      <c r="B594" s="2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s="14" customFormat="true" ht="25.9" hidden="false" customHeight="true" outlineLevel="0" collapsed="false">
      <c r="A595" s="1"/>
      <c r="B595" s="2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s="14" customFormat="true" ht="25.9" hidden="false" customHeight="true" outlineLevel="0" collapsed="false">
      <c r="A596" s="1"/>
      <c r="B596" s="2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s="14" customFormat="true" ht="25.9" hidden="false" customHeight="true" outlineLevel="0" collapsed="false">
      <c r="A597" s="1"/>
      <c r="B597" s="2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s="14" customFormat="true" ht="25.9" hidden="false" customHeight="true" outlineLevel="0" collapsed="false">
      <c r="A598" s="1"/>
      <c r="B598" s="2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s="14" customFormat="true" ht="25.9" hidden="false" customHeight="true" outlineLevel="0" collapsed="false">
      <c r="A599" s="1"/>
      <c r="B599" s="2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s="14" customFormat="true" ht="25.9" hidden="false" customHeight="true" outlineLevel="0" collapsed="false">
      <c r="A600" s="1"/>
      <c r="B600" s="2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s="14" customFormat="true" ht="25.9" hidden="false" customHeight="true" outlineLevel="0" collapsed="false">
      <c r="A601" s="1"/>
      <c r="B601" s="2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s="14" customFormat="true" ht="25.9" hidden="false" customHeight="true" outlineLevel="0" collapsed="false">
      <c r="A602" s="1"/>
      <c r="B602" s="2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s="14" customFormat="true" ht="25.9" hidden="false" customHeight="true" outlineLevel="0" collapsed="false">
      <c r="A603" s="1"/>
      <c r="B603" s="2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s="14" customFormat="true" ht="25.9" hidden="false" customHeight="true" outlineLevel="0" collapsed="false">
      <c r="A604" s="1"/>
      <c r="B604" s="2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s="14" customFormat="true" ht="25.9" hidden="false" customHeight="true" outlineLevel="0" collapsed="false">
      <c r="A605" s="1"/>
      <c r="B605" s="2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s="14" customFormat="true" ht="25.9" hidden="false" customHeight="true" outlineLevel="0" collapsed="false">
      <c r="A606" s="1"/>
      <c r="B606" s="2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s="14" customFormat="true" ht="25.9" hidden="false" customHeight="true" outlineLevel="0" collapsed="false">
      <c r="A607" s="1"/>
      <c r="B607" s="2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s="14" customFormat="true" ht="25.9" hidden="false" customHeight="true" outlineLevel="0" collapsed="false">
      <c r="A608" s="1"/>
      <c r="B608" s="2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s="14" customFormat="true" ht="25.9" hidden="false" customHeight="true" outlineLevel="0" collapsed="false">
      <c r="A609" s="1"/>
      <c r="B609" s="2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s="14" customFormat="true" ht="25.9" hidden="false" customHeight="true" outlineLevel="0" collapsed="false">
      <c r="A610" s="1"/>
      <c r="B610" s="2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s="14" customFormat="true" ht="25.9" hidden="false" customHeight="true" outlineLevel="0" collapsed="false">
      <c r="A611" s="1"/>
      <c r="B611" s="2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s="14" customFormat="true" ht="25.9" hidden="false" customHeight="true" outlineLevel="0" collapsed="false">
      <c r="A612" s="1"/>
      <c r="B612" s="2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s="14" customFormat="true" ht="25.9" hidden="false" customHeight="true" outlineLevel="0" collapsed="false">
      <c r="A613" s="1"/>
      <c r="B613" s="2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s="14" customFormat="true" ht="25.9" hidden="false" customHeight="true" outlineLevel="0" collapsed="false">
      <c r="A614" s="1"/>
      <c r="B614" s="2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s="14" customFormat="true" ht="25.9" hidden="false" customHeight="true" outlineLevel="0" collapsed="false">
      <c r="A615" s="1"/>
      <c r="B615" s="2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s="14" customFormat="true" ht="25.9" hidden="false" customHeight="true" outlineLevel="0" collapsed="false">
      <c r="A616" s="1"/>
      <c r="B616" s="2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s="14" customFormat="true" ht="25.9" hidden="false" customHeight="true" outlineLevel="0" collapsed="false">
      <c r="A617" s="1"/>
      <c r="B617" s="2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s="14" customFormat="true" ht="25.9" hidden="false" customHeight="true" outlineLevel="0" collapsed="false">
      <c r="A618" s="1"/>
      <c r="B618" s="2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s="14" customFormat="true" ht="25.9" hidden="false" customHeight="true" outlineLevel="0" collapsed="false">
      <c r="A619" s="1"/>
      <c r="B619" s="2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s="14" customFormat="true" ht="25.9" hidden="false" customHeight="true" outlineLevel="0" collapsed="false">
      <c r="A620" s="1"/>
      <c r="B620" s="2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s="14" customFormat="true" ht="25.9" hidden="false" customHeight="true" outlineLevel="0" collapsed="false">
      <c r="A621" s="1"/>
      <c r="B621" s="2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s="14" customFormat="true" ht="25.9" hidden="false" customHeight="true" outlineLevel="0" collapsed="false">
      <c r="A622" s="1"/>
      <c r="B622" s="2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s="14" customFormat="true" ht="25.9" hidden="false" customHeight="true" outlineLevel="0" collapsed="false">
      <c r="A623" s="1"/>
      <c r="B623" s="2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s="14" customFormat="true" ht="25.9" hidden="false" customHeight="true" outlineLevel="0" collapsed="false">
      <c r="A624" s="1"/>
      <c r="B624" s="2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s="14" customFormat="true" ht="25.9" hidden="false" customHeight="true" outlineLevel="0" collapsed="false">
      <c r="A625" s="1"/>
      <c r="B625" s="2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s="14" customFormat="true" ht="25.9" hidden="false" customHeight="true" outlineLevel="0" collapsed="false">
      <c r="A626" s="1"/>
      <c r="B626" s="2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s="14" customFormat="true" ht="25.9" hidden="false" customHeight="true" outlineLevel="0" collapsed="false">
      <c r="A627" s="1"/>
      <c r="B627" s="2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s="14" customFormat="true" ht="25.9" hidden="false" customHeight="true" outlineLevel="0" collapsed="false">
      <c r="A628" s="1"/>
      <c r="B628" s="2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s="14" customFormat="true" ht="25.9" hidden="false" customHeight="true" outlineLevel="0" collapsed="false">
      <c r="A629" s="1"/>
      <c r="B629" s="2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s="14" customFormat="true" ht="25.9" hidden="false" customHeight="true" outlineLevel="0" collapsed="false">
      <c r="A630" s="1"/>
      <c r="B630" s="2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s="14" customFormat="true" ht="25.9" hidden="false" customHeight="true" outlineLevel="0" collapsed="false">
      <c r="A631" s="1"/>
      <c r="B631" s="2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s="14" customFormat="true" ht="25.9" hidden="false" customHeight="true" outlineLevel="0" collapsed="false">
      <c r="A632" s="1"/>
      <c r="B632" s="2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s="14" customFormat="true" ht="25.9" hidden="false" customHeight="true" outlineLevel="0" collapsed="false">
      <c r="A633" s="1"/>
      <c r="B633" s="2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s="14" customFormat="true" ht="25.9" hidden="false" customHeight="true" outlineLevel="0" collapsed="false">
      <c r="A634" s="1"/>
      <c r="B634" s="2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s="14" customFormat="true" ht="25.9" hidden="false" customHeight="true" outlineLevel="0" collapsed="false">
      <c r="A635" s="1"/>
      <c r="B635" s="2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s="14" customFormat="true" ht="25.9" hidden="false" customHeight="true" outlineLevel="0" collapsed="false">
      <c r="A636" s="1"/>
      <c r="B636" s="2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s="14" customFormat="true" ht="25.9" hidden="false" customHeight="true" outlineLevel="0" collapsed="false">
      <c r="A637" s="1"/>
      <c r="B637" s="2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s="14" customFormat="true" ht="25.9" hidden="false" customHeight="true" outlineLevel="0" collapsed="false">
      <c r="A638" s="1"/>
      <c r="B638" s="2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s="14" customFormat="true" ht="25.9" hidden="false" customHeight="true" outlineLevel="0" collapsed="false">
      <c r="A639" s="1"/>
      <c r="B639" s="2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s="14" customFormat="true" ht="25.9" hidden="false" customHeight="true" outlineLevel="0" collapsed="false">
      <c r="A640" s="1"/>
      <c r="B640" s="2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s="14" customFormat="true" ht="25.9" hidden="false" customHeight="true" outlineLevel="0" collapsed="false">
      <c r="A641" s="1"/>
      <c r="B641" s="2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s="14" customFormat="true" ht="25.9" hidden="false" customHeight="true" outlineLevel="0" collapsed="false">
      <c r="A642" s="1"/>
      <c r="B642" s="2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s="14" customFormat="true" ht="25.9" hidden="false" customHeight="true" outlineLevel="0" collapsed="false">
      <c r="A643" s="1"/>
      <c r="B643" s="2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s="14" customFormat="true" ht="25.9" hidden="false" customHeight="true" outlineLevel="0" collapsed="false">
      <c r="A644" s="1"/>
      <c r="B644" s="2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s="14" customFormat="true" ht="25.9" hidden="false" customHeight="true" outlineLevel="0" collapsed="false">
      <c r="A645" s="1"/>
      <c r="B645" s="2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s="14" customFormat="true" ht="25.9" hidden="false" customHeight="true" outlineLevel="0" collapsed="false">
      <c r="A646" s="1"/>
      <c r="B646" s="2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s="14" customFormat="true" ht="25.9" hidden="false" customHeight="true" outlineLevel="0" collapsed="false">
      <c r="A647" s="1"/>
      <c r="B647" s="2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s="14" customFormat="true" ht="25.9" hidden="false" customHeight="true" outlineLevel="0" collapsed="false">
      <c r="A648" s="1"/>
      <c r="B648" s="2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s="14" customFormat="true" ht="25.9" hidden="false" customHeight="true" outlineLevel="0" collapsed="false">
      <c r="A649" s="1"/>
      <c r="B649" s="2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s="14" customFormat="true" ht="25.9" hidden="false" customHeight="true" outlineLevel="0" collapsed="false">
      <c r="A650" s="1"/>
      <c r="B650" s="2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s="14" customFormat="true" ht="25.9" hidden="false" customHeight="true" outlineLevel="0" collapsed="false">
      <c r="A651" s="1"/>
      <c r="B651" s="2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s="14" customFormat="true" ht="25.9" hidden="false" customHeight="true" outlineLevel="0" collapsed="false">
      <c r="A652" s="1"/>
      <c r="B652" s="2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s="14" customFormat="true" ht="25.9" hidden="false" customHeight="true" outlineLevel="0" collapsed="false">
      <c r="A653" s="1"/>
      <c r="B653" s="2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s="14" customFormat="true" ht="25.9" hidden="false" customHeight="true" outlineLevel="0" collapsed="false">
      <c r="A654" s="1"/>
      <c r="B654" s="2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s="14" customFormat="true" ht="25.9" hidden="false" customHeight="true" outlineLevel="0" collapsed="false">
      <c r="A655" s="1"/>
      <c r="B655" s="2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s="14" customFormat="true" ht="25.9" hidden="false" customHeight="true" outlineLevel="0" collapsed="false">
      <c r="A656" s="1"/>
      <c r="B656" s="2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s="14" customFormat="true" ht="25.9" hidden="false" customHeight="true" outlineLevel="0" collapsed="false">
      <c r="A657" s="1"/>
      <c r="B657" s="2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s="14" customFormat="true" ht="25.9" hidden="false" customHeight="true" outlineLevel="0" collapsed="false">
      <c r="A658" s="1"/>
      <c r="B658" s="2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s="14" customFormat="true" ht="25.9" hidden="false" customHeight="true" outlineLevel="0" collapsed="false">
      <c r="A659" s="1"/>
      <c r="B659" s="2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s="14" customFormat="true" ht="25.9" hidden="false" customHeight="true" outlineLevel="0" collapsed="false">
      <c r="A660" s="1"/>
      <c r="B660" s="2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s="14" customFormat="true" ht="25.9" hidden="false" customHeight="true" outlineLevel="0" collapsed="false">
      <c r="A661" s="1"/>
      <c r="B661" s="2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s="14" customFormat="true" ht="25.9" hidden="false" customHeight="true" outlineLevel="0" collapsed="false">
      <c r="A662" s="1"/>
      <c r="B662" s="2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s="14" customFormat="true" ht="25.9" hidden="false" customHeight="true" outlineLevel="0" collapsed="false">
      <c r="A663" s="1"/>
      <c r="B663" s="2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s="14" customFormat="true" ht="25.9" hidden="false" customHeight="true" outlineLevel="0" collapsed="false">
      <c r="A664" s="1"/>
      <c r="B664" s="2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s="14" customFormat="true" ht="25.9" hidden="false" customHeight="true" outlineLevel="0" collapsed="false">
      <c r="A665" s="1"/>
      <c r="B665" s="2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s="14" customFormat="true" ht="25.9" hidden="false" customHeight="true" outlineLevel="0" collapsed="false">
      <c r="A666" s="1"/>
      <c r="B666" s="2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s="14" customFormat="true" ht="25.9" hidden="false" customHeight="true" outlineLevel="0" collapsed="false">
      <c r="A667" s="1"/>
      <c r="B667" s="2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s="14" customFormat="true" ht="25.9" hidden="false" customHeight="true" outlineLevel="0" collapsed="false">
      <c r="A668" s="1"/>
      <c r="B668" s="2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s="14" customFormat="true" ht="25.9" hidden="false" customHeight="true" outlineLevel="0" collapsed="false">
      <c r="A669" s="1"/>
      <c r="B669" s="2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s="14" customFormat="true" ht="25.9" hidden="false" customHeight="true" outlineLevel="0" collapsed="false">
      <c r="A670" s="1"/>
      <c r="B670" s="2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s="14" customFormat="true" ht="25.9" hidden="false" customHeight="true" outlineLevel="0" collapsed="false">
      <c r="A671" s="1"/>
      <c r="B671" s="2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s="14" customFormat="true" ht="25.9" hidden="false" customHeight="true" outlineLevel="0" collapsed="false">
      <c r="A672" s="1"/>
      <c r="B672" s="2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s="14" customFormat="true" ht="25.9" hidden="false" customHeight="true" outlineLevel="0" collapsed="false">
      <c r="A673" s="1"/>
      <c r="B673" s="2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s="14" customFormat="true" ht="25.9" hidden="false" customHeight="true" outlineLevel="0" collapsed="false">
      <c r="A674" s="1"/>
      <c r="B674" s="2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s="14" customFormat="true" ht="25.9" hidden="false" customHeight="true" outlineLevel="0" collapsed="false">
      <c r="A675" s="1"/>
      <c r="B675" s="2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s="14" customFormat="true" ht="25.9" hidden="false" customHeight="true" outlineLevel="0" collapsed="false">
      <c r="A676" s="1"/>
      <c r="B676" s="2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s="14" customFormat="true" ht="25.9" hidden="false" customHeight="true" outlineLevel="0" collapsed="false">
      <c r="A677" s="1"/>
      <c r="B677" s="2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s="14" customFormat="true" ht="25.9" hidden="false" customHeight="true" outlineLevel="0" collapsed="false">
      <c r="A678" s="1"/>
      <c r="B678" s="2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s="14" customFormat="true" ht="25.9" hidden="false" customHeight="true" outlineLevel="0" collapsed="false">
      <c r="A679" s="1"/>
      <c r="B679" s="2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s="14" customFormat="true" ht="25.9" hidden="false" customHeight="true" outlineLevel="0" collapsed="false">
      <c r="A680" s="1"/>
      <c r="B680" s="2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s="14" customFormat="true" ht="25.9" hidden="false" customHeight="true" outlineLevel="0" collapsed="false">
      <c r="A681" s="1"/>
      <c r="B681" s="2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s="14" customFormat="true" ht="25.9" hidden="false" customHeight="true" outlineLevel="0" collapsed="false">
      <c r="A682" s="1"/>
      <c r="B682" s="2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s="14" customFormat="true" ht="25.9" hidden="false" customHeight="true" outlineLevel="0" collapsed="false">
      <c r="A683" s="1"/>
      <c r="B683" s="2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s="14" customFormat="true" ht="25.9" hidden="false" customHeight="true" outlineLevel="0" collapsed="false">
      <c r="A684" s="1"/>
      <c r="B684" s="2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s="14" customFormat="true" ht="25.9" hidden="false" customHeight="true" outlineLevel="0" collapsed="false">
      <c r="A685" s="1"/>
      <c r="B685" s="2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s="14" customFormat="true" ht="25.9" hidden="false" customHeight="true" outlineLevel="0" collapsed="false">
      <c r="A686" s="1"/>
      <c r="B686" s="2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s="14" customFormat="true" ht="25.9" hidden="false" customHeight="true" outlineLevel="0" collapsed="false">
      <c r="A687" s="1"/>
      <c r="B687" s="2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s="14" customFormat="true" ht="25.9" hidden="false" customHeight="true" outlineLevel="0" collapsed="false">
      <c r="A688" s="1"/>
      <c r="B688" s="2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s="14" customFormat="true" ht="25.9" hidden="false" customHeight="true" outlineLevel="0" collapsed="false">
      <c r="A689" s="1"/>
      <c r="B689" s="2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s="14" customFormat="true" ht="25.9" hidden="false" customHeight="true" outlineLevel="0" collapsed="false">
      <c r="A690" s="1"/>
      <c r="B690" s="2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s="14" customFormat="true" ht="25.9" hidden="false" customHeight="true" outlineLevel="0" collapsed="false">
      <c r="A691" s="1"/>
      <c r="B691" s="2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s="14" customFormat="true" ht="25.9" hidden="false" customHeight="true" outlineLevel="0" collapsed="false">
      <c r="A692" s="1"/>
      <c r="B692" s="2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s="14" customFormat="true" ht="25.9" hidden="false" customHeight="true" outlineLevel="0" collapsed="false">
      <c r="A693" s="1"/>
      <c r="B693" s="2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s="14" customFormat="true" ht="25.9" hidden="false" customHeight="true" outlineLevel="0" collapsed="false">
      <c r="A694" s="1"/>
      <c r="B694" s="2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s="14" customFormat="true" ht="25.9" hidden="false" customHeight="true" outlineLevel="0" collapsed="false">
      <c r="A695" s="1"/>
      <c r="B695" s="2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s="14" customFormat="true" ht="25.9" hidden="false" customHeight="true" outlineLevel="0" collapsed="false">
      <c r="A696" s="1"/>
      <c r="B696" s="2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s="14" customFormat="true" ht="25.9" hidden="false" customHeight="true" outlineLevel="0" collapsed="false">
      <c r="A697" s="1"/>
      <c r="B697" s="2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s="14" customFormat="true" ht="25.9" hidden="false" customHeight="true" outlineLevel="0" collapsed="false">
      <c r="A698" s="1"/>
      <c r="B698" s="2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s="14" customFormat="true" ht="25.9" hidden="false" customHeight="true" outlineLevel="0" collapsed="false">
      <c r="A699" s="1"/>
      <c r="B699" s="2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s="14" customFormat="true" ht="25.9" hidden="false" customHeight="true" outlineLevel="0" collapsed="false">
      <c r="A700" s="1"/>
      <c r="B700" s="2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s="14" customFormat="true" ht="25.9" hidden="false" customHeight="true" outlineLevel="0" collapsed="false">
      <c r="A701" s="1"/>
      <c r="B701" s="2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s="14" customFormat="true" ht="25.9" hidden="false" customHeight="true" outlineLevel="0" collapsed="false">
      <c r="A702" s="1"/>
      <c r="B702" s="2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s="14" customFormat="true" ht="25.9" hidden="false" customHeight="true" outlineLevel="0" collapsed="false">
      <c r="A703" s="1"/>
      <c r="B703" s="2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s="14" customFormat="true" ht="25.9" hidden="false" customHeight="true" outlineLevel="0" collapsed="false">
      <c r="A704" s="1"/>
      <c r="B704" s="2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s="14" customFormat="true" ht="25.9" hidden="false" customHeight="true" outlineLevel="0" collapsed="false">
      <c r="A705" s="1"/>
      <c r="B705" s="2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s="14" customFormat="true" ht="25.9" hidden="false" customHeight="true" outlineLevel="0" collapsed="false">
      <c r="A706" s="1"/>
      <c r="B706" s="2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s="14" customFormat="true" ht="25.9" hidden="false" customHeight="true" outlineLevel="0" collapsed="false">
      <c r="A707" s="1"/>
      <c r="B707" s="2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s="14" customFormat="true" ht="25.9" hidden="false" customHeight="true" outlineLevel="0" collapsed="false">
      <c r="A708" s="1"/>
      <c r="B708" s="2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s="14" customFormat="true" ht="25.9" hidden="false" customHeight="true" outlineLevel="0" collapsed="false">
      <c r="A709" s="1"/>
      <c r="B709" s="2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s="14" customFormat="true" ht="25.9" hidden="false" customHeight="true" outlineLevel="0" collapsed="false">
      <c r="A710" s="1"/>
      <c r="B710" s="2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s="14" customFormat="true" ht="25.9" hidden="false" customHeight="true" outlineLevel="0" collapsed="false">
      <c r="A711" s="1"/>
      <c r="B711" s="2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s="14" customFormat="true" ht="25.9" hidden="false" customHeight="true" outlineLevel="0" collapsed="false">
      <c r="A712" s="1"/>
      <c r="B712" s="2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s="14" customFormat="true" ht="25.9" hidden="false" customHeight="true" outlineLevel="0" collapsed="false">
      <c r="A713" s="1"/>
      <c r="B713" s="2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s="14" customFormat="true" ht="25.9" hidden="false" customHeight="true" outlineLevel="0" collapsed="false">
      <c r="A714" s="1"/>
      <c r="B714" s="2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s="14" customFormat="true" ht="25.9" hidden="false" customHeight="true" outlineLevel="0" collapsed="false">
      <c r="A715" s="1"/>
      <c r="B715" s="2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s="14" customFormat="true" ht="25.9" hidden="false" customHeight="true" outlineLevel="0" collapsed="false">
      <c r="A716" s="1"/>
      <c r="B716" s="2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s="14" customFormat="true" ht="25.9" hidden="false" customHeight="true" outlineLevel="0" collapsed="false">
      <c r="A717" s="1"/>
      <c r="B717" s="2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s="14" customFormat="true" ht="25.9" hidden="false" customHeight="true" outlineLevel="0" collapsed="false">
      <c r="A718" s="1"/>
      <c r="B718" s="2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s="14" customFormat="true" ht="25.9" hidden="false" customHeight="true" outlineLevel="0" collapsed="false">
      <c r="A719" s="1"/>
      <c r="B719" s="2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s="14" customFormat="true" ht="25.9" hidden="false" customHeight="true" outlineLevel="0" collapsed="false">
      <c r="A720" s="1"/>
      <c r="B720" s="2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s="14" customFormat="true" ht="25.9" hidden="false" customHeight="true" outlineLevel="0" collapsed="false">
      <c r="A721" s="1"/>
      <c r="B721" s="2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s="14" customFormat="true" ht="25.9" hidden="false" customHeight="true" outlineLevel="0" collapsed="false">
      <c r="A722" s="1"/>
      <c r="B722" s="2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s="14" customFormat="true" ht="25.9" hidden="false" customHeight="true" outlineLevel="0" collapsed="false">
      <c r="A723" s="1"/>
      <c r="B723" s="2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s="14" customFormat="true" ht="25.9" hidden="false" customHeight="true" outlineLevel="0" collapsed="false">
      <c r="A724" s="1"/>
      <c r="B724" s="2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s="14" customFormat="true" ht="25.9" hidden="false" customHeight="true" outlineLevel="0" collapsed="false">
      <c r="A725" s="1"/>
      <c r="B725" s="2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s="14" customFormat="true" ht="25.9" hidden="false" customHeight="true" outlineLevel="0" collapsed="false">
      <c r="A726" s="1"/>
      <c r="B726" s="2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s="14" customFormat="true" ht="25.9" hidden="false" customHeight="true" outlineLevel="0" collapsed="false">
      <c r="A727" s="1"/>
      <c r="B727" s="2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s="14" customFormat="true" ht="25.9" hidden="false" customHeight="true" outlineLevel="0" collapsed="false">
      <c r="A728" s="1"/>
      <c r="B728" s="2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s="14" customFormat="true" ht="25.9" hidden="false" customHeight="true" outlineLevel="0" collapsed="false">
      <c r="A729" s="1"/>
      <c r="B729" s="2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s="14" customFormat="true" ht="25.9" hidden="false" customHeight="true" outlineLevel="0" collapsed="false">
      <c r="A730" s="1"/>
      <c r="B730" s="2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s="14" customFormat="true" ht="25.9" hidden="false" customHeight="true" outlineLevel="0" collapsed="false">
      <c r="A731" s="1"/>
      <c r="B731" s="2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s="14" customFormat="true" ht="25.9" hidden="false" customHeight="true" outlineLevel="0" collapsed="false">
      <c r="A732" s="1"/>
      <c r="B732" s="2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s="14" customFormat="true" ht="25.9" hidden="false" customHeight="true" outlineLevel="0" collapsed="false">
      <c r="A733" s="1"/>
      <c r="B733" s="2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s="14" customFormat="true" ht="25.9" hidden="false" customHeight="true" outlineLevel="0" collapsed="false">
      <c r="A734" s="1"/>
      <c r="B734" s="2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s="14" customFormat="true" ht="25.9" hidden="false" customHeight="true" outlineLevel="0" collapsed="false">
      <c r="A735" s="1"/>
      <c r="B735" s="2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s="14" customFormat="true" ht="25.9" hidden="false" customHeight="true" outlineLevel="0" collapsed="false">
      <c r="A736" s="1"/>
      <c r="B736" s="2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s="14" customFormat="true" ht="25.9" hidden="false" customHeight="true" outlineLevel="0" collapsed="false">
      <c r="A737" s="1"/>
      <c r="B737" s="2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s="14" customFormat="true" ht="25.9" hidden="false" customHeight="true" outlineLevel="0" collapsed="false">
      <c r="A738" s="1"/>
      <c r="B738" s="2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s="14" customFormat="true" ht="25.9" hidden="false" customHeight="true" outlineLevel="0" collapsed="false">
      <c r="A739" s="1"/>
      <c r="B739" s="2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s="14" customFormat="true" ht="25.9" hidden="false" customHeight="true" outlineLevel="0" collapsed="false">
      <c r="A740" s="1"/>
      <c r="B740" s="2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s="14" customFormat="true" ht="25.9" hidden="false" customHeight="true" outlineLevel="0" collapsed="false">
      <c r="A741" s="1"/>
      <c r="B741" s="2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s="14" customFormat="true" ht="25.9" hidden="false" customHeight="true" outlineLevel="0" collapsed="false">
      <c r="A742" s="1"/>
      <c r="B742" s="2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s="14" customFormat="true" ht="25.9" hidden="false" customHeight="true" outlineLevel="0" collapsed="false">
      <c r="A743" s="1"/>
      <c r="B743" s="2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s="14" customFormat="true" ht="25.9" hidden="false" customHeight="true" outlineLevel="0" collapsed="false">
      <c r="A744" s="1"/>
      <c r="B744" s="2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s="14" customFormat="true" ht="25.9" hidden="false" customHeight="true" outlineLevel="0" collapsed="false">
      <c r="A745" s="1"/>
      <c r="B745" s="2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s="14" customFormat="true" ht="25.9" hidden="false" customHeight="true" outlineLevel="0" collapsed="false">
      <c r="A746" s="1"/>
      <c r="B746" s="2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s="14" customFormat="true" ht="25.9" hidden="false" customHeight="true" outlineLevel="0" collapsed="false">
      <c r="A747" s="1"/>
      <c r="B747" s="2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s="14" customFormat="true" ht="25.9" hidden="false" customHeight="true" outlineLevel="0" collapsed="false">
      <c r="A748" s="1"/>
      <c r="B748" s="2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s="14" customFormat="true" ht="25.9" hidden="false" customHeight="true" outlineLevel="0" collapsed="false">
      <c r="A749" s="1"/>
      <c r="B749" s="2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s="14" customFormat="true" ht="25.9" hidden="false" customHeight="true" outlineLevel="0" collapsed="false">
      <c r="A750" s="1"/>
      <c r="B750" s="2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s="14" customFormat="true" ht="25.9" hidden="false" customHeight="true" outlineLevel="0" collapsed="false">
      <c r="A751" s="1"/>
      <c r="B751" s="2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s="14" customFormat="true" ht="25.9" hidden="false" customHeight="true" outlineLevel="0" collapsed="false">
      <c r="A752" s="1"/>
      <c r="B752" s="2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s="14" customFormat="true" ht="25.9" hidden="false" customHeight="true" outlineLevel="0" collapsed="false">
      <c r="A753" s="1"/>
      <c r="B753" s="2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s="14" customFormat="true" ht="25.9" hidden="false" customHeight="true" outlineLevel="0" collapsed="false">
      <c r="A754" s="1"/>
      <c r="B754" s="2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s="14" customFormat="true" ht="25.9" hidden="false" customHeight="true" outlineLevel="0" collapsed="false">
      <c r="A755" s="1"/>
      <c r="B755" s="2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s="14" customFormat="true" ht="25.9" hidden="false" customHeight="true" outlineLevel="0" collapsed="false">
      <c r="A756" s="1"/>
      <c r="B756" s="2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s="14" customFormat="true" ht="25.9" hidden="false" customHeight="true" outlineLevel="0" collapsed="false">
      <c r="A757" s="1"/>
      <c r="B757" s="2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s="14" customFormat="true" ht="25.9" hidden="false" customHeight="true" outlineLevel="0" collapsed="false">
      <c r="A758" s="1"/>
      <c r="B758" s="2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s="14" customFormat="true" ht="25.9" hidden="false" customHeight="true" outlineLevel="0" collapsed="false">
      <c r="A759" s="1"/>
      <c r="B759" s="2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s="14" customFormat="true" ht="25.9" hidden="false" customHeight="true" outlineLevel="0" collapsed="false">
      <c r="A760" s="1"/>
      <c r="B760" s="2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s="14" customFormat="true" ht="25.9" hidden="false" customHeight="true" outlineLevel="0" collapsed="false">
      <c r="A761" s="1"/>
      <c r="B761" s="2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s="14" customFormat="true" ht="25.9" hidden="false" customHeight="true" outlineLevel="0" collapsed="false">
      <c r="A762" s="1"/>
      <c r="B762" s="2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s="14" customFormat="true" ht="25.9" hidden="false" customHeight="true" outlineLevel="0" collapsed="false">
      <c r="A763" s="1"/>
      <c r="B763" s="2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s="14" customFormat="true" ht="25.9" hidden="false" customHeight="true" outlineLevel="0" collapsed="false">
      <c r="A764" s="1"/>
      <c r="B764" s="2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s="14" customFormat="true" ht="25.9" hidden="false" customHeight="true" outlineLevel="0" collapsed="false">
      <c r="A765" s="1"/>
      <c r="B765" s="2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s="14" customFormat="true" ht="25.9" hidden="false" customHeight="true" outlineLevel="0" collapsed="false">
      <c r="A766" s="1"/>
      <c r="B766" s="2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s="14" customFormat="true" ht="25.9" hidden="false" customHeight="true" outlineLevel="0" collapsed="false">
      <c r="A767" s="1"/>
      <c r="B767" s="2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s="14" customFormat="true" ht="25.9" hidden="false" customHeight="true" outlineLevel="0" collapsed="false">
      <c r="A768" s="1"/>
      <c r="B768" s="2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s="14" customFormat="true" ht="25.9" hidden="false" customHeight="true" outlineLevel="0" collapsed="false">
      <c r="A769" s="1"/>
      <c r="B769" s="2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s="14" customFormat="true" ht="25.9" hidden="false" customHeight="true" outlineLevel="0" collapsed="false">
      <c r="A770" s="1"/>
      <c r="B770" s="2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s="14" customFormat="true" ht="25.9" hidden="false" customHeight="true" outlineLevel="0" collapsed="false">
      <c r="A771" s="1"/>
      <c r="B771" s="2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s="14" customFormat="true" ht="25.9" hidden="false" customHeight="true" outlineLevel="0" collapsed="false">
      <c r="A772" s="1"/>
      <c r="B772" s="2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s="14" customFormat="true" ht="25.9" hidden="false" customHeight="true" outlineLevel="0" collapsed="false">
      <c r="A773" s="1"/>
      <c r="B773" s="2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s="14" customFormat="true" ht="25.9" hidden="false" customHeight="true" outlineLevel="0" collapsed="false">
      <c r="A774" s="1"/>
      <c r="B774" s="2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s="14" customFormat="true" ht="25.9" hidden="false" customHeight="true" outlineLevel="0" collapsed="false">
      <c r="A775" s="1"/>
      <c r="B775" s="2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s="14" customFormat="true" ht="25.9" hidden="false" customHeight="true" outlineLevel="0" collapsed="false">
      <c r="A776" s="1"/>
      <c r="B776" s="2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s="14" customFormat="true" ht="25.9" hidden="false" customHeight="true" outlineLevel="0" collapsed="false">
      <c r="A777" s="1"/>
      <c r="B777" s="2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s="14" customFormat="true" ht="25.9" hidden="false" customHeight="true" outlineLevel="0" collapsed="false">
      <c r="A778" s="1"/>
      <c r="B778" s="2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s="14" customFormat="true" ht="25.9" hidden="false" customHeight="true" outlineLevel="0" collapsed="false">
      <c r="A779" s="1"/>
      <c r="B779" s="2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s="14" customFormat="true" ht="25.9" hidden="false" customHeight="true" outlineLevel="0" collapsed="false">
      <c r="A780" s="1"/>
      <c r="B780" s="2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s="14" customFormat="true" ht="25.9" hidden="false" customHeight="true" outlineLevel="0" collapsed="false">
      <c r="A781" s="1"/>
      <c r="B781" s="2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s="14" customFormat="true" ht="25.9" hidden="false" customHeight="true" outlineLevel="0" collapsed="false">
      <c r="A782" s="1"/>
      <c r="B782" s="2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s="14" customFormat="true" ht="25.9" hidden="false" customHeight="true" outlineLevel="0" collapsed="false">
      <c r="A783" s="1"/>
      <c r="B783" s="2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s="14" customFormat="true" ht="25.9" hidden="false" customHeight="true" outlineLevel="0" collapsed="false">
      <c r="A784" s="1"/>
      <c r="B784" s="2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s="14" customFormat="true" ht="25.9" hidden="false" customHeight="true" outlineLevel="0" collapsed="false">
      <c r="A785" s="1"/>
      <c r="B785" s="2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s="14" customFormat="true" ht="25.9" hidden="false" customHeight="true" outlineLevel="0" collapsed="false">
      <c r="A786" s="1"/>
      <c r="B786" s="2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s="14" customFormat="true" ht="25.9" hidden="false" customHeight="true" outlineLevel="0" collapsed="false">
      <c r="A787" s="1"/>
      <c r="B787" s="2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s="14" customFormat="true" ht="25.9" hidden="false" customHeight="true" outlineLevel="0" collapsed="false">
      <c r="A788" s="1"/>
      <c r="B788" s="2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s="14" customFormat="true" ht="25.9" hidden="false" customHeight="true" outlineLevel="0" collapsed="false">
      <c r="A789" s="1"/>
      <c r="B789" s="2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s="14" customFormat="true" ht="25.9" hidden="false" customHeight="true" outlineLevel="0" collapsed="false">
      <c r="A790" s="1"/>
      <c r="B790" s="2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s="14" customFormat="true" ht="25.9" hidden="false" customHeight="true" outlineLevel="0" collapsed="false">
      <c r="A791" s="1"/>
      <c r="B791" s="2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s="14" customFormat="true" ht="25.9" hidden="false" customHeight="true" outlineLevel="0" collapsed="false">
      <c r="A792" s="1"/>
      <c r="B792" s="2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s="14" customFormat="true" ht="25.9" hidden="false" customHeight="true" outlineLevel="0" collapsed="false">
      <c r="A793" s="1"/>
      <c r="B793" s="2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s="14" customFormat="true" ht="25.9" hidden="false" customHeight="true" outlineLevel="0" collapsed="false">
      <c r="A794" s="1"/>
      <c r="B794" s="2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s="14" customFormat="true" ht="25.9" hidden="false" customHeight="true" outlineLevel="0" collapsed="false">
      <c r="A795" s="1"/>
      <c r="B795" s="2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s="14" customFormat="true" ht="25.9" hidden="false" customHeight="true" outlineLevel="0" collapsed="false">
      <c r="A796" s="1"/>
      <c r="B796" s="2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s="14" customFormat="true" ht="25.9" hidden="false" customHeight="true" outlineLevel="0" collapsed="false">
      <c r="A797" s="1"/>
      <c r="B797" s="2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s="14" customFormat="true" ht="25.9" hidden="false" customHeight="true" outlineLevel="0" collapsed="false">
      <c r="A798" s="1"/>
      <c r="B798" s="2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s="14" customFormat="true" ht="25.9" hidden="false" customHeight="true" outlineLevel="0" collapsed="false">
      <c r="A799" s="1"/>
      <c r="B799" s="2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s="14" customFormat="true" ht="25.9" hidden="false" customHeight="true" outlineLevel="0" collapsed="false">
      <c r="A800" s="1"/>
      <c r="B800" s="2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s="14" customFormat="true" ht="25.9" hidden="false" customHeight="true" outlineLevel="0" collapsed="false">
      <c r="A801" s="1"/>
      <c r="B801" s="2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s="14" customFormat="true" ht="25.9" hidden="false" customHeight="true" outlineLevel="0" collapsed="false">
      <c r="A802" s="1"/>
      <c r="B802" s="2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s="14" customFormat="true" ht="25.9" hidden="false" customHeight="true" outlineLevel="0" collapsed="false">
      <c r="A803" s="1"/>
      <c r="B803" s="2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s="14" customFormat="true" ht="25.9" hidden="false" customHeight="true" outlineLevel="0" collapsed="false">
      <c r="A804" s="1"/>
      <c r="B804" s="2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s="14" customFormat="true" ht="25.9" hidden="false" customHeight="true" outlineLevel="0" collapsed="false">
      <c r="A805" s="1"/>
      <c r="B805" s="2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s="14" customFormat="true" ht="25.9" hidden="false" customHeight="true" outlineLevel="0" collapsed="false">
      <c r="A806" s="1"/>
      <c r="B806" s="2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s="14" customFormat="true" ht="25.9" hidden="false" customHeight="true" outlineLevel="0" collapsed="false">
      <c r="A807" s="1"/>
      <c r="B807" s="2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s="14" customFormat="true" ht="25.9" hidden="false" customHeight="true" outlineLevel="0" collapsed="false">
      <c r="A808" s="1"/>
      <c r="B808" s="2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s="14" customFormat="true" ht="25.9" hidden="false" customHeight="true" outlineLevel="0" collapsed="false">
      <c r="A809" s="1"/>
      <c r="B809" s="2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s="14" customFormat="true" ht="25.9" hidden="false" customHeight="true" outlineLevel="0" collapsed="false">
      <c r="A810" s="1"/>
      <c r="B810" s="2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s="14" customFormat="true" ht="25.9" hidden="false" customHeight="true" outlineLevel="0" collapsed="false">
      <c r="A811" s="1"/>
      <c r="B811" s="2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s="14" customFormat="true" ht="25.9" hidden="false" customHeight="true" outlineLevel="0" collapsed="false">
      <c r="A812" s="1"/>
      <c r="B812" s="2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s="14" customFormat="true" ht="25.9" hidden="false" customHeight="true" outlineLevel="0" collapsed="false">
      <c r="A813" s="1"/>
      <c r="B813" s="2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s="14" customFormat="true" ht="25.9" hidden="false" customHeight="true" outlineLevel="0" collapsed="false">
      <c r="A814" s="1"/>
      <c r="B814" s="2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s="14" customFormat="true" ht="25.9" hidden="false" customHeight="true" outlineLevel="0" collapsed="false">
      <c r="A815" s="1"/>
      <c r="B815" s="2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s="14" customFormat="true" ht="25.9" hidden="false" customHeight="true" outlineLevel="0" collapsed="false">
      <c r="A816" s="1"/>
      <c r="B816" s="2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s="14" customFormat="true" ht="25.9" hidden="false" customHeight="true" outlineLevel="0" collapsed="false">
      <c r="A817" s="1"/>
      <c r="B817" s="2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s="14" customFormat="true" ht="25.9" hidden="false" customHeight="true" outlineLevel="0" collapsed="false">
      <c r="A818" s="1"/>
      <c r="B818" s="2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s="14" customFormat="true" ht="25.9" hidden="false" customHeight="true" outlineLevel="0" collapsed="false">
      <c r="A819" s="1"/>
      <c r="B819" s="2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s="14" customFormat="true" ht="25.9" hidden="false" customHeight="true" outlineLevel="0" collapsed="false">
      <c r="A820" s="1"/>
      <c r="B820" s="2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s="14" customFormat="true" ht="25.9" hidden="false" customHeight="true" outlineLevel="0" collapsed="false">
      <c r="A821" s="1"/>
      <c r="B821" s="2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s="14" customFormat="true" ht="25.9" hidden="false" customHeight="true" outlineLevel="0" collapsed="false">
      <c r="A822" s="1"/>
      <c r="B822" s="2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s="14" customFormat="true" ht="25.9" hidden="false" customHeight="true" outlineLevel="0" collapsed="false">
      <c r="A823" s="1"/>
      <c r="B823" s="2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s="14" customFormat="true" ht="25.9" hidden="false" customHeight="true" outlineLevel="0" collapsed="false">
      <c r="A824" s="1"/>
      <c r="B824" s="2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s="14" customFormat="true" ht="25.9" hidden="false" customHeight="true" outlineLevel="0" collapsed="false">
      <c r="A825" s="1"/>
      <c r="B825" s="2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s="14" customFormat="true" ht="25.9" hidden="false" customHeight="true" outlineLevel="0" collapsed="false">
      <c r="A826" s="1"/>
      <c r="B826" s="2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s="14" customFormat="true" ht="25.9" hidden="false" customHeight="true" outlineLevel="0" collapsed="false">
      <c r="A827" s="1"/>
      <c r="B827" s="2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s="14" customFormat="true" ht="25.9" hidden="false" customHeight="true" outlineLevel="0" collapsed="false">
      <c r="A828" s="1"/>
      <c r="B828" s="2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s="14" customFormat="true" ht="25.9" hidden="false" customHeight="true" outlineLevel="0" collapsed="false">
      <c r="A829" s="1"/>
      <c r="B829" s="2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s="14" customFormat="true" ht="25.9" hidden="false" customHeight="true" outlineLevel="0" collapsed="false">
      <c r="A830" s="1"/>
      <c r="B830" s="2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s="14" customFormat="true" ht="25.9" hidden="false" customHeight="true" outlineLevel="0" collapsed="false">
      <c r="A831" s="1"/>
      <c r="B831" s="2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s="14" customFormat="true" ht="25.9" hidden="false" customHeight="true" outlineLevel="0" collapsed="false">
      <c r="A832" s="1"/>
      <c r="B832" s="2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s="14" customFormat="true" ht="25.9" hidden="false" customHeight="true" outlineLevel="0" collapsed="false">
      <c r="A833" s="1"/>
      <c r="B833" s="2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s="14" customFormat="true" ht="25.9" hidden="false" customHeight="true" outlineLevel="0" collapsed="false">
      <c r="A834" s="1"/>
      <c r="B834" s="2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s="14" customFormat="true" ht="25.9" hidden="false" customHeight="true" outlineLevel="0" collapsed="false">
      <c r="A835" s="1"/>
      <c r="B835" s="2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s="14" customFormat="true" ht="25.9" hidden="false" customHeight="true" outlineLevel="0" collapsed="false">
      <c r="A836" s="1"/>
      <c r="B836" s="2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s="14" customFormat="true" ht="25.9" hidden="false" customHeight="true" outlineLevel="0" collapsed="false">
      <c r="A837" s="1"/>
      <c r="B837" s="2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s="14" customFormat="true" ht="25.9" hidden="false" customHeight="true" outlineLevel="0" collapsed="false">
      <c r="A838" s="1"/>
      <c r="B838" s="2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s="14" customFormat="true" ht="25.9" hidden="false" customHeight="true" outlineLevel="0" collapsed="false">
      <c r="A839" s="1"/>
      <c r="B839" s="2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s="14" customFormat="true" ht="25.9" hidden="false" customHeight="true" outlineLevel="0" collapsed="false">
      <c r="A840" s="1"/>
      <c r="B840" s="2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s="14" customFormat="true" ht="25.9" hidden="false" customHeight="true" outlineLevel="0" collapsed="false">
      <c r="A841" s="1"/>
      <c r="B841" s="2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s="14" customFormat="true" ht="25.9" hidden="false" customHeight="true" outlineLevel="0" collapsed="false">
      <c r="A842" s="1"/>
      <c r="B842" s="2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s="14" customFormat="true" ht="25.9" hidden="false" customHeight="true" outlineLevel="0" collapsed="false">
      <c r="A843" s="1"/>
      <c r="B843" s="2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s="14" customFormat="true" ht="25.9" hidden="false" customHeight="true" outlineLevel="0" collapsed="false">
      <c r="A844" s="1"/>
      <c r="B844" s="2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s="14" customFormat="true" ht="25.9" hidden="false" customHeight="true" outlineLevel="0" collapsed="false">
      <c r="A845" s="1"/>
      <c r="B845" s="2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s="14" customFormat="true" ht="25.9" hidden="false" customHeight="true" outlineLevel="0" collapsed="false">
      <c r="A846" s="1"/>
      <c r="B846" s="2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s="14" customFormat="true" ht="25.9" hidden="false" customHeight="true" outlineLevel="0" collapsed="false">
      <c r="A847" s="1"/>
      <c r="B847" s="2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s="14" customFormat="true" ht="25.9" hidden="false" customHeight="true" outlineLevel="0" collapsed="false">
      <c r="A848" s="1"/>
      <c r="B848" s="2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s="14" customFormat="true" ht="25.9" hidden="false" customHeight="true" outlineLevel="0" collapsed="false">
      <c r="A849" s="1"/>
      <c r="B849" s="2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s="14" customFormat="true" ht="25.9" hidden="false" customHeight="true" outlineLevel="0" collapsed="false">
      <c r="A850" s="1"/>
      <c r="B850" s="2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s="14" customFormat="true" ht="25.9" hidden="false" customHeight="true" outlineLevel="0" collapsed="false">
      <c r="A851" s="1"/>
      <c r="B851" s="2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s="14" customFormat="true" ht="25.9" hidden="false" customHeight="true" outlineLevel="0" collapsed="false">
      <c r="A852" s="1"/>
      <c r="B852" s="2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s="14" customFormat="true" ht="25.9" hidden="false" customHeight="true" outlineLevel="0" collapsed="false">
      <c r="A853" s="1"/>
      <c r="B853" s="2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s="14" customFormat="true" ht="25.9" hidden="false" customHeight="true" outlineLevel="0" collapsed="false">
      <c r="A854" s="1"/>
      <c r="B854" s="2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s="14" customFormat="true" ht="25.9" hidden="false" customHeight="true" outlineLevel="0" collapsed="false">
      <c r="A855" s="1"/>
      <c r="B855" s="2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s="14" customFormat="true" ht="25.9" hidden="false" customHeight="true" outlineLevel="0" collapsed="false">
      <c r="A856" s="1"/>
      <c r="B856" s="2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s="14" customFormat="true" ht="25.9" hidden="false" customHeight="true" outlineLevel="0" collapsed="false">
      <c r="A857" s="1"/>
      <c r="B857" s="2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s="14" customFormat="true" ht="25.9" hidden="false" customHeight="true" outlineLevel="0" collapsed="false">
      <c r="A858" s="1"/>
      <c r="B858" s="2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s="14" customFormat="true" ht="25.9" hidden="false" customHeight="true" outlineLevel="0" collapsed="false">
      <c r="A859" s="1"/>
      <c r="B859" s="2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s="14" customFormat="true" ht="25.9" hidden="false" customHeight="true" outlineLevel="0" collapsed="false">
      <c r="A860" s="1"/>
      <c r="B860" s="2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s="14" customFormat="true" ht="25.9" hidden="false" customHeight="true" outlineLevel="0" collapsed="false">
      <c r="A861" s="1"/>
      <c r="B861" s="2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s="14" customFormat="true" ht="25.9" hidden="false" customHeight="true" outlineLevel="0" collapsed="false">
      <c r="A862" s="1"/>
      <c r="B862" s="2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s="14" customFormat="true" ht="25.9" hidden="false" customHeight="true" outlineLevel="0" collapsed="false">
      <c r="A863" s="1"/>
      <c r="B863" s="2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s="14" customFormat="true" ht="25.9" hidden="false" customHeight="true" outlineLevel="0" collapsed="false">
      <c r="A864" s="1"/>
      <c r="B864" s="2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s="14" customFormat="true" ht="25.9" hidden="false" customHeight="true" outlineLevel="0" collapsed="false">
      <c r="A865" s="1"/>
      <c r="B865" s="2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s="14" customFormat="true" ht="25.9" hidden="false" customHeight="true" outlineLevel="0" collapsed="false">
      <c r="A866" s="1"/>
      <c r="B866" s="2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s="14" customFormat="true" ht="25.9" hidden="false" customHeight="true" outlineLevel="0" collapsed="false">
      <c r="A867" s="1"/>
      <c r="B867" s="2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s="14" customFormat="true" ht="25.9" hidden="false" customHeight="true" outlineLevel="0" collapsed="false">
      <c r="A868" s="1"/>
      <c r="B868" s="2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s="14" customFormat="true" ht="25.9" hidden="false" customHeight="true" outlineLevel="0" collapsed="false">
      <c r="A869" s="1"/>
      <c r="B869" s="2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s="14" customFormat="true" ht="25.9" hidden="false" customHeight="true" outlineLevel="0" collapsed="false">
      <c r="A870" s="1"/>
      <c r="B870" s="2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s="14" customFormat="true" ht="25.9" hidden="false" customHeight="true" outlineLevel="0" collapsed="false">
      <c r="A871" s="1"/>
      <c r="B871" s="2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s="14" customFormat="true" ht="25.9" hidden="false" customHeight="true" outlineLevel="0" collapsed="false">
      <c r="A872" s="1"/>
      <c r="B872" s="2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s="14" customFormat="true" ht="25.9" hidden="false" customHeight="true" outlineLevel="0" collapsed="false">
      <c r="A873" s="1"/>
      <c r="B873" s="2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s="14" customFormat="true" ht="25.9" hidden="false" customHeight="true" outlineLevel="0" collapsed="false">
      <c r="A874" s="1"/>
      <c r="B874" s="2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s="14" customFormat="true" ht="25.9" hidden="false" customHeight="true" outlineLevel="0" collapsed="false">
      <c r="A875" s="1"/>
      <c r="B875" s="2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s="14" customFormat="true" ht="25.9" hidden="false" customHeight="true" outlineLevel="0" collapsed="false">
      <c r="A876" s="1"/>
      <c r="B876" s="2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s="14" customFormat="true" ht="25.9" hidden="false" customHeight="true" outlineLevel="0" collapsed="false">
      <c r="A877" s="1"/>
      <c r="B877" s="2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s="14" customFormat="true" ht="25.9" hidden="false" customHeight="true" outlineLevel="0" collapsed="false">
      <c r="A878" s="1"/>
      <c r="B878" s="2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s="14" customFormat="true" ht="25.9" hidden="false" customHeight="true" outlineLevel="0" collapsed="false">
      <c r="A879" s="1"/>
      <c r="B879" s="2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s="14" customFormat="true" ht="25.9" hidden="false" customHeight="true" outlineLevel="0" collapsed="false">
      <c r="A880" s="1"/>
      <c r="B880" s="2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s="14" customFormat="true" ht="25.9" hidden="false" customHeight="true" outlineLevel="0" collapsed="false">
      <c r="A881" s="1"/>
      <c r="B881" s="2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s="14" customFormat="true" ht="25.9" hidden="false" customHeight="true" outlineLevel="0" collapsed="false">
      <c r="A882" s="1"/>
      <c r="B882" s="2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s="14" customFormat="true" ht="25.9" hidden="false" customHeight="true" outlineLevel="0" collapsed="false">
      <c r="A883" s="1"/>
      <c r="B883" s="2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s="14" customFormat="true" ht="25.9" hidden="false" customHeight="true" outlineLevel="0" collapsed="false">
      <c r="A884" s="1"/>
      <c r="B884" s="2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s="14" customFormat="true" ht="25.9" hidden="false" customHeight="true" outlineLevel="0" collapsed="false">
      <c r="A885" s="1"/>
      <c r="B885" s="2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s="14" customFormat="true" ht="25.9" hidden="false" customHeight="true" outlineLevel="0" collapsed="false">
      <c r="A886" s="1"/>
      <c r="B886" s="2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s="14" customFormat="true" ht="25.9" hidden="false" customHeight="true" outlineLevel="0" collapsed="false">
      <c r="A887" s="1"/>
      <c r="B887" s="2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s="14" customFormat="true" ht="25.9" hidden="false" customHeight="true" outlineLevel="0" collapsed="false">
      <c r="A888" s="1"/>
      <c r="B888" s="2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s="14" customFormat="true" ht="25.9" hidden="false" customHeight="true" outlineLevel="0" collapsed="false">
      <c r="A889" s="1"/>
      <c r="B889" s="2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s="14" customFormat="true" ht="25.9" hidden="false" customHeight="true" outlineLevel="0" collapsed="false">
      <c r="A890" s="1"/>
      <c r="B890" s="2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s="14" customFormat="true" ht="25.9" hidden="false" customHeight="true" outlineLevel="0" collapsed="false">
      <c r="A891" s="1"/>
      <c r="B891" s="2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s="14" customFormat="true" ht="25.9" hidden="false" customHeight="true" outlineLevel="0" collapsed="false">
      <c r="A892" s="1"/>
      <c r="B892" s="2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s="14" customFormat="true" ht="25.9" hidden="false" customHeight="true" outlineLevel="0" collapsed="false">
      <c r="A893" s="1"/>
      <c r="B893" s="2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s="14" customFormat="true" ht="25.9" hidden="false" customHeight="true" outlineLevel="0" collapsed="false">
      <c r="A894" s="1"/>
      <c r="B894" s="2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s="14" customFormat="true" ht="25.9" hidden="false" customHeight="true" outlineLevel="0" collapsed="false">
      <c r="A895" s="1"/>
      <c r="B895" s="2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s="14" customFormat="true" ht="25.9" hidden="false" customHeight="true" outlineLevel="0" collapsed="false">
      <c r="A896" s="1"/>
      <c r="B896" s="2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s="14" customFormat="true" ht="25.9" hidden="false" customHeight="true" outlineLevel="0" collapsed="false">
      <c r="A897" s="1"/>
      <c r="B897" s="2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s="14" customFormat="true" ht="25.9" hidden="false" customHeight="true" outlineLevel="0" collapsed="false">
      <c r="A898" s="1"/>
      <c r="B898" s="2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s="14" customFormat="true" ht="25.9" hidden="false" customHeight="true" outlineLevel="0" collapsed="false">
      <c r="A899" s="1"/>
      <c r="B899" s="2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s="14" customFormat="true" ht="25.9" hidden="false" customHeight="true" outlineLevel="0" collapsed="false">
      <c r="A900" s="1"/>
      <c r="B900" s="2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s="14" customFormat="true" ht="25.9" hidden="false" customHeight="true" outlineLevel="0" collapsed="false">
      <c r="A901" s="1"/>
      <c r="B901" s="2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s="14" customFormat="true" ht="25.9" hidden="false" customHeight="true" outlineLevel="0" collapsed="false">
      <c r="A902" s="1"/>
      <c r="B902" s="2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s="14" customFormat="true" ht="25.9" hidden="false" customHeight="true" outlineLevel="0" collapsed="false">
      <c r="A903" s="1"/>
      <c r="B903" s="2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s="14" customFormat="true" ht="25.9" hidden="false" customHeight="true" outlineLevel="0" collapsed="false">
      <c r="A904" s="1"/>
      <c r="B904" s="2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s="14" customFormat="true" ht="25.9" hidden="false" customHeight="true" outlineLevel="0" collapsed="false">
      <c r="A905" s="1"/>
      <c r="B905" s="2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s="14" customFormat="true" ht="25.9" hidden="false" customHeight="true" outlineLevel="0" collapsed="false">
      <c r="A906" s="1"/>
      <c r="B906" s="2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s="14" customFormat="true" ht="25.9" hidden="false" customHeight="true" outlineLevel="0" collapsed="false">
      <c r="A907" s="1"/>
      <c r="B907" s="2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s="14" customFormat="true" ht="25.9" hidden="false" customHeight="true" outlineLevel="0" collapsed="false">
      <c r="A908" s="1"/>
      <c r="B908" s="2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s="14" customFormat="true" ht="25.9" hidden="false" customHeight="true" outlineLevel="0" collapsed="false">
      <c r="A909" s="1"/>
      <c r="B909" s="2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s="14" customFormat="true" ht="25.9" hidden="false" customHeight="true" outlineLevel="0" collapsed="false">
      <c r="A910" s="1"/>
      <c r="B910" s="2"/>
      <c r="D910" s="1"/>
      <c r="E910" s="1"/>
      <c r="F910" s="1"/>
      <c r="G910" s="1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s="14" customFormat="true" ht="25.9" hidden="false" customHeight="true" outlineLevel="0" collapsed="false">
      <c r="A911" s="1"/>
      <c r="B911" s="2"/>
      <c r="D911" s="1"/>
      <c r="E911" s="1"/>
      <c r="F911" s="1"/>
      <c r="G911" s="1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s="14" customFormat="true" ht="25.9" hidden="false" customHeight="true" outlineLevel="0" collapsed="false">
      <c r="A912" s="1"/>
      <c r="B912" s="2"/>
      <c r="D912" s="1"/>
      <c r="E912" s="1"/>
      <c r="F912" s="1"/>
      <c r="G912" s="1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s="14" customFormat="true" ht="25.9" hidden="false" customHeight="true" outlineLevel="0" collapsed="false">
      <c r="A913" s="1"/>
      <c r="B913" s="2"/>
      <c r="D913" s="1"/>
      <c r="E913" s="1"/>
      <c r="F913" s="1"/>
      <c r="G913" s="1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s="14" customFormat="true" ht="25.9" hidden="false" customHeight="true" outlineLevel="0" collapsed="false">
      <c r="A914" s="1"/>
      <c r="B914" s="2"/>
      <c r="D914" s="1"/>
      <c r="E914" s="1"/>
      <c r="F914" s="1"/>
      <c r="G914" s="1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s="14" customFormat="true" ht="25.9" hidden="false" customHeight="true" outlineLevel="0" collapsed="false">
      <c r="A915" s="1"/>
      <c r="B915" s="2"/>
      <c r="D915" s="1"/>
      <c r="E915" s="1"/>
      <c r="F915" s="1"/>
      <c r="G915" s="1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s="14" customFormat="true" ht="25.9" hidden="false" customHeight="true" outlineLevel="0" collapsed="false">
      <c r="A916" s="1"/>
      <c r="B916" s="2"/>
      <c r="D916" s="1"/>
      <c r="E916" s="1"/>
      <c r="F916" s="1"/>
      <c r="G916" s="1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s="14" customFormat="true" ht="25.9" hidden="false" customHeight="true" outlineLevel="0" collapsed="false">
      <c r="A917" s="1"/>
      <c r="B917" s="2"/>
      <c r="D917" s="1"/>
      <c r="E917" s="1"/>
      <c r="F917" s="1"/>
      <c r="G917" s="1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s="14" customFormat="true" ht="25.9" hidden="false" customHeight="true" outlineLevel="0" collapsed="false">
      <c r="A918" s="1"/>
      <c r="B918" s="2"/>
      <c r="D918" s="1"/>
      <c r="E918" s="1"/>
      <c r="F918" s="1"/>
      <c r="G918" s="1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s="14" customFormat="true" ht="25.9" hidden="false" customHeight="true" outlineLevel="0" collapsed="false">
      <c r="A919" s="1"/>
      <c r="B919" s="2"/>
      <c r="D919" s="1"/>
      <c r="E919" s="1"/>
      <c r="F919" s="1"/>
      <c r="G919" s="1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s="14" customFormat="true" ht="25.9" hidden="false" customHeight="true" outlineLevel="0" collapsed="false">
      <c r="A920" s="1"/>
      <c r="B920" s="2"/>
      <c r="D920" s="1"/>
      <c r="E920" s="1"/>
      <c r="F920" s="1"/>
      <c r="G920" s="1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s="14" customFormat="true" ht="25.9" hidden="false" customHeight="true" outlineLevel="0" collapsed="false">
      <c r="A921" s="1"/>
      <c r="B921" s="2"/>
      <c r="D921" s="1"/>
      <c r="E921" s="1"/>
      <c r="F921" s="1"/>
      <c r="G921" s="1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s="14" customFormat="true" ht="25.9" hidden="false" customHeight="true" outlineLevel="0" collapsed="false">
      <c r="A922" s="1"/>
      <c r="B922" s="2"/>
      <c r="D922" s="1"/>
      <c r="E922" s="1"/>
      <c r="F922" s="1"/>
      <c r="G922" s="1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s="14" customFormat="true" ht="25.9" hidden="false" customHeight="true" outlineLevel="0" collapsed="false">
      <c r="A923" s="1"/>
      <c r="B923" s="2"/>
      <c r="D923" s="1"/>
      <c r="E923" s="1"/>
      <c r="F923" s="1"/>
      <c r="G923" s="1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s="14" customFormat="true" ht="25.9" hidden="false" customHeight="true" outlineLevel="0" collapsed="false">
      <c r="A924" s="1"/>
      <c r="B924" s="2"/>
      <c r="D924" s="1"/>
      <c r="E924" s="1"/>
      <c r="F924" s="1"/>
      <c r="G924" s="1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s="14" customFormat="true" ht="25.9" hidden="false" customHeight="true" outlineLevel="0" collapsed="false">
      <c r="A925" s="1"/>
      <c r="B925" s="2"/>
      <c r="D925" s="1"/>
      <c r="E925" s="1"/>
      <c r="F925" s="1"/>
      <c r="G925" s="1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s="14" customFormat="true" ht="25.9" hidden="false" customHeight="true" outlineLevel="0" collapsed="false">
      <c r="A926" s="1"/>
      <c r="B926" s="2"/>
      <c r="D926" s="1"/>
      <c r="E926" s="1"/>
      <c r="F926" s="1"/>
      <c r="G926" s="1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s="14" customFormat="true" ht="25.9" hidden="false" customHeight="true" outlineLevel="0" collapsed="false">
      <c r="A927" s="1"/>
      <c r="B927" s="2"/>
      <c r="D927" s="1"/>
      <c r="E927" s="1"/>
      <c r="F927" s="1"/>
      <c r="G927" s="1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s="14" customFormat="true" ht="25.9" hidden="false" customHeight="true" outlineLevel="0" collapsed="false">
      <c r="A928" s="1"/>
      <c r="B928" s="2"/>
      <c r="D928" s="1"/>
      <c r="E928" s="1"/>
      <c r="F928" s="1"/>
      <c r="G928" s="1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s="14" customFormat="true" ht="25.9" hidden="false" customHeight="true" outlineLevel="0" collapsed="false">
      <c r="A929" s="1"/>
      <c r="B929" s="2"/>
      <c r="D929" s="1"/>
      <c r="E929" s="1"/>
      <c r="F929" s="1"/>
      <c r="G929" s="1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s="14" customFormat="true" ht="25.9" hidden="false" customHeight="true" outlineLevel="0" collapsed="false">
      <c r="A930" s="1"/>
      <c r="B930" s="2"/>
      <c r="D930" s="1"/>
      <c r="E930" s="1"/>
      <c r="F930" s="1"/>
      <c r="G930" s="1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s="14" customFormat="true" ht="25.9" hidden="false" customHeight="true" outlineLevel="0" collapsed="false">
      <c r="A931" s="1"/>
      <c r="B931" s="2"/>
      <c r="D931" s="1"/>
      <c r="E931" s="1"/>
      <c r="F931" s="1"/>
      <c r="G931" s="1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s="14" customFormat="true" ht="25.9" hidden="false" customHeight="true" outlineLevel="0" collapsed="false">
      <c r="A932" s="1"/>
      <c r="B932" s="2"/>
      <c r="D932" s="1"/>
      <c r="E932" s="1"/>
      <c r="F932" s="1"/>
      <c r="G932" s="1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s="14" customFormat="true" ht="25.9" hidden="false" customHeight="true" outlineLevel="0" collapsed="false">
      <c r="A933" s="1"/>
      <c r="B933" s="2"/>
      <c r="D933" s="1"/>
      <c r="E933" s="1"/>
      <c r="F933" s="1"/>
      <c r="G933" s="1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s="14" customFormat="true" ht="25.9" hidden="false" customHeight="true" outlineLevel="0" collapsed="false">
      <c r="A934" s="1"/>
      <c r="B934" s="2"/>
      <c r="D934" s="1"/>
      <c r="E934" s="1"/>
      <c r="F934" s="1"/>
      <c r="G934" s="1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s="14" customFormat="true" ht="25.9" hidden="false" customHeight="true" outlineLevel="0" collapsed="false">
      <c r="A935" s="1"/>
      <c r="B935" s="2"/>
      <c r="D935" s="1"/>
      <c r="E935" s="1"/>
      <c r="F935" s="1"/>
      <c r="G935" s="1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s="14" customFormat="true" ht="25.9" hidden="false" customHeight="true" outlineLevel="0" collapsed="false">
      <c r="A936" s="1"/>
      <c r="B936" s="2"/>
      <c r="D936" s="1"/>
      <c r="E936" s="1"/>
      <c r="F936" s="1"/>
      <c r="G936" s="1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s="14" customFormat="true" ht="25.9" hidden="false" customHeight="true" outlineLevel="0" collapsed="false">
      <c r="A937" s="1"/>
      <c r="B937" s="2"/>
      <c r="D937" s="1"/>
      <c r="E937" s="1"/>
      <c r="F937" s="1"/>
      <c r="G937" s="1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s="14" customFormat="true" ht="25.9" hidden="false" customHeight="true" outlineLevel="0" collapsed="false">
      <c r="A938" s="1"/>
      <c r="B938" s="2"/>
      <c r="D938" s="1"/>
      <c r="E938" s="1"/>
      <c r="F938" s="1"/>
      <c r="G938" s="1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s="14" customFormat="true" ht="25.9" hidden="false" customHeight="true" outlineLevel="0" collapsed="false">
      <c r="A939" s="1"/>
      <c r="B939" s="2"/>
      <c r="D939" s="1"/>
      <c r="E939" s="1"/>
      <c r="F939" s="1"/>
      <c r="G939" s="1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s="14" customFormat="true" ht="25.9" hidden="false" customHeight="true" outlineLevel="0" collapsed="false">
      <c r="A940" s="1"/>
      <c r="B940" s="2"/>
      <c r="D940" s="1"/>
      <c r="E940" s="1"/>
      <c r="F940" s="1"/>
      <c r="G940" s="1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s="14" customFormat="true" ht="25.9" hidden="false" customHeight="true" outlineLevel="0" collapsed="false">
      <c r="A941" s="1"/>
      <c r="B941" s="2"/>
      <c r="D941" s="1"/>
      <c r="E941" s="1"/>
      <c r="F941" s="1"/>
      <c r="G941" s="1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s="14" customFormat="true" ht="25.9" hidden="false" customHeight="true" outlineLevel="0" collapsed="false">
      <c r="A942" s="1"/>
      <c r="B942" s="2"/>
      <c r="D942" s="1"/>
      <c r="E942" s="1"/>
      <c r="F942" s="1"/>
      <c r="G942" s="1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s="14" customFormat="true" ht="25.9" hidden="false" customHeight="true" outlineLevel="0" collapsed="false">
      <c r="A943" s="1"/>
      <c r="B943" s="2"/>
      <c r="D943" s="1"/>
      <c r="E943" s="1"/>
      <c r="F943" s="1"/>
      <c r="G943" s="1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s="14" customFormat="true" ht="25.9" hidden="false" customHeight="true" outlineLevel="0" collapsed="false">
      <c r="A944" s="1"/>
      <c r="B944" s="2"/>
      <c r="D944" s="1"/>
      <c r="E944" s="1"/>
      <c r="F944" s="1"/>
      <c r="G944" s="1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s="14" customFormat="true" ht="25.9" hidden="false" customHeight="true" outlineLevel="0" collapsed="false">
      <c r="A945" s="1"/>
      <c r="B945" s="2"/>
      <c r="D945" s="1"/>
      <c r="E945" s="1"/>
      <c r="F945" s="1"/>
      <c r="G945" s="1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s="14" customFormat="true" ht="25.9" hidden="false" customHeight="true" outlineLevel="0" collapsed="false">
      <c r="A946" s="1"/>
      <c r="B946" s="2"/>
      <c r="D946" s="1"/>
      <c r="E946" s="1"/>
      <c r="F946" s="1"/>
      <c r="G946" s="1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s="14" customFormat="true" ht="25.9" hidden="false" customHeight="true" outlineLevel="0" collapsed="false">
      <c r="A947" s="1"/>
      <c r="B947" s="2"/>
      <c r="D947" s="1"/>
      <c r="E947" s="1"/>
      <c r="F947" s="1"/>
      <c r="G947" s="1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s="14" customFormat="true" ht="25.9" hidden="false" customHeight="true" outlineLevel="0" collapsed="false">
      <c r="A948" s="1"/>
      <c r="B948" s="2"/>
      <c r="D948" s="1"/>
      <c r="E948" s="1"/>
      <c r="F948" s="1"/>
      <c r="G948" s="1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s="14" customFormat="true" ht="25.9" hidden="false" customHeight="true" outlineLevel="0" collapsed="false">
      <c r="A949" s="1"/>
      <c r="B949" s="2"/>
      <c r="D949" s="1"/>
      <c r="E949" s="1"/>
      <c r="F949" s="1"/>
      <c r="G949" s="1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s="14" customFormat="true" ht="25.9" hidden="false" customHeight="true" outlineLevel="0" collapsed="false">
      <c r="A950" s="1"/>
      <c r="B950" s="2"/>
      <c r="D950" s="1"/>
      <c r="E950" s="1"/>
      <c r="F950" s="1"/>
      <c r="G950" s="1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s="14" customFormat="true" ht="25.9" hidden="false" customHeight="true" outlineLevel="0" collapsed="false">
      <c r="A951" s="1"/>
      <c r="B951" s="2"/>
      <c r="D951" s="1"/>
      <c r="E951" s="1"/>
      <c r="F951" s="1"/>
      <c r="G951" s="1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s="14" customFormat="true" ht="25.9" hidden="false" customHeight="true" outlineLevel="0" collapsed="false">
      <c r="A952" s="1"/>
      <c r="B952" s="2"/>
      <c r="D952" s="1"/>
      <c r="E952" s="1"/>
      <c r="F952" s="1"/>
      <c r="G952" s="1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s="14" customFormat="true" ht="25.9" hidden="false" customHeight="true" outlineLevel="0" collapsed="false">
      <c r="A953" s="1"/>
      <c r="B953" s="2"/>
      <c r="D953" s="1"/>
      <c r="E953" s="1"/>
      <c r="F953" s="1"/>
      <c r="G953" s="1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s="14" customFormat="true" ht="25.9" hidden="false" customHeight="true" outlineLevel="0" collapsed="false">
      <c r="A954" s="1"/>
      <c r="B954" s="2"/>
      <c r="D954" s="1"/>
      <c r="E954" s="1"/>
      <c r="F954" s="1"/>
      <c r="G954" s="1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s="14" customFormat="true" ht="25.9" hidden="false" customHeight="true" outlineLevel="0" collapsed="false">
      <c r="A955" s="1"/>
      <c r="B955" s="2"/>
      <c r="D955" s="1"/>
      <c r="E955" s="1"/>
      <c r="F955" s="1"/>
      <c r="G955" s="1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s="14" customFormat="true" ht="25.9" hidden="false" customHeight="true" outlineLevel="0" collapsed="false">
      <c r="A956" s="1"/>
      <c r="B956" s="2"/>
      <c r="D956" s="1"/>
      <c r="E956" s="1"/>
      <c r="F956" s="1"/>
      <c r="G956" s="1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s="14" customFormat="true" ht="25.9" hidden="false" customHeight="true" outlineLevel="0" collapsed="false">
      <c r="A957" s="1"/>
      <c r="B957" s="2"/>
      <c r="D957" s="1"/>
      <c r="E957" s="1"/>
      <c r="F957" s="1"/>
      <c r="G957" s="1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s="14" customFormat="true" ht="25.9" hidden="false" customHeight="true" outlineLevel="0" collapsed="false">
      <c r="A958" s="1"/>
      <c r="B958" s="2"/>
      <c r="D958" s="1"/>
      <c r="E958" s="1"/>
      <c r="F958" s="1"/>
      <c r="G958" s="1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s="14" customFormat="true" ht="25.9" hidden="false" customHeight="true" outlineLevel="0" collapsed="false">
      <c r="A959" s="1"/>
      <c r="B959" s="2"/>
      <c r="D959" s="1"/>
      <c r="E959" s="1"/>
      <c r="F959" s="1"/>
      <c r="G959" s="1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s="14" customFormat="true" ht="25.9" hidden="false" customHeight="true" outlineLevel="0" collapsed="false">
      <c r="A960" s="1"/>
      <c r="B960" s="2"/>
      <c r="D960" s="1"/>
      <c r="E960" s="1"/>
      <c r="F960" s="1"/>
      <c r="G960" s="1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s="14" customFormat="true" ht="25.9" hidden="false" customHeight="true" outlineLevel="0" collapsed="false">
      <c r="A961" s="1"/>
      <c r="B961" s="2"/>
      <c r="D961" s="1"/>
      <c r="E961" s="1"/>
      <c r="F961" s="1"/>
      <c r="G961" s="1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s="14" customFormat="true" ht="25.9" hidden="false" customHeight="true" outlineLevel="0" collapsed="false">
      <c r="A962" s="1"/>
      <c r="B962" s="2"/>
      <c r="D962" s="1"/>
      <c r="E962" s="1"/>
      <c r="F962" s="1"/>
      <c r="G962" s="1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s="14" customFormat="true" ht="25.9" hidden="false" customHeight="true" outlineLevel="0" collapsed="false">
      <c r="A963" s="1"/>
      <c r="B963" s="2"/>
      <c r="D963" s="1"/>
      <c r="E963" s="1"/>
      <c r="F963" s="1"/>
      <c r="G963" s="1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s="14" customFormat="true" ht="25.9" hidden="false" customHeight="true" outlineLevel="0" collapsed="false">
      <c r="A964" s="1"/>
      <c r="B964" s="2"/>
      <c r="D964" s="1"/>
      <c r="E964" s="1"/>
      <c r="F964" s="1"/>
      <c r="G964" s="1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s="14" customFormat="true" ht="25.9" hidden="false" customHeight="true" outlineLevel="0" collapsed="false">
      <c r="A965" s="1"/>
      <c r="B965" s="2"/>
      <c r="D965" s="1"/>
      <c r="E965" s="1"/>
      <c r="F965" s="1"/>
      <c r="G965" s="1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s="14" customFormat="true" ht="25.9" hidden="false" customHeight="true" outlineLevel="0" collapsed="false">
      <c r="A966" s="1"/>
      <c r="B966" s="2"/>
      <c r="D966" s="1"/>
      <c r="E966" s="1"/>
      <c r="F966" s="1"/>
      <c r="G966" s="1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s="14" customFormat="true" ht="25.9" hidden="false" customHeight="true" outlineLevel="0" collapsed="false">
      <c r="A967" s="1"/>
      <c r="B967" s="2"/>
      <c r="D967" s="1"/>
      <c r="E967" s="1"/>
      <c r="F967" s="1"/>
      <c r="G967" s="1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s="14" customFormat="true" ht="25.9" hidden="false" customHeight="true" outlineLevel="0" collapsed="false">
      <c r="A968" s="1"/>
      <c r="B968" s="2"/>
      <c r="D968" s="1"/>
      <c r="E968" s="1"/>
      <c r="F968" s="1"/>
      <c r="G968" s="1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s="14" customFormat="true" ht="25.9" hidden="false" customHeight="true" outlineLevel="0" collapsed="false">
      <c r="A969" s="1"/>
      <c r="B969" s="2"/>
      <c r="D969" s="1"/>
      <c r="E969" s="1"/>
      <c r="F969" s="1"/>
      <c r="G969" s="1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="14" customFormat="true" ht="25.9" hidden="false" customHeight="true" outlineLevel="0" collapsed="false">
      <c r="A970" s="1"/>
      <c r="B970" s="2"/>
      <c r="D970" s="1"/>
      <c r="E970" s="1"/>
      <c r="F970" s="1"/>
      <c r="G970" s="1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="14" customFormat="true" ht="25.9" hidden="false" customHeight="true" outlineLevel="0" collapsed="false">
      <c r="A971" s="1"/>
      <c r="B971" s="2"/>
      <c r="D971" s="1"/>
      <c r="E971" s="1"/>
      <c r="F971" s="1"/>
      <c r="G971" s="1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="14" customFormat="true" ht="25.9" hidden="false" customHeight="true" outlineLevel="0" collapsed="false">
      <c r="A972" s="1"/>
      <c r="B972" s="2"/>
      <c r="D972" s="1"/>
      <c r="E972" s="1"/>
      <c r="F972" s="1"/>
      <c r="G972" s="1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="14" customFormat="true" ht="25.9" hidden="false" customHeight="true" outlineLevel="0" collapsed="false">
      <c r="A973" s="1"/>
      <c r="B973" s="2"/>
      <c r="D973" s="1"/>
      <c r="E973" s="1"/>
      <c r="F973" s="1"/>
      <c r="G973" s="1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="14" customFormat="true" ht="25.9" hidden="false" customHeight="true" outlineLevel="0" collapsed="false">
      <c r="A974" s="1"/>
      <c r="B974" s="2"/>
      <c r="D974" s="1"/>
      <c r="E974" s="1"/>
      <c r="F974" s="1"/>
      <c r="G974" s="1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="14" customFormat="true" ht="25.9" hidden="false" customHeight="true" outlineLevel="0" collapsed="false">
      <c r="A975" s="1"/>
      <c r="B975" s="2"/>
      <c r="D975" s="1"/>
      <c r="E975" s="1"/>
      <c r="F975" s="1"/>
      <c r="G975" s="1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="14" customFormat="true" ht="25.9" hidden="false" customHeight="true" outlineLevel="0" collapsed="false">
      <c r="A976" s="1"/>
      <c r="B976" s="2"/>
      <c r="D976" s="1"/>
      <c r="E976" s="1"/>
      <c r="F976" s="1"/>
      <c r="G976" s="1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="14" customFormat="true" ht="25.9" hidden="false" customHeight="true" outlineLevel="0" collapsed="false">
      <c r="A977" s="1"/>
      <c r="B977" s="2"/>
      <c r="D977" s="1"/>
      <c r="E977" s="1"/>
      <c r="F977" s="1"/>
      <c r="G977" s="1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="14" customFormat="true" ht="25.9" hidden="false" customHeight="true" outlineLevel="0" collapsed="false">
      <c r="A978" s="1"/>
      <c r="B978" s="2"/>
      <c r="D978" s="1"/>
      <c r="E978" s="1"/>
      <c r="F978" s="1"/>
      <c r="G978" s="1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="14" customFormat="true" ht="25.9" hidden="false" customHeight="true" outlineLevel="0" collapsed="false">
      <c r="A979" s="1"/>
      <c r="B979" s="2"/>
      <c r="D979" s="1"/>
      <c r="E979" s="1"/>
      <c r="F979" s="1"/>
      <c r="G979" s="1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="14" customFormat="true" ht="25.9" hidden="false" customHeight="true" outlineLevel="0" collapsed="false">
      <c r="A980" s="1"/>
      <c r="B980" s="2"/>
      <c r="D980" s="1"/>
      <c r="E980" s="1"/>
      <c r="F980" s="1"/>
      <c r="G980" s="1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="14" customFormat="true" ht="25.9" hidden="false" customHeight="true" outlineLevel="0" collapsed="false">
      <c r="A981" s="1"/>
      <c r="B981" s="2"/>
      <c r="D981" s="1"/>
      <c r="E981" s="1"/>
      <c r="F981" s="1"/>
      <c r="G981" s="1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="14" customFormat="true" ht="25.9" hidden="false" customHeight="true" outlineLevel="0" collapsed="false">
      <c r="A982" s="1"/>
      <c r="B982" s="2"/>
      <c r="D982" s="1"/>
      <c r="E982" s="1"/>
      <c r="F982" s="1"/>
      <c r="G982" s="1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="14" customFormat="true" ht="25.9" hidden="false" customHeight="true" outlineLevel="0" collapsed="false">
      <c r="A983" s="1"/>
      <c r="B983" s="2"/>
      <c r="D983" s="1"/>
      <c r="E983" s="1"/>
      <c r="F983" s="1"/>
      <c r="G983" s="1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customFormat="false" ht="25.9" hidden="false" customHeight="true" outlineLevel="0" collapsed="false"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customFormat="false" ht="25.9" hidden="false" customHeight="true" outlineLevel="0" collapsed="false"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customFormat="false" ht="25.9" hidden="false" customHeight="true" outlineLevel="0" collapsed="false"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customFormat="false" ht="25.9" hidden="false" customHeight="true" outlineLevel="0" collapsed="false"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customFormat="false" ht="25.9" hidden="false" customHeight="true" outlineLevel="0" collapsed="false"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customFormat="false" ht="25.9" hidden="false" customHeight="true" outlineLevel="0" collapsed="false"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customFormat="false" ht="25.9" hidden="false" customHeight="true" outlineLevel="0" collapsed="false"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customFormat="false" ht="25.9" hidden="false" customHeight="true" outlineLevel="0" collapsed="false"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customFormat="false" ht="25.9" hidden="false" customHeight="true" outlineLevel="0" collapsed="false"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customFormat="false" ht="25.9" hidden="false" customHeight="true" outlineLevel="0" collapsed="false"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customFormat="false" ht="25.9" hidden="false" customHeight="true" outlineLevel="0" collapsed="false"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customFormat="false" ht="25.9" hidden="false" customHeight="true" outlineLevel="0" collapsed="false"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customFormat="false" ht="25.9" hidden="false" customHeight="true" outlineLevel="0" collapsed="false"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customFormat="false" ht="25.9" hidden="false" customHeight="true" outlineLevel="0" collapsed="false"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customFormat="false" ht="25.9" hidden="false" customHeight="true" outlineLevel="0" collapsed="false"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customFormat="false" ht="25.9" hidden="false" customHeight="true" outlineLevel="0" collapsed="false"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customFormat="false" ht="25.9" hidden="false" customHeight="true" outlineLevel="0" collapsed="false"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customFormat="false" ht="25.9" hidden="false" customHeight="true" outlineLevel="0" collapsed="false"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customFormat="false" ht="25.9" hidden="false" customHeight="true" outlineLevel="0" collapsed="false"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customFormat="false" ht="25.9" hidden="false" customHeight="true" outlineLevel="0" collapsed="false"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customFormat="false" ht="25.9" hidden="false" customHeight="true" outlineLevel="0" collapsed="false"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customFormat="false" ht="25.9" hidden="false" customHeight="true" outlineLevel="0" collapsed="false"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customFormat="false" ht="25.9" hidden="false" customHeight="true" outlineLevel="0" collapsed="false"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customFormat="false" ht="25.9" hidden="false" customHeight="true" outlineLevel="0" collapsed="false"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customFormat="false" ht="25.9" hidden="false" customHeight="true" outlineLevel="0" collapsed="false"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customFormat="false" ht="25.9" hidden="false" customHeight="true" outlineLevel="0" collapsed="false"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customFormat="false" ht="25.9" hidden="false" customHeight="true" outlineLevel="0" collapsed="false"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customFormat="false" ht="25.9" hidden="false" customHeight="true" outlineLevel="0" collapsed="false"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customFormat="false" ht="25.9" hidden="false" customHeight="true" outlineLevel="0" collapsed="false"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customFormat="false" ht="25.9" hidden="false" customHeight="true" outlineLevel="0" collapsed="false"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customFormat="false" ht="25.9" hidden="false" customHeight="true" outlineLevel="0" collapsed="false"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customFormat="false" ht="25.9" hidden="false" customHeight="true" outlineLevel="0" collapsed="false"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customFormat="false" ht="25.9" hidden="false" customHeight="true" outlineLevel="0" collapsed="false"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customFormat="false" ht="25.9" hidden="false" customHeight="true" outlineLevel="0" collapsed="false"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customFormat="false" ht="25.9" hidden="false" customHeight="true" outlineLevel="0" collapsed="false"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customFormat="false" ht="25.9" hidden="false" customHeight="true" outlineLevel="0" collapsed="false"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customFormat="false" ht="25.9" hidden="false" customHeight="true" outlineLevel="0" collapsed="false"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customFormat="false" ht="25.9" hidden="false" customHeight="true" outlineLevel="0" collapsed="false"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customFormat="false" ht="25.9" hidden="false" customHeight="true" outlineLevel="0" collapsed="false"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customFormat="false" ht="25.9" hidden="false" customHeight="true" outlineLevel="0" collapsed="false"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customFormat="false" ht="25.9" hidden="false" customHeight="true" outlineLevel="0" collapsed="false"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customFormat="false" ht="25.9" hidden="false" customHeight="true" outlineLevel="0" collapsed="false"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customFormat="false" ht="25.9" hidden="false" customHeight="true" outlineLevel="0" collapsed="false"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customFormat="false" ht="25.9" hidden="false" customHeight="true" outlineLevel="0" collapsed="false"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customFormat="false" ht="25.9" hidden="false" customHeight="true" outlineLevel="0" collapsed="false"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customFormat="false" ht="25.9" hidden="false" customHeight="true" outlineLevel="0" collapsed="false"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customFormat="false" ht="25.9" hidden="false" customHeight="true" outlineLevel="0" collapsed="false"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customFormat="false" ht="25.9" hidden="false" customHeight="true" outlineLevel="0" collapsed="false"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customFormat="false" ht="25.9" hidden="false" customHeight="true" outlineLevel="0" collapsed="false"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customFormat="false" ht="25.9" hidden="false" customHeight="true" outlineLevel="0" collapsed="false"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customFormat="false" ht="25.9" hidden="false" customHeight="true" outlineLevel="0" collapsed="false"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customFormat="false" ht="25.9" hidden="false" customHeight="true" outlineLevel="0" collapsed="false"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customFormat="false" ht="25.9" hidden="false" customHeight="true" outlineLevel="0" collapsed="false"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customFormat="false" ht="25.9" hidden="false" customHeight="true" outlineLevel="0" collapsed="false"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customFormat="false" ht="25.9" hidden="false" customHeight="true" outlineLevel="0" collapsed="false"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customFormat="false" ht="25.9" hidden="false" customHeight="true" outlineLevel="0" collapsed="false"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customFormat="false" ht="25.9" hidden="false" customHeight="true" outlineLevel="0" collapsed="false"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customFormat="false" ht="25.9" hidden="false" customHeight="true" outlineLevel="0" collapsed="false"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customFormat="false" ht="25.9" hidden="false" customHeight="true" outlineLevel="0" collapsed="false"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customFormat="false" ht="25.9" hidden="false" customHeight="true" outlineLevel="0" collapsed="false"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customFormat="false" ht="25.9" hidden="false" customHeight="true" outlineLevel="0" collapsed="false"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customFormat="false" ht="25.9" hidden="false" customHeight="true" outlineLevel="0" collapsed="false"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25.9" hidden="false" customHeight="true" outlineLevel="0" collapsed="false"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25.9" hidden="false" customHeight="true" outlineLevel="0" collapsed="false"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25.9" hidden="false" customHeight="true" outlineLevel="0" collapsed="false"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25.9" hidden="false" customHeight="true" outlineLevel="0" collapsed="false"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25.9" hidden="false" customHeight="true" outlineLevel="0" collapsed="false"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25.9" hidden="false" customHeight="true" outlineLevel="0" collapsed="false"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25.9" hidden="false" customHeight="true" outlineLevel="0" collapsed="false"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25.9" hidden="false" customHeight="true" outlineLevel="0" collapsed="false"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25.9" hidden="false" customHeight="true" outlineLevel="0" collapsed="false"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25.9" hidden="false" customHeight="true" outlineLevel="0" collapsed="false"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25.9" hidden="false" customHeight="true" outlineLevel="0" collapsed="false"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25.9" hidden="false" customHeight="true" outlineLevel="0" collapsed="false"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25.9" hidden="false" customHeight="true" outlineLevel="0" collapsed="false"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25.9" hidden="false" customHeight="true" outlineLevel="0" collapsed="false"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25.9" hidden="false" customHeight="true" outlineLevel="0" collapsed="false"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25.9" hidden="false" customHeight="true" outlineLevel="0" collapsed="false"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25.9" hidden="false" customHeight="true" outlineLevel="0" collapsed="false"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25.9" hidden="false" customHeight="true" outlineLevel="0" collapsed="false"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25.9" hidden="false" customHeight="true" outlineLevel="0" collapsed="false"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25.9" hidden="false" customHeight="true" outlineLevel="0" collapsed="false"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25.9" hidden="false" customHeight="true" outlineLevel="0" collapsed="false"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25.9" hidden="false" customHeight="true" outlineLevel="0" collapsed="false"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25.9" hidden="false" customHeight="true" outlineLevel="0" collapsed="false"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25.9" hidden="false" customHeight="true" outlineLevel="0" collapsed="false"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25.9" hidden="false" customHeight="true" outlineLevel="0" collapsed="false"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25.9" hidden="false" customHeight="true" outlineLevel="0" collapsed="false"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25.9" hidden="false" customHeight="true" outlineLevel="0" collapsed="false"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25.9" hidden="false" customHeight="true" outlineLevel="0" collapsed="false"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25.9" hidden="false" customHeight="true" outlineLevel="0" collapsed="false"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25.9" hidden="false" customHeight="true" outlineLevel="0" collapsed="false"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25.9" hidden="false" customHeight="true" outlineLevel="0" collapsed="false"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25.9" hidden="false" customHeight="true" outlineLevel="0" collapsed="false"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25.9" hidden="false" customHeight="true" outlineLevel="0" collapsed="false"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25.9" hidden="false" customHeight="true" outlineLevel="0" collapsed="false"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25.9" hidden="false" customHeight="true" outlineLevel="0" collapsed="false"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25.9" hidden="false" customHeight="true" outlineLevel="0" collapsed="false"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25.9" hidden="false" customHeight="true" outlineLevel="0" collapsed="false"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25.9" hidden="false" customHeight="true" outlineLevel="0" collapsed="false"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25.9" hidden="false" customHeight="true" outlineLevel="0" collapsed="false"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25.9" hidden="false" customHeight="true" outlineLevel="0" collapsed="false"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25.9" hidden="false" customHeight="true" outlineLevel="0" collapsed="false"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25.9" hidden="false" customHeight="true" outlineLevel="0" collapsed="false"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25.9" hidden="false" customHeight="true" outlineLevel="0" collapsed="false"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25.9" hidden="false" customHeight="true" outlineLevel="0" collapsed="false"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25.9" hidden="false" customHeight="true" outlineLevel="0" collapsed="false"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25.9" hidden="false" customHeight="true" outlineLevel="0" collapsed="false"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25.9" hidden="false" customHeight="true" outlineLevel="0" collapsed="false"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25.9" hidden="false" customHeight="true" outlineLevel="0" collapsed="false"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25.9" hidden="false" customHeight="true" outlineLevel="0" collapsed="false"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25.9" hidden="false" customHeight="true" outlineLevel="0" collapsed="false"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25.9" hidden="false" customHeight="true" outlineLevel="0" collapsed="false"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25.9" hidden="false" customHeight="true" outlineLevel="0" collapsed="false"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25.9" hidden="false" customHeight="true" outlineLevel="0" collapsed="false"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25.9" hidden="false" customHeight="true" outlineLevel="0" collapsed="false"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25.9" hidden="false" customHeight="true" outlineLevel="0" collapsed="false"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25.9" hidden="false" customHeight="true" outlineLevel="0" collapsed="false"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25.9" hidden="false" customHeight="true" outlineLevel="0" collapsed="false"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25.9" hidden="false" customHeight="true" outlineLevel="0" collapsed="false"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25.9" hidden="false" customHeight="true" outlineLevel="0" collapsed="false"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25.9" hidden="false" customHeight="true" outlineLevel="0" collapsed="false"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25.9" hidden="false" customHeight="true" outlineLevel="0" collapsed="false"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  <row r="1107" customFormat="false" ht="25.9" hidden="false" customHeight="true" outlineLevel="0" collapsed="false"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</row>
    <row r="1108" customFormat="false" ht="25.9" hidden="false" customHeight="true" outlineLevel="0" collapsed="false"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</row>
    <row r="1109" customFormat="false" ht="25.9" hidden="false" customHeight="true" outlineLevel="0" collapsed="false"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</row>
    <row r="1110" customFormat="false" ht="25.9" hidden="false" customHeight="true" outlineLevel="0" collapsed="false"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</row>
    <row r="1111" customFormat="false" ht="25.9" hidden="false" customHeight="true" outlineLevel="0" collapsed="false"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</row>
    <row r="1112" customFormat="false" ht="25.9" hidden="false" customHeight="true" outlineLevel="0" collapsed="false"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</row>
    <row r="1113" customFormat="false" ht="25.9" hidden="false" customHeight="true" outlineLevel="0" collapsed="false"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</row>
    <row r="1114" customFormat="false" ht="25.9" hidden="false" customHeight="true" outlineLevel="0" collapsed="false"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</row>
    <row r="1115" customFormat="false" ht="25.9" hidden="false" customHeight="true" outlineLevel="0" collapsed="false"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</row>
    <row r="1116" customFormat="false" ht="25.9" hidden="false" customHeight="true" outlineLevel="0" collapsed="false"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</row>
    <row r="1117" customFormat="false" ht="25.9" hidden="false" customHeight="true" outlineLevel="0" collapsed="false"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</row>
    <row r="1118" customFormat="false" ht="25.9" hidden="false" customHeight="true" outlineLevel="0" collapsed="false"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</row>
    <row r="1119" customFormat="false" ht="25.9" hidden="false" customHeight="true" outlineLevel="0" collapsed="false"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</row>
    <row r="1120" customFormat="false" ht="25.9" hidden="false" customHeight="true" outlineLevel="0" collapsed="false"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21" activePane="bottomRight" state="frozen"/>
      <selection pane="topLeft" activeCell="A1" activeCellId="0" sqref="A1"/>
      <selection pane="topRight" activeCell="F1" activeCellId="0" sqref="F1"/>
      <selection pane="bottomLeft" activeCell="A21" activeCellId="0" sqref="A21"/>
      <selection pane="bottomRight" activeCell="T57" activeCellId="0" sqref="T57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4" width="21.45"/>
    <col collapsed="false" customWidth="true" hidden="false" outlineLevel="0" max="3" min="3" style="14" width="46.79"/>
    <col collapsed="false" customWidth="true" hidden="false" outlineLevel="0" max="4" min="4" style="1" width="16.14"/>
    <col collapsed="false" customWidth="true" hidden="false" outlineLevel="0" max="5" min="5" style="1" width="16.12"/>
    <col collapsed="false" customWidth="true" hidden="false" outlineLevel="0" max="6" min="6" style="1" width="18.45"/>
    <col collapsed="false" customWidth="true" hidden="false" outlineLevel="0" max="7" min="7" style="13" width="29.97"/>
    <col collapsed="false" customWidth="true" hidden="false" outlineLevel="0" max="8" min="8" style="1" width="50.73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false" hidden="false" outlineLevel="0" max="16384" min="40" style="3" width="11.53"/>
  </cols>
  <sheetData>
    <row r="1" s="14" customFormat="true" ht="12.95" hidden="false" customHeight="true" outlineLevel="0" collapsed="false">
      <c r="A1" s="16" t="s">
        <v>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="14" customFormat="true" ht="12.95" hidden="false" customHeight="true" outlineLevel="0" collapsed="false">
      <c r="A2" s="16" t="s">
        <v>177</v>
      </c>
      <c r="B2" s="16" t="s">
        <v>178</v>
      </c>
      <c r="C2" s="16" t="s">
        <v>179</v>
      </c>
      <c r="D2" s="16" t="s">
        <v>183</v>
      </c>
      <c r="E2" s="16" t="s">
        <v>184</v>
      </c>
      <c r="F2" s="16" t="s">
        <v>185</v>
      </c>
      <c r="G2" s="16" t="s">
        <v>688</v>
      </c>
      <c r="H2" s="16" t="s">
        <v>186</v>
      </c>
      <c r="I2" s="16" t="s">
        <v>187</v>
      </c>
      <c r="J2" s="16" t="s">
        <v>188</v>
      </c>
      <c r="K2" s="16" t="s">
        <v>189</v>
      </c>
      <c r="L2" s="16" t="s">
        <v>190</v>
      </c>
      <c r="M2" s="16" t="s">
        <v>191</v>
      </c>
      <c r="N2" s="16" t="s">
        <v>192</v>
      </c>
      <c r="O2" s="16" t="s">
        <v>193</v>
      </c>
      <c r="P2" s="16" t="s">
        <v>194</v>
      </c>
      <c r="Q2" s="16" t="s">
        <v>195</v>
      </c>
      <c r="R2" s="16" t="s">
        <v>196</v>
      </c>
      <c r="S2" s="16" t="s">
        <v>454</v>
      </c>
      <c r="T2" s="16" t="s">
        <v>455</v>
      </c>
      <c r="U2" s="16" t="s">
        <v>456</v>
      </c>
      <c r="V2" s="16" t="s">
        <v>457</v>
      </c>
      <c r="W2" s="16" t="s">
        <v>458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="14" customFormat="true" ht="12.95" hidden="false" customHeight="true" outlineLevel="0" collapsed="false">
      <c r="A3" s="13" t="s">
        <v>1</v>
      </c>
      <c r="B3" s="13" t="s">
        <v>774</v>
      </c>
      <c r="C3" s="13" t="s">
        <v>463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="14" customFormat="true" ht="12.95" hidden="false" customHeight="true" outlineLevel="1" collapsed="false">
      <c r="A4" s="13" t="s">
        <v>464</v>
      </c>
      <c r="B4" s="13" t="s">
        <v>775</v>
      </c>
      <c r="C4" s="13" t="s">
        <v>223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="14" customFormat="true" ht="12.95" hidden="false" customHeight="true" outlineLevel="2" collapsed="false">
      <c r="A5" s="13" t="s">
        <v>466</v>
      </c>
      <c r="B5" s="13" t="s">
        <v>775</v>
      </c>
      <c r="C5" s="13" t="s">
        <v>691</v>
      </c>
      <c r="D5" s="13" t="s">
        <v>316</v>
      </c>
      <c r="E5" s="13" t="s">
        <v>281</v>
      </c>
      <c r="F5" s="18" t="s">
        <v>233</v>
      </c>
      <c r="G5" s="13" t="s">
        <v>776</v>
      </c>
      <c r="H5" s="1" t="str">
        <f aca="false">_xlfn.CONCAT("Y-Axis: ", C5)</f>
        <v>Y-Axis: Personal Annual Earnings (Average Current PFIT)</v>
      </c>
      <c r="I5" s="1" t="s">
        <v>235</v>
      </c>
      <c r="J5" s="13" t="s">
        <v>67</v>
      </c>
      <c r="K5" s="13" t="s">
        <v>65</v>
      </c>
      <c r="L5" s="1" t="s">
        <v>238</v>
      </c>
      <c r="M5" s="1"/>
      <c r="N5" s="1"/>
      <c r="O5" s="1"/>
      <c r="P5" s="1"/>
      <c r="Q5" s="1"/>
      <c r="R5" s="1"/>
      <c r="S5" s="1" t="s">
        <v>471</v>
      </c>
      <c r="T5" s="1" t="s">
        <v>472</v>
      </c>
      <c r="U5" s="1" t="s">
        <v>473</v>
      </c>
      <c r="V5" s="1" t="s">
        <v>474</v>
      </c>
      <c r="W5" s="1" t="s">
        <v>475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="14" customFormat="true" ht="12.95" hidden="false" customHeight="true" outlineLevel="2" collapsed="false">
      <c r="A6" s="13" t="s">
        <v>476</v>
      </c>
      <c r="B6" s="13" t="s">
        <v>775</v>
      </c>
      <c r="C6" s="13" t="s">
        <v>696</v>
      </c>
      <c r="D6" s="13" t="s">
        <v>316</v>
      </c>
      <c r="E6" s="13" t="s">
        <v>281</v>
      </c>
      <c r="F6" s="18" t="s">
        <v>282</v>
      </c>
      <c r="G6" s="13" t="s">
        <v>776</v>
      </c>
      <c r="H6" s="1" t="str">
        <f aca="false">_xlfn.CONCAT("Y-Axis: ", C6)</f>
        <v>Y-Axis: Personal Annual Earnings (Separate Current PFIT)</v>
      </c>
      <c r="I6" s="1" t="s">
        <v>235</v>
      </c>
      <c r="J6" s="13" t="s">
        <v>67</v>
      </c>
      <c r="K6" s="13" t="s">
        <v>65</v>
      </c>
      <c r="L6" s="1" t="s">
        <v>699</v>
      </c>
      <c r="M6" s="1" t="s">
        <v>700</v>
      </c>
      <c r="N6" s="1" t="s">
        <v>701</v>
      </c>
      <c r="O6" s="1" t="s">
        <v>702</v>
      </c>
      <c r="P6" s="1" t="s">
        <v>703</v>
      </c>
      <c r="Q6" s="1" t="s">
        <v>289</v>
      </c>
      <c r="R6" s="1" t="s">
        <v>290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="14" customFormat="true" ht="12.95" hidden="false" customHeight="true" outlineLevel="1" collapsed="false">
      <c r="A7" s="13" t="s">
        <v>480</v>
      </c>
      <c r="B7" s="13" t="s">
        <v>775</v>
      </c>
      <c r="C7" s="13" t="s">
        <v>711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="14" customFormat="true" ht="12.95" hidden="false" customHeight="true" outlineLevel="2" collapsed="false">
      <c r="A8" s="13" t="s">
        <v>481</v>
      </c>
      <c r="B8" s="13" t="s">
        <v>775</v>
      </c>
      <c r="C8" s="13" t="s">
        <v>712</v>
      </c>
      <c r="D8" s="13" t="s">
        <v>316</v>
      </c>
      <c r="E8" s="13" t="s">
        <v>281</v>
      </c>
      <c r="F8" s="18" t="s">
        <v>233</v>
      </c>
      <c r="G8" s="13" t="s">
        <v>776</v>
      </c>
      <c r="H8" s="1" t="str">
        <f aca="false">_xlfn.CONCAT("Y-Axis: ", C8)</f>
        <v>Y-Axis: Real Hourly Wage Growth (Average Current PFIT)</v>
      </c>
      <c r="I8" s="1" t="s">
        <v>235</v>
      </c>
      <c r="J8" s="13" t="s">
        <v>67</v>
      </c>
      <c r="K8" s="13" t="s">
        <v>65</v>
      </c>
      <c r="L8" s="1" t="s">
        <v>714</v>
      </c>
      <c r="M8" s="1"/>
      <c r="N8" s="1"/>
      <c r="O8" s="1"/>
      <c r="P8" s="1"/>
      <c r="Q8" s="1"/>
      <c r="R8" s="1"/>
      <c r="S8" s="1" t="s">
        <v>471</v>
      </c>
      <c r="T8" s="1" t="s">
        <v>472</v>
      </c>
      <c r="U8" s="1" t="s">
        <v>473</v>
      </c>
      <c r="V8" s="1" t="s">
        <v>474</v>
      </c>
      <c r="W8" s="1" t="s">
        <v>475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="14" customFormat="true" ht="12.95" hidden="false" customHeight="true" outlineLevel="2" collapsed="false">
      <c r="A9" s="13" t="s">
        <v>490</v>
      </c>
      <c r="B9" s="13" t="s">
        <v>775</v>
      </c>
      <c r="C9" s="13" t="s">
        <v>715</v>
      </c>
      <c r="D9" s="13" t="s">
        <v>316</v>
      </c>
      <c r="E9" s="13" t="s">
        <v>281</v>
      </c>
      <c r="F9" s="18" t="s">
        <v>282</v>
      </c>
      <c r="G9" s="13" t="s">
        <v>776</v>
      </c>
      <c r="H9" s="1" t="str">
        <f aca="false">_xlfn.CONCAT("Y-Axis: ", C9)</f>
        <v>Y-Axis: Real Hourly Wage Growth (Separate Current PFIT)</v>
      </c>
      <c r="I9" s="1" t="s">
        <v>235</v>
      </c>
      <c r="J9" s="13" t="s">
        <v>67</v>
      </c>
      <c r="K9" s="13" t="s">
        <v>65</v>
      </c>
      <c r="L9" s="1" t="s">
        <v>501</v>
      </c>
      <c r="M9" s="1" t="s">
        <v>502</v>
      </c>
      <c r="N9" s="1" t="s">
        <v>503</v>
      </c>
      <c r="O9" s="1" t="s">
        <v>504</v>
      </c>
      <c r="P9" s="1" t="s">
        <v>505</v>
      </c>
      <c r="Q9" s="1" t="s">
        <v>717</v>
      </c>
      <c r="R9" s="1" t="s">
        <v>718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="14" customFormat="true" ht="12.95" hidden="false" customHeight="true" outlineLevel="1" collapsed="false">
      <c r="A10" s="13" t="s">
        <v>492</v>
      </c>
      <c r="B10" s="13" t="s">
        <v>775</v>
      </c>
      <c r="C10" s="13" t="s">
        <v>719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="14" customFormat="true" ht="12.95" hidden="false" customHeight="true" outlineLevel="2" collapsed="false">
      <c r="A11" s="13" t="s">
        <v>494</v>
      </c>
      <c r="B11" s="13" t="s">
        <v>775</v>
      </c>
      <c r="C11" s="13" t="s">
        <v>720</v>
      </c>
      <c r="D11" s="13" t="s">
        <v>316</v>
      </c>
      <c r="E11" s="13" t="s">
        <v>281</v>
      </c>
      <c r="F11" s="18" t="s">
        <v>233</v>
      </c>
      <c r="G11" s="13" t="s">
        <v>776</v>
      </c>
      <c r="H11" s="1" t="str">
        <f aca="false">_xlfn.CONCAT("Y-Axis: ", C11)</f>
        <v>Y-Axis: Employment Rate (Average Current PFIT)</v>
      </c>
      <c r="I11" s="1" t="s">
        <v>235</v>
      </c>
      <c r="J11" s="13" t="s">
        <v>67</v>
      </c>
      <c r="K11" s="13" t="s">
        <v>65</v>
      </c>
      <c r="L11" s="1" t="s">
        <v>516</v>
      </c>
      <c r="M11" s="1"/>
      <c r="N11" s="1"/>
      <c r="O11" s="1"/>
      <c r="P11" s="1"/>
      <c r="Q11" s="1"/>
      <c r="R11" s="1"/>
      <c r="S11" s="1" t="s">
        <v>471</v>
      </c>
      <c r="T11" s="1" t="s">
        <v>472</v>
      </c>
      <c r="U11" s="1" t="s">
        <v>473</v>
      </c>
      <c r="V11" s="1" t="s">
        <v>474</v>
      </c>
      <c r="W11" s="1" t="s">
        <v>475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="14" customFormat="true" ht="12.95" hidden="false" customHeight="true" outlineLevel="2" collapsed="false">
      <c r="A12" s="13" t="s">
        <v>496</v>
      </c>
      <c r="B12" s="13" t="s">
        <v>775</v>
      </c>
      <c r="C12" s="13" t="s">
        <v>722</v>
      </c>
      <c r="D12" s="13" t="s">
        <v>316</v>
      </c>
      <c r="E12" s="13" t="s">
        <v>281</v>
      </c>
      <c r="F12" s="18" t="s">
        <v>282</v>
      </c>
      <c r="G12" s="13" t="s">
        <v>776</v>
      </c>
      <c r="H12" s="1" t="str">
        <f aca="false">_xlfn.CONCAT("Y-Axis: ", C12)</f>
        <v>Y-Axis: Employment Rate (Separate Current PFIT)</v>
      </c>
      <c r="I12" s="1" t="s">
        <v>235</v>
      </c>
      <c r="J12" s="13" t="s">
        <v>67</v>
      </c>
      <c r="K12" s="13" t="s">
        <v>65</v>
      </c>
      <c r="L12" s="1" t="s">
        <v>724</v>
      </c>
      <c r="M12" s="1" t="s">
        <v>725</v>
      </c>
      <c r="N12" s="1" t="s">
        <v>726</v>
      </c>
      <c r="O12" s="1" t="s">
        <v>727</v>
      </c>
      <c r="P12" s="1" t="s">
        <v>728</v>
      </c>
      <c r="Q12" s="1" t="s">
        <v>729</v>
      </c>
      <c r="R12" s="1" t="s">
        <v>730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="14" customFormat="true" ht="12.95" hidden="false" customHeight="true" outlineLevel="1" collapsed="false">
      <c r="A13" s="13" t="s">
        <v>498</v>
      </c>
      <c r="B13" s="13" t="s">
        <v>775</v>
      </c>
      <c r="C13" s="13" t="s">
        <v>731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="14" customFormat="true" ht="12.95" hidden="false" customHeight="true" outlineLevel="2" collapsed="false">
      <c r="A14" s="13" t="s">
        <v>500</v>
      </c>
      <c r="B14" s="13" t="s">
        <v>775</v>
      </c>
      <c r="C14" s="13" t="s">
        <v>732</v>
      </c>
      <c r="D14" s="13" t="s">
        <v>316</v>
      </c>
      <c r="E14" s="13" t="s">
        <v>281</v>
      </c>
      <c r="F14" s="18" t="s">
        <v>233</v>
      </c>
      <c r="G14" s="13" t="s">
        <v>776</v>
      </c>
      <c r="H14" s="1" t="str">
        <f aca="false">_xlfn.CONCAT("Y-Axis: ", C14)</f>
        <v>Y-Axis: Average Weekly Hours (Average Current PFIT)</v>
      </c>
      <c r="I14" s="1" t="s">
        <v>235</v>
      </c>
      <c r="J14" s="13" t="s">
        <v>67</v>
      </c>
      <c r="K14" s="13" t="s">
        <v>65</v>
      </c>
      <c r="L14" s="1" t="s">
        <v>536</v>
      </c>
      <c r="M14" s="1"/>
      <c r="N14" s="1"/>
      <c r="O14" s="1"/>
      <c r="P14" s="1"/>
      <c r="Q14" s="1"/>
      <c r="R14" s="1"/>
      <c r="S14" s="1" t="s">
        <v>471</v>
      </c>
      <c r="T14" s="1" t="s">
        <v>472</v>
      </c>
      <c r="U14" s="1" t="s">
        <v>473</v>
      </c>
      <c r="V14" s="1" t="s">
        <v>474</v>
      </c>
      <c r="W14" s="1" t="s">
        <v>475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="14" customFormat="true" ht="12.95" hidden="false" customHeight="true" outlineLevel="2" collapsed="false">
      <c r="A15" s="13" t="s">
        <v>508</v>
      </c>
      <c r="B15" s="13" t="s">
        <v>775</v>
      </c>
      <c r="C15" s="13" t="s">
        <v>734</v>
      </c>
      <c r="D15" s="13" t="s">
        <v>316</v>
      </c>
      <c r="E15" s="13" t="s">
        <v>281</v>
      </c>
      <c r="F15" s="18" t="s">
        <v>282</v>
      </c>
      <c r="G15" s="13" t="s">
        <v>776</v>
      </c>
      <c r="H15" s="1" t="str">
        <f aca="false">_xlfn.CONCAT("Y-Axis: ", C15)</f>
        <v>Y-Axis: Average Weekly Hours (Separate Current PFIT)</v>
      </c>
      <c r="I15" s="1" t="s">
        <v>235</v>
      </c>
      <c r="J15" s="13" t="s">
        <v>67</v>
      </c>
      <c r="K15" s="13" t="s">
        <v>65</v>
      </c>
      <c r="L15" s="1" t="s">
        <v>541</v>
      </c>
      <c r="M15" s="1" t="s">
        <v>542</v>
      </c>
      <c r="N15" s="1" t="s">
        <v>543</v>
      </c>
      <c r="O15" s="1" t="s">
        <v>544</v>
      </c>
      <c r="P15" s="1" t="s">
        <v>545</v>
      </c>
      <c r="Q15" s="1" t="s">
        <v>736</v>
      </c>
      <c r="R15" s="1" t="s">
        <v>737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="14" customFormat="true" ht="12.95" hidden="false" customHeight="true" outlineLevel="0" collapsed="false">
      <c r="A16" s="13"/>
      <c r="B16" s="13"/>
      <c r="C16" s="13"/>
      <c r="D16" s="13"/>
      <c r="E16" s="13"/>
      <c r="F16" s="18"/>
      <c r="G16" s="13"/>
      <c r="H16" s="1"/>
      <c r="I16" s="1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="14" customFormat="true" ht="12.95" hidden="false" customHeight="true" outlineLevel="0" collapsed="false">
      <c r="A17" s="13" t="s">
        <v>22</v>
      </c>
      <c r="B17" s="13" t="s">
        <v>774</v>
      </c>
      <c r="C17" s="13" t="s">
        <v>550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="14" customFormat="true" ht="12.95" hidden="false" customHeight="true" outlineLevel="1" collapsed="false">
      <c r="A18" s="13" t="s">
        <v>551</v>
      </c>
      <c r="B18" s="13" t="s">
        <v>775</v>
      </c>
      <c r="C18" s="13" t="s">
        <v>312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="14" customFormat="true" ht="12.95" hidden="false" customHeight="true" outlineLevel="2" collapsed="false">
      <c r="A19" s="13" t="s">
        <v>552</v>
      </c>
      <c r="B19" s="13" t="s">
        <v>775</v>
      </c>
      <c r="C19" s="13" t="s">
        <v>739</v>
      </c>
      <c r="D19" s="13" t="s">
        <v>316</v>
      </c>
      <c r="E19" s="13" t="s">
        <v>281</v>
      </c>
      <c r="F19" s="18" t="s">
        <v>233</v>
      </c>
      <c r="G19" s="13" t="s">
        <v>776</v>
      </c>
      <c r="H19" s="1" t="str">
        <f aca="false">_xlfn.CONCAT("Y-Axis: ", C19)</f>
        <v>Y-Axis: Economic Corporate Net Worth (Replacement-Cost Basis) (Average Current CFIT)</v>
      </c>
      <c r="I19" s="1" t="s">
        <v>235</v>
      </c>
      <c r="J19" s="13" t="s">
        <v>67</v>
      </c>
      <c r="K19" s="13" t="s">
        <v>65</v>
      </c>
      <c r="L19" s="1" t="s">
        <v>318</v>
      </c>
      <c r="M19" s="1"/>
      <c r="N19" s="1"/>
      <c r="O19" s="1"/>
      <c r="P19" s="1"/>
      <c r="Q19" s="13"/>
      <c r="R19" s="13"/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="14" customFormat="true" ht="12.95" hidden="false" customHeight="true" outlineLevel="2" collapsed="false">
      <c r="A20" s="13" t="s">
        <v>555</v>
      </c>
      <c r="B20" s="13" t="s">
        <v>775</v>
      </c>
      <c r="C20" s="13" t="s">
        <v>742</v>
      </c>
      <c r="D20" s="13" t="s">
        <v>316</v>
      </c>
      <c r="E20" s="13" t="s">
        <v>281</v>
      </c>
      <c r="F20" s="18" t="s">
        <v>345</v>
      </c>
      <c r="G20" s="13" t="s">
        <v>776</v>
      </c>
      <c r="H20" s="1" t="str">
        <f aca="false">_xlfn.CONCAT("Y-Axis: ", C20)</f>
        <v>Y-Axis: Economic Corporate Net Worth (Replacement-Cost Basis) (Separate Current CFIT)</v>
      </c>
      <c r="I20" s="1" t="s">
        <v>235</v>
      </c>
      <c r="J20" s="13" t="s">
        <v>67</v>
      </c>
      <c r="K20" s="13" t="s">
        <v>65</v>
      </c>
      <c r="L20" s="1" t="s">
        <v>347</v>
      </c>
      <c r="M20" s="1" t="s">
        <v>348</v>
      </c>
      <c r="N20" s="1" t="s">
        <v>349</v>
      </c>
      <c r="O20" s="1" t="s">
        <v>350</v>
      </c>
      <c r="P20" s="1" t="s">
        <v>351</v>
      </c>
      <c r="Q20" s="13"/>
      <c r="R20" s="13"/>
      <c r="S20" s="1" t="s">
        <v>471</v>
      </c>
      <c r="T20" s="1" t="s">
        <v>472</v>
      </c>
      <c r="U20" s="1" t="s">
        <v>473</v>
      </c>
      <c r="V20" s="1" t="s">
        <v>474</v>
      </c>
      <c r="W20" s="1" t="s">
        <v>475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="14" customFormat="true" ht="12.95" hidden="false" customHeight="true" outlineLevel="1" collapsed="false">
      <c r="A21" s="13" t="s">
        <v>557</v>
      </c>
      <c r="B21" s="13" t="s">
        <v>775</v>
      </c>
      <c r="C21" s="13" t="s">
        <v>744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="14" customFormat="true" ht="12.95" hidden="false" customHeight="true" outlineLevel="2" collapsed="false">
      <c r="A22" s="13" t="s">
        <v>558</v>
      </c>
      <c r="B22" s="13" t="s">
        <v>775</v>
      </c>
      <c r="C22" s="13" t="s">
        <v>747</v>
      </c>
      <c r="D22" s="13" t="s">
        <v>316</v>
      </c>
      <c r="E22" s="13" t="s">
        <v>281</v>
      </c>
      <c r="F22" s="18" t="s">
        <v>233</v>
      </c>
      <c r="G22" s="13" t="s">
        <v>776</v>
      </c>
      <c r="H22" s="1" t="str">
        <f aca="false">_xlfn.CONCAT("Y-Axis: ", C22)</f>
        <v>Y-Axis: Economic Corporate Profits (Real, Pre-Tax) (Separate Current CFIT)</v>
      </c>
      <c r="I22" s="1" t="s">
        <v>235</v>
      </c>
      <c r="J22" s="13" t="s">
        <v>67</v>
      </c>
      <c r="K22" s="13" t="s">
        <v>65</v>
      </c>
      <c r="L22" s="1" t="s">
        <v>573</v>
      </c>
      <c r="M22" s="1"/>
      <c r="N22" s="1"/>
      <c r="O22" s="1"/>
      <c r="P22" s="1"/>
      <c r="Q22" s="1"/>
      <c r="R22" s="1"/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="14" customFormat="true" ht="12.95" hidden="false" customHeight="true" outlineLevel="2" collapsed="false">
      <c r="A23" s="13" t="s">
        <v>565</v>
      </c>
      <c r="B23" s="13" t="s">
        <v>775</v>
      </c>
      <c r="C23" s="13" t="s">
        <v>745</v>
      </c>
      <c r="D23" s="13" t="s">
        <v>316</v>
      </c>
      <c r="E23" s="13" t="s">
        <v>281</v>
      </c>
      <c r="F23" s="18" t="s">
        <v>345</v>
      </c>
      <c r="G23" s="13" t="s">
        <v>776</v>
      </c>
      <c r="H23" s="1" t="str">
        <f aca="false">_xlfn.CONCAT("Y-Axis: ", C23)</f>
        <v>Y-Axis: Economic Corporate Profits (Real, Pre-Tax) (Average Current CFIT)</v>
      </c>
      <c r="I23" s="1" t="s">
        <v>235</v>
      </c>
      <c r="J23" s="13" t="s">
        <v>67</v>
      </c>
      <c r="K23" s="13" t="s">
        <v>65</v>
      </c>
      <c r="L23" s="1" t="s">
        <v>749</v>
      </c>
      <c r="M23" s="1" t="s">
        <v>750</v>
      </c>
      <c r="N23" s="1" t="s">
        <v>751</v>
      </c>
      <c r="O23" s="1" t="s">
        <v>752</v>
      </c>
      <c r="P23" s="1" t="s">
        <v>753</v>
      </c>
      <c r="Q23" s="1"/>
      <c r="R23" s="1"/>
      <c r="S23" s="1" t="s">
        <v>471</v>
      </c>
      <c r="T23" s="1" t="s">
        <v>472</v>
      </c>
      <c r="U23" s="1" t="s">
        <v>473</v>
      </c>
      <c r="V23" s="1" t="s">
        <v>474</v>
      </c>
      <c r="W23" s="1" t="s">
        <v>475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="14" customFormat="true" ht="12.95" hidden="false" customHeight="true" outlineLevel="1" collapsed="false">
      <c r="A24" s="13" t="s">
        <v>567</v>
      </c>
      <c r="B24" s="13" t="s">
        <v>775</v>
      </c>
      <c r="C24" s="13" t="s">
        <v>754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="14" customFormat="true" ht="12.95" hidden="false" customHeight="true" outlineLevel="2" collapsed="false">
      <c r="A25" s="13" t="s">
        <v>569</v>
      </c>
      <c r="B25" s="13" t="s">
        <v>775</v>
      </c>
      <c r="C25" s="13" t="s">
        <v>755</v>
      </c>
      <c r="D25" s="13" t="s">
        <v>316</v>
      </c>
      <c r="E25" s="13" t="s">
        <v>281</v>
      </c>
      <c r="F25" s="18" t="s">
        <v>233</v>
      </c>
      <c r="G25" s="13" t="s">
        <v>776</v>
      </c>
      <c r="H25" s="1" t="str">
        <f aca="false">_xlfn.CONCAT("Y-Axis: ", C25)</f>
        <v>Y-Axis: Intangible Capital Stock (Average Current CFIT)</v>
      </c>
      <c r="I25" s="1" t="s">
        <v>235</v>
      </c>
      <c r="J25" s="13" t="s">
        <v>67</v>
      </c>
      <c r="K25" s="13" t="s">
        <v>65</v>
      </c>
      <c r="L25" s="1" t="s">
        <v>591</v>
      </c>
      <c r="M25" s="1"/>
      <c r="N25" s="1"/>
      <c r="O25" s="1"/>
      <c r="P25" s="1"/>
      <c r="Q25" s="1"/>
      <c r="R25" s="13"/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="14" customFormat="true" ht="12.95" hidden="false" customHeight="true" outlineLevel="2" collapsed="false">
      <c r="A26" s="13" t="s">
        <v>572</v>
      </c>
      <c r="B26" s="13" t="s">
        <v>775</v>
      </c>
      <c r="C26" s="13" t="s">
        <v>757</v>
      </c>
      <c r="D26" s="13" t="s">
        <v>316</v>
      </c>
      <c r="E26" s="13" t="s">
        <v>281</v>
      </c>
      <c r="F26" s="18" t="s">
        <v>345</v>
      </c>
      <c r="G26" s="13" t="s">
        <v>776</v>
      </c>
      <c r="H26" s="1" t="str">
        <f aca="false">_xlfn.CONCAT("Y-Axis: ", C26)</f>
        <v>Y-Axis: Intangible Capital Stock (Separate Current CFIT)</v>
      </c>
      <c r="I26" s="1" t="s">
        <v>235</v>
      </c>
      <c r="J26" s="13" t="s">
        <v>67</v>
      </c>
      <c r="K26" s="13" t="s">
        <v>65</v>
      </c>
      <c r="L26" s="1" t="s">
        <v>749</v>
      </c>
      <c r="M26" s="1" t="s">
        <v>750</v>
      </c>
      <c r="N26" s="1" t="s">
        <v>751</v>
      </c>
      <c r="O26" s="1" t="s">
        <v>752</v>
      </c>
      <c r="P26" s="1" t="s">
        <v>753</v>
      </c>
      <c r="Q26" s="1"/>
      <c r="R26" s="13"/>
      <c r="S26" s="1" t="s">
        <v>471</v>
      </c>
      <c r="T26" s="1" t="s">
        <v>472</v>
      </c>
      <c r="U26" s="1" t="s">
        <v>473</v>
      </c>
      <c r="V26" s="1" t="s">
        <v>474</v>
      </c>
      <c r="W26" s="1" t="s">
        <v>475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="14" customFormat="true" ht="12.95" hidden="false" customHeight="true" outlineLevel="1" collapsed="false">
      <c r="A27" s="13" t="s">
        <v>575</v>
      </c>
      <c r="B27" s="13" t="s">
        <v>775</v>
      </c>
      <c r="C27" s="13" t="s">
        <v>759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="14" customFormat="true" ht="12.95" hidden="false" customHeight="true" outlineLevel="2" collapsed="false">
      <c r="A28" s="13" t="s">
        <v>577</v>
      </c>
      <c r="B28" s="13" t="s">
        <v>775</v>
      </c>
      <c r="C28" s="13" t="s">
        <v>760</v>
      </c>
      <c r="D28" s="13" t="s">
        <v>316</v>
      </c>
      <c r="E28" s="13" t="s">
        <v>281</v>
      </c>
      <c r="F28" s="18" t="s">
        <v>233</v>
      </c>
      <c r="G28" s="13" t="s">
        <v>776</v>
      </c>
      <c r="H28" s="1" t="str">
        <f aca="false">_xlfn.CONCAT("Y-Axis: ", C28)</f>
        <v>Y-Axis: Profit Share of GDP (Corporate Income Share) (Average Current CFIT)</v>
      </c>
      <c r="I28" s="1" t="s">
        <v>235</v>
      </c>
      <c r="J28" s="13" t="s">
        <v>67</v>
      </c>
      <c r="K28" s="13" t="s">
        <v>65</v>
      </c>
      <c r="L28" s="1" t="s">
        <v>609</v>
      </c>
      <c r="M28" s="1"/>
      <c r="N28" s="1"/>
      <c r="O28" s="1"/>
      <c r="P28" s="1"/>
      <c r="Q28" s="1"/>
      <c r="R28" s="13"/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="14" customFormat="true" ht="12.95" hidden="false" customHeight="true" outlineLevel="2" collapsed="false">
      <c r="A29" s="13" t="s">
        <v>583</v>
      </c>
      <c r="B29" s="13" t="s">
        <v>775</v>
      </c>
      <c r="C29" s="13" t="s">
        <v>762</v>
      </c>
      <c r="D29" s="13" t="s">
        <v>316</v>
      </c>
      <c r="E29" s="13" t="s">
        <v>281</v>
      </c>
      <c r="F29" s="18" t="s">
        <v>345</v>
      </c>
      <c r="G29" s="13" t="s">
        <v>776</v>
      </c>
      <c r="H29" s="1" t="str">
        <f aca="false">_xlfn.CONCAT("Y-Axis: ", C29)</f>
        <v>Y-Axis: Profit Share of GDP (Corporate Income Share) (Separate Current CFIT)</v>
      </c>
      <c r="I29" s="1" t="s">
        <v>235</v>
      </c>
      <c r="J29" s="13" t="s">
        <v>67</v>
      </c>
      <c r="K29" s="13" t="s">
        <v>65</v>
      </c>
      <c r="L29" s="1" t="s">
        <v>749</v>
      </c>
      <c r="M29" s="1" t="s">
        <v>750</v>
      </c>
      <c r="N29" s="1" t="s">
        <v>751</v>
      </c>
      <c r="O29" s="1" t="s">
        <v>752</v>
      </c>
      <c r="P29" s="1" t="s">
        <v>753</v>
      </c>
      <c r="Q29" s="1"/>
      <c r="R29" s="13"/>
      <c r="S29" s="1" t="s">
        <v>471</v>
      </c>
      <c r="T29" s="1" t="s">
        <v>472</v>
      </c>
      <c r="U29" s="1" t="s">
        <v>473</v>
      </c>
      <c r="V29" s="1" t="s">
        <v>474</v>
      </c>
      <c r="W29" s="1" t="s">
        <v>475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="14" customFormat="true" ht="12.95" hidden="false" customHeight="true" outlineLevel="0" collapsed="false">
      <c r="A30" s="13"/>
      <c r="B30" s="13"/>
      <c r="C30" s="13"/>
      <c r="D30" s="13"/>
      <c r="E30" s="13"/>
      <c r="F30" s="18"/>
      <c r="G30" s="13"/>
      <c r="H30" s="1"/>
      <c r="I30" s="1"/>
      <c r="J30" s="13"/>
      <c r="K30" s="13"/>
      <c r="L30" s="1"/>
      <c r="M30" s="1"/>
      <c r="N30" s="1"/>
      <c r="O30" s="1"/>
      <c r="P30" s="1"/>
      <c r="Q30" s="1"/>
      <c r="R30" s="13"/>
      <c r="S30" s="1"/>
      <c r="T30" s="1"/>
      <c r="U30" s="1"/>
      <c r="V30" s="1"/>
      <c r="W30" s="1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="14" customFormat="true" ht="12.95" hidden="false" customHeight="true" outlineLevel="0" collapsed="false">
      <c r="A31" s="13" t="s">
        <v>621</v>
      </c>
      <c r="B31" s="13" t="s">
        <v>774</v>
      </c>
      <c r="C31" s="13" t="s">
        <v>622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="14" customFormat="true" ht="12.95" hidden="false" customHeight="true" outlineLevel="1" collapsed="false">
      <c r="A32" s="13" t="s">
        <v>623</v>
      </c>
      <c r="B32" s="13" t="s">
        <v>775</v>
      </c>
      <c r="C32" s="13" t="s">
        <v>374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="14" customFormat="true" ht="12.95" hidden="false" customHeight="true" outlineLevel="2" collapsed="false">
      <c r="A33" s="13" t="s">
        <v>625</v>
      </c>
      <c r="B33" s="13" t="s">
        <v>775</v>
      </c>
      <c r="C33" s="13" t="s">
        <v>376</v>
      </c>
      <c r="D33" s="13" t="s">
        <v>316</v>
      </c>
      <c r="E33" s="13" t="s">
        <v>281</v>
      </c>
      <c r="F33" s="18" t="s">
        <v>233</v>
      </c>
      <c r="G33" s="13" t="s">
        <v>776</v>
      </c>
      <c r="H33" s="1" t="str">
        <f aca="false">_xlfn.CONCAT("Y-Axis: ", C33)</f>
        <v>Y-Axis: Personal Tax Receipts (Average Current PFIT)</v>
      </c>
      <c r="I33" s="1" t="s">
        <v>235</v>
      </c>
      <c r="J33" s="13" t="s">
        <v>67</v>
      </c>
      <c r="K33" s="13" t="s">
        <v>65</v>
      </c>
      <c r="L33" s="1" t="s">
        <v>381</v>
      </c>
      <c r="M33" s="1"/>
      <c r="N33" s="1"/>
      <c r="O33" s="1"/>
      <c r="P33" s="1"/>
      <c r="Q33" s="1"/>
      <c r="R33" s="1"/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="14" customFormat="true" ht="12.95" hidden="false" customHeight="true" outlineLevel="2" collapsed="false">
      <c r="A34" s="13" t="s">
        <v>628</v>
      </c>
      <c r="B34" s="13" t="s">
        <v>775</v>
      </c>
      <c r="C34" s="13" t="s">
        <v>404</v>
      </c>
      <c r="D34" s="13" t="s">
        <v>316</v>
      </c>
      <c r="E34" s="13" t="s">
        <v>281</v>
      </c>
      <c r="F34" s="18" t="s">
        <v>282</v>
      </c>
      <c r="G34" s="13" t="s">
        <v>776</v>
      </c>
      <c r="H34" s="1" t="str">
        <f aca="false">_xlfn.CONCAT("Y-Axis: ", C34)</f>
        <v>Y-Axis: Personal Tax Receipts (Separate Current PFIT)</v>
      </c>
      <c r="I34" s="1" t="s">
        <v>235</v>
      </c>
      <c r="J34" s="13" t="s">
        <v>67</v>
      </c>
      <c r="K34" s="13" t="s">
        <v>65</v>
      </c>
      <c r="L34" s="1" t="s">
        <v>408</v>
      </c>
      <c r="M34" s="1" t="s">
        <v>409</v>
      </c>
      <c r="N34" s="1" t="s">
        <v>410</v>
      </c>
      <c r="O34" s="1" t="s">
        <v>411</v>
      </c>
      <c r="P34" s="1" t="s">
        <v>412</v>
      </c>
      <c r="Q34" s="1" t="s">
        <v>413</v>
      </c>
      <c r="R34" s="1" t="s">
        <v>414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="14" customFormat="true" ht="12.95" hidden="false" customHeight="true" outlineLevel="1" collapsed="false">
      <c r="A35" s="13" t="s">
        <v>630</v>
      </c>
      <c r="B35" s="13" t="s">
        <v>775</v>
      </c>
      <c r="C35" s="13" t="s">
        <v>765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="14" customFormat="true" ht="12.95" hidden="false" customHeight="true" outlineLevel="2" collapsed="false">
      <c r="A36" s="13" t="s">
        <v>632</v>
      </c>
      <c r="B36" s="13" t="s">
        <v>775</v>
      </c>
      <c r="C36" s="13" t="s">
        <v>766</v>
      </c>
      <c r="D36" s="13" t="s">
        <v>316</v>
      </c>
      <c r="E36" s="13" t="s">
        <v>281</v>
      </c>
      <c r="F36" s="18" t="s">
        <v>233</v>
      </c>
      <c r="G36" s="13" t="s">
        <v>776</v>
      </c>
      <c r="H36" s="1" t="str">
        <f aca="false">_xlfn.CONCAT("Y-Axis: ", C36)</f>
        <v>Y-Axis: Corporate Tax Receipts (Average Current CFIT)</v>
      </c>
      <c r="I36" s="1" t="s">
        <v>235</v>
      </c>
      <c r="J36" s="13" t="s">
        <v>67</v>
      </c>
      <c r="K36" s="13" t="s">
        <v>65</v>
      </c>
      <c r="L36" s="1" t="s">
        <v>643</v>
      </c>
      <c r="M36" s="1"/>
      <c r="N36" s="1"/>
      <c r="O36" s="1"/>
      <c r="P36" s="1"/>
      <c r="Q36" s="13"/>
      <c r="R36" s="13"/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="14" customFormat="true" ht="12.95" hidden="false" customHeight="true" outlineLevel="2" collapsed="false">
      <c r="A37" s="13" t="s">
        <v>635</v>
      </c>
      <c r="B37" s="13" t="s">
        <v>775</v>
      </c>
      <c r="C37" s="13" t="s">
        <v>768</v>
      </c>
      <c r="D37" s="13" t="s">
        <v>316</v>
      </c>
      <c r="E37" s="13" t="s">
        <v>281</v>
      </c>
      <c r="F37" s="18" t="s">
        <v>345</v>
      </c>
      <c r="G37" s="13" t="s">
        <v>776</v>
      </c>
      <c r="H37" s="1" t="str">
        <f aca="false">_xlfn.CONCAT("Y-Axis: ", C37)</f>
        <v>Y-Axis: Corporate Tax Receipts (Separate Current CFIT)</v>
      </c>
      <c r="I37" s="1" t="s">
        <v>235</v>
      </c>
      <c r="J37" s="13" t="s">
        <v>67</v>
      </c>
      <c r="K37" s="13" t="s">
        <v>65</v>
      </c>
      <c r="L37" s="1" t="s">
        <v>749</v>
      </c>
      <c r="M37" s="1" t="s">
        <v>750</v>
      </c>
      <c r="N37" s="1" t="s">
        <v>751</v>
      </c>
      <c r="O37" s="1" t="s">
        <v>752</v>
      </c>
      <c r="P37" s="1" t="s">
        <v>753</v>
      </c>
      <c r="Q37" s="13"/>
      <c r="R37" s="13"/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="14" customFormat="true" ht="12.95" hidden="false" customHeight="true" outlineLevel="1" collapsed="false">
      <c r="A38" s="13" t="s">
        <v>777</v>
      </c>
      <c r="B38" s="13" t="s">
        <v>775</v>
      </c>
      <c r="C38" s="13" t="s">
        <v>663</v>
      </c>
      <c r="D38" s="13" t="s">
        <v>316</v>
      </c>
      <c r="E38" s="13" t="s">
        <v>281</v>
      </c>
      <c r="F38" s="18" t="s">
        <v>233</v>
      </c>
      <c r="G38" s="13" t="s">
        <v>776</v>
      </c>
      <c r="H38" s="1" t="str">
        <f aca="false">_xlfn.CONCAT("Y-Axis: ", C38)</f>
        <v>Y-Axis: Net Public Savings</v>
      </c>
      <c r="I38" s="1" t="s">
        <v>235</v>
      </c>
      <c r="J38" s="13" t="s">
        <v>67</v>
      </c>
      <c r="K38" s="13" t="s">
        <v>65</v>
      </c>
      <c r="L38" s="1" t="s">
        <v>663</v>
      </c>
      <c r="M38" s="13"/>
      <c r="N38" s="13"/>
      <c r="O38" s="13"/>
      <c r="P38" s="13"/>
      <c r="Q38" s="13"/>
      <c r="R38" s="13"/>
      <c r="S38" s="1" t="s">
        <v>471</v>
      </c>
      <c r="T38" s="1" t="s">
        <v>472</v>
      </c>
      <c r="U38" s="1" t="s">
        <v>473</v>
      </c>
      <c r="V38" s="1" t="s">
        <v>474</v>
      </c>
      <c r="W38" s="1" t="s">
        <v>475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="14" customFormat="true" ht="12.95" hidden="false" customHeight="true" outlineLevel="1" collapsed="false">
      <c r="A39" s="13" t="s">
        <v>637</v>
      </c>
      <c r="B39" s="13" t="s">
        <v>775</v>
      </c>
      <c r="C39" s="13" t="s">
        <v>670</v>
      </c>
      <c r="D39" s="13" t="s">
        <v>316</v>
      </c>
      <c r="E39" s="13" t="s">
        <v>281</v>
      </c>
      <c r="F39" s="18" t="s">
        <v>233</v>
      </c>
      <c r="G39" s="13" t="s">
        <v>776</v>
      </c>
      <c r="H39" s="1" t="str">
        <f aca="false">_xlfn.CONCAT("Y-Axis: ", C39)</f>
        <v>Y-Axis: Primary Budget Balance</v>
      </c>
      <c r="I39" s="1" t="s">
        <v>235</v>
      </c>
      <c r="J39" s="13" t="s">
        <v>67</v>
      </c>
      <c r="K39" s="13" t="s">
        <v>65</v>
      </c>
      <c r="L39" s="1" t="s">
        <v>670</v>
      </c>
      <c r="M39" s="13"/>
      <c r="N39" s="13"/>
      <c r="O39" s="13"/>
      <c r="P39" s="13"/>
      <c r="Q39" s="13"/>
      <c r="R39" s="13"/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="14" customFormat="true" ht="12.95" hidden="false" customHeight="true" outlineLevel="0" collapsed="false">
      <c r="A40" s="13"/>
      <c r="B40" s="13"/>
      <c r="C40" s="13"/>
      <c r="D40" s="13"/>
      <c r="E40" s="13"/>
      <c r="F40" s="18"/>
      <c r="G40" s="13"/>
      <c r="H40" s="1"/>
      <c r="I40" s="1"/>
      <c r="J40" s="13"/>
      <c r="K40" s="13"/>
      <c r="L40" s="1"/>
      <c r="M40" s="13"/>
      <c r="N40" s="13"/>
      <c r="O40" s="13"/>
      <c r="P40" s="13"/>
      <c r="Q40" s="13"/>
      <c r="R40" s="13"/>
      <c r="S40" s="1"/>
      <c r="T40" s="1"/>
      <c r="U40" s="1"/>
      <c r="V40" s="1"/>
      <c r="W40" s="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="14" customFormat="true" ht="12.95" hidden="false" customHeight="true" outlineLevel="0" collapsed="false">
      <c r="A41" s="13" t="s">
        <v>134</v>
      </c>
      <c r="B41" s="13" t="s">
        <v>774</v>
      </c>
      <c r="C41" s="13" t="s">
        <v>676</v>
      </c>
      <c r="D41" s="13"/>
      <c r="E41" s="13"/>
      <c r="F41" s="13"/>
      <c r="G41" s="13"/>
      <c r="H41" s="13"/>
      <c r="I41" s="13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="14" customFormat="true" ht="12.95" hidden="false" customHeight="true" outlineLevel="1" collapsed="false">
      <c r="A42" s="13" t="s">
        <v>677</v>
      </c>
      <c r="B42" s="13" t="s">
        <v>775</v>
      </c>
      <c r="C42" s="13" t="s">
        <v>437</v>
      </c>
      <c r="D42" s="13" t="s">
        <v>316</v>
      </c>
      <c r="E42" s="13" t="s">
        <v>281</v>
      </c>
      <c r="F42" s="18" t="s">
        <v>233</v>
      </c>
      <c r="G42" s="13" t="s">
        <v>776</v>
      </c>
      <c r="H42" s="1" t="str">
        <f aca="false">_xlfn.CONCAT("Y-Axis: ", C42)</f>
        <v>Y-Axis: Net Fiscal Impact</v>
      </c>
      <c r="I42" s="1" t="s">
        <v>235</v>
      </c>
      <c r="J42" s="13" t="s">
        <v>67</v>
      </c>
      <c r="K42" s="13" t="s">
        <v>65</v>
      </c>
      <c r="L42" s="13" t="s">
        <v>437</v>
      </c>
      <c r="M42" s="13"/>
      <c r="N42" s="13"/>
      <c r="O42" s="13"/>
      <c r="P42" s="13"/>
      <c r="Q42" s="13"/>
      <c r="R42" s="13"/>
      <c r="S42" s="1" t="s">
        <v>471</v>
      </c>
      <c r="T42" s="1" t="s">
        <v>472</v>
      </c>
      <c r="U42" s="1" t="s">
        <v>473</v>
      </c>
      <c r="V42" s="1" t="s">
        <v>474</v>
      </c>
      <c r="W42" s="1" t="s">
        <v>475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="14" customFormat="true" ht="12.95" hidden="false" customHeight="true" outlineLevel="1" collapsed="false">
      <c r="A43" s="13" t="s">
        <v>678</v>
      </c>
      <c r="B43" s="13" t="s">
        <v>775</v>
      </c>
      <c r="C43" s="13" t="s">
        <v>447</v>
      </c>
      <c r="D43" s="13" t="s">
        <v>316</v>
      </c>
      <c r="E43" s="13" t="s">
        <v>281</v>
      </c>
      <c r="F43" s="18" t="s">
        <v>233</v>
      </c>
      <c r="G43" s="13" t="s">
        <v>776</v>
      </c>
      <c r="H43" s="1" t="str">
        <f aca="false">_xlfn.CONCAT("Y-Axis: ", C43)</f>
        <v>Y-Axis: Gini Coefficient</v>
      </c>
      <c r="I43" s="1" t="s">
        <v>235</v>
      </c>
      <c r="J43" s="13" t="s">
        <v>67</v>
      </c>
      <c r="K43" s="13" t="s">
        <v>65</v>
      </c>
      <c r="L43" s="13" t="s">
        <v>447</v>
      </c>
      <c r="M43" s="13"/>
      <c r="N43" s="13"/>
      <c r="O43" s="13"/>
      <c r="P43" s="13"/>
      <c r="Q43" s="13"/>
      <c r="R43" s="13"/>
      <c r="S43" s="1" t="s">
        <v>471</v>
      </c>
      <c r="T43" s="1" t="s">
        <v>472</v>
      </c>
      <c r="U43" s="1" t="s">
        <v>473</v>
      </c>
      <c r="V43" s="1" t="s">
        <v>474</v>
      </c>
      <c r="W43" s="1" t="s">
        <v>475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="14" customFormat="true" ht="12.95" hidden="false" customHeight="true" outlineLevel="1" collapsed="false">
      <c r="A44" s="13" t="s">
        <v>679</v>
      </c>
      <c r="B44" s="13" t="s">
        <v>775</v>
      </c>
      <c r="C44" s="13" t="s">
        <v>680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Employment Elasticity</v>
      </c>
      <c r="I44" s="1" t="s">
        <v>235</v>
      </c>
      <c r="J44" s="13" t="s">
        <v>67</v>
      </c>
      <c r="K44" s="13" t="s">
        <v>65</v>
      </c>
      <c r="L44" s="13" t="s">
        <v>680</v>
      </c>
      <c r="M44" s="13"/>
      <c r="N44" s="13"/>
      <c r="O44" s="13"/>
      <c r="P44" s="13"/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="14" customFormat="true" ht="12.95" hidden="false" customHeight="true" outlineLevel="1" collapsed="false">
      <c r="A45" s="13" t="s">
        <v>682</v>
      </c>
      <c r="B45" s="13" t="s">
        <v>775</v>
      </c>
      <c r="C45" s="13" t="s">
        <v>683</v>
      </c>
      <c r="D45" s="13" t="s">
        <v>316</v>
      </c>
      <c r="E45" s="13" t="s">
        <v>281</v>
      </c>
      <c r="F45" s="18" t="s">
        <v>233</v>
      </c>
      <c r="G45" s="13" t="s">
        <v>776</v>
      </c>
      <c r="H45" s="1" t="str">
        <f aca="false">_xlfn.CONCAT("Y-Axis: ", C45)</f>
        <v>Y-Axis: Tax Base Elasticity (Aggregate)</v>
      </c>
      <c r="I45" s="1" t="s">
        <v>235</v>
      </c>
      <c r="J45" s="13" t="s">
        <v>67</v>
      </c>
      <c r="K45" s="13" t="s">
        <v>65</v>
      </c>
      <c r="L45" s="13" t="s">
        <v>683</v>
      </c>
      <c r="M45" s="13"/>
      <c r="N45" s="13"/>
      <c r="O45" s="13"/>
      <c r="P45" s="13"/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="14" customFormat="true" ht="12.95" hidden="false" customHeight="true" outlineLevel="1" collapsed="false">
      <c r="A46" s="13" t="s">
        <v>685</v>
      </c>
      <c r="B46" s="13" t="s">
        <v>775</v>
      </c>
      <c r="C46" s="13" t="s">
        <v>686</v>
      </c>
      <c r="D46" s="13" t="s">
        <v>316</v>
      </c>
      <c r="E46" s="13" t="s">
        <v>281</v>
      </c>
      <c r="F46" s="18" t="s">
        <v>233</v>
      </c>
      <c r="G46" s="13" t="s">
        <v>776</v>
      </c>
      <c r="H46" s="1" t="str">
        <f aca="false">_xlfn.CONCAT("Y-Axis: ", C46)</f>
        <v>Y-Axis: Bottom 40% Wealth Share</v>
      </c>
      <c r="I46" s="1" t="s">
        <v>235</v>
      </c>
      <c r="J46" s="13" t="s">
        <v>67</v>
      </c>
      <c r="K46" s="13" t="s">
        <v>65</v>
      </c>
      <c r="L46" s="13" t="s">
        <v>686</v>
      </c>
      <c r="M46" s="13"/>
      <c r="N46" s="13"/>
      <c r="O46" s="13"/>
      <c r="P46" s="13"/>
      <c r="Q46" s="13"/>
      <c r="R46" s="13"/>
      <c r="S46" s="1" t="s">
        <v>471</v>
      </c>
      <c r="T46" s="1" t="s">
        <v>472</v>
      </c>
      <c r="U46" s="1" t="s">
        <v>473</v>
      </c>
      <c r="V46" s="1" t="s">
        <v>474</v>
      </c>
      <c r="W46" s="1" t="s">
        <v>475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="14" customFormat="true" ht="12.8" hidden="false" customHeight="false" outlineLevel="0" collapsed="false">
      <c r="A47" s="1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="14" customFormat="true" ht="12.8" hidden="false" customHeight="false" outlineLevel="0" collapsed="false">
      <c r="A48" s="1"/>
      <c r="D48" s="1"/>
      <c r="E48" s="1"/>
      <c r="F48" s="1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="14" customFormat="true" ht="12.8" hidden="false" customHeight="false" outlineLevel="0" collapsed="false">
      <c r="A49" s="1"/>
      <c r="D49" s="1"/>
      <c r="E49" s="1"/>
      <c r="F49" s="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="14" customFormat="true" ht="12.8" hidden="false" customHeight="false" outlineLevel="0" collapsed="false">
      <c r="A50" s="1"/>
      <c r="D50" s="1"/>
      <c r="E50" s="1"/>
      <c r="F50" s="1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="14" customFormat="true" ht="12.8" hidden="false" customHeight="false" outlineLevel="0" collapsed="false">
      <c r="A51" s="1"/>
      <c r="D51" s="1"/>
      <c r="E51" s="1"/>
      <c r="F51" s="1"/>
      <c r="G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="14" customFormat="true" ht="12.8" hidden="false" customHeight="false" outlineLevel="0" collapsed="false">
      <c r="A52" s="1"/>
      <c r="D52" s="1"/>
      <c r="E52" s="1"/>
      <c r="F52" s="1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="14" customFormat="true" ht="12.8" hidden="false" customHeight="false" outlineLevel="0" collapsed="false">
      <c r="A53" s="1"/>
      <c r="D53" s="1"/>
      <c r="E53" s="1"/>
      <c r="F53" s="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="14" customFormat="true" ht="12.8" hidden="false" customHeight="false" outlineLevel="0" collapsed="false">
      <c r="A54" s="1"/>
      <c r="D54" s="1"/>
      <c r="E54" s="1"/>
      <c r="F54" s="1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="14" customFormat="true" ht="12.8" hidden="false" customHeight="false" outlineLevel="0" collapsed="false">
      <c r="A55" s="1"/>
      <c r="D55" s="1"/>
      <c r="E55" s="1"/>
      <c r="F55" s="1"/>
      <c r="G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="14" customFormat="true" ht="12.8" hidden="false" customHeight="false" outlineLevel="0" collapsed="false">
      <c r="A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="14" customFormat="true" ht="12.8" hidden="false" customHeight="false" outlineLevel="0" collapsed="false">
      <c r="A57" s="1"/>
      <c r="D57" s="1"/>
      <c r="E57" s="1"/>
      <c r="F57" s="1"/>
      <c r="G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="14" customFormat="true" ht="12.8" hidden="false" customHeight="false" outlineLevel="0" collapsed="false">
      <c r="A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="14" customFormat="true" ht="12.8" hidden="false" customHeight="false" outlineLevel="0" collapsed="false">
      <c r="A59" s="1"/>
      <c r="D59" s="1"/>
      <c r="E59" s="1"/>
      <c r="F59" s="1"/>
      <c r="G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="14" customFormat="true" ht="12.8" hidden="false" customHeight="false" outlineLevel="0" collapsed="false">
      <c r="A60" s="1"/>
      <c r="D60" s="1"/>
      <c r="E60" s="1"/>
      <c r="F60" s="1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="14" customFormat="true" ht="12.8" hidden="false" customHeight="false" outlineLevel="0" collapsed="false">
      <c r="A61" s="1"/>
      <c r="D61" s="1"/>
      <c r="E61" s="1"/>
      <c r="F61" s="1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="14" customFormat="true" ht="12.8" hidden="false" customHeight="false" outlineLevel="0" collapsed="false">
      <c r="A62" s="1"/>
      <c r="D62" s="1"/>
      <c r="E62" s="1"/>
      <c r="F62" s="1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="14" customFormat="true" ht="12.8" hidden="false" customHeight="false" outlineLevel="0" collapsed="false">
      <c r="A63" s="1"/>
      <c r="D63" s="1"/>
      <c r="E63" s="1"/>
      <c r="F63" s="1"/>
      <c r="G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="14" customFormat="true" ht="12.8" hidden="false" customHeight="false" outlineLevel="0" collapsed="false">
      <c r="A64" s="1"/>
      <c r="D64" s="1"/>
      <c r="E64" s="1"/>
      <c r="F64" s="1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="14" customFormat="true" ht="12.8" hidden="false" customHeight="false" outlineLevel="0" collapsed="false">
      <c r="A65" s="1"/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="14" customFormat="true" ht="12.8" hidden="false" customHeight="false" outlineLevel="0" collapsed="false">
      <c r="A66" s="1"/>
      <c r="D66" s="1"/>
      <c r="E66" s="1"/>
      <c r="F66" s="1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="14" customFormat="true" ht="12.8" hidden="false" customHeight="false" outlineLevel="0" collapsed="false">
      <c r="A67" s="1"/>
      <c r="D67" s="1"/>
      <c r="E67" s="1"/>
      <c r="F67" s="1"/>
      <c r="G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="14" customFormat="true" ht="12.8" hidden="false" customHeight="false" outlineLevel="0" collapsed="false">
      <c r="A68" s="1"/>
      <c r="D68" s="1"/>
      <c r="E68" s="1"/>
      <c r="F68" s="1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="14" customFormat="true" ht="12.8" hidden="false" customHeight="false" outlineLevel="0" collapsed="false">
      <c r="A69" s="1"/>
      <c r="D69" s="1"/>
      <c r="E69" s="1"/>
      <c r="F69" s="1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="14" customFormat="true" ht="12.8" hidden="false" customHeight="false" outlineLevel="0" collapsed="false">
      <c r="A70" s="1"/>
      <c r="D70" s="1"/>
      <c r="E70" s="1"/>
      <c r="F70" s="1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="14" customFormat="true" ht="12.8" hidden="false" customHeight="false" outlineLevel="0" collapsed="false">
      <c r="A71" s="1"/>
      <c r="D71" s="1"/>
      <c r="E71" s="1"/>
      <c r="F71" s="1"/>
      <c r="G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="14" customFormat="true" ht="12.8" hidden="false" customHeight="false" outlineLevel="0" collapsed="false">
      <c r="A72" s="1"/>
      <c r="D72" s="1"/>
      <c r="E72" s="1"/>
      <c r="F72" s="1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="14" customFormat="true" ht="12.8" hidden="false" customHeight="false" outlineLevel="0" collapsed="false">
      <c r="A73" s="1"/>
      <c r="D73" s="1"/>
      <c r="E73" s="1"/>
      <c r="F73" s="1"/>
      <c r="G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="14" customFormat="true" ht="12.8" hidden="false" customHeight="false" outlineLevel="0" collapsed="false">
      <c r="A74" s="1"/>
      <c r="D74" s="1"/>
      <c r="E74" s="1"/>
      <c r="F74" s="1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="14" customFormat="true" ht="12.8" hidden="false" customHeight="false" outlineLevel="0" collapsed="false">
      <c r="A75" s="1"/>
      <c r="D75" s="1"/>
      <c r="E75" s="1"/>
      <c r="F75" s="1"/>
      <c r="G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="14" customFormat="true" ht="12.8" hidden="false" customHeight="false" outlineLevel="0" collapsed="false">
      <c r="A76" s="1"/>
      <c r="D76" s="1"/>
      <c r="E76" s="1"/>
      <c r="F76" s="1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="14" customFormat="true" ht="12.8" hidden="false" customHeight="false" outlineLevel="0" collapsed="false">
      <c r="A77" s="1"/>
      <c r="D77" s="1"/>
      <c r="E77" s="1"/>
      <c r="F77" s="1"/>
      <c r="G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="14" customFormat="true" ht="12.8" hidden="false" customHeight="false" outlineLevel="0" collapsed="false">
      <c r="A78" s="1"/>
      <c r="D78" s="1"/>
      <c r="E78" s="1"/>
      <c r="F78" s="1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="14" customFormat="true" ht="12.8" hidden="false" customHeight="false" outlineLevel="0" collapsed="false">
      <c r="A79" s="1"/>
      <c r="D79" s="1"/>
      <c r="E79" s="1"/>
      <c r="F79" s="1"/>
      <c r="G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="14" customFormat="true" ht="12.8" hidden="false" customHeight="false" outlineLevel="0" collapsed="false">
      <c r="A80" s="1"/>
      <c r="D80" s="1"/>
      <c r="E80" s="1"/>
      <c r="F80" s="1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="14" customFormat="true" ht="12.8" hidden="false" customHeight="false" outlineLevel="0" collapsed="false">
      <c r="A81" s="1"/>
      <c r="D81" s="1"/>
      <c r="E81" s="1"/>
      <c r="F81" s="1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="14" customFormat="true" ht="12.8" hidden="false" customHeight="false" outlineLevel="0" collapsed="false">
      <c r="A82" s="1"/>
      <c r="D82" s="1"/>
      <c r="E82" s="1"/>
      <c r="F82" s="1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="14" customFormat="true" ht="12.8" hidden="false" customHeight="false" outlineLevel="0" collapsed="false">
      <c r="A83" s="1"/>
      <c r="D83" s="1"/>
      <c r="E83" s="1"/>
      <c r="F83" s="1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="14" customFormat="true" ht="12.8" hidden="false" customHeight="false" outlineLevel="0" collapsed="false">
      <c r="A84" s="1"/>
      <c r="D84" s="1"/>
      <c r="E84" s="1"/>
      <c r="F84" s="1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="14" customFormat="true" ht="12.8" hidden="false" customHeight="false" outlineLevel="0" collapsed="false">
      <c r="A85" s="1"/>
      <c r="D85" s="1"/>
      <c r="E85" s="1"/>
      <c r="F85" s="1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="14" customFormat="true" ht="12.8" hidden="false" customHeight="false" outlineLevel="0" collapsed="false">
      <c r="A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="14" customFormat="true" ht="12.8" hidden="false" customHeight="false" outlineLevel="0" collapsed="false">
      <c r="A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="14" customFormat="true" ht="12.8" hidden="false" customHeight="false" outlineLevel="0" collapsed="false">
      <c r="A88" s="1"/>
      <c r="D88" s="1"/>
      <c r="E88" s="1"/>
      <c r="F88" s="1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="14" customFormat="true" ht="12.8" hidden="false" customHeight="false" outlineLevel="0" collapsed="false">
      <c r="A89" s="1"/>
      <c r="D89" s="1"/>
      <c r="E89" s="1"/>
      <c r="F89" s="1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="14" customFormat="true" ht="12.8" hidden="false" customHeight="false" outlineLevel="0" collapsed="false">
      <c r="A90" s="1"/>
      <c r="D90" s="1"/>
      <c r="E90" s="1"/>
      <c r="F90" s="1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="14" customFormat="true" ht="12.8" hidden="false" customHeight="false" outlineLevel="0" collapsed="false">
      <c r="A91" s="1"/>
      <c r="D91" s="1"/>
      <c r="E91" s="1"/>
      <c r="F91" s="1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="14" customFormat="true" ht="12.8" hidden="false" customHeight="false" outlineLevel="0" collapsed="false">
      <c r="A92" s="1"/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="14" customFormat="true" ht="12.8" hidden="false" customHeight="false" outlineLevel="0" collapsed="false">
      <c r="A93" s="1"/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="14" customFormat="true" ht="12.8" hidden="false" customHeight="false" outlineLevel="0" collapsed="false">
      <c r="A94" s="1"/>
      <c r="D94" s="1"/>
      <c r="E94" s="1"/>
      <c r="F94" s="1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="14" customFormat="true" ht="12.8" hidden="false" customHeight="false" outlineLevel="0" collapsed="false">
      <c r="A95" s="1"/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="14" customFormat="true" ht="12.8" hidden="false" customHeight="false" outlineLevel="0" collapsed="false">
      <c r="A96" s="1"/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="14" customFormat="true" ht="12.8" hidden="false" customHeight="false" outlineLevel="0" collapsed="false">
      <c r="A97" s="1"/>
      <c r="D97" s="1"/>
      <c r="E97" s="1"/>
      <c r="F97" s="1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="14" customFormat="true" ht="12.8" hidden="false" customHeight="false" outlineLevel="0" collapsed="false">
      <c r="A98" s="1"/>
      <c r="D98" s="1"/>
      <c r="E98" s="1"/>
      <c r="F98" s="1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="14" customFormat="true" ht="12.8" hidden="false" customHeight="false" outlineLevel="0" collapsed="false">
      <c r="A99" s="1"/>
      <c r="D99" s="1"/>
      <c r="E99" s="1"/>
      <c r="F99" s="1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="14" customFormat="true" ht="12.8" hidden="false" customHeight="false" outlineLevel="0" collapsed="false">
      <c r="A100" s="1"/>
      <c r="D100" s="1"/>
      <c r="E100" s="1"/>
      <c r="F100" s="1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="14" customFormat="true" ht="12.8" hidden="false" customHeight="false" outlineLevel="0" collapsed="false">
      <c r="A101" s="1"/>
      <c r="D101" s="1"/>
      <c r="E101" s="1"/>
      <c r="F101" s="1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="14" customFormat="true" ht="12.8" hidden="false" customHeight="false" outlineLevel="0" collapsed="false">
      <c r="A102" s="1"/>
      <c r="D102" s="1"/>
      <c r="E102" s="1"/>
      <c r="F102" s="1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="14" customFormat="true" ht="12.8" hidden="false" customHeight="false" outlineLevel="0" collapsed="false">
      <c r="A103" s="1"/>
      <c r="D103" s="1"/>
      <c r="E103" s="1"/>
      <c r="F103" s="1"/>
      <c r="G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="14" customFormat="true" ht="12.8" hidden="false" customHeight="false" outlineLevel="0" collapsed="false">
      <c r="A104" s="1"/>
      <c r="D104" s="1"/>
      <c r="E104" s="1"/>
      <c r="F104" s="1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="14" customFormat="true" ht="12.8" hidden="false" customHeight="false" outlineLevel="0" collapsed="false">
      <c r="A105" s="1"/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="14" customFormat="true" ht="12.8" hidden="false" customHeight="false" outlineLevel="0" collapsed="false">
      <c r="A106" s="1"/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="14" customFormat="true" ht="12.8" hidden="false" customHeight="false" outlineLevel="0" collapsed="false">
      <c r="A107" s="1"/>
      <c r="D107" s="1"/>
      <c r="E107" s="1"/>
      <c r="F107" s="1"/>
      <c r="G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="14" customFormat="true" ht="12.8" hidden="false" customHeight="false" outlineLevel="0" collapsed="false">
      <c r="A108" s="1"/>
      <c r="D108" s="1"/>
      <c r="E108" s="1"/>
      <c r="F108" s="1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="14" customFormat="true" ht="12.8" hidden="false" customHeight="false" outlineLevel="0" collapsed="false">
      <c r="A109" s="1"/>
      <c r="D109" s="1"/>
      <c r="E109" s="1"/>
      <c r="F109" s="1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="14" customFormat="true" ht="12.8" hidden="false" customHeight="false" outlineLevel="0" collapsed="false">
      <c r="A110" s="1"/>
      <c r="D110" s="1"/>
      <c r="E110" s="1"/>
      <c r="F110" s="1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="14" customFormat="true" ht="12.8" hidden="false" customHeight="false" outlineLevel="0" collapsed="false">
      <c r="A111" s="1"/>
      <c r="D111" s="1"/>
      <c r="E111" s="1"/>
      <c r="F111" s="1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="14" customFormat="true" ht="12.8" hidden="false" customHeight="false" outlineLevel="0" collapsed="false">
      <c r="A112" s="1"/>
      <c r="D112" s="1"/>
      <c r="E112" s="1"/>
      <c r="F112" s="1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="14" customFormat="true" ht="12.8" hidden="false" customHeight="false" outlineLevel="0" collapsed="false">
      <c r="A113" s="1"/>
      <c r="D113" s="1"/>
      <c r="E113" s="1"/>
      <c r="F113" s="1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="14" customFormat="true" ht="12.8" hidden="false" customHeight="false" outlineLevel="0" collapsed="false">
      <c r="A114" s="1"/>
      <c r="D114" s="1"/>
      <c r="E114" s="1"/>
      <c r="F114" s="1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="14" customFormat="true" ht="12.8" hidden="false" customHeight="false" outlineLevel="0" collapsed="false">
      <c r="A115" s="1"/>
      <c r="D115" s="1"/>
      <c r="E115" s="1"/>
      <c r="F115" s="1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="14" customFormat="true" ht="12.8" hidden="false" customHeight="false" outlineLevel="0" collapsed="false">
      <c r="A116" s="1"/>
      <c r="D116" s="1"/>
      <c r="E116" s="1"/>
      <c r="F116" s="1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="14" customFormat="true" ht="12.8" hidden="false" customHeight="false" outlineLevel="0" collapsed="false">
      <c r="A117" s="1"/>
      <c r="D117" s="1"/>
      <c r="E117" s="1"/>
      <c r="F117" s="1"/>
      <c r="G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="14" customFormat="true" ht="12.8" hidden="false" customHeight="false" outlineLevel="0" collapsed="false">
      <c r="A118" s="1"/>
      <c r="D118" s="1"/>
      <c r="E118" s="1"/>
      <c r="F118" s="1"/>
      <c r="G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="14" customFormat="true" ht="12.8" hidden="false" customHeight="false" outlineLevel="0" collapsed="false">
      <c r="A119" s="1"/>
      <c r="D119" s="1"/>
      <c r="E119" s="1"/>
      <c r="F119" s="1"/>
      <c r="G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="14" customFormat="true" ht="12.8" hidden="false" customHeight="false" outlineLevel="0" collapsed="false">
      <c r="A120" s="1"/>
      <c r="D120" s="1"/>
      <c r="E120" s="1"/>
      <c r="F120" s="1"/>
      <c r="G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="14" customFormat="true" ht="12.8" hidden="false" customHeight="false" outlineLevel="0" collapsed="false">
      <c r="A121" s="1"/>
      <c r="D121" s="1"/>
      <c r="E121" s="1"/>
      <c r="F121" s="1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="14" customFormat="true" ht="12.8" hidden="false" customHeight="false" outlineLevel="0" collapsed="false">
      <c r="A122" s="1"/>
      <c r="D122" s="1"/>
      <c r="E122" s="1"/>
      <c r="F122" s="1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="14" customFormat="true" ht="12.8" hidden="false" customHeight="false" outlineLevel="0" collapsed="false">
      <c r="A123" s="1"/>
      <c r="D123" s="1"/>
      <c r="E123" s="1"/>
      <c r="F123" s="1"/>
      <c r="G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="14" customFormat="true" ht="12.8" hidden="false" customHeight="false" outlineLevel="0" collapsed="false">
      <c r="A124" s="1"/>
      <c r="D124" s="1"/>
      <c r="E124" s="1"/>
      <c r="F124" s="1"/>
      <c r="G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="14" customFormat="true" ht="12.8" hidden="false" customHeight="false" outlineLevel="0" collapsed="false">
      <c r="A125" s="1"/>
      <c r="D125" s="1"/>
      <c r="E125" s="1"/>
      <c r="F125" s="1"/>
      <c r="G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="14" customFormat="true" ht="12.8" hidden="false" customHeight="false" outlineLevel="0" collapsed="false">
      <c r="A126" s="1"/>
      <c r="D126" s="1"/>
      <c r="E126" s="1"/>
      <c r="F126" s="1"/>
      <c r="G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="14" customFormat="true" ht="12.8" hidden="false" customHeight="false" outlineLevel="0" collapsed="false">
      <c r="A127" s="1"/>
      <c r="D127" s="1"/>
      <c r="E127" s="1"/>
      <c r="F127" s="1"/>
      <c r="G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="14" customFormat="true" ht="12.8" hidden="false" customHeight="false" outlineLevel="0" collapsed="false">
      <c r="A128" s="1"/>
      <c r="D128" s="1"/>
      <c r="E128" s="1"/>
      <c r="F128" s="1"/>
      <c r="G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="14" customFormat="true" ht="12.8" hidden="false" customHeight="false" outlineLevel="0" collapsed="false">
      <c r="A129" s="1"/>
      <c r="D129" s="1"/>
      <c r="E129" s="1"/>
      <c r="F129" s="1"/>
      <c r="G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="14" customFormat="true" ht="12.8" hidden="false" customHeight="false" outlineLevel="0" collapsed="false">
      <c r="A130" s="1"/>
      <c r="D130" s="1"/>
      <c r="E130" s="1"/>
      <c r="F130" s="1"/>
      <c r="G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="14" customFormat="true" ht="12.8" hidden="false" customHeight="false" outlineLevel="0" collapsed="false">
      <c r="A131" s="1"/>
      <c r="D131" s="1"/>
      <c r="E131" s="1"/>
      <c r="F131" s="1"/>
      <c r="G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="14" customFormat="true" ht="12.8" hidden="false" customHeight="false" outlineLevel="0" collapsed="false">
      <c r="A132" s="1"/>
      <c r="D132" s="1"/>
      <c r="E132" s="1"/>
      <c r="F132" s="1"/>
      <c r="G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="14" customFormat="true" ht="12.8" hidden="false" customHeight="false" outlineLevel="0" collapsed="false">
      <c r="A133" s="1"/>
      <c r="D133" s="1"/>
      <c r="E133" s="1"/>
      <c r="F133" s="1"/>
      <c r="G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="14" customFormat="true" ht="12.8" hidden="false" customHeight="false" outlineLevel="0" collapsed="false">
      <c r="A134" s="1"/>
      <c r="D134" s="1"/>
      <c r="E134" s="1"/>
      <c r="F134" s="1"/>
      <c r="G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="14" customFormat="true" ht="12.8" hidden="false" customHeight="false" outlineLevel="0" collapsed="false">
      <c r="A135" s="1"/>
      <c r="D135" s="1"/>
      <c r="E135" s="1"/>
      <c r="F135" s="1"/>
      <c r="G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="14" customFormat="true" ht="12.8" hidden="false" customHeight="false" outlineLevel="0" collapsed="false">
      <c r="A136" s="1"/>
      <c r="D136" s="1"/>
      <c r="E136" s="1"/>
      <c r="F136" s="1"/>
      <c r="G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="14" customFormat="true" ht="12.8" hidden="false" customHeight="false" outlineLevel="0" collapsed="false">
      <c r="A137" s="1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="14" customFormat="true" ht="12.8" hidden="false" customHeight="false" outlineLevel="0" collapsed="false">
      <c r="A138" s="1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="14" customFormat="true" ht="12.8" hidden="false" customHeight="false" outlineLevel="0" collapsed="false">
      <c r="A139" s="1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="14" customFormat="true" ht="12.8" hidden="false" customHeight="false" outlineLevel="0" collapsed="false">
      <c r="A140" s="1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="14" customFormat="true" ht="12.8" hidden="false" customHeight="false" outlineLevel="0" collapsed="false">
      <c r="A141" s="1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="14" customFormat="true" ht="12.8" hidden="false" customHeight="false" outlineLevel="0" collapsed="false">
      <c r="A142" s="1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="14" customFormat="true" ht="12.8" hidden="false" customHeight="false" outlineLevel="0" collapsed="false">
      <c r="A143" s="1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="14" customFormat="true" ht="12.8" hidden="false" customHeight="false" outlineLevel="0" collapsed="false">
      <c r="A144" s="1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="14" customFormat="true" ht="12.8" hidden="false" customHeight="false" outlineLevel="0" collapsed="false">
      <c r="A145" s="1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="14" customFormat="true" ht="12.8" hidden="false" customHeight="false" outlineLevel="0" collapsed="false">
      <c r="A146" s="1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="14" customFormat="true" ht="12.8" hidden="false" customHeight="false" outlineLevel="0" collapsed="false">
      <c r="A147" s="1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="14" customFormat="true" ht="12.8" hidden="false" customHeight="false" outlineLevel="0" collapsed="false">
      <c r="A148" s="1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="14" customFormat="true" ht="12.8" hidden="false" customHeight="false" outlineLevel="0" collapsed="false">
      <c r="A149" s="1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="14" customFormat="true" ht="12.8" hidden="false" customHeight="false" outlineLevel="0" collapsed="false">
      <c r="A150" s="1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="14" customFormat="true" ht="12.8" hidden="false" customHeight="false" outlineLevel="0" collapsed="false">
      <c r="A151" s="1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="14" customFormat="true" ht="12.8" hidden="false" customHeight="false" outlineLevel="0" collapsed="false">
      <c r="A152" s="1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="14" customFormat="true" ht="12.8" hidden="false" customHeight="false" outlineLevel="0" collapsed="false">
      <c r="A153" s="1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="14" customFormat="true" ht="12.8" hidden="false" customHeight="false" outlineLevel="0" collapsed="false">
      <c r="A154" s="1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="14" customFormat="true" ht="12.8" hidden="false" customHeight="false" outlineLevel="0" collapsed="false">
      <c r="A155" s="1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="14" customFormat="true" ht="12.8" hidden="false" customHeight="false" outlineLevel="0" collapsed="false">
      <c r="A156" s="1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="14" customFormat="true" ht="12.8" hidden="false" customHeight="false" outlineLevel="0" collapsed="false">
      <c r="A157" s="1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="14" customFormat="true" ht="12.8" hidden="false" customHeight="false" outlineLevel="0" collapsed="false">
      <c r="A158" s="1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="14" customFormat="true" ht="12.8" hidden="false" customHeight="false" outlineLevel="0" collapsed="false">
      <c r="A159" s="1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="14" customFormat="true" ht="12.8" hidden="false" customHeight="false" outlineLevel="0" collapsed="false">
      <c r="A160" s="1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="14" customFormat="true" ht="12.8" hidden="false" customHeight="false" outlineLevel="0" collapsed="false">
      <c r="A161" s="1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="14" customFormat="true" ht="12.8" hidden="false" customHeight="false" outlineLevel="0" collapsed="false">
      <c r="A162" s="1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="14" customFormat="true" ht="12.8" hidden="false" customHeight="false" outlineLevel="0" collapsed="false">
      <c r="A163" s="1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="14" customFormat="true" ht="12.8" hidden="false" customHeight="false" outlineLevel="0" collapsed="false">
      <c r="A164" s="1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="14" customFormat="true" ht="12.8" hidden="false" customHeight="false" outlineLevel="0" collapsed="false">
      <c r="A165" s="1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="14" customFormat="true" ht="12.8" hidden="false" customHeight="false" outlineLevel="0" collapsed="false">
      <c r="A166" s="1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="14" customFormat="true" ht="12.8" hidden="false" customHeight="false" outlineLevel="0" collapsed="false">
      <c r="A167" s="1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="14" customFormat="true" ht="12.8" hidden="false" customHeight="false" outlineLevel="0" collapsed="false">
      <c r="A168" s="1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="14" customFormat="true" ht="12.8" hidden="false" customHeight="false" outlineLevel="0" collapsed="false">
      <c r="A169" s="1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="14" customFormat="true" ht="12.8" hidden="false" customHeight="false" outlineLevel="0" collapsed="false">
      <c r="A170" s="1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="14" customFormat="true" ht="12.8" hidden="false" customHeight="false" outlineLevel="0" collapsed="false">
      <c r="A171" s="1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="14" customFormat="true" ht="12.8" hidden="false" customHeight="false" outlineLevel="0" collapsed="false">
      <c r="A172" s="1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="14" customFormat="true" ht="12.8" hidden="false" customHeight="false" outlineLevel="0" collapsed="false">
      <c r="A173" s="1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="14" customFormat="true" ht="12.8" hidden="false" customHeight="false" outlineLevel="0" collapsed="false">
      <c r="A174" s="1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="14" customFormat="true" ht="12.8" hidden="false" customHeight="false" outlineLevel="0" collapsed="false">
      <c r="A175" s="1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="14" customFormat="true" ht="12.8" hidden="false" customHeight="false" outlineLevel="0" collapsed="false">
      <c r="A176" s="1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="14" customFormat="true" ht="12.8" hidden="false" customHeight="false" outlineLevel="0" collapsed="false">
      <c r="A177" s="1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="14" customFormat="true" ht="12.8" hidden="false" customHeight="false" outlineLevel="0" collapsed="false">
      <c r="A178" s="1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="14" customFormat="true" ht="12.8" hidden="false" customHeight="false" outlineLevel="0" collapsed="false">
      <c r="A179" s="1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="14" customFormat="true" ht="12.8" hidden="false" customHeight="false" outlineLevel="0" collapsed="false">
      <c r="A180" s="1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="14" customFormat="true" ht="12.8" hidden="false" customHeight="false" outlineLevel="0" collapsed="false">
      <c r="A181" s="1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="14" customFormat="true" ht="12.8" hidden="false" customHeight="false" outlineLevel="0" collapsed="false">
      <c r="A182" s="1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="14" customFormat="true" ht="12.8" hidden="false" customHeight="false" outlineLevel="0" collapsed="false">
      <c r="A183" s="1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="14" customFormat="true" ht="12.8" hidden="false" customHeight="false" outlineLevel="0" collapsed="false">
      <c r="A184" s="1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="14" customFormat="true" ht="12.8" hidden="false" customHeight="false" outlineLevel="0" collapsed="false">
      <c r="A185" s="1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="14" customFormat="true" ht="12.8" hidden="false" customHeight="false" outlineLevel="0" collapsed="false">
      <c r="A186" s="1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="14" customFormat="true" ht="12.8" hidden="false" customHeight="false" outlineLevel="0" collapsed="false">
      <c r="A187" s="1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="14" customFormat="true" ht="12.8" hidden="false" customHeight="false" outlineLevel="0" collapsed="false">
      <c r="A188" s="1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="14" customFormat="true" ht="12.8" hidden="false" customHeight="false" outlineLevel="0" collapsed="false">
      <c r="A189" s="1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="14" customFormat="true" ht="12.8" hidden="false" customHeight="false" outlineLevel="0" collapsed="false">
      <c r="A190" s="1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="14" customFormat="true" ht="12.8" hidden="false" customHeight="false" outlineLevel="0" collapsed="false">
      <c r="A191" s="1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="14" customFormat="true" ht="12.8" hidden="false" customHeight="false" outlineLevel="0" collapsed="false">
      <c r="A192" s="1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="14" customFormat="true" ht="12.8" hidden="false" customHeight="false" outlineLevel="0" collapsed="false">
      <c r="A193" s="1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="14" customFormat="true" ht="12.8" hidden="false" customHeight="false" outlineLevel="0" collapsed="false">
      <c r="A194" s="1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="14" customFormat="true" ht="12.8" hidden="false" customHeight="false" outlineLevel="0" collapsed="false">
      <c r="A195" s="1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="14" customFormat="true" ht="12.8" hidden="false" customHeight="false" outlineLevel="0" collapsed="false">
      <c r="A196" s="1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="14" customFormat="true" ht="12.8" hidden="false" customHeight="false" outlineLevel="0" collapsed="false">
      <c r="A197" s="1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="14" customFormat="true" ht="12.8" hidden="false" customHeight="false" outlineLevel="0" collapsed="false">
      <c r="A198" s="1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="14" customFormat="true" ht="12.8" hidden="false" customHeight="false" outlineLevel="0" collapsed="false">
      <c r="A199" s="1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="14" customFormat="true" ht="12.8" hidden="false" customHeight="false" outlineLevel="0" collapsed="false">
      <c r="A200" s="1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="14" customFormat="true" ht="12.8" hidden="false" customHeight="false" outlineLevel="0" collapsed="false">
      <c r="A201" s="1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="14" customFormat="true" ht="12.8" hidden="false" customHeight="false" outlineLevel="0" collapsed="false">
      <c r="A202" s="1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="14" customFormat="true" ht="12.8" hidden="false" customHeight="false" outlineLevel="0" collapsed="false">
      <c r="A203" s="1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="14" customFormat="true" ht="12.8" hidden="false" customHeight="false" outlineLevel="0" collapsed="false">
      <c r="A204" s="1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="14" customFormat="true" ht="12.8" hidden="false" customHeight="false" outlineLevel="0" collapsed="false">
      <c r="A205" s="1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="14" customFormat="true" ht="12.8" hidden="false" customHeight="false" outlineLevel="0" collapsed="false">
      <c r="A206" s="1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="14" customFormat="true" ht="12.8" hidden="false" customHeight="false" outlineLevel="0" collapsed="false">
      <c r="A207" s="1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="14" customFormat="true" ht="12.8" hidden="false" customHeight="false" outlineLevel="0" collapsed="false">
      <c r="A208" s="1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="14" customFormat="true" ht="12.8" hidden="false" customHeight="false" outlineLevel="0" collapsed="false">
      <c r="A209" s="1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="14" customFormat="true" ht="12.8" hidden="false" customHeight="false" outlineLevel="0" collapsed="false">
      <c r="A210" s="1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="14" customFormat="true" ht="12.8" hidden="false" customHeight="false" outlineLevel="0" collapsed="false">
      <c r="A211" s="1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="14" customFormat="true" ht="12.8" hidden="false" customHeight="false" outlineLevel="0" collapsed="false">
      <c r="A212" s="1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="14" customFormat="true" ht="12.8" hidden="false" customHeight="false" outlineLevel="0" collapsed="false">
      <c r="A213" s="1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="14" customFormat="true" ht="12.8" hidden="false" customHeight="false" outlineLevel="0" collapsed="false">
      <c r="A214" s="1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="14" customFormat="true" ht="12.8" hidden="false" customHeight="false" outlineLevel="0" collapsed="false">
      <c r="A215" s="1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="14" customFormat="true" ht="12.8" hidden="false" customHeight="false" outlineLevel="0" collapsed="false">
      <c r="A216" s="1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="14" customFormat="true" ht="12.8" hidden="false" customHeight="false" outlineLevel="0" collapsed="false">
      <c r="A217" s="1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="14" customFormat="true" ht="12.8" hidden="false" customHeight="false" outlineLevel="0" collapsed="false">
      <c r="A218" s="1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="14" customFormat="true" ht="12.8" hidden="false" customHeight="false" outlineLevel="0" collapsed="false">
      <c r="A219" s="1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="14" customFormat="true" ht="12.8" hidden="false" customHeight="false" outlineLevel="0" collapsed="false">
      <c r="A220" s="1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="14" customFormat="true" ht="12.8" hidden="false" customHeight="false" outlineLevel="0" collapsed="false">
      <c r="A221" s="1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="14" customFormat="true" ht="12.8" hidden="false" customHeight="false" outlineLevel="0" collapsed="false">
      <c r="A222" s="1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="14" customFormat="true" ht="12.8" hidden="false" customHeight="false" outlineLevel="0" collapsed="false">
      <c r="A223" s="1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="14" customFormat="true" ht="12.8" hidden="false" customHeight="false" outlineLevel="0" collapsed="false">
      <c r="A224" s="1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="14" customFormat="true" ht="12.8" hidden="false" customHeight="false" outlineLevel="0" collapsed="false">
      <c r="A225" s="1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="14" customFormat="true" ht="12.8" hidden="false" customHeight="false" outlineLevel="0" collapsed="false">
      <c r="A226" s="1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="14" customFormat="true" ht="12.8" hidden="false" customHeight="false" outlineLevel="0" collapsed="false">
      <c r="A227" s="1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="14" customFormat="true" ht="12.8" hidden="false" customHeight="false" outlineLevel="0" collapsed="false">
      <c r="A228" s="1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="14" customFormat="true" ht="12.8" hidden="false" customHeight="false" outlineLevel="0" collapsed="false">
      <c r="A229" s="1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="14" customFormat="true" ht="12.8" hidden="false" customHeight="false" outlineLevel="0" collapsed="false">
      <c r="A230" s="1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="14" customFormat="true" ht="12.8" hidden="false" customHeight="false" outlineLevel="0" collapsed="false">
      <c r="A231" s="1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="14" customFormat="true" ht="12.8" hidden="false" customHeight="false" outlineLevel="0" collapsed="false">
      <c r="A232" s="1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="14" customFormat="true" ht="12.8" hidden="false" customHeight="false" outlineLevel="0" collapsed="false">
      <c r="A233" s="1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="14" customFormat="true" ht="12.8" hidden="false" customHeight="false" outlineLevel="0" collapsed="false">
      <c r="A234" s="1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="14" customFormat="true" ht="12.8" hidden="false" customHeight="false" outlineLevel="0" collapsed="false">
      <c r="A235" s="1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="14" customFormat="true" ht="12.8" hidden="false" customHeight="false" outlineLevel="0" collapsed="false">
      <c r="A236" s="1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="14" customFormat="true" ht="12.8" hidden="false" customHeight="false" outlineLevel="0" collapsed="false">
      <c r="A237" s="1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="14" customFormat="true" ht="12.8" hidden="false" customHeight="false" outlineLevel="0" collapsed="false">
      <c r="A238" s="1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="14" customFormat="true" ht="12.8" hidden="false" customHeight="false" outlineLevel="0" collapsed="false">
      <c r="A239" s="1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="14" customFormat="true" ht="12.8" hidden="false" customHeight="false" outlineLevel="0" collapsed="false">
      <c r="A240" s="1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="14" customFormat="true" ht="12.8" hidden="false" customHeight="false" outlineLevel="0" collapsed="false">
      <c r="A241" s="1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="14" customFormat="true" ht="12.8" hidden="false" customHeight="false" outlineLevel="0" collapsed="false">
      <c r="A242" s="1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="14" customFormat="true" ht="12.8" hidden="false" customHeight="false" outlineLevel="0" collapsed="false">
      <c r="A243" s="1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="14" customFormat="true" ht="12.8" hidden="false" customHeight="false" outlineLevel="0" collapsed="false">
      <c r="A244" s="1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="14" customFormat="true" ht="12.8" hidden="false" customHeight="false" outlineLevel="0" collapsed="false">
      <c r="A245" s="1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="14" customFormat="true" ht="12.8" hidden="false" customHeight="false" outlineLevel="0" collapsed="false">
      <c r="A246" s="1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="14" customFormat="true" ht="12.8" hidden="false" customHeight="false" outlineLevel="0" collapsed="false">
      <c r="A247" s="1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="14" customFormat="true" ht="12.8" hidden="false" customHeight="false" outlineLevel="0" collapsed="false">
      <c r="A248" s="1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="14" customFormat="true" ht="12.8" hidden="false" customHeight="false" outlineLevel="0" collapsed="false">
      <c r="A249" s="1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="14" customFormat="true" ht="12.8" hidden="false" customHeight="false" outlineLevel="0" collapsed="false">
      <c r="A250" s="1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="14" customFormat="true" ht="12.8" hidden="false" customHeight="false" outlineLevel="0" collapsed="false">
      <c r="A251" s="1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="14" customFormat="true" ht="12.8" hidden="false" customHeight="false" outlineLevel="0" collapsed="false">
      <c r="A252" s="1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="14" customFormat="true" ht="12.8" hidden="false" customHeight="false" outlineLevel="0" collapsed="false">
      <c r="A253" s="1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="14" customFormat="true" ht="12.8" hidden="false" customHeight="false" outlineLevel="0" collapsed="false">
      <c r="A254" s="1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="14" customFormat="true" ht="12.8" hidden="false" customHeight="false" outlineLevel="0" collapsed="false">
      <c r="A255" s="1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="14" customFormat="true" ht="12.8" hidden="false" customHeight="false" outlineLevel="0" collapsed="false">
      <c r="A256" s="1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="14" customFormat="true" ht="12.8" hidden="false" customHeight="false" outlineLevel="0" collapsed="false">
      <c r="A257" s="1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="14" customFormat="true" ht="12.8" hidden="false" customHeight="false" outlineLevel="0" collapsed="false">
      <c r="A258" s="1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="14" customFormat="true" ht="12.8" hidden="false" customHeight="false" outlineLevel="0" collapsed="false">
      <c r="A259" s="1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="14" customFormat="true" ht="12.8" hidden="false" customHeight="false" outlineLevel="0" collapsed="false">
      <c r="A260" s="1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="14" customFormat="true" ht="12.8" hidden="false" customHeight="false" outlineLevel="0" collapsed="false">
      <c r="A261" s="1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="14" customFormat="true" ht="12.8" hidden="false" customHeight="false" outlineLevel="0" collapsed="false">
      <c r="A262" s="1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="14" customFormat="true" ht="12.8" hidden="false" customHeight="false" outlineLevel="0" collapsed="false">
      <c r="A263" s="1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="14" customFormat="true" ht="12.8" hidden="false" customHeight="false" outlineLevel="0" collapsed="false">
      <c r="A264" s="1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="14" customFormat="true" ht="12.8" hidden="false" customHeight="false" outlineLevel="0" collapsed="false">
      <c r="A265" s="1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="14" customFormat="true" ht="12.8" hidden="false" customHeight="false" outlineLevel="0" collapsed="false">
      <c r="A266" s="1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="14" customFormat="true" ht="12.8" hidden="false" customHeight="false" outlineLevel="0" collapsed="false">
      <c r="A267" s="1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="14" customFormat="true" ht="12.8" hidden="false" customHeight="false" outlineLevel="0" collapsed="false">
      <c r="A268" s="1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="14" customFormat="true" ht="12.8" hidden="false" customHeight="false" outlineLevel="0" collapsed="false">
      <c r="A269" s="1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="14" customFormat="true" ht="12.8" hidden="false" customHeight="false" outlineLevel="0" collapsed="false">
      <c r="A270" s="1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="14" customFormat="true" ht="12.8" hidden="false" customHeight="false" outlineLevel="0" collapsed="false">
      <c r="A271" s="1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="14" customFormat="true" ht="12.8" hidden="false" customHeight="false" outlineLevel="0" collapsed="false">
      <c r="A272" s="1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="14" customFormat="true" ht="12.8" hidden="false" customHeight="false" outlineLevel="0" collapsed="false">
      <c r="A273" s="1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="14" customFormat="true" ht="12.8" hidden="false" customHeight="false" outlineLevel="0" collapsed="false">
      <c r="A274" s="1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="14" customFormat="true" ht="12.8" hidden="false" customHeight="false" outlineLevel="0" collapsed="false">
      <c r="A275" s="1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="14" customFormat="true" ht="12.8" hidden="false" customHeight="false" outlineLevel="0" collapsed="false">
      <c r="A276" s="1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="14" customFormat="true" ht="12.8" hidden="false" customHeight="false" outlineLevel="0" collapsed="false">
      <c r="A277" s="1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</row>
    <row r="278" s="14" customFormat="true" ht="12.8" hidden="false" customHeight="false" outlineLevel="0" collapsed="false">
      <c r="A278" s="1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</row>
    <row r="279" s="14" customFormat="true" ht="12.8" hidden="false" customHeight="false" outlineLevel="0" collapsed="false">
      <c r="A279" s="1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</row>
    <row r="280" s="14" customFormat="true" ht="12.8" hidden="false" customHeight="false" outlineLevel="0" collapsed="false">
      <c r="A280" s="1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</row>
    <row r="281" s="14" customFormat="true" ht="12.8" hidden="false" customHeight="false" outlineLevel="0" collapsed="false">
      <c r="A281" s="1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</row>
    <row r="282" s="14" customFormat="true" ht="12.8" hidden="false" customHeight="false" outlineLevel="0" collapsed="false">
      <c r="A282" s="1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</row>
    <row r="283" s="14" customFormat="true" ht="12.8" hidden="false" customHeight="false" outlineLevel="0" collapsed="false">
      <c r="A283" s="1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</row>
    <row r="284" s="14" customFormat="true" ht="12.8" hidden="false" customHeight="false" outlineLevel="0" collapsed="false">
      <c r="A284" s="1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</row>
    <row r="285" s="14" customFormat="true" ht="12.8" hidden="false" customHeight="false" outlineLevel="0" collapsed="false">
      <c r="A285" s="1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</row>
    <row r="286" s="14" customFormat="true" ht="12.8" hidden="false" customHeight="false" outlineLevel="0" collapsed="false">
      <c r="A286" s="1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</row>
    <row r="287" s="14" customFormat="true" ht="12.8" hidden="false" customHeight="false" outlineLevel="0" collapsed="false">
      <c r="A287" s="1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</row>
    <row r="288" s="14" customFormat="true" ht="12.8" hidden="false" customHeight="false" outlineLevel="0" collapsed="false">
      <c r="A288" s="1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</row>
    <row r="289" s="14" customFormat="true" ht="12.8" hidden="false" customHeight="false" outlineLevel="0" collapsed="false">
      <c r="A289" s="1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</row>
    <row r="290" s="14" customFormat="true" ht="12.8" hidden="false" customHeight="false" outlineLevel="0" collapsed="false">
      <c r="A290" s="1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</row>
    <row r="291" s="14" customFormat="true" ht="12.8" hidden="false" customHeight="false" outlineLevel="0" collapsed="false">
      <c r="A291" s="1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</row>
    <row r="292" s="14" customFormat="true" ht="12.8" hidden="false" customHeight="false" outlineLevel="0" collapsed="false">
      <c r="A292" s="1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="14" customFormat="true" ht="12.8" hidden="false" customHeight="false" outlineLevel="0" collapsed="false">
      <c r="A293" s="1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="14" customFormat="true" ht="12.8" hidden="false" customHeight="false" outlineLevel="0" collapsed="false">
      <c r="A294" s="1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</row>
    <row r="295" s="14" customFormat="true" ht="12.8" hidden="false" customHeight="false" outlineLevel="0" collapsed="false">
      <c r="A295" s="1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</row>
    <row r="296" s="14" customFormat="true" ht="12.8" hidden="false" customHeight="false" outlineLevel="0" collapsed="false">
      <c r="A296" s="1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</row>
    <row r="297" s="14" customFormat="true" ht="12.8" hidden="false" customHeight="false" outlineLevel="0" collapsed="false">
      <c r="A297" s="1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</row>
    <row r="298" s="14" customFormat="true" ht="12.8" hidden="false" customHeight="false" outlineLevel="0" collapsed="false">
      <c r="A298" s="1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</row>
    <row r="299" s="14" customFormat="true" ht="12.8" hidden="false" customHeight="false" outlineLevel="0" collapsed="false">
      <c r="A299" s="1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</row>
    <row r="300" s="14" customFormat="true" ht="12.8" hidden="false" customHeight="false" outlineLevel="0" collapsed="false">
      <c r="A300" s="1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</row>
    <row r="301" s="14" customFormat="true" ht="12.8" hidden="false" customHeight="false" outlineLevel="0" collapsed="false">
      <c r="A301" s="1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="14" customFormat="true" ht="12.8" hidden="false" customHeight="false" outlineLevel="0" collapsed="false">
      <c r="A302" s="1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="14" customFormat="true" ht="12.8" hidden="false" customHeight="false" outlineLevel="0" collapsed="false">
      <c r="A303" s="1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="14" customFormat="true" ht="12.8" hidden="false" customHeight="false" outlineLevel="0" collapsed="false">
      <c r="A304" s="1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="14" customFormat="true" ht="12.8" hidden="false" customHeight="false" outlineLevel="0" collapsed="false">
      <c r="A305" s="1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</row>
    <row r="306" s="14" customFormat="true" ht="12.8" hidden="false" customHeight="false" outlineLevel="0" collapsed="false">
      <c r="A306" s="1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</row>
    <row r="307" s="14" customFormat="true" ht="12.8" hidden="false" customHeight="false" outlineLevel="0" collapsed="false">
      <c r="A307" s="1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</row>
    <row r="308" s="14" customFormat="true" ht="12.8" hidden="false" customHeight="false" outlineLevel="0" collapsed="false">
      <c r="A308" s="1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</row>
    <row r="309" s="14" customFormat="true" ht="12.8" hidden="false" customHeight="false" outlineLevel="0" collapsed="false">
      <c r="A309" s="1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</row>
    <row r="310" s="14" customFormat="true" ht="12.8" hidden="false" customHeight="false" outlineLevel="0" collapsed="false">
      <c r="A310" s="1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</row>
    <row r="311" s="14" customFormat="true" ht="12.8" hidden="false" customHeight="false" outlineLevel="0" collapsed="false">
      <c r="A311" s="1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</row>
    <row r="312" s="14" customFormat="true" ht="12.8" hidden="false" customHeight="false" outlineLevel="0" collapsed="false">
      <c r="A312" s="1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</row>
    <row r="313" s="14" customFormat="true" ht="12.8" hidden="false" customHeight="false" outlineLevel="0" collapsed="false">
      <c r="A313" s="1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</row>
    <row r="314" s="14" customFormat="true" ht="12.8" hidden="false" customHeight="false" outlineLevel="0" collapsed="false">
      <c r="A314" s="1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</row>
    <row r="315" s="14" customFormat="true" ht="12.8" hidden="false" customHeight="false" outlineLevel="0" collapsed="false">
      <c r="A315" s="1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</row>
    <row r="316" s="14" customFormat="true" ht="12.8" hidden="false" customHeight="false" outlineLevel="0" collapsed="false">
      <c r="A316" s="1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</row>
    <row r="317" s="14" customFormat="true" ht="12.8" hidden="false" customHeight="false" outlineLevel="0" collapsed="false">
      <c r="A317" s="1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</row>
    <row r="318" s="14" customFormat="true" ht="12.8" hidden="false" customHeight="false" outlineLevel="0" collapsed="false">
      <c r="A318" s="1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</row>
    <row r="319" s="14" customFormat="true" ht="12.8" hidden="false" customHeight="false" outlineLevel="0" collapsed="false">
      <c r="A319" s="1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</row>
    <row r="320" s="14" customFormat="true" ht="12.8" hidden="false" customHeight="false" outlineLevel="0" collapsed="false">
      <c r="A320" s="1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</row>
    <row r="321" s="14" customFormat="true" ht="12.8" hidden="false" customHeight="false" outlineLevel="0" collapsed="false">
      <c r="A321" s="1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</row>
    <row r="322" s="14" customFormat="true" ht="12.8" hidden="false" customHeight="false" outlineLevel="0" collapsed="false">
      <c r="A322" s="1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</row>
    <row r="323" s="14" customFormat="true" ht="12.8" hidden="false" customHeight="false" outlineLevel="0" collapsed="false">
      <c r="A323" s="1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</row>
    <row r="324" s="14" customFormat="true" ht="12.8" hidden="false" customHeight="false" outlineLevel="0" collapsed="false">
      <c r="A324" s="1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="14" customFormat="true" ht="12.8" hidden="false" customHeight="false" outlineLevel="0" collapsed="false">
      <c r="A325" s="1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</row>
    <row r="326" s="14" customFormat="true" ht="12.8" hidden="false" customHeight="false" outlineLevel="0" collapsed="false">
      <c r="A326" s="1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</row>
    <row r="327" s="14" customFormat="true" ht="12.8" hidden="false" customHeight="false" outlineLevel="0" collapsed="false">
      <c r="A327" s="1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</row>
    <row r="328" s="14" customFormat="true" ht="12.8" hidden="false" customHeight="false" outlineLevel="0" collapsed="false">
      <c r="A328" s="1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</row>
    <row r="329" s="14" customFormat="true" ht="12.8" hidden="false" customHeight="false" outlineLevel="0" collapsed="false">
      <c r="A329" s="1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</row>
    <row r="330" s="14" customFormat="true" ht="12.8" hidden="false" customHeight="false" outlineLevel="0" collapsed="false">
      <c r="A330" s="1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</row>
    <row r="331" s="14" customFormat="true" ht="12.8" hidden="false" customHeight="false" outlineLevel="0" collapsed="false">
      <c r="A331" s="1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</row>
    <row r="332" s="14" customFormat="true" ht="12.8" hidden="false" customHeight="false" outlineLevel="0" collapsed="false">
      <c r="A332" s="1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</row>
    <row r="333" s="14" customFormat="true" ht="12.8" hidden="false" customHeight="false" outlineLevel="0" collapsed="false">
      <c r="A333" s="1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</row>
    <row r="334" s="14" customFormat="true" ht="12.8" hidden="false" customHeight="false" outlineLevel="0" collapsed="false">
      <c r="A334" s="1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</row>
    <row r="335" s="14" customFormat="true" ht="12.8" hidden="false" customHeight="false" outlineLevel="0" collapsed="false">
      <c r="A335" s="1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</row>
    <row r="336" s="14" customFormat="true" ht="12.8" hidden="false" customHeight="false" outlineLevel="0" collapsed="false">
      <c r="A336" s="1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</row>
    <row r="337" s="14" customFormat="true" ht="12.8" hidden="false" customHeight="false" outlineLevel="0" collapsed="false">
      <c r="A337" s="1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</row>
    <row r="338" s="14" customFormat="true" ht="12.8" hidden="false" customHeight="false" outlineLevel="0" collapsed="false">
      <c r="A338" s="1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</row>
    <row r="339" s="14" customFormat="true" ht="12.8" hidden="false" customHeight="false" outlineLevel="0" collapsed="false">
      <c r="A339" s="1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</row>
    <row r="340" s="14" customFormat="true" ht="12.8" hidden="false" customHeight="false" outlineLevel="0" collapsed="false">
      <c r="A340" s="1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</row>
    <row r="341" s="14" customFormat="true" ht="12.8" hidden="false" customHeight="false" outlineLevel="0" collapsed="false">
      <c r="A341" s="1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</row>
    <row r="342" s="14" customFormat="true" ht="12.8" hidden="false" customHeight="false" outlineLevel="0" collapsed="false">
      <c r="A342" s="1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</row>
    <row r="343" s="14" customFormat="true" ht="12.8" hidden="false" customHeight="false" outlineLevel="0" collapsed="false">
      <c r="A343" s="1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</row>
    <row r="344" s="14" customFormat="true" ht="12.8" hidden="false" customHeight="false" outlineLevel="0" collapsed="false">
      <c r="A344" s="1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</row>
    <row r="345" s="14" customFormat="true" ht="12.8" hidden="false" customHeight="false" outlineLevel="0" collapsed="false">
      <c r="A345" s="1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</row>
    <row r="346" s="14" customFormat="true" ht="12.8" hidden="false" customHeight="false" outlineLevel="0" collapsed="false">
      <c r="A346" s="1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</row>
    <row r="347" s="14" customFormat="true" ht="12.8" hidden="false" customHeight="false" outlineLevel="0" collapsed="false">
      <c r="A347" s="1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</row>
    <row r="348" s="14" customFormat="true" ht="12.8" hidden="false" customHeight="false" outlineLevel="0" collapsed="false">
      <c r="A348" s="1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</row>
    <row r="349" s="14" customFormat="true" ht="12.8" hidden="false" customHeight="false" outlineLevel="0" collapsed="false">
      <c r="A349" s="1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</row>
    <row r="350" s="14" customFormat="true" ht="12.8" hidden="false" customHeight="false" outlineLevel="0" collapsed="false">
      <c r="A350" s="1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</row>
    <row r="351" s="14" customFormat="true" ht="12.8" hidden="false" customHeight="false" outlineLevel="0" collapsed="false">
      <c r="A351" s="1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</row>
    <row r="352" s="14" customFormat="true" ht="12.8" hidden="false" customHeight="false" outlineLevel="0" collapsed="false">
      <c r="A352" s="1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</row>
    <row r="353" s="14" customFormat="true" ht="12.8" hidden="false" customHeight="false" outlineLevel="0" collapsed="false">
      <c r="A353" s="1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</row>
    <row r="354" s="14" customFormat="true" ht="12.8" hidden="false" customHeight="false" outlineLevel="0" collapsed="false">
      <c r="A354" s="1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</row>
    <row r="355" s="14" customFormat="true" ht="12.8" hidden="false" customHeight="false" outlineLevel="0" collapsed="false">
      <c r="A355" s="1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="14" customFormat="true" ht="12.8" hidden="false" customHeight="false" outlineLevel="0" collapsed="false">
      <c r="A356" s="1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</row>
    <row r="357" s="14" customFormat="true" ht="12.8" hidden="false" customHeight="false" outlineLevel="0" collapsed="false">
      <c r="A357" s="1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</row>
    <row r="358" s="14" customFormat="true" ht="12.8" hidden="false" customHeight="false" outlineLevel="0" collapsed="false">
      <c r="A358" s="1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</row>
    <row r="359" s="14" customFormat="true" ht="12.8" hidden="false" customHeight="false" outlineLevel="0" collapsed="false">
      <c r="A359" s="1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</row>
    <row r="360" s="14" customFormat="true" ht="12.8" hidden="false" customHeight="false" outlineLevel="0" collapsed="false">
      <c r="A360" s="1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</row>
    <row r="361" s="14" customFormat="true" ht="12.8" hidden="false" customHeight="false" outlineLevel="0" collapsed="false">
      <c r="A361" s="1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</row>
    <row r="362" s="14" customFormat="true" ht="12.8" hidden="false" customHeight="false" outlineLevel="0" collapsed="false">
      <c r="A362" s="1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</row>
    <row r="363" s="14" customFormat="true" ht="12.8" hidden="false" customHeight="false" outlineLevel="0" collapsed="false">
      <c r="A363" s="1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</row>
    <row r="364" s="14" customFormat="true" ht="12.8" hidden="false" customHeight="false" outlineLevel="0" collapsed="false">
      <c r="A364" s="1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</row>
    <row r="365" s="14" customFormat="true" ht="12.8" hidden="false" customHeight="false" outlineLevel="0" collapsed="false">
      <c r="A365" s="1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</row>
    <row r="366" s="14" customFormat="true" ht="12.8" hidden="false" customHeight="false" outlineLevel="0" collapsed="false">
      <c r="A366" s="1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="14" customFormat="true" ht="12.8" hidden="false" customHeight="false" outlineLevel="0" collapsed="false">
      <c r="A367" s="1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</row>
    <row r="368" s="14" customFormat="true" ht="12.8" hidden="false" customHeight="false" outlineLevel="0" collapsed="false">
      <c r="A368" s="1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</row>
    <row r="369" s="14" customFormat="true" ht="12.8" hidden="false" customHeight="false" outlineLevel="0" collapsed="false">
      <c r="A369" s="1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</row>
    <row r="370" s="14" customFormat="true" ht="12.8" hidden="false" customHeight="false" outlineLevel="0" collapsed="false">
      <c r="A370" s="1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</row>
    <row r="371" s="14" customFormat="true" ht="12.8" hidden="false" customHeight="false" outlineLevel="0" collapsed="false">
      <c r="A371" s="1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</row>
    <row r="372" s="14" customFormat="true" ht="12.8" hidden="false" customHeight="false" outlineLevel="0" collapsed="false">
      <c r="A372" s="1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</row>
    <row r="373" s="14" customFormat="true" ht="12.8" hidden="false" customHeight="false" outlineLevel="0" collapsed="false">
      <c r="A373" s="1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</row>
    <row r="374" s="14" customFormat="true" ht="12.8" hidden="false" customHeight="false" outlineLevel="0" collapsed="false">
      <c r="A374" s="1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</row>
    <row r="375" s="14" customFormat="true" ht="12.8" hidden="false" customHeight="false" outlineLevel="0" collapsed="false">
      <c r="A375" s="1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</row>
    <row r="376" s="14" customFormat="true" ht="12.8" hidden="false" customHeight="false" outlineLevel="0" collapsed="false">
      <c r="A376" s="1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</row>
    <row r="377" s="14" customFormat="true" ht="12.8" hidden="false" customHeight="false" outlineLevel="0" collapsed="false">
      <c r="A377" s="1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</row>
    <row r="378" s="14" customFormat="true" ht="12.8" hidden="false" customHeight="false" outlineLevel="0" collapsed="false">
      <c r="A378" s="1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</row>
    <row r="379" s="14" customFormat="true" ht="12.8" hidden="false" customHeight="false" outlineLevel="0" collapsed="false">
      <c r="A379" s="1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</row>
    <row r="380" s="14" customFormat="true" ht="12.8" hidden="false" customHeight="false" outlineLevel="0" collapsed="false">
      <c r="A380" s="1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</row>
    <row r="381" s="14" customFormat="true" ht="12.8" hidden="false" customHeight="false" outlineLevel="0" collapsed="false">
      <c r="A381" s="1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</row>
    <row r="382" s="14" customFormat="true" ht="12.8" hidden="false" customHeight="false" outlineLevel="0" collapsed="false">
      <c r="A382" s="1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</row>
    <row r="383" s="14" customFormat="true" ht="12.8" hidden="false" customHeight="false" outlineLevel="0" collapsed="false">
      <c r="A383" s="1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</row>
    <row r="384" s="14" customFormat="true" ht="12.8" hidden="false" customHeight="false" outlineLevel="0" collapsed="false">
      <c r="A384" s="1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</row>
    <row r="385" s="14" customFormat="true" ht="12.8" hidden="false" customHeight="false" outlineLevel="0" collapsed="false">
      <c r="A385" s="1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</row>
    <row r="386" s="14" customFormat="true" ht="12.8" hidden="false" customHeight="false" outlineLevel="0" collapsed="false">
      <c r="A386" s="1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="14" customFormat="true" ht="12.8" hidden="false" customHeight="false" outlineLevel="0" collapsed="false">
      <c r="A387" s="1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="14" customFormat="true" ht="12.8" hidden="false" customHeight="false" outlineLevel="0" collapsed="false">
      <c r="A388" s="1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="14" customFormat="true" ht="12.8" hidden="false" customHeight="false" outlineLevel="0" collapsed="false">
      <c r="A389" s="1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="14" customFormat="true" ht="12.8" hidden="false" customHeight="false" outlineLevel="0" collapsed="false">
      <c r="A390" s="1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="14" customFormat="true" ht="12.8" hidden="false" customHeight="false" outlineLevel="0" collapsed="false">
      <c r="A391" s="1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</row>
    <row r="392" s="14" customFormat="true" ht="12.8" hidden="false" customHeight="false" outlineLevel="0" collapsed="false">
      <c r="A392" s="1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</row>
    <row r="393" s="14" customFormat="true" ht="12.8" hidden="false" customHeight="false" outlineLevel="0" collapsed="false">
      <c r="A393" s="1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="14" customFormat="true" ht="12.8" hidden="false" customHeight="false" outlineLevel="0" collapsed="false">
      <c r="A394" s="1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</row>
    <row r="395" s="14" customFormat="true" ht="12.8" hidden="false" customHeight="false" outlineLevel="0" collapsed="false">
      <c r="A395" s="1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</row>
    <row r="396" s="14" customFormat="true" ht="12.8" hidden="false" customHeight="false" outlineLevel="0" collapsed="false">
      <c r="A396" s="1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</row>
    <row r="397" s="14" customFormat="true" ht="12.8" hidden="false" customHeight="false" outlineLevel="0" collapsed="false">
      <c r="A397" s="1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</row>
    <row r="398" s="14" customFormat="true" ht="12.8" hidden="false" customHeight="false" outlineLevel="0" collapsed="false">
      <c r="A398" s="1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</row>
    <row r="399" s="14" customFormat="true" ht="12.8" hidden="false" customHeight="false" outlineLevel="0" collapsed="false">
      <c r="A399" s="1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="14" customFormat="true" ht="12.8" hidden="false" customHeight="false" outlineLevel="0" collapsed="false">
      <c r="A400" s="1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="14" customFormat="true" ht="12.8" hidden="false" customHeight="false" outlineLevel="0" collapsed="false">
      <c r="A401" s="1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="14" customFormat="true" ht="12.8" hidden="false" customHeight="false" outlineLevel="0" collapsed="false">
      <c r="A402" s="1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</row>
    <row r="403" s="14" customFormat="true" ht="12.8" hidden="false" customHeight="false" outlineLevel="0" collapsed="false">
      <c r="A403" s="1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</row>
    <row r="404" s="14" customFormat="true" ht="12.8" hidden="false" customHeight="false" outlineLevel="0" collapsed="false">
      <c r="A404" s="1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</row>
    <row r="405" s="14" customFormat="true" ht="12.8" hidden="false" customHeight="false" outlineLevel="0" collapsed="false">
      <c r="A405" s="1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</row>
    <row r="406" s="14" customFormat="true" ht="12.8" hidden="false" customHeight="false" outlineLevel="0" collapsed="false">
      <c r="A406" s="1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</row>
    <row r="407" s="14" customFormat="true" ht="12.8" hidden="false" customHeight="false" outlineLevel="0" collapsed="false">
      <c r="A407" s="1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</row>
    <row r="408" s="14" customFormat="true" ht="12.8" hidden="false" customHeight="false" outlineLevel="0" collapsed="false">
      <c r="A408" s="1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</row>
    <row r="409" s="14" customFormat="true" ht="12.8" hidden="false" customHeight="false" outlineLevel="0" collapsed="false">
      <c r="A409" s="1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</row>
    <row r="410" s="14" customFormat="true" ht="12.8" hidden="false" customHeight="false" outlineLevel="0" collapsed="false">
      <c r="A410" s="1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</row>
    <row r="411" s="14" customFormat="true" ht="12.8" hidden="false" customHeight="false" outlineLevel="0" collapsed="false">
      <c r="A411" s="1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="14" customFormat="true" ht="12.8" hidden="false" customHeight="false" outlineLevel="0" collapsed="false">
      <c r="A412" s="1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</row>
    <row r="413" s="14" customFormat="true" ht="12.8" hidden="false" customHeight="false" outlineLevel="0" collapsed="false">
      <c r="A413" s="1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</row>
    <row r="414" s="14" customFormat="true" ht="12.8" hidden="false" customHeight="false" outlineLevel="0" collapsed="false">
      <c r="A414" s="1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="14" customFormat="true" ht="12.8" hidden="false" customHeight="false" outlineLevel="0" collapsed="false">
      <c r="A415" s="1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</row>
    <row r="416" s="14" customFormat="true" ht="12.8" hidden="false" customHeight="false" outlineLevel="0" collapsed="false">
      <c r="A416" s="1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</row>
    <row r="417" s="14" customFormat="true" ht="12.8" hidden="false" customHeight="false" outlineLevel="0" collapsed="false">
      <c r="A417" s="1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="14" customFormat="true" ht="12.8" hidden="false" customHeight="false" outlineLevel="0" collapsed="false">
      <c r="A418" s="1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</row>
    <row r="419" s="14" customFormat="true" ht="12.8" hidden="false" customHeight="false" outlineLevel="0" collapsed="false">
      <c r="A419" s="1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</row>
    <row r="420" s="14" customFormat="true" ht="12.8" hidden="false" customHeight="false" outlineLevel="0" collapsed="false">
      <c r="A420" s="1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="14" customFormat="true" ht="12.8" hidden="false" customHeight="false" outlineLevel="0" collapsed="false">
      <c r="A421" s="1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</row>
    <row r="422" s="14" customFormat="true" ht="12.8" hidden="false" customHeight="false" outlineLevel="0" collapsed="false">
      <c r="A422" s="1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</row>
    <row r="423" s="14" customFormat="true" ht="12.8" hidden="false" customHeight="false" outlineLevel="0" collapsed="false">
      <c r="A423" s="1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="14" customFormat="true" ht="12.8" hidden="false" customHeight="false" outlineLevel="0" collapsed="false">
      <c r="A424" s="1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="14" customFormat="true" ht="12.8" hidden="false" customHeight="false" outlineLevel="0" collapsed="false">
      <c r="A425" s="1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="14" customFormat="true" ht="12.8" hidden="false" customHeight="false" outlineLevel="0" collapsed="false">
      <c r="A426" s="1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="14" customFormat="true" ht="12.8" hidden="false" customHeight="false" outlineLevel="0" collapsed="false">
      <c r="A427" s="1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="14" customFormat="true" ht="12.8" hidden="false" customHeight="false" outlineLevel="0" collapsed="false">
      <c r="A428" s="1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</row>
    <row r="429" s="14" customFormat="true" ht="12.8" hidden="false" customHeight="false" outlineLevel="0" collapsed="false">
      <c r="A429" s="1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="14" customFormat="true" ht="12.8" hidden="false" customHeight="false" outlineLevel="0" collapsed="false">
      <c r="A430" s="1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="14" customFormat="true" ht="12.8" hidden="false" customHeight="false" outlineLevel="0" collapsed="false">
      <c r="A431" s="1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="14" customFormat="true" ht="12.8" hidden="false" customHeight="false" outlineLevel="0" collapsed="false">
      <c r="A432" s="1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="14" customFormat="true" ht="12.8" hidden="false" customHeight="false" outlineLevel="0" collapsed="false">
      <c r="A433" s="1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</row>
    <row r="434" s="14" customFormat="true" ht="12.8" hidden="false" customHeight="false" outlineLevel="0" collapsed="false">
      <c r="A434" s="1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</row>
    <row r="435" s="14" customFormat="true" ht="12.8" hidden="false" customHeight="false" outlineLevel="0" collapsed="false">
      <c r="A435" s="1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</row>
    <row r="436" s="14" customFormat="true" ht="12.8" hidden="false" customHeight="false" outlineLevel="0" collapsed="false">
      <c r="A436" s="1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</row>
    <row r="437" s="14" customFormat="true" ht="12.8" hidden="false" customHeight="false" outlineLevel="0" collapsed="false">
      <c r="A437" s="1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</row>
    <row r="438" s="14" customFormat="true" ht="12.8" hidden="false" customHeight="false" outlineLevel="0" collapsed="false">
      <c r="A438" s="1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="14" customFormat="true" ht="12.8" hidden="false" customHeight="false" outlineLevel="0" collapsed="false">
      <c r="A439" s="1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="14" customFormat="true" ht="12.8" hidden="false" customHeight="false" outlineLevel="0" collapsed="false">
      <c r="A440" s="1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="14" customFormat="true" ht="12.8" hidden="false" customHeight="false" outlineLevel="0" collapsed="false">
      <c r="A441" s="1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="14" customFormat="true" ht="12.8" hidden="false" customHeight="false" outlineLevel="0" collapsed="false">
      <c r="A442" s="1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="14" customFormat="true" ht="12.8" hidden="false" customHeight="false" outlineLevel="0" collapsed="false">
      <c r="A443" s="1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="14" customFormat="true" ht="12.8" hidden="false" customHeight="false" outlineLevel="0" collapsed="false">
      <c r="A444" s="1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</row>
    <row r="445" s="14" customFormat="true" ht="12.8" hidden="false" customHeight="false" outlineLevel="0" collapsed="false">
      <c r="A445" s="1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="14" customFormat="true" ht="12.8" hidden="false" customHeight="false" outlineLevel="0" collapsed="false">
      <c r="A446" s="1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</row>
    <row r="447" s="14" customFormat="true" ht="12.8" hidden="false" customHeight="false" outlineLevel="0" collapsed="false">
      <c r="A447" s="1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</row>
    <row r="448" s="14" customFormat="true" ht="12.8" hidden="false" customHeight="false" outlineLevel="0" collapsed="false">
      <c r="A448" s="1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="14" customFormat="true" ht="12.8" hidden="false" customHeight="false" outlineLevel="0" collapsed="false">
      <c r="A449" s="1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</row>
    <row r="450" s="14" customFormat="true" ht="12.8" hidden="false" customHeight="false" outlineLevel="0" collapsed="false">
      <c r="A450" s="1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</row>
    <row r="451" s="14" customFormat="true" ht="12.8" hidden="false" customHeight="false" outlineLevel="0" collapsed="false">
      <c r="A451" s="1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</row>
    <row r="452" s="14" customFormat="true" ht="12.8" hidden="false" customHeight="false" outlineLevel="0" collapsed="false">
      <c r="A452" s="1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</row>
    <row r="453" s="14" customFormat="true" ht="12.8" hidden="false" customHeight="false" outlineLevel="0" collapsed="false">
      <c r="A453" s="1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</row>
    <row r="454" s="14" customFormat="true" ht="12.8" hidden="false" customHeight="false" outlineLevel="0" collapsed="false">
      <c r="A454" s="1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</row>
    <row r="455" s="14" customFormat="true" ht="12.8" hidden="false" customHeight="false" outlineLevel="0" collapsed="false">
      <c r="A455" s="1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</row>
    <row r="456" s="14" customFormat="true" ht="12.8" hidden="false" customHeight="false" outlineLevel="0" collapsed="false">
      <c r="A456" s="1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</row>
    <row r="457" s="14" customFormat="true" ht="12.8" hidden="false" customHeight="false" outlineLevel="0" collapsed="false">
      <c r="A457" s="1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</row>
    <row r="458" s="14" customFormat="true" ht="12.8" hidden="false" customHeight="false" outlineLevel="0" collapsed="false">
      <c r="A458" s="1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</row>
    <row r="459" s="14" customFormat="true" ht="12.8" hidden="false" customHeight="false" outlineLevel="0" collapsed="false">
      <c r="A459" s="1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</row>
    <row r="460" s="14" customFormat="true" ht="12.8" hidden="false" customHeight="false" outlineLevel="0" collapsed="false">
      <c r="A460" s="1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</row>
    <row r="461" s="14" customFormat="true" ht="12.8" hidden="false" customHeight="false" outlineLevel="0" collapsed="false">
      <c r="A461" s="1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</row>
    <row r="462" s="14" customFormat="true" ht="12.8" hidden="false" customHeight="false" outlineLevel="0" collapsed="false">
      <c r="A462" s="1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</row>
    <row r="463" s="14" customFormat="true" ht="12.8" hidden="false" customHeight="false" outlineLevel="0" collapsed="false">
      <c r="A463" s="1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</row>
    <row r="464" s="14" customFormat="true" ht="12.8" hidden="false" customHeight="false" outlineLevel="0" collapsed="false">
      <c r="A464" s="1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</row>
    <row r="465" s="14" customFormat="true" ht="12.8" hidden="false" customHeight="false" outlineLevel="0" collapsed="false">
      <c r="A465" s="1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</row>
    <row r="466" s="14" customFormat="true" ht="12.8" hidden="false" customHeight="false" outlineLevel="0" collapsed="false">
      <c r="A466" s="1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</row>
    <row r="467" s="14" customFormat="true" ht="12.8" hidden="false" customHeight="false" outlineLevel="0" collapsed="false">
      <c r="A467" s="1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</row>
    <row r="468" s="14" customFormat="true" ht="12.8" hidden="false" customHeight="false" outlineLevel="0" collapsed="false">
      <c r="A468" s="1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</row>
    <row r="469" s="14" customFormat="true" ht="12.8" hidden="false" customHeight="false" outlineLevel="0" collapsed="false">
      <c r="A469" s="1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</row>
    <row r="470" s="14" customFormat="true" ht="12.8" hidden="false" customHeight="false" outlineLevel="0" collapsed="false">
      <c r="A470" s="1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</row>
    <row r="471" s="14" customFormat="true" ht="12.8" hidden="false" customHeight="false" outlineLevel="0" collapsed="false">
      <c r="A471" s="1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</row>
    <row r="472" s="14" customFormat="true" ht="12.8" hidden="false" customHeight="false" outlineLevel="0" collapsed="false">
      <c r="A472" s="1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</row>
    <row r="473" s="14" customFormat="true" ht="12.8" hidden="false" customHeight="false" outlineLevel="0" collapsed="false">
      <c r="A473" s="1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</row>
    <row r="474" s="14" customFormat="true" ht="12.8" hidden="false" customHeight="false" outlineLevel="0" collapsed="false">
      <c r="A474" s="1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</row>
    <row r="475" s="14" customFormat="true" ht="12.8" hidden="false" customHeight="false" outlineLevel="0" collapsed="false">
      <c r="A475" s="1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</row>
    <row r="476" s="14" customFormat="true" ht="12.8" hidden="false" customHeight="false" outlineLevel="0" collapsed="false">
      <c r="A476" s="1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</row>
    <row r="477" s="14" customFormat="true" ht="12.8" hidden="false" customHeight="false" outlineLevel="0" collapsed="false">
      <c r="A477" s="1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</row>
    <row r="478" s="14" customFormat="true" ht="12.8" hidden="false" customHeight="false" outlineLevel="0" collapsed="false">
      <c r="A478" s="1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</row>
    <row r="479" s="14" customFormat="true" ht="12.8" hidden="false" customHeight="false" outlineLevel="0" collapsed="false">
      <c r="A479" s="1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="14" customFormat="true" ht="12.8" hidden="false" customHeight="false" outlineLevel="0" collapsed="false">
      <c r="A480" s="1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</row>
    <row r="481" s="14" customFormat="true" ht="12.8" hidden="false" customHeight="false" outlineLevel="0" collapsed="false">
      <c r="A481" s="1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</row>
    <row r="482" s="14" customFormat="true" ht="12.8" hidden="false" customHeight="false" outlineLevel="0" collapsed="false">
      <c r="A482" s="1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</row>
    <row r="483" s="14" customFormat="true" ht="12.8" hidden="false" customHeight="false" outlineLevel="0" collapsed="false">
      <c r="A483" s="1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</row>
    <row r="484" s="14" customFormat="true" ht="12.8" hidden="false" customHeight="false" outlineLevel="0" collapsed="false">
      <c r="A484" s="1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</row>
    <row r="485" s="14" customFormat="true" ht="12.8" hidden="false" customHeight="false" outlineLevel="0" collapsed="false">
      <c r="A485" s="1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</row>
    <row r="486" s="14" customFormat="true" ht="12.8" hidden="false" customHeight="false" outlineLevel="0" collapsed="false">
      <c r="A486" s="1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</row>
    <row r="487" s="14" customFormat="true" ht="12.8" hidden="false" customHeight="false" outlineLevel="0" collapsed="false">
      <c r="A487" s="1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</row>
    <row r="488" s="14" customFormat="true" ht="12.8" hidden="false" customHeight="false" outlineLevel="0" collapsed="false">
      <c r="A488" s="1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</row>
    <row r="489" s="14" customFormat="true" ht="12.8" hidden="false" customHeight="false" outlineLevel="0" collapsed="false">
      <c r="A489" s="1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="14" customFormat="true" ht="12.8" hidden="false" customHeight="false" outlineLevel="0" collapsed="false">
      <c r="A490" s="1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</row>
    <row r="491" s="14" customFormat="true" ht="12.8" hidden="false" customHeight="false" outlineLevel="0" collapsed="false">
      <c r="A491" s="1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</row>
    <row r="492" s="14" customFormat="true" ht="12.8" hidden="false" customHeight="false" outlineLevel="0" collapsed="false">
      <c r="A492" s="1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="14" customFormat="true" ht="12.8" hidden="false" customHeight="false" outlineLevel="0" collapsed="false">
      <c r="A493" s="1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</row>
    <row r="494" s="14" customFormat="true" ht="12.8" hidden="false" customHeight="false" outlineLevel="0" collapsed="false">
      <c r="A494" s="1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</row>
    <row r="495" s="14" customFormat="true" ht="12.8" hidden="false" customHeight="false" outlineLevel="0" collapsed="false">
      <c r="A495" s="1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="14" customFormat="true" ht="12.8" hidden="false" customHeight="false" outlineLevel="0" collapsed="false">
      <c r="A496" s="1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</row>
    <row r="497" s="14" customFormat="true" ht="12.8" hidden="false" customHeight="false" outlineLevel="0" collapsed="false">
      <c r="A497" s="1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</row>
    <row r="498" s="14" customFormat="true" ht="12.8" hidden="false" customHeight="false" outlineLevel="0" collapsed="false">
      <c r="A498" s="1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</row>
    <row r="499" s="14" customFormat="true" ht="12.8" hidden="false" customHeight="false" outlineLevel="0" collapsed="false">
      <c r="A499" s="1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</row>
    <row r="500" s="14" customFormat="true" ht="12.8" hidden="false" customHeight="false" outlineLevel="0" collapsed="false">
      <c r="A500" s="1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</row>
    <row r="501" s="14" customFormat="true" ht="12.8" hidden="false" customHeight="false" outlineLevel="0" collapsed="false">
      <c r="A501" s="1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="14" customFormat="true" ht="12.8" hidden="false" customHeight="false" outlineLevel="0" collapsed="false">
      <c r="A502" s="1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</row>
    <row r="503" s="14" customFormat="true" ht="12.8" hidden="false" customHeight="false" outlineLevel="0" collapsed="false">
      <c r="A503" s="1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</row>
    <row r="504" s="14" customFormat="true" ht="12.8" hidden="false" customHeight="false" outlineLevel="0" collapsed="false">
      <c r="A504" s="1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</row>
    <row r="505" s="14" customFormat="true" ht="12.8" hidden="false" customHeight="false" outlineLevel="0" collapsed="false">
      <c r="A505" s="1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</row>
    <row r="506" s="14" customFormat="true" ht="12.8" hidden="false" customHeight="false" outlineLevel="0" collapsed="false">
      <c r="A506" s="1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</row>
    <row r="507" s="14" customFormat="true" ht="12.8" hidden="false" customHeight="false" outlineLevel="0" collapsed="false">
      <c r="A507" s="1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="14" customFormat="true" ht="12.8" hidden="false" customHeight="false" outlineLevel="0" collapsed="false">
      <c r="A508" s="1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</row>
    <row r="509" s="14" customFormat="true" ht="12.8" hidden="false" customHeight="false" outlineLevel="0" collapsed="false">
      <c r="A509" s="1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</row>
    <row r="510" s="14" customFormat="true" ht="12.8" hidden="false" customHeight="false" outlineLevel="0" collapsed="false">
      <c r="A510" s="1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="14" customFormat="true" ht="12.8" hidden="false" customHeight="false" outlineLevel="0" collapsed="false">
      <c r="A511" s="1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</row>
    <row r="512" s="14" customFormat="true" ht="12.8" hidden="false" customHeight="false" outlineLevel="0" collapsed="false">
      <c r="A512" s="1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</row>
    <row r="513" s="14" customFormat="true" ht="12.8" hidden="false" customHeight="false" outlineLevel="0" collapsed="false">
      <c r="A513" s="1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="14" customFormat="true" ht="12.8" hidden="false" customHeight="false" outlineLevel="0" collapsed="false">
      <c r="A514" s="1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</row>
    <row r="515" s="14" customFormat="true" ht="12.8" hidden="false" customHeight="false" outlineLevel="0" collapsed="false">
      <c r="A515" s="1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</row>
    <row r="516" s="14" customFormat="true" ht="12.8" hidden="false" customHeight="false" outlineLevel="0" collapsed="false">
      <c r="A516" s="1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</row>
    <row r="517" s="14" customFormat="true" ht="12.8" hidden="false" customHeight="false" outlineLevel="0" collapsed="false">
      <c r="A517" s="1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</row>
    <row r="518" s="14" customFormat="true" ht="12.8" hidden="false" customHeight="false" outlineLevel="0" collapsed="false">
      <c r="A518" s="1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</row>
    <row r="519" s="14" customFormat="true" ht="12.8" hidden="false" customHeight="false" outlineLevel="0" collapsed="false">
      <c r="A519" s="1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="14" customFormat="true" ht="12.8" hidden="false" customHeight="false" outlineLevel="0" collapsed="false">
      <c r="A520" s="1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</row>
    <row r="521" s="14" customFormat="true" ht="12.8" hidden="false" customHeight="false" outlineLevel="0" collapsed="false">
      <c r="A521" s="1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="14" customFormat="true" ht="12.8" hidden="false" customHeight="false" outlineLevel="0" collapsed="false">
      <c r="A522" s="1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</row>
    <row r="523" s="14" customFormat="true" ht="12.8" hidden="false" customHeight="false" outlineLevel="0" collapsed="false">
      <c r="A523" s="1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</row>
    <row r="524" s="14" customFormat="true" ht="12.8" hidden="false" customHeight="false" outlineLevel="0" collapsed="false">
      <c r="A524" s="1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</row>
    <row r="525" s="14" customFormat="true" ht="12.8" hidden="false" customHeight="false" outlineLevel="0" collapsed="false">
      <c r="A525" s="1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="14" customFormat="true" ht="12.8" hidden="false" customHeight="false" outlineLevel="0" collapsed="false">
      <c r="A526" s="1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</row>
    <row r="527" s="14" customFormat="true" ht="12.8" hidden="false" customHeight="false" outlineLevel="0" collapsed="false">
      <c r="A527" s="1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</row>
    <row r="528" s="14" customFormat="true" ht="12.8" hidden="false" customHeight="false" outlineLevel="0" collapsed="false">
      <c r="A528" s="1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</row>
    <row r="529" s="14" customFormat="true" ht="12.8" hidden="false" customHeight="false" outlineLevel="0" collapsed="false">
      <c r="A529" s="1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</row>
    <row r="530" s="14" customFormat="true" ht="12.8" hidden="false" customHeight="false" outlineLevel="0" collapsed="false">
      <c r="A530" s="1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</row>
    <row r="531" s="14" customFormat="true" ht="12.8" hidden="false" customHeight="false" outlineLevel="0" collapsed="false">
      <c r="A531" s="1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</row>
    <row r="532" s="14" customFormat="true" ht="12.8" hidden="false" customHeight="false" outlineLevel="0" collapsed="false">
      <c r="A532" s="1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</row>
    <row r="533" s="14" customFormat="true" ht="12.8" hidden="false" customHeight="false" outlineLevel="0" collapsed="false">
      <c r="A533" s="1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</row>
    <row r="534" s="14" customFormat="true" ht="12.8" hidden="false" customHeight="false" outlineLevel="0" collapsed="false">
      <c r="A534" s="1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="14" customFormat="true" ht="12.8" hidden="false" customHeight="false" outlineLevel="0" collapsed="false">
      <c r="A535" s="1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</row>
    <row r="536" s="14" customFormat="true" ht="12.8" hidden="false" customHeight="false" outlineLevel="0" collapsed="false">
      <c r="A536" s="1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</row>
    <row r="537" s="14" customFormat="true" ht="12.8" hidden="false" customHeight="false" outlineLevel="0" collapsed="false">
      <c r="A537" s="1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="14" customFormat="true" ht="12.8" hidden="false" customHeight="false" outlineLevel="0" collapsed="false">
      <c r="A538" s="1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</row>
    <row r="539" s="14" customFormat="true" ht="12.8" hidden="false" customHeight="false" outlineLevel="0" collapsed="false">
      <c r="A539" s="1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="14" customFormat="true" ht="12.8" hidden="false" customHeight="false" outlineLevel="0" collapsed="false">
      <c r="A540" s="1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</row>
    <row r="541" s="14" customFormat="true" ht="12.8" hidden="false" customHeight="false" outlineLevel="0" collapsed="false">
      <c r="A541" s="1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="14" customFormat="true" ht="12.8" hidden="false" customHeight="false" outlineLevel="0" collapsed="false">
      <c r="A542" s="1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</row>
    <row r="543" s="14" customFormat="true" ht="12.8" hidden="false" customHeight="false" outlineLevel="0" collapsed="false">
      <c r="A543" s="1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="14" customFormat="true" ht="12.8" hidden="false" customHeight="false" outlineLevel="0" collapsed="false">
      <c r="A544" s="1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</row>
    <row r="545" s="14" customFormat="true" ht="12.8" hidden="false" customHeight="false" outlineLevel="0" collapsed="false">
      <c r="A545" s="1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</row>
    <row r="546" s="14" customFormat="true" ht="12.8" hidden="false" customHeight="false" outlineLevel="0" collapsed="false">
      <c r="A546" s="1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="14" customFormat="true" ht="12.8" hidden="false" customHeight="false" outlineLevel="0" collapsed="false">
      <c r="A547" s="1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</row>
    <row r="548" s="14" customFormat="true" ht="12.8" hidden="false" customHeight="false" outlineLevel="0" collapsed="false">
      <c r="A548" s="1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</row>
    <row r="549" s="14" customFormat="true" ht="12.8" hidden="false" customHeight="false" outlineLevel="0" collapsed="false">
      <c r="A549" s="1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="14" customFormat="true" ht="12.8" hidden="false" customHeight="false" outlineLevel="0" collapsed="false">
      <c r="A550" s="1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</row>
    <row r="551" s="14" customFormat="true" ht="12.8" hidden="false" customHeight="false" outlineLevel="0" collapsed="false">
      <c r="A551" s="1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</row>
    <row r="552" s="14" customFormat="true" ht="12.8" hidden="false" customHeight="false" outlineLevel="0" collapsed="false">
      <c r="A552" s="1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</row>
    <row r="553" s="14" customFormat="true" ht="12.8" hidden="false" customHeight="false" outlineLevel="0" collapsed="false">
      <c r="A553" s="1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</row>
    <row r="554" s="14" customFormat="true" ht="12.8" hidden="false" customHeight="false" outlineLevel="0" collapsed="false">
      <c r="A554" s="1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</row>
    <row r="555" s="14" customFormat="true" ht="12.8" hidden="false" customHeight="false" outlineLevel="0" collapsed="false">
      <c r="A555" s="1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="14" customFormat="true" ht="12.8" hidden="false" customHeight="false" outlineLevel="0" collapsed="false">
      <c r="A556" s="1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</row>
    <row r="557" s="14" customFormat="true" ht="12.8" hidden="false" customHeight="false" outlineLevel="0" collapsed="false">
      <c r="A557" s="1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</row>
    <row r="558" s="14" customFormat="true" ht="12.8" hidden="false" customHeight="false" outlineLevel="0" collapsed="false">
      <c r="A558" s="1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="14" customFormat="true" ht="12.8" hidden="false" customHeight="false" outlineLevel="0" collapsed="false">
      <c r="A559" s="1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</row>
    <row r="560" s="14" customFormat="true" ht="12.8" hidden="false" customHeight="false" outlineLevel="0" collapsed="false">
      <c r="A560" s="1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</row>
    <row r="561" s="14" customFormat="true" ht="12.8" hidden="false" customHeight="false" outlineLevel="0" collapsed="false">
      <c r="A561" s="1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</row>
    <row r="562" s="14" customFormat="true" ht="12.8" hidden="false" customHeight="false" outlineLevel="0" collapsed="false">
      <c r="A562" s="1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</row>
    <row r="563" s="14" customFormat="true" ht="12.8" hidden="false" customHeight="false" outlineLevel="0" collapsed="false">
      <c r="A563" s="1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</row>
    <row r="564" s="14" customFormat="true" ht="12.8" hidden="false" customHeight="false" outlineLevel="0" collapsed="false">
      <c r="A564" s="1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</row>
    <row r="565" s="14" customFormat="true" ht="12.8" hidden="false" customHeight="false" outlineLevel="0" collapsed="false">
      <c r="A565" s="1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</row>
    <row r="566" s="14" customFormat="true" ht="12.8" hidden="false" customHeight="false" outlineLevel="0" collapsed="false">
      <c r="A566" s="1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</row>
    <row r="567" s="14" customFormat="true" ht="12.8" hidden="false" customHeight="false" outlineLevel="0" collapsed="false">
      <c r="A567" s="1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</row>
    <row r="568" s="14" customFormat="true" ht="12.8" hidden="false" customHeight="false" outlineLevel="0" collapsed="false">
      <c r="A568" s="1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</row>
    <row r="569" s="14" customFormat="true" ht="12.8" hidden="false" customHeight="false" outlineLevel="0" collapsed="false">
      <c r="A569" s="1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</row>
    <row r="570" s="14" customFormat="true" ht="12.8" hidden="false" customHeight="false" outlineLevel="0" collapsed="false">
      <c r="A570" s="1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="14" customFormat="true" ht="12.8" hidden="false" customHeight="false" outlineLevel="0" collapsed="false">
      <c r="A571" s="1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</row>
    <row r="572" s="14" customFormat="true" ht="12.8" hidden="false" customHeight="false" outlineLevel="0" collapsed="false">
      <c r="A572" s="1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="14" customFormat="true" ht="12.8" hidden="false" customHeight="false" outlineLevel="0" collapsed="false">
      <c r="A573" s="1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="14" customFormat="true" ht="12.8" hidden="false" customHeight="false" outlineLevel="0" collapsed="false">
      <c r="A574" s="1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="14" customFormat="true" ht="12.8" hidden="false" customHeight="false" outlineLevel="0" collapsed="false">
      <c r="A575" s="1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="14" customFormat="true" ht="12.8" hidden="false" customHeight="false" outlineLevel="0" collapsed="false">
      <c r="A576" s="1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="14" customFormat="true" ht="12.8" hidden="false" customHeight="false" outlineLevel="0" collapsed="false">
      <c r="A577" s="1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="14" customFormat="true" ht="12.8" hidden="false" customHeight="false" outlineLevel="0" collapsed="false">
      <c r="A578" s="1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</row>
    <row r="579" s="14" customFormat="true" ht="12.8" hidden="false" customHeight="false" outlineLevel="0" collapsed="false">
      <c r="A579" s="1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</row>
    <row r="580" s="14" customFormat="true" ht="12.8" hidden="false" customHeight="false" outlineLevel="0" collapsed="false">
      <c r="A580" s="1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</row>
    <row r="581" s="14" customFormat="true" ht="12.8" hidden="false" customHeight="false" outlineLevel="0" collapsed="false">
      <c r="A581" s="1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</row>
    <row r="582" s="14" customFormat="true" ht="12.8" hidden="false" customHeight="false" outlineLevel="0" collapsed="false">
      <c r="A582" s="1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="14" customFormat="true" ht="12.8" hidden="false" customHeight="false" outlineLevel="0" collapsed="false">
      <c r="A583" s="1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</row>
    <row r="584" s="14" customFormat="true" ht="12.8" hidden="false" customHeight="false" outlineLevel="0" collapsed="false">
      <c r="A584" s="1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</row>
    <row r="585" s="14" customFormat="true" ht="12.8" hidden="false" customHeight="false" outlineLevel="0" collapsed="false">
      <c r="A585" s="1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</row>
    <row r="586" s="14" customFormat="true" ht="12.8" hidden="false" customHeight="false" outlineLevel="0" collapsed="false">
      <c r="A586" s="1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</row>
    <row r="587" s="14" customFormat="true" ht="12.8" hidden="false" customHeight="false" outlineLevel="0" collapsed="false">
      <c r="A587" s="1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</row>
    <row r="588" s="14" customFormat="true" ht="12.8" hidden="false" customHeight="false" outlineLevel="0" collapsed="false">
      <c r="A588" s="1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</row>
    <row r="589" s="14" customFormat="true" ht="12.8" hidden="false" customHeight="false" outlineLevel="0" collapsed="false">
      <c r="A589" s="1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</row>
    <row r="590" s="14" customFormat="true" ht="12.8" hidden="false" customHeight="false" outlineLevel="0" collapsed="false">
      <c r="A590" s="1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</row>
    <row r="591" s="14" customFormat="true" ht="12.8" hidden="false" customHeight="false" outlineLevel="0" collapsed="false">
      <c r="A591" s="1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</row>
    <row r="592" s="14" customFormat="true" ht="12.8" hidden="false" customHeight="false" outlineLevel="0" collapsed="false">
      <c r="A592" s="1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</row>
    <row r="593" s="14" customFormat="true" ht="12.8" hidden="false" customHeight="false" outlineLevel="0" collapsed="false">
      <c r="A593" s="1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</row>
    <row r="594" s="14" customFormat="true" ht="12.8" hidden="false" customHeight="false" outlineLevel="0" collapsed="false">
      <c r="A594" s="1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="14" customFormat="true" ht="12.8" hidden="false" customHeight="false" outlineLevel="0" collapsed="false">
      <c r="A595" s="1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</row>
    <row r="596" s="14" customFormat="true" ht="12.8" hidden="false" customHeight="false" outlineLevel="0" collapsed="false">
      <c r="A596" s="1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</row>
    <row r="597" s="14" customFormat="true" ht="12.8" hidden="false" customHeight="false" outlineLevel="0" collapsed="false">
      <c r="A597" s="1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</row>
    <row r="598" s="14" customFormat="true" ht="12.8" hidden="false" customHeight="false" outlineLevel="0" collapsed="false">
      <c r="A598" s="1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</row>
    <row r="599" s="14" customFormat="true" ht="12.8" hidden="false" customHeight="false" outlineLevel="0" collapsed="false">
      <c r="A599" s="1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</row>
    <row r="600" s="14" customFormat="true" ht="12.8" hidden="false" customHeight="false" outlineLevel="0" collapsed="false">
      <c r="A600" s="1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</row>
    <row r="601" s="14" customFormat="true" ht="12.8" hidden="false" customHeight="false" outlineLevel="0" collapsed="false">
      <c r="A601" s="1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</row>
    <row r="602" s="14" customFormat="true" ht="12.8" hidden="false" customHeight="false" outlineLevel="0" collapsed="false">
      <c r="A602" s="1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</row>
    <row r="603" s="14" customFormat="true" ht="12.8" hidden="false" customHeight="false" outlineLevel="0" collapsed="false">
      <c r="A603" s="1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="14" customFormat="true" ht="12.8" hidden="false" customHeight="false" outlineLevel="0" collapsed="false">
      <c r="A604" s="1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</row>
    <row r="605" s="14" customFormat="true" ht="12.8" hidden="false" customHeight="false" outlineLevel="0" collapsed="false">
      <c r="A605" s="1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</row>
    <row r="606" s="14" customFormat="true" ht="12.8" hidden="false" customHeight="false" outlineLevel="0" collapsed="false">
      <c r="A606" s="1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</row>
    <row r="607" s="14" customFormat="true" ht="12.8" hidden="false" customHeight="false" outlineLevel="0" collapsed="false">
      <c r="A607" s="1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</row>
    <row r="608" s="14" customFormat="true" ht="12.8" hidden="false" customHeight="false" outlineLevel="0" collapsed="false">
      <c r="A608" s="1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</row>
    <row r="609" s="14" customFormat="true" ht="12.8" hidden="false" customHeight="false" outlineLevel="0" collapsed="false">
      <c r="A609" s="1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</row>
    <row r="610" s="14" customFormat="true" ht="12.8" hidden="false" customHeight="false" outlineLevel="0" collapsed="false">
      <c r="A610" s="1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</row>
    <row r="611" s="14" customFormat="true" ht="12.8" hidden="false" customHeight="false" outlineLevel="0" collapsed="false">
      <c r="A611" s="1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</row>
    <row r="612" s="14" customFormat="true" ht="12.8" hidden="false" customHeight="false" outlineLevel="0" collapsed="false">
      <c r="A612" s="1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</row>
    <row r="613" s="14" customFormat="true" ht="12.8" hidden="false" customHeight="false" outlineLevel="0" collapsed="false">
      <c r="A613" s="1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</row>
    <row r="614" s="14" customFormat="true" ht="12.8" hidden="false" customHeight="false" outlineLevel="0" collapsed="false">
      <c r="A614" s="1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</row>
    <row r="615" s="14" customFormat="true" ht="12.8" hidden="false" customHeight="false" outlineLevel="0" collapsed="false">
      <c r="A615" s="1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</row>
    <row r="616" s="14" customFormat="true" ht="12.8" hidden="false" customHeight="false" outlineLevel="0" collapsed="false">
      <c r="A616" s="1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</row>
    <row r="617" s="14" customFormat="true" ht="12.8" hidden="false" customHeight="false" outlineLevel="0" collapsed="false">
      <c r="A617" s="1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</row>
    <row r="618" s="14" customFormat="true" ht="12.8" hidden="false" customHeight="false" outlineLevel="0" collapsed="false">
      <c r="A618" s="1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</row>
    <row r="619" s="14" customFormat="true" ht="12.8" hidden="false" customHeight="false" outlineLevel="0" collapsed="false">
      <c r="A619" s="1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</row>
    <row r="620" s="14" customFormat="true" ht="12.8" hidden="false" customHeight="false" outlineLevel="0" collapsed="false">
      <c r="A620" s="1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</row>
    <row r="621" s="14" customFormat="true" ht="12.8" hidden="false" customHeight="false" outlineLevel="0" collapsed="false">
      <c r="A621" s="1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</row>
    <row r="622" s="14" customFormat="true" ht="12.8" hidden="false" customHeight="false" outlineLevel="0" collapsed="false">
      <c r="A622" s="1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</row>
    <row r="623" s="14" customFormat="true" ht="12.8" hidden="false" customHeight="false" outlineLevel="0" collapsed="false">
      <c r="A623" s="1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</row>
    <row r="624" s="14" customFormat="true" ht="12.8" hidden="false" customHeight="false" outlineLevel="0" collapsed="false">
      <c r="A624" s="1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</row>
    <row r="625" s="14" customFormat="true" ht="12.8" hidden="false" customHeight="false" outlineLevel="0" collapsed="false">
      <c r="A625" s="1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</row>
    <row r="626" s="14" customFormat="true" ht="12.8" hidden="false" customHeight="false" outlineLevel="0" collapsed="false">
      <c r="A626" s="1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</row>
    <row r="627" s="14" customFormat="true" ht="12.8" hidden="false" customHeight="false" outlineLevel="0" collapsed="false">
      <c r="A627" s="1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</row>
    <row r="628" s="14" customFormat="true" ht="12.8" hidden="false" customHeight="false" outlineLevel="0" collapsed="false">
      <c r="A628" s="1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</row>
    <row r="629" s="14" customFormat="true" ht="12.8" hidden="false" customHeight="false" outlineLevel="0" collapsed="false">
      <c r="A629" s="1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</row>
    <row r="630" s="14" customFormat="true" ht="12.8" hidden="false" customHeight="false" outlineLevel="0" collapsed="false">
      <c r="A630" s="1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</row>
    <row r="631" s="14" customFormat="true" ht="12.8" hidden="false" customHeight="false" outlineLevel="0" collapsed="false">
      <c r="A631" s="1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</row>
    <row r="632" s="14" customFormat="true" ht="12.8" hidden="false" customHeight="false" outlineLevel="0" collapsed="false">
      <c r="A632" s="1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</row>
    <row r="633" s="14" customFormat="true" ht="12.8" hidden="false" customHeight="false" outlineLevel="0" collapsed="false">
      <c r="A633" s="1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</row>
    <row r="634" s="14" customFormat="true" ht="12.8" hidden="false" customHeight="false" outlineLevel="0" collapsed="false">
      <c r="A634" s="1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="14" customFormat="true" ht="12.8" hidden="false" customHeight="false" outlineLevel="0" collapsed="false">
      <c r="A635" s="1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</row>
    <row r="636" s="14" customFormat="true" ht="12.8" hidden="false" customHeight="false" outlineLevel="0" collapsed="false">
      <c r="A636" s="1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</row>
    <row r="637" s="14" customFormat="true" ht="12.8" hidden="false" customHeight="false" outlineLevel="0" collapsed="false">
      <c r="A637" s="1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</row>
    <row r="638" s="14" customFormat="true" ht="12.8" hidden="false" customHeight="false" outlineLevel="0" collapsed="false">
      <c r="A638" s="1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</row>
    <row r="639" s="14" customFormat="true" ht="12.8" hidden="false" customHeight="false" outlineLevel="0" collapsed="false">
      <c r="A639" s="1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</row>
    <row r="640" s="14" customFormat="true" ht="12.8" hidden="false" customHeight="false" outlineLevel="0" collapsed="false">
      <c r="A640" s="1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</row>
    <row r="641" s="14" customFormat="true" ht="12.8" hidden="false" customHeight="false" outlineLevel="0" collapsed="false">
      <c r="A641" s="1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</row>
    <row r="642" s="14" customFormat="true" ht="12.8" hidden="false" customHeight="false" outlineLevel="0" collapsed="false">
      <c r="A642" s="1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</row>
    <row r="643" s="14" customFormat="true" ht="12.8" hidden="false" customHeight="false" outlineLevel="0" collapsed="false">
      <c r="A643" s="1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</row>
    <row r="644" s="14" customFormat="true" ht="12.8" hidden="false" customHeight="false" outlineLevel="0" collapsed="false">
      <c r="A644" s="1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</row>
    <row r="645" s="14" customFormat="true" ht="12.8" hidden="false" customHeight="false" outlineLevel="0" collapsed="false">
      <c r="A645" s="1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</row>
    <row r="646" s="14" customFormat="true" ht="12.8" hidden="false" customHeight="false" outlineLevel="0" collapsed="false">
      <c r="A646" s="1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</row>
    <row r="647" s="14" customFormat="true" ht="12.8" hidden="false" customHeight="false" outlineLevel="0" collapsed="false">
      <c r="A647" s="1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</row>
    <row r="648" s="14" customFormat="true" ht="12.8" hidden="false" customHeight="false" outlineLevel="0" collapsed="false">
      <c r="A648" s="1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</row>
    <row r="649" s="14" customFormat="true" ht="12.8" hidden="false" customHeight="false" outlineLevel="0" collapsed="false">
      <c r="A649" s="1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</row>
    <row r="650" s="14" customFormat="true" ht="12.8" hidden="false" customHeight="false" outlineLevel="0" collapsed="false">
      <c r="A650" s="1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</row>
    <row r="651" s="14" customFormat="true" ht="12.8" hidden="false" customHeight="false" outlineLevel="0" collapsed="false">
      <c r="A651" s="1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</row>
    <row r="652" s="14" customFormat="true" ht="12.8" hidden="false" customHeight="false" outlineLevel="0" collapsed="false">
      <c r="A652" s="1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</row>
    <row r="653" s="14" customFormat="true" ht="12.8" hidden="false" customHeight="false" outlineLevel="0" collapsed="false">
      <c r="A653" s="1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</row>
    <row r="654" s="14" customFormat="true" ht="12.8" hidden="false" customHeight="false" outlineLevel="0" collapsed="false">
      <c r="A654" s="1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</row>
    <row r="655" s="14" customFormat="true" ht="12.8" hidden="false" customHeight="false" outlineLevel="0" collapsed="false">
      <c r="A655" s="1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</row>
    <row r="656" s="14" customFormat="true" ht="12.8" hidden="false" customHeight="false" outlineLevel="0" collapsed="false">
      <c r="A656" s="1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</row>
    <row r="657" s="14" customFormat="true" ht="12.8" hidden="false" customHeight="false" outlineLevel="0" collapsed="false">
      <c r="A657" s="1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</row>
    <row r="658" s="14" customFormat="true" ht="12.8" hidden="false" customHeight="false" outlineLevel="0" collapsed="false">
      <c r="A658" s="1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</row>
    <row r="659" s="14" customFormat="true" ht="12.8" hidden="false" customHeight="false" outlineLevel="0" collapsed="false">
      <c r="A659" s="1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</row>
    <row r="660" s="14" customFormat="true" ht="12.8" hidden="false" customHeight="false" outlineLevel="0" collapsed="false">
      <c r="A660" s="1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</row>
    <row r="661" s="14" customFormat="true" ht="12.8" hidden="false" customHeight="false" outlineLevel="0" collapsed="false">
      <c r="A661" s="1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</row>
    <row r="662" s="14" customFormat="true" ht="12.8" hidden="false" customHeight="false" outlineLevel="0" collapsed="false">
      <c r="A662" s="1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</row>
    <row r="663" s="14" customFormat="true" ht="12.8" hidden="false" customHeight="false" outlineLevel="0" collapsed="false">
      <c r="A663" s="1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</row>
    <row r="664" s="14" customFormat="true" ht="12.8" hidden="false" customHeight="false" outlineLevel="0" collapsed="false">
      <c r="A664" s="1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</row>
    <row r="665" s="14" customFormat="true" ht="12.8" hidden="false" customHeight="false" outlineLevel="0" collapsed="false">
      <c r="A665" s="1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="14" customFormat="true" ht="12.8" hidden="false" customHeight="false" outlineLevel="0" collapsed="false">
      <c r="A666" s="1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</row>
    <row r="667" s="14" customFormat="true" ht="12.8" hidden="false" customHeight="false" outlineLevel="0" collapsed="false">
      <c r="A667" s="1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</row>
    <row r="668" s="14" customFormat="true" ht="12.8" hidden="false" customHeight="false" outlineLevel="0" collapsed="false">
      <c r="A668" s="1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="14" customFormat="true" ht="12.8" hidden="false" customHeight="false" outlineLevel="0" collapsed="false">
      <c r="A669" s="1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</row>
    <row r="670" s="14" customFormat="true" ht="12.8" hidden="false" customHeight="false" outlineLevel="0" collapsed="false">
      <c r="A670" s="1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</row>
    <row r="671" s="14" customFormat="true" ht="12.8" hidden="false" customHeight="false" outlineLevel="0" collapsed="false">
      <c r="A671" s="1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</row>
    <row r="672" s="14" customFormat="true" ht="12.8" hidden="false" customHeight="false" outlineLevel="0" collapsed="false">
      <c r="A672" s="1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</row>
    <row r="673" s="14" customFormat="true" ht="12.8" hidden="false" customHeight="false" outlineLevel="0" collapsed="false">
      <c r="A673" s="1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</row>
    <row r="674" s="14" customFormat="true" ht="12.8" hidden="false" customHeight="false" outlineLevel="0" collapsed="false">
      <c r="A674" s="1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</row>
    <row r="675" s="14" customFormat="true" ht="12.8" hidden="false" customHeight="false" outlineLevel="0" collapsed="false">
      <c r="A675" s="1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</row>
    <row r="676" s="14" customFormat="true" ht="12.8" hidden="false" customHeight="false" outlineLevel="0" collapsed="false">
      <c r="A676" s="1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</row>
    <row r="677" s="14" customFormat="true" ht="12.8" hidden="false" customHeight="false" outlineLevel="0" collapsed="false">
      <c r="A677" s="1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</row>
    <row r="678" s="14" customFormat="true" ht="12.8" hidden="false" customHeight="false" outlineLevel="0" collapsed="false">
      <c r="A678" s="1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</row>
    <row r="679" s="14" customFormat="true" ht="12.8" hidden="false" customHeight="false" outlineLevel="0" collapsed="false">
      <c r="A679" s="1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</row>
    <row r="680" s="14" customFormat="true" ht="12.8" hidden="false" customHeight="false" outlineLevel="0" collapsed="false">
      <c r="A680" s="1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</row>
    <row r="681" s="14" customFormat="true" ht="12.8" hidden="false" customHeight="false" outlineLevel="0" collapsed="false">
      <c r="A681" s="1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</row>
    <row r="682" s="14" customFormat="true" ht="12.8" hidden="false" customHeight="false" outlineLevel="0" collapsed="false">
      <c r="A682" s="1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</row>
    <row r="683" s="14" customFormat="true" ht="12.8" hidden="false" customHeight="false" outlineLevel="0" collapsed="false">
      <c r="A683" s="1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</row>
    <row r="684" s="14" customFormat="true" ht="12.8" hidden="false" customHeight="false" outlineLevel="0" collapsed="false">
      <c r="A684" s="1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</row>
    <row r="685" s="14" customFormat="true" ht="12.8" hidden="false" customHeight="false" outlineLevel="0" collapsed="false">
      <c r="A685" s="1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</row>
    <row r="686" s="14" customFormat="true" ht="12.8" hidden="false" customHeight="false" outlineLevel="0" collapsed="false">
      <c r="A686" s="1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</row>
    <row r="687" s="14" customFormat="true" ht="12.8" hidden="false" customHeight="false" outlineLevel="0" collapsed="false">
      <c r="A687" s="1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</row>
    <row r="688" s="14" customFormat="true" ht="12.8" hidden="false" customHeight="false" outlineLevel="0" collapsed="false">
      <c r="A688" s="1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</row>
    <row r="689" s="14" customFormat="true" ht="12.8" hidden="false" customHeight="false" outlineLevel="0" collapsed="false">
      <c r="A689" s="1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</row>
    <row r="690" s="14" customFormat="true" ht="12.8" hidden="false" customHeight="false" outlineLevel="0" collapsed="false">
      <c r="A690" s="1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</row>
    <row r="691" s="14" customFormat="true" ht="12.8" hidden="false" customHeight="false" outlineLevel="0" collapsed="false">
      <c r="A691" s="1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</row>
    <row r="692" s="14" customFormat="true" ht="12.8" hidden="false" customHeight="false" outlineLevel="0" collapsed="false">
      <c r="A692" s="1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</row>
    <row r="693" s="14" customFormat="true" ht="12.8" hidden="false" customHeight="false" outlineLevel="0" collapsed="false">
      <c r="A693" s="1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</row>
    <row r="694" s="14" customFormat="true" ht="12.8" hidden="false" customHeight="false" outlineLevel="0" collapsed="false">
      <c r="A694" s="1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</row>
    <row r="695" s="14" customFormat="true" ht="12.8" hidden="false" customHeight="false" outlineLevel="0" collapsed="false">
      <c r="A695" s="1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</row>
    <row r="696" s="14" customFormat="true" ht="12.8" hidden="false" customHeight="false" outlineLevel="0" collapsed="false">
      <c r="A696" s="1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="14" customFormat="true" ht="12.8" hidden="false" customHeight="false" outlineLevel="0" collapsed="false">
      <c r="A697" s="1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</row>
    <row r="698" s="14" customFormat="true" ht="12.8" hidden="false" customHeight="false" outlineLevel="0" collapsed="false">
      <c r="A698" s="1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</row>
    <row r="699" s="14" customFormat="true" ht="12.8" hidden="false" customHeight="false" outlineLevel="0" collapsed="false">
      <c r="A699" s="1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</row>
    <row r="700" s="14" customFormat="true" ht="12.8" hidden="false" customHeight="false" outlineLevel="0" collapsed="false">
      <c r="A700" s="1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</row>
    <row r="701" s="14" customFormat="true" ht="12.8" hidden="false" customHeight="false" outlineLevel="0" collapsed="false">
      <c r="A701" s="1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</row>
    <row r="702" s="14" customFormat="true" ht="12.8" hidden="false" customHeight="false" outlineLevel="0" collapsed="false">
      <c r="A702" s="1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</row>
    <row r="703" s="14" customFormat="true" ht="12.8" hidden="false" customHeight="false" outlineLevel="0" collapsed="false">
      <c r="A703" s="1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</row>
    <row r="704" s="14" customFormat="true" ht="12.8" hidden="false" customHeight="false" outlineLevel="0" collapsed="false">
      <c r="A704" s="1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</row>
    <row r="705" s="14" customFormat="true" ht="12.8" hidden="false" customHeight="false" outlineLevel="0" collapsed="false">
      <c r="A705" s="1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</row>
    <row r="706" s="14" customFormat="true" ht="12.8" hidden="false" customHeight="false" outlineLevel="0" collapsed="false">
      <c r="A706" s="1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</row>
    <row r="707" s="14" customFormat="true" ht="12.8" hidden="false" customHeight="false" outlineLevel="0" collapsed="false">
      <c r="A707" s="1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</row>
    <row r="708" s="14" customFormat="true" ht="12.8" hidden="false" customHeight="false" outlineLevel="0" collapsed="false">
      <c r="A708" s="1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</row>
    <row r="709" s="14" customFormat="true" ht="12.8" hidden="false" customHeight="false" outlineLevel="0" collapsed="false">
      <c r="A709" s="1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</row>
    <row r="710" s="14" customFormat="true" ht="12.8" hidden="false" customHeight="false" outlineLevel="0" collapsed="false">
      <c r="A710" s="1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</row>
    <row r="711" s="14" customFormat="true" ht="12.8" hidden="false" customHeight="false" outlineLevel="0" collapsed="false">
      <c r="A711" s="1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</row>
    <row r="712" s="14" customFormat="true" ht="12.8" hidden="false" customHeight="false" outlineLevel="0" collapsed="false">
      <c r="A712" s="1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="14" customFormat="true" ht="12.8" hidden="false" customHeight="false" outlineLevel="0" collapsed="false">
      <c r="A713" s="1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</row>
    <row r="714" s="14" customFormat="true" ht="12.8" hidden="false" customHeight="false" outlineLevel="0" collapsed="false">
      <c r="A714" s="1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</row>
    <row r="715" s="14" customFormat="true" ht="12.8" hidden="false" customHeight="false" outlineLevel="0" collapsed="false">
      <c r="A715" s="1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</row>
    <row r="716" s="14" customFormat="true" ht="12.8" hidden="false" customHeight="false" outlineLevel="0" collapsed="false">
      <c r="A716" s="1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</row>
    <row r="717" s="14" customFormat="true" ht="12.8" hidden="false" customHeight="false" outlineLevel="0" collapsed="false">
      <c r="A717" s="1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</row>
    <row r="718" s="14" customFormat="true" ht="12.8" hidden="false" customHeight="false" outlineLevel="0" collapsed="false">
      <c r="A718" s="1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</row>
    <row r="719" s="14" customFormat="true" ht="12.8" hidden="false" customHeight="false" outlineLevel="0" collapsed="false">
      <c r="A719" s="1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</row>
    <row r="720" s="14" customFormat="true" ht="12.8" hidden="false" customHeight="false" outlineLevel="0" collapsed="false">
      <c r="A720" s="1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</row>
    <row r="721" s="14" customFormat="true" ht="12.8" hidden="false" customHeight="false" outlineLevel="0" collapsed="false">
      <c r="A721" s="1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</row>
    <row r="722" s="14" customFormat="true" ht="12.8" hidden="false" customHeight="false" outlineLevel="0" collapsed="false">
      <c r="A722" s="1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</row>
    <row r="723" s="14" customFormat="true" ht="12.8" hidden="false" customHeight="false" outlineLevel="0" collapsed="false">
      <c r="A723" s="1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</row>
    <row r="724" s="14" customFormat="true" ht="12.8" hidden="false" customHeight="false" outlineLevel="0" collapsed="false">
      <c r="A724" s="1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</row>
    <row r="725" s="14" customFormat="true" ht="12.8" hidden="false" customHeight="false" outlineLevel="0" collapsed="false">
      <c r="A725" s="1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</row>
    <row r="726" s="14" customFormat="true" ht="12.8" hidden="false" customHeight="false" outlineLevel="0" collapsed="false">
      <c r="A726" s="1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</row>
    <row r="727" s="14" customFormat="true" ht="12.8" hidden="false" customHeight="false" outlineLevel="0" collapsed="false">
      <c r="A727" s="1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="14" customFormat="true" ht="12.8" hidden="false" customHeight="false" outlineLevel="0" collapsed="false">
      <c r="A728" s="1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</row>
    <row r="729" s="14" customFormat="true" ht="12.8" hidden="false" customHeight="false" outlineLevel="0" collapsed="false">
      <c r="A729" s="1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</row>
    <row r="730" s="14" customFormat="true" ht="12.8" hidden="false" customHeight="false" outlineLevel="0" collapsed="false">
      <c r="A730" s="1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="14" customFormat="true" ht="12.8" hidden="false" customHeight="false" outlineLevel="0" collapsed="false">
      <c r="A731" s="1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</row>
    <row r="732" s="14" customFormat="true" ht="12.8" hidden="false" customHeight="false" outlineLevel="0" collapsed="false">
      <c r="A732" s="1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</row>
    <row r="733" s="14" customFormat="true" ht="12.8" hidden="false" customHeight="false" outlineLevel="0" collapsed="false">
      <c r="A733" s="1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</row>
    <row r="734" s="14" customFormat="true" ht="12.8" hidden="false" customHeight="false" outlineLevel="0" collapsed="false">
      <c r="A734" s="1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="14" customFormat="true" ht="12.8" hidden="false" customHeight="false" outlineLevel="0" collapsed="false">
      <c r="A735" s="1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="14" customFormat="true" ht="12.8" hidden="false" customHeight="false" outlineLevel="0" collapsed="false">
      <c r="A736" s="1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="14" customFormat="true" ht="12.8" hidden="false" customHeight="false" outlineLevel="0" collapsed="false">
      <c r="A737" s="1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="14" customFormat="true" ht="12.8" hidden="false" customHeight="false" outlineLevel="0" collapsed="false">
      <c r="A738" s="1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</row>
    <row r="739" s="14" customFormat="true" ht="12.8" hidden="false" customHeight="false" outlineLevel="0" collapsed="false">
      <c r="A739" s="1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</row>
    <row r="740" s="14" customFormat="true" ht="12.8" hidden="false" customHeight="false" outlineLevel="0" collapsed="false">
      <c r="A740" s="1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</row>
    <row r="741" s="14" customFormat="true" ht="12.8" hidden="false" customHeight="false" outlineLevel="0" collapsed="false">
      <c r="A741" s="1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</row>
    <row r="742" s="14" customFormat="true" ht="12.8" hidden="false" customHeight="false" outlineLevel="0" collapsed="false">
      <c r="A742" s="1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</row>
    <row r="743" s="14" customFormat="true" ht="12.8" hidden="false" customHeight="false" outlineLevel="0" collapsed="false">
      <c r="A743" s="1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</row>
    <row r="744" s="14" customFormat="true" ht="12.8" hidden="false" customHeight="false" outlineLevel="0" collapsed="false">
      <c r="A744" s="1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</row>
    <row r="745" s="14" customFormat="true" ht="12.8" hidden="false" customHeight="false" outlineLevel="0" collapsed="false">
      <c r="A745" s="1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</row>
    <row r="746" s="14" customFormat="true" ht="12.8" hidden="false" customHeight="false" outlineLevel="0" collapsed="false">
      <c r="A746" s="1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</row>
    <row r="747" s="14" customFormat="true" ht="12.8" hidden="false" customHeight="false" outlineLevel="0" collapsed="false">
      <c r="A747" s="1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</row>
    <row r="748" s="14" customFormat="true" ht="12.8" hidden="false" customHeight="false" outlineLevel="0" collapsed="false">
      <c r="A748" s="1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</row>
    <row r="749" s="14" customFormat="true" ht="12.8" hidden="false" customHeight="false" outlineLevel="0" collapsed="false">
      <c r="A749" s="1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</row>
    <row r="750" s="14" customFormat="true" ht="12.8" hidden="false" customHeight="false" outlineLevel="0" collapsed="false">
      <c r="A750" s="1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</row>
    <row r="751" s="14" customFormat="true" ht="12.8" hidden="false" customHeight="false" outlineLevel="0" collapsed="false">
      <c r="A751" s="1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</row>
    <row r="752" s="14" customFormat="true" ht="12.8" hidden="false" customHeight="false" outlineLevel="0" collapsed="false">
      <c r="A752" s="1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</row>
    <row r="753" s="14" customFormat="true" ht="12.8" hidden="false" customHeight="false" outlineLevel="0" collapsed="false">
      <c r="A753" s="1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</row>
    <row r="754" s="14" customFormat="true" ht="12.8" hidden="false" customHeight="false" outlineLevel="0" collapsed="false">
      <c r="A754" s="1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</row>
    <row r="755" s="14" customFormat="true" ht="12.8" hidden="false" customHeight="false" outlineLevel="0" collapsed="false">
      <c r="A755" s="1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</row>
    <row r="756" s="14" customFormat="true" ht="12.8" hidden="false" customHeight="false" outlineLevel="0" collapsed="false">
      <c r="A756" s="1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</row>
    <row r="757" s="14" customFormat="true" ht="12.8" hidden="false" customHeight="false" outlineLevel="0" collapsed="false">
      <c r="A757" s="1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</row>
    <row r="758" s="14" customFormat="true" ht="12.8" hidden="false" customHeight="false" outlineLevel="0" collapsed="false">
      <c r="A758" s="1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="14" customFormat="true" ht="12.8" hidden="false" customHeight="false" outlineLevel="0" collapsed="false">
      <c r="A759" s="1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</row>
    <row r="760" s="14" customFormat="true" ht="12.8" hidden="false" customHeight="false" outlineLevel="0" collapsed="false">
      <c r="A760" s="1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</row>
    <row r="761" s="14" customFormat="true" ht="12.8" hidden="false" customHeight="false" outlineLevel="0" collapsed="false">
      <c r="A761" s="1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</row>
    <row r="762" s="14" customFormat="true" ht="12.8" hidden="false" customHeight="false" outlineLevel="0" collapsed="false">
      <c r="A762" s="1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</row>
    <row r="763" s="14" customFormat="true" ht="12.8" hidden="false" customHeight="false" outlineLevel="0" collapsed="false">
      <c r="A763" s="1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</row>
    <row r="764" s="14" customFormat="true" ht="12.8" hidden="false" customHeight="false" outlineLevel="0" collapsed="false">
      <c r="A764" s="1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</row>
    <row r="765" s="14" customFormat="true" ht="12.8" hidden="false" customHeight="false" outlineLevel="0" collapsed="false">
      <c r="A765" s="1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</row>
    <row r="766" s="14" customFormat="true" ht="12.8" hidden="false" customHeight="false" outlineLevel="0" collapsed="false">
      <c r="A766" s="1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</row>
    <row r="767" s="14" customFormat="true" ht="12.8" hidden="false" customHeight="false" outlineLevel="0" collapsed="false">
      <c r="A767" s="1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</row>
    <row r="768" s="14" customFormat="true" ht="12.8" hidden="false" customHeight="false" outlineLevel="0" collapsed="false">
      <c r="A768" s="1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</row>
    <row r="769" s="14" customFormat="true" ht="12.8" hidden="false" customHeight="false" outlineLevel="0" collapsed="false">
      <c r="A769" s="1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</row>
    <row r="770" s="14" customFormat="true" ht="12.8" hidden="false" customHeight="false" outlineLevel="0" collapsed="false">
      <c r="A770" s="1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</row>
    <row r="771" s="14" customFormat="true" ht="12.8" hidden="false" customHeight="false" outlineLevel="0" collapsed="false">
      <c r="A771" s="1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</row>
    <row r="772" s="14" customFormat="true" ht="12.8" hidden="false" customHeight="false" outlineLevel="0" collapsed="false">
      <c r="A772" s="1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</row>
    <row r="773" s="14" customFormat="true" ht="12.8" hidden="false" customHeight="false" outlineLevel="0" collapsed="false">
      <c r="A773" s="1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</row>
    <row r="774" s="14" customFormat="true" ht="12.8" hidden="false" customHeight="false" outlineLevel="0" collapsed="false">
      <c r="A774" s="1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</row>
    <row r="775" s="14" customFormat="true" ht="12.8" hidden="false" customHeight="false" outlineLevel="0" collapsed="false">
      <c r="A775" s="1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</row>
    <row r="776" s="14" customFormat="true" ht="12.8" hidden="false" customHeight="false" outlineLevel="0" collapsed="false">
      <c r="A776" s="1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</row>
    <row r="777" s="14" customFormat="true" ht="12.8" hidden="false" customHeight="false" outlineLevel="0" collapsed="false">
      <c r="A777" s="1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</row>
    <row r="778" s="14" customFormat="true" ht="12.8" hidden="false" customHeight="false" outlineLevel="0" collapsed="false">
      <c r="A778" s="1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</row>
    <row r="779" s="14" customFormat="true" ht="12.8" hidden="false" customHeight="false" outlineLevel="0" collapsed="false">
      <c r="A779" s="1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</row>
    <row r="780" s="14" customFormat="true" ht="12.8" hidden="false" customHeight="false" outlineLevel="0" collapsed="false">
      <c r="A780" s="1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</row>
    <row r="781" s="14" customFormat="true" ht="12.8" hidden="false" customHeight="false" outlineLevel="0" collapsed="false">
      <c r="A781" s="1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</row>
    <row r="782" s="14" customFormat="true" ht="12.8" hidden="false" customHeight="false" outlineLevel="0" collapsed="false">
      <c r="A782" s="1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</row>
    <row r="783" s="14" customFormat="true" ht="12.8" hidden="false" customHeight="false" outlineLevel="0" collapsed="false">
      <c r="A783" s="1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</row>
    <row r="784" s="14" customFormat="true" ht="12.8" hidden="false" customHeight="false" outlineLevel="0" collapsed="false">
      <c r="A784" s="1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</row>
    <row r="785" s="14" customFormat="true" ht="12.8" hidden="false" customHeight="false" outlineLevel="0" collapsed="false">
      <c r="A785" s="1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</row>
    <row r="786" s="14" customFormat="true" ht="12.8" hidden="false" customHeight="false" outlineLevel="0" collapsed="false">
      <c r="A786" s="1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</row>
    <row r="787" s="14" customFormat="true" ht="12.8" hidden="false" customHeight="false" outlineLevel="0" collapsed="false">
      <c r="A787" s="1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</row>
    <row r="788" s="14" customFormat="true" ht="12.8" hidden="false" customHeight="false" outlineLevel="0" collapsed="false">
      <c r="A788" s="1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</row>
    <row r="789" s="14" customFormat="true" ht="12.8" hidden="false" customHeight="false" outlineLevel="0" collapsed="false">
      <c r="A789" s="1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="14" customFormat="true" ht="12.8" hidden="false" customHeight="false" outlineLevel="0" collapsed="false">
      <c r="A790" s="1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</row>
    <row r="791" s="14" customFormat="true" ht="12.8" hidden="false" customHeight="false" outlineLevel="0" collapsed="false">
      <c r="A791" s="1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</row>
    <row r="792" s="14" customFormat="true" ht="12.8" hidden="false" customHeight="false" outlineLevel="0" collapsed="false">
      <c r="A792" s="1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</row>
    <row r="793" s="14" customFormat="true" ht="12.8" hidden="false" customHeight="false" outlineLevel="0" collapsed="false">
      <c r="A793" s="1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</row>
    <row r="794" s="14" customFormat="true" ht="12.8" hidden="false" customHeight="false" outlineLevel="0" collapsed="false">
      <c r="A794" s="1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</row>
    <row r="795" s="14" customFormat="true" ht="12.8" hidden="false" customHeight="false" outlineLevel="0" collapsed="false">
      <c r="A795" s="1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</row>
    <row r="796" s="14" customFormat="true" ht="12.8" hidden="false" customHeight="false" outlineLevel="0" collapsed="false">
      <c r="A796" s="1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</row>
    <row r="797" s="14" customFormat="true" ht="12.8" hidden="false" customHeight="false" outlineLevel="0" collapsed="false">
      <c r="A797" s="1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</row>
    <row r="798" s="14" customFormat="true" ht="12.8" hidden="false" customHeight="false" outlineLevel="0" collapsed="false">
      <c r="A798" s="1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</row>
    <row r="799" s="14" customFormat="true" ht="12.8" hidden="false" customHeight="false" outlineLevel="0" collapsed="false">
      <c r="A799" s="1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</row>
    <row r="800" s="14" customFormat="true" ht="12.8" hidden="false" customHeight="false" outlineLevel="0" collapsed="false">
      <c r="A800" s="1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</row>
    <row r="801" s="14" customFormat="true" ht="12.8" hidden="false" customHeight="false" outlineLevel="0" collapsed="false">
      <c r="A801" s="1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</row>
    <row r="802" s="14" customFormat="true" ht="12.8" hidden="false" customHeight="false" outlineLevel="0" collapsed="false">
      <c r="A802" s="1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</row>
    <row r="803" s="14" customFormat="true" ht="12.8" hidden="false" customHeight="false" outlineLevel="0" collapsed="false">
      <c r="A803" s="1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</row>
    <row r="804" s="14" customFormat="true" ht="12.8" hidden="false" customHeight="false" outlineLevel="0" collapsed="false">
      <c r="A804" s="1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="14" customFormat="true" ht="12.8" hidden="false" customHeight="false" outlineLevel="0" collapsed="false">
      <c r="A805" s="1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</row>
    <row r="806" s="14" customFormat="true" ht="12.8" hidden="false" customHeight="false" outlineLevel="0" collapsed="false">
      <c r="A806" s="1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</row>
    <row r="807" s="14" customFormat="true" ht="12.8" hidden="false" customHeight="false" outlineLevel="0" collapsed="false">
      <c r="A807" s="1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</row>
    <row r="808" s="14" customFormat="true" ht="12.8" hidden="false" customHeight="false" outlineLevel="0" collapsed="false">
      <c r="A808" s="1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</row>
    <row r="809" s="14" customFormat="true" ht="12.8" hidden="false" customHeight="false" outlineLevel="0" collapsed="false">
      <c r="A809" s="1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</row>
    <row r="810" s="14" customFormat="true" ht="12.8" hidden="false" customHeight="false" outlineLevel="0" collapsed="false">
      <c r="A810" s="1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</row>
    <row r="811" s="14" customFormat="true" ht="12.8" hidden="false" customHeight="false" outlineLevel="0" collapsed="false">
      <c r="A811" s="1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</row>
    <row r="812" s="14" customFormat="true" ht="12.8" hidden="false" customHeight="false" outlineLevel="0" collapsed="false">
      <c r="A812" s="1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</row>
    <row r="813" s="14" customFormat="true" ht="12.8" hidden="false" customHeight="false" outlineLevel="0" collapsed="false">
      <c r="A813" s="1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</row>
    <row r="814" s="14" customFormat="true" ht="12.8" hidden="false" customHeight="false" outlineLevel="0" collapsed="false">
      <c r="A814" s="1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</row>
    <row r="815" s="14" customFormat="true" ht="12.8" hidden="false" customHeight="false" outlineLevel="0" collapsed="false">
      <c r="A815" s="1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</row>
    <row r="816" s="14" customFormat="true" ht="12.8" hidden="false" customHeight="false" outlineLevel="0" collapsed="false">
      <c r="A816" s="1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</row>
    <row r="817" s="14" customFormat="true" ht="12.8" hidden="false" customHeight="false" outlineLevel="0" collapsed="false">
      <c r="A817" s="1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</row>
    <row r="818" s="14" customFormat="true" ht="12.8" hidden="false" customHeight="false" outlineLevel="0" collapsed="false">
      <c r="A818" s="1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</row>
    <row r="819" s="14" customFormat="true" ht="12.8" hidden="false" customHeight="false" outlineLevel="0" collapsed="false">
      <c r="A819" s="1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</row>
    <row r="820" s="14" customFormat="true" ht="12.8" hidden="false" customHeight="false" outlineLevel="0" collapsed="false">
      <c r="A820" s="1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="14" customFormat="true" ht="12.8" hidden="false" customHeight="false" outlineLevel="0" collapsed="false">
      <c r="A821" s="1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</row>
    <row r="822" s="14" customFormat="true" ht="12.8" hidden="false" customHeight="false" outlineLevel="0" collapsed="false">
      <c r="A822" s="1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</row>
    <row r="823" s="14" customFormat="true" ht="12.8" hidden="false" customHeight="false" outlineLevel="0" collapsed="false">
      <c r="A823" s="1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</row>
    <row r="824" s="14" customFormat="true" ht="12.8" hidden="false" customHeight="false" outlineLevel="0" collapsed="false">
      <c r="A824" s="1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</row>
    <row r="825" s="14" customFormat="true" ht="12.8" hidden="false" customHeight="false" outlineLevel="0" collapsed="false">
      <c r="A825" s="1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</row>
    <row r="826" s="14" customFormat="true" ht="12.8" hidden="false" customHeight="false" outlineLevel="0" collapsed="false">
      <c r="A826" s="1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</row>
    <row r="827" s="14" customFormat="true" ht="12.8" hidden="false" customHeight="false" outlineLevel="0" collapsed="false">
      <c r="A827" s="1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</row>
    <row r="828" s="14" customFormat="true" ht="12.8" hidden="false" customHeight="false" outlineLevel="0" collapsed="false">
      <c r="A828" s="1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</row>
    <row r="829" s="14" customFormat="true" ht="12.8" hidden="false" customHeight="false" outlineLevel="0" collapsed="false">
      <c r="A829" s="1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</row>
    <row r="830" s="14" customFormat="true" ht="12.8" hidden="false" customHeight="false" outlineLevel="0" collapsed="false">
      <c r="A830" s="1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</row>
    <row r="831" s="14" customFormat="true" ht="12.8" hidden="false" customHeight="false" outlineLevel="0" collapsed="false">
      <c r="A831" s="1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</row>
    <row r="832" s="14" customFormat="true" ht="12.8" hidden="false" customHeight="false" outlineLevel="0" collapsed="false">
      <c r="A832" s="1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</row>
    <row r="833" s="14" customFormat="true" ht="12.8" hidden="false" customHeight="false" outlineLevel="0" collapsed="false">
      <c r="A833" s="1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</row>
    <row r="834" s="14" customFormat="true" ht="12.8" hidden="false" customHeight="false" outlineLevel="0" collapsed="false">
      <c r="A834" s="1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</row>
    <row r="835" s="14" customFormat="true" ht="12.8" hidden="false" customHeight="false" outlineLevel="0" collapsed="false">
      <c r="A835" s="1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</row>
    <row r="836" s="14" customFormat="true" ht="12.8" hidden="false" customHeight="false" outlineLevel="0" collapsed="false">
      <c r="A836" s="1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</row>
    <row r="837" s="14" customFormat="true" ht="12.8" hidden="false" customHeight="false" outlineLevel="0" collapsed="false">
      <c r="A837" s="1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</row>
    <row r="838" s="14" customFormat="true" ht="12.8" hidden="false" customHeight="false" outlineLevel="0" collapsed="false">
      <c r="A838" s="1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</row>
    <row r="839" s="14" customFormat="true" ht="12.8" hidden="false" customHeight="false" outlineLevel="0" collapsed="false">
      <c r="A839" s="1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</row>
    <row r="840" s="14" customFormat="true" ht="12.8" hidden="false" customHeight="false" outlineLevel="0" collapsed="false">
      <c r="A840" s="1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</row>
    <row r="841" s="14" customFormat="true" ht="12.8" hidden="false" customHeight="false" outlineLevel="0" collapsed="false">
      <c r="A841" s="1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</row>
    <row r="842" s="14" customFormat="true" ht="12.8" hidden="false" customHeight="false" outlineLevel="0" collapsed="false">
      <c r="A842" s="1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</row>
    <row r="843" s="14" customFormat="true" ht="12.8" hidden="false" customHeight="false" outlineLevel="0" collapsed="false">
      <c r="A843" s="1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</row>
    <row r="844" s="14" customFormat="true" ht="12.8" hidden="false" customHeight="false" outlineLevel="0" collapsed="false">
      <c r="A844" s="1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</row>
    <row r="845" s="14" customFormat="true" ht="12.8" hidden="false" customHeight="false" outlineLevel="0" collapsed="false">
      <c r="A845" s="1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</row>
    <row r="846" s="14" customFormat="true" ht="12.8" hidden="false" customHeight="false" outlineLevel="0" collapsed="false">
      <c r="A846" s="1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</row>
    <row r="847" s="14" customFormat="true" ht="12.8" hidden="false" customHeight="false" outlineLevel="0" collapsed="false">
      <c r="A847" s="1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</row>
    <row r="848" s="14" customFormat="true" ht="12.8" hidden="false" customHeight="false" outlineLevel="0" collapsed="false">
      <c r="A848" s="1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</row>
    <row r="849" s="14" customFormat="true" ht="12.8" hidden="false" customHeight="false" outlineLevel="0" collapsed="false">
      <c r="A849" s="1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</row>
    <row r="850" s="14" customFormat="true" ht="12.8" hidden="false" customHeight="false" outlineLevel="0" collapsed="false">
      <c r="A850" s="1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</row>
    <row r="851" s="14" customFormat="true" ht="12.8" hidden="false" customHeight="false" outlineLevel="0" collapsed="false">
      <c r="A851" s="1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s="14" customFormat="true" ht="12.8" hidden="false" customHeight="false" outlineLevel="0" collapsed="false">
      <c r="A852" s="1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</row>
    <row r="853" s="14" customFormat="true" ht="12.8" hidden="false" customHeight="false" outlineLevel="0" collapsed="false">
      <c r="A853" s="1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</row>
    <row r="854" s="14" customFormat="true" ht="12.8" hidden="false" customHeight="false" outlineLevel="0" collapsed="false">
      <c r="A854" s="1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</row>
    <row r="855" s="14" customFormat="true" ht="12.8" hidden="false" customHeight="false" outlineLevel="0" collapsed="false">
      <c r="A855" s="1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</row>
    <row r="856" s="14" customFormat="true" ht="12.8" hidden="false" customHeight="false" outlineLevel="0" collapsed="false">
      <c r="A856" s="1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</row>
    <row r="857" s="14" customFormat="true" ht="12.8" hidden="false" customHeight="false" outlineLevel="0" collapsed="false">
      <c r="A857" s="1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</row>
    <row r="858" s="14" customFormat="true" ht="12.8" hidden="false" customHeight="false" outlineLevel="0" collapsed="false">
      <c r="A858" s="1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</row>
    <row r="859" s="14" customFormat="true" ht="12.8" hidden="false" customHeight="false" outlineLevel="0" collapsed="false">
      <c r="A859" s="1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</row>
    <row r="860" s="14" customFormat="true" ht="12.8" hidden="false" customHeight="false" outlineLevel="0" collapsed="false">
      <c r="A860" s="1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</row>
    <row r="861" s="14" customFormat="true" ht="12.8" hidden="false" customHeight="false" outlineLevel="0" collapsed="false">
      <c r="A861" s="1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</row>
    <row r="862" s="14" customFormat="true" ht="12.8" hidden="false" customHeight="false" outlineLevel="0" collapsed="false">
      <c r="A862" s="1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</row>
    <row r="863" s="14" customFormat="true" ht="12.8" hidden="false" customHeight="false" outlineLevel="0" collapsed="false">
      <c r="A863" s="1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</row>
    <row r="864" s="14" customFormat="true" ht="12.8" hidden="false" customHeight="false" outlineLevel="0" collapsed="false">
      <c r="A864" s="1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</row>
    <row r="865" s="14" customFormat="true" ht="12.8" hidden="false" customHeight="false" outlineLevel="0" collapsed="false">
      <c r="A865" s="1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</row>
    <row r="866" s="14" customFormat="true" ht="12.8" hidden="false" customHeight="false" outlineLevel="0" collapsed="false">
      <c r="A866" s="1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</row>
    <row r="867" s="14" customFormat="true" ht="12.8" hidden="false" customHeight="false" outlineLevel="0" collapsed="false">
      <c r="A867" s="1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</row>
    <row r="868" s="14" customFormat="true" ht="12.8" hidden="false" customHeight="false" outlineLevel="0" collapsed="false">
      <c r="A868" s="1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</row>
    <row r="869" s="14" customFormat="true" ht="12.8" hidden="false" customHeight="false" outlineLevel="0" collapsed="false">
      <c r="A869" s="1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</row>
    <row r="870" s="14" customFormat="true" ht="12.8" hidden="false" customHeight="false" outlineLevel="0" collapsed="false">
      <c r="A870" s="1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</row>
    <row r="871" s="14" customFormat="true" ht="12.8" hidden="false" customHeight="false" outlineLevel="0" collapsed="false">
      <c r="A871" s="1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</row>
    <row r="872" s="14" customFormat="true" ht="12.8" hidden="false" customHeight="false" outlineLevel="0" collapsed="false">
      <c r="A872" s="1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</row>
    <row r="873" s="14" customFormat="true" ht="12.8" hidden="false" customHeight="false" outlineLevel="0" collapsed="false">
      <c r="A873" s="1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</row>
    <row r="874" s="14" customFormat="true" ht="12.8" hidden="false" customHeight="false" outlineLevel="0" collapsed="false">
      <c r="A874" s="1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</row>
    <row r="875" s="14" customFormat="true" ht="12.8" hidden="false" customHeight="false" outlineLevel="0" collapsed="false">
      <c r="A875" s="1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s="14" customFormat="true" ht="12.8" hidden="false" customHeight="false" outlineLevel="0" collapsed="false">
      <c r="A876" s="1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</row>
    <row r="877" s="14" customFormat="true" ht="12.8" hidden="false" customHeight="false" outlineLevel="0" collapsed="false">
      <c r="A877" s="1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</row>
    <row r="878" s="14" customFormat="true" ht="12.8" hidden="false" customHeight="false" outlineLevel="0" collapsed="false">
      <c r="A878" s="1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</row>
    <row r="879" s="14" customFormat="true" ht="12.8" hidden="false" customHeight="false" outlineLevel="0" collapsed="false">
      <c r="A879" s="1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</row>
    <row r="880" s="14" customFormat="true" ht="12.8" hidden="false" customHeight="false" outlineLevel="0" collapsed="false">
      <c r="A880" s="1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</row>
    <row r="881" s="14" customFormat="true" ht="12.8" hidden="false" customHeight="false" outlineLevel="0" collapsed="false">
      <c r="A881" s="1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</row>
    <row r="882" s="14" customFormat="true" ht="12.8" hidden="false" customHeight="false" outlineLevel="0" collapsed="false">
      <c r="A882" s="1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s="14" customFormat="true" ht="12.8" hidden="false" customHeight="false" outlineLevel="0" collapsed="false">
      <c r="A883" s="1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</row>
    <row r="884" s="14" customFormat="true" ht="12.8" hidden="false" customHeight="false" outlineLevel="0" collapsed="false">
      <c r="A884" s="1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</row>
    <row r="885" s="14" customFormat="true" ht="12.8" hidden="false" customHeight="false" outlineLevel="0" collapsed="false">
      <c r="A885" s="1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</row>
    <row r="886" s="14" customFormat="true" ht="12.8" hidden="false" customHeight="false" outlineLevel="0" collapsed="false">
      <c r="A886" s="1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</row>
    <row r="887" s="14" customFormat="true" ht="12.8" hidden="false" customHeight="false" outlineLevel="0" collapsed="false">
      <c r="A887" s="1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</row>
    <row r="888" s="14" customFormat="true" ht="12.8" hidden="false" customHeight="false" outlineLevel="0" collapsed="false">
      <c r="A888" s="1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</row>
    <row r="889" s="14" customFormat="true" ht="12.8" hidden="false" customHeight="false" outlineLevel="0" collapsed="false">
      <c r="A889" s="1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</row>
    <row r="890" s="14" customFormat="true" ht="12.8" hidden="false" customHeight="false" outlineLevel="0" collapsed="false">
      <c r="A890" s="1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</row>
    <row r="891" s="14" customFormat="true" ht="12.8" hidden="false" customHeight="false" outlineLevel="0" collapsed="false">
      <c r="A891" s="1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</row>
    <row r="892" s="14" customFormat="true" ht="12.8" hidden="false" customHeight="false" outlineLevel="0" collapsed="false">
      <c r="A892" s="1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s="14" customFormat="true" ht="12.8" hidden="false" customHeight="false" outlineLevel="0" collapsed="false">
      <c r="A893" s="1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</row>
    <row r="894" s="14" customFormat="true" ht="12.8" hidden="false" customHeight="false" outlineLevel="0" collapsed="false">
      <c r="A894" s="1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</row>
    <row r="895" s="14" customFormat="true" ht="12.8" hidden="false" customHeight="false" outlineLevel="0" collapsed="false">
      <c r="A895" s="1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</row>
    <row r="896" s="14" customFormat="true" ht="12.8" hidden="false" customHeight="false" outlineLevel="0" collapsed="false">
      <c r="A896" s="1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</row>
    <row r="897" s="14" customFormat="true" ht="12.8" hidden="false" customHeight="false" outlineLevel="0" collapsed="false">
      <c r="A897" s="1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</row>
    <row r="898" s="14" customFormat="true" ht="12.8" hidden="false" customHeight="false" outlineLevel="0" collapsed="false">
      <c r="A898" s="1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</row>
    <row r="899" s="14" customFormat="true" ht="12.8" hidden="false" customHeight="false" outlineLevel="0" collapsed="false">
      <c r="A899" s="1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</row>
    <row r="900" s="14" customFormat="true" ht="12.8" hidden="false" customHeight="false" outlineLevel="0" collapsed="false">
      <c r="A900" s="1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</row>
    <row r="901" s="14" customFormat="true" ht="12.8" hidden="false" customHeight="false" outlineLevel="0" collapsed="false">
      <c r="A901" s="1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</row>
    <row r="902" s="14" customFormat="true" ht="12.8" hidden="false" customHeight="false" outlineLevel="0" collapsed="false">
      <c r="A902" s="1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</row>
    <row r="903" s="14" customFormat="true" ht="12.8" hidden="false" customHeight="false" outlineLevel="0" collapsed="false">
      <c r="A903" s="1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</row>
    <row r="904" s="14" customFormat="true" ht="12.8" hidden="false" customHeight="false" outlineLevel="0" collapsed="false">
      <c r="A904" s="1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</row>
    <row r="905" s="14" customFormat="true" ht="12.8" hidden="false" customHeight="false" outlineLevel="0" collapsed="false">
      <c r="A905" s="1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</row>
    <row r="906" s="14" customFormat="true" ht="12.8" hidden="false" customHeight="false" outlineLevel="0" collapsed="false">
      <c r="A906" s="1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</row>
    <row r="907" s="14" customFormat="true" ht="12.8" hidden="false" customHeight="false" outlineLevel="0" collapsed="false">
      <c r="A907" s="1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</row>
    <row r="908" s="14" customFormat="true" ht="12.8" hidden="false" customHeight="false" outlineLevel="0" collapsed="false">
      <c r="A908" s="1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</row>
    <row r="909" s="14" customFormat="true" ht="12.8" hidden="false" customHeight="false" outlineLevel="0" collapsed="false">
      <c r="A909" s="1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</row>
    <row r="910" customFormat="false" ht="12.8" hidden="false" customHeight="false" outlineLevel="0" collapsed="false"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customFormat="false" ht="12.8" hidden="false" customHeight="false" outlineLevel="0" collapsed="false"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</row>
    <row r="912" customFormat="false" ht="12.8" hidden="false" customHeight="false" outlineLevel="0" collapsed="false"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</row>
    <row r="913" customFormat="false" ht="12.8" hidden="false" customHeight="false" outlineLevel="0" collapsed="false"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customFormat="false" ht="12.8" hidden="false" customHeight="false" outlineLevel="0" collapsed="false"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</row>
    <row r="915" customFormat="false" ht="12.8" hidden="false" customHeight="false" outlineLevel="0" collapsed="false"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</row>
    <row r="916" customFormat="false" ht="12.8" hidden="false" customHeight="false" outlineLevel="0" collapsed="false"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</row>
    <row r="917" customFormat="false" ht="12.8" hidden="false" customHeight="false" outlineLevel="0" collapsed="false"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</row>
    <row r="918" customFormat="false" ht="12.8" hidden="false" customHeight="false" outlineLevel="0" collapsed="false"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</row>
    <row r="919" customFormat="false" ht="12.8" hidden="false" customHeight="false" outlineLevel="0" collapsed="false"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</row>
    <row r="920" customFormat="false" ht="12.8" hidden="false" customHeight="false" outlineLevel="0" collapsed="false"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</row>
    <row r="921" customFormat="false" ht="12.8" hidden="false" customHeight="false" outlineLevel="0" collapsed="false"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</row>
    <row r="922" customFormat="false" ht="12.8" hidden="false" customHeight="false" outlineLevel="0" collapsed="false"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</row>
    <row r="923" customFormat="false" ht="12.8" hidden="false" customHeight="false" outlineLevel="0" collapsed="false"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</row>
    <row r="924" customFormat="false" ht="12.8" hidden="false" customHeight="false" outlineLevel="0" collapsed="false"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</row>
    <row r="925" customFormat="false" ht="12.8" hidden="false" customHeight="false" outlineLevel="0" collapsed="false"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</row>
    <row r="926" customFormat="false" ht="12.8" hidden="false" customHeight="false" outlineLevel="0" collapsed="false"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</row>
    <row r="927" customFormat="false" ht="12.8" hidden="false" customHeight="false" outlineLevel="0" collapsed="false"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</row>
    <row r="928" customFormat="false" ht="12.8" hidden="false" customHeight="false" outlineLevel="0" collapsed="false"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</row>
    <row r="929" customFormat="false" ht="12.8" hidden="false" customHeight="false" outlineLevel="0" collapsed="false"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</row>
    <row r="930" customFormat="false" ht="12.8" hidden="false" customHeight="false" outlineLevel="0" collapsed="false"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</row>
    <row r="931" customFormat="false" ht="12.8" hidden="false" customHeight="false" outlineLevel="0" collapsed="false"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</row>
    <row r="932" customFormat="false" ht="12.8" hidden="false" customHeight="false" outlineLevel="0" collapsed="false"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</row>
    <row r="933" customFormat="false" ht="12.8" hidden="false" customHeight="false" outlineLevel="0" collapsed="false"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</row>
    <row r="934" customFormat="false" ht="12.8" hidden="false" customHeight="false" outlineLevel="0" collapsed="false"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</row>
    <row r="935" customFormat="false" ht="12.8" hidden="false" customHeight="false" outlineLevel="0" collapsed="false"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</row>
    <row r="936" customFormat="false" ht="12.8" hidden="false" customHeight="false" outlineLevel="0" collapsed="false"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</row>
    <row r="937" customFormat="false" ht="12.8" hidden="false" customHeight="false" outlineLevel="0" collapsed="false"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</row>
    <row r="938" customFormat="false" ht="12.8" hidden="false" customHeight="false" outlineLevel="0" collapsed="false"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</row>
    <row r="939" customFormat="false" ht="12.8" hidden="false" customHeight="false" outlineLevel="0" collapsed="false"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</row>
    <row r="940" customFormat="false" ht="12.8" hidden="false" customHeight="false" outlineLevel="0" collapsed="false"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</row>
    <row r="941" customFormat="false" ht="12.8" hidden="false" customHeight="false" outlineLevel="0" collapsed="false"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</row>
    <row r="942" customFormat="false" ht="12.8" hidden="false" customHeight="false" outlineLevel="0" collapsed="false"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</row>
    <row r="943" customFormat="false" ht="12.8" hidden="false" customHeight="false" outlineLevel="0" collapsed="false"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</row>
    <row r="944" customFormat="false" ht="12.8" hidden="false" customHeight="false" outlineLevel="0" collapsed="false"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customFormat="false" ht="12.8" hidden="false" customHeight="false" outlineLevel="0" collapsed="false"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</row>
    <row r="946" customFormat="false" ht="12.8" hidden="false" customHeight="false" outlineLevel="0" collapsed="false"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</row>
    <row r="947" customFormat="false" ht="12.8" hidden="false" customHeight="false" outlineLevel="0" collapsed="false"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</row>
    <row r="948" customFormat="false" ht="12.8" hidden="false" customHeight="false" outlineLevel="0" collapsed="false"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</row>
    <row r="949" customFormat="false" ht="12.8" hidden="false" customHeight="false" outlineLevel="0" collapsed="false"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</row>
    <row r="950" customFormat="false" ht="12.8" hidden="false" customHeight="false" outlineLevel="0" collapsed="false"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</row>
    <row r="951" customFormat="false" ht="12.8" hidden="false" customHeight="false" outlineLevel="0" collapsed="false"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</row>
    <row r="952" customFormat="false" ht="12.8" hidden="false" customHeight="false" outlineLevel="0" collapsed="false"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</row>
    <row r="953" customFormat="false" ht="12.8" hidden="false" customHeight="false" outlineLevel="0" collapsed="false"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</row>
    <row r="954" customFormat="false" ht="12.8" hidden="false" customHeight="false" outlineLevel="0" collapsed="false"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</row>
    <row r="955" customFormat="false" ht="12.8" hidden="false" customHeight="false" outlineLevel="0" collapsed="false"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</row>
    <row r="956" customFormat="false" ht="12.8" hidden="false" customHeight="false" outlineLevel="0" collapsed="false"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</row>
    <row r="957" customFormat="false" ht="12.8" hidden="false" customHeight="false" outlineLevel="0" collapsed="false"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</row>
    <row r="958" customFormat="false" ht="12.8" hidden="false" customHeight="false" outlineLevel="0" collapsed="false"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</row>
    <row r="959" customFormat="false" ht="12.8" hidden="false" customHeight="false" outlineLevel="0" collapsed="false"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</row>
    <row r="960" customFormat="false" ht="12.8" hidden="false" customHeight="false" outlineLevel="0" collapsed="false"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</row>
    <row r="961" customFormat="false" ht="12.8" hidden="false" customHeight="false" outlineLevel="0" collapsed="false"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</row>
    <row r="962" customFormat="false" ht="12.8" hidden="false" customHeight="false" outlineLevel="0" collapsed="false"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</row>
    <row r="963" customFormat="false" ht="12.8" hidden="false" customHeight="false" outlineLevel="0" collapsed="false"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</row>
    <row r="964" customFormat="false" ht="12.8" hidden="false" customHeight="false" outlineLevel="0" collapsed="false"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</row>
    <row r="965" customFormat="false" ht="12.8" hidden="false" customHeight="false" outlineLevel="0" collapsed="false"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</row>
    <row r="966" customFormat="false" ht="12.8" hidden="false" customHeight="false" outlineLevel="0" collapsed="false"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</row>
    <row r="967" customFormat="false" ht="12.8" hidden="false" customHeight="false" outlineLevel="0" collapsed="false"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</row>
    <row r="968" customFormat="false" ht="12.8" hidden="false" customHeight="false" outlineLevel="0" collapsed="false"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</row>
    <row r="969" customFormat="false" ht="12.8" hidden="false" customHeight="false" outlineLevel="0" collapsed="false"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</row>
    <row r="970" customFormat="false" ht="12.8" hidden="false" customHeight="false" outlineLevel="0" collapsed="false"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</row>
    <row r="971" customFormat="false" ht="12.8" hidden="false" customHeight="false" outlineLevel="0" collapsed="false"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</row>
    <row r="972" customFormat="false" ht="12.8" hidden="false" customHeight="false" outlineLevel="0" collapsed="false"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</row>
    <row r="973" customFormat="false" ht="12.8" hidden="false" customHeight="false" outlineLevel="0" collapsed="false"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</row>
    <row r="974" customFormat="false" ht="12.8" hidden="false" customHeight="false" outlineLevel="0" collapsed="false"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</row>
    <row r="975" customFormat="false" ht="12.8" hidden="false" customHeight="false" outlineLevel="0" collapsed="false"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</row>
    <row r="976" customFormat="false" ht="12.8" hidden="false" customHeight="false" outlineLevel="0" collapsed="false"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</row>
    <row r="977" customFormat="false" ht="12.8" hidden="false" customHeight="false" outlineLevel="0" collapsed="false"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</row>
    <row r="978" customFormat="false" ht="12.8" hidden="false" customHeight="false" outlineLevel="0" collapsed="false"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</row>
    <row r="979" customFormat="false" ht="12.8" hidden="false" customHeight="false" outlineLevel="0" collapsed="false"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</row>
    <row r="980" customFormat="false" ht="12.8" hidden="false" customHeight="false" outlineLevel="0" collapsed="false"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</row>
    <row r="981" customFormat="false" ht="12.8" hidden="false" customHeight="false" outlineLevel="0" collapsed="false"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</row>
    <row r="982" customFormat="false" ht="12.8" hidden="false" customHeight="false" outlineLevel="0" collapsed="false"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</row>
    <row r="983" customFormat="false" ht="12.8" hidden="false" customHeight="false" outlineLevel="0" collapsed="false"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</row>
    <row r="984" customFormat="false" ht="12.8" hidden="false" customHeight="false" outlineLevel="0" collapsed="false"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</row>
    <row r="985" customFormat="false" ht="12.8" hidden="false" customHeight="false" outlineLevel="0" collapsed="false"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</row>
    <row r="986" customFormat="false" ht="12.8" hidden="false" customHeight="false" outlineLevel="0" collapsed="false"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</row>
    <row r="987" customFormat="false" ht="12.8" hidden="false" customHeight="false" outlineLevel="0" collapsed="false"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</row>
    <row r="988" customFormat="false" ht="12.8" hidden="false" customHeight="false" outlineLevel="0" collapsed="false"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</row>
    <row r="989" customFormat="false" ht="12.8" hidden="false" customHeight="false" outlineLevel="0" collapsed="false"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</row>
    <row r="990" customFormat="false" ht="12.8" hidden="false" customHeight="false" outlineLevel="0" collapsed="false"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</row>
    <row r="991" customFormat="false" ht="12.8" hidden="false" customHeight="false" outlineLevel="0" collapsed="false"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</row>
    <row r="992" customFormat="false" ht="12.8" hidden="false" customHeight="false" outlineLevel="0" collapsed="false"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</row>
    <row r="993" customFormat="false" ht="12.8" hidden="false" customHeight="false" outlineLevel="0" collapsed="false"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</row>
    <row r="994" customFormat="false" ht="12.8" hidden="false" customHeight="false" outlineLevel="0" collapsed="false"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</row>
    <row r="995" customFormat="false" ht="12.8" hidden="false" customHeight="false" outlineLevel="0" collapsed="false"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</row>
    <row r="996" customFormat="false" ht="12.8" hidden="false" customHeight="false" outlineLevel="0" collapsed="false"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</row>
    <row r="997" customFormat="false" ht="12.8" hidden="false" customHeight="false" outlineLevel="0" collapsed="false"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</row>
    <row r="998" customFormat="false" ht="12.8" hidden="false" customHeight="false" outlineLevel="0" collapsed="false"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</row>
    <row r="999" customFormat="false" ht="12.8" hidden="false" customHeight="false" outlineLevel="0" collapsed="false"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</row>
    <row r="1000" customFormat="false" ht="12.8" hidden="false" customHeight="false" outlineLevel="0" collapsed="false"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</row>
    <row r="1001" customFormat="false" ht="12.8" hidden="false" customHeight="false" outlineLevel="0" collapsed="false"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</row>
    <row r="1002" customFormat="false" ht="12.8" hidden="false" customHeight="false" outlineLevel="0" collapsed="false"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</row>
    <row r="1003" customFormat="false" ht="12.8" hidden="false" customHeight="false" outlineLevel="0" collapsed="false"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</row>
    <row r="1004" customFormat="false" ht="12.8" hidden="false" customHeight="false" outlineLevel="0" collapsed="false"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</row>
    <row r="1005" customFormat="false" ht="12.8" hidden="false" customHeight="false" outlineLevel="0" collapsed="false"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</row>
    <row r="1006" customFormat="false" ht="12.8" hidden="false" customHeight="false" outlineLevel="0" collapsed="false"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</row>
    <row r="1007" customFormat="false" ht="12.8" hidden="false" customHeight="false" outlineLevel="0" collapsed="false"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</row>
    <row r="1008" customFormat="false" ht="12.8" hidden="false" customHeight="false" outlineLevel="0" collapsed="false"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</row>
    <row r="1009" customFormat="false" ht="12.8" hidden="false" customHeight="false" outlineLevel="0" collapsed="false"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</row>
    <row r="1010" customFormat="false" ht="12.8" hidden="false" customHeight="false" outlineLevel="0" collapsed="false"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</row>
    <row r="1011" customFormat="false" ht="12.8" hidden="false" customHeight="false" outlineLevel="0" collapsed="false"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</row>
    <row r="1012" customFormat="false" ht="12.8" hidden="false" customHeight="false" outlineLevel="0" collapsed="false"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</row>
    <row r="1013" customFormat="false" ht="12.8" hidden="false" customHeight="false" outlineLevel="0" collapsed="false"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</row>
    <row r="1014" customFormat="false" ht="12.8" hidden="false" customHeight="false" outlineLevel="0" collapsed="false"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</row>
    <row r="1015" customFormat="false" ht="12.8" hidden="false" customHeight="false" outlineLevel="0" collapsed="false"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</row>
    <row r="1016" customFormat="false" ht="12.8" hidden="false" customHeight="false" outlineLevel="0" collapsed="false"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</row>
    <row r="1017" customFormat="false" ht="12.8" hidden="false" customHeight="false" outlineLevel="0" collapsed="false"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</row>
    <row r="1018" customFormat="false" ht="12.8" hidden="false" customHeight="false" outlineLevel="0" collapsed="false"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</row>
    <row r="1019" customFormat="false" ht="12.8" hidden="false" customHeight="false" outlineLevel="0" collapsed="false"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</row>
    <row r="1020" customFormat="false" ht="12.8" hidden="false" customHeight="false" outlineLevel="0" collapsed="false"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</row>
    <row r="1021" customFormat="false" ht="12.8" hidden="false" customHeight="false" outlineLevel="0" collapsed="false"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</row>
    <row r="1022" customFormat="false" ht="12.8" hidden="false" customHeight="false" outlineLevel="0" collapsed="false"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</row>
    <row r="1023" customFormat="false" ht="12.8" hidden="false" customHeight="false" outlineLevel="0" collapsed="false"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</row>
    <row r="1024" customFormat="false" ht="12.8" hidden="false" customHeight="false" outlineLevel="0" collapsed="false"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</row>
    <row r="1025" customFormat="false" ht="12.8" hidden="false" customHeight="false" outlineLevel="0" collapsed="false"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</row>
    <row r="1026" customFormat="false" ht="12.8" hidden="false" customHeight="false" outlineLevel="0" collapsed="false"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</row>
    <row r="1027" customFormat="false" ht="12.8" hidden="false" customHeight="false" outlineLevel="0" collapsed="false"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customFormat="false" ht="12.8" hidden="false" customHeight="false" outlineLevel="0" collapsed="false"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customFormat="false" ht="12.8" hidden="false" customHeight="false" outlineLevel="0" collapsed="false"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customFormat="false" ht="12.8" hidden="false" customHeight="false" outlineLevel="0" collapsed="false"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customFormat="false" ht="12.8" hidden="false" customHeight="false" outlineLevel="0" collapsed="false"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customFormat="false" ht="12.8" hidden="false" customHeight="false" outlineLevel="0" collapsed="false"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customFormat="false" ht="12.8" hidden="false" customHeight="false" outlineLevel="0" collapsed="false"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customFormat="false" ht="12.8" hidden="false" customHeight="false" outlineLevel="0" collapsed="false"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customFormat="false" ht="12.8" hidden="false" customHeight="false" outlineLevel="0" collapsed="false"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customFormat="false" ht="12.8" hidden="false" customHeight="false" outlineLevel="0" collapsed="false"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customFormat="false" ht="12.8" hidden="false" customHeight="false" outlineLevel="0" collapsed="false"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customFormat="false" ht="12.8" hidden="false" customHeight="false" outlineLevel="0" collapsed="false"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customFormat="false" ht="12.8" hidden="false" customHeight="false" outlineLevel="0" collapsed="false"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customFormat="false" ht="12.8" hidden="false" customHeight="false" outlineLevel="0" collapsed="false"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customFormat="false" ht="12.8" hidden="false" customHeight="false" outlineLevel="0" collapsed="false"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customFormat="false" ht="12.8" hidden="false" customHeight="false" outlineLevel="0" collapsed="false"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customFormat="false" ht="12.8" hidden="false" customHeight="false" outlineLevel="0" collapsed="false"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customFormat="false" ht="12.8" hidden="false" customHeight="false" outlineLevel="0" collapsed="false"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customFormat="false" ht="12.8" hidden="false" customHeight="false" outlineLevel="0" collapsed="false"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customFormat="false" ht="12.8" hidden="false" customHeight="false" outlineLevel="0" collapsed="false"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9" activeCellId="0" sqref="T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53.73"/>
    <col collapsed="false" customWidth="true" hidden="false" outlineLevel="0" max="3" min="3" style="2" width="35.26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true" hidden="false" outlineLevel="0" max="30" min="30" style="14" width="27.68"/>
    <col collapsed="false" customWidth="false" hidden="false" outlineLevel="0" max="16381" min="31" style="14" width="11.53"/>
    <col collapsed="false" customWidth="false" hidden="false" outlineLevel="0" max="16384" min="16382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5" t="s">
        <v>778</v>
      </c>
      <c r="AF2" s="14"/>
      <c r="AG2" s="14"/>
      <c r="AH2" s="14"/>
      <c r="AI2" s="14"/>
      <c r="AJ2" s="14"/>
      <c r="XFB2" s="12"/>
      <c r="XFC2" s="12"/>
      <c r="XFD2" s="12"/>
    </row>
    <row r="3" customFormat="false" ht="12.95" hidden="false" customHeight="true" outlineLevel="0" collapsed="false">
      <c r="A3" s="1" t="s">
        <v>1</v>
      </c>
      <c r="B3" s="1" t="s">
        <v>100</v>
      </c>
      <c r="C3" s="1"/>
      <c r="X3" s="6" t="s">
        <v>738</v>
      </c>
      <c r="Y3" s="6" t="s">
        <v>738</v>
      </c>
      <c r="Z3" s="6" t="s">
        <v>738</v>
      </c>
      <c r="AA3" s="6" t="s">
        <v>738</v>
      </c>
      <c r="AB3" s="6" t="s">
        <v>738</v>
      </c>
      <c r="AC3" s="6" t="s">
        <v>738</v>
      </c>
      <c r="AD3" s="6" t="s">
        <v>738</v>
      </c>
      <c r="AE3" s="6" t="s">
        <v>738</v>
      </c>
    </row>
    <row r="4" customFormat="false" ht="12.95" hidden="false" customHeight="true" outlineLevel="0" collapsed="false">
      <c r="A4" s="1" t="s">
        <v>102</v>
      </c>
      <c r="B4" s="1" t="s">
        <v>779</v>
      </c>
      <c r="C4" s="1" t="s">
        <v>463</v>
      </c>
      <c r="X4" s="6" t="s">
        <v>738</v>
      </c>
      <c r="Y4" s="6" t="s">
        <v>738</v>
      </c>
      <c r="Z4" s="6" t="s">
        <v>738</v>
      </c>
      <c r="AA4" s="6" t="s">
        <v>738</v>
      </c>
      <c r="AB4" s="6" t="s">
        <v>738</v>
      </c>
      <c r="AC4" s="6" t="s">
        <v>738</v>
      </c>
      <c r="AD4" s="6" t="s">
        <v>738</v>
      </c>
      <c r="AE4" s="6" t="s">
        <v>738</v>
      </c>
    </row>
    <row r="5" customFormat="false" ht="12.95" hidden="false" customHeight="true" outlineLevel="1" collapsed="false">
      <c r="A5" s="1" t="s">
        <v>780</v>
      </c>
      <c r="B5" s="1" t="s">
        <v>781</v>
      </c>
      <c r="C5" s="1" t="s">
        <v>223</v>
      </c>
      <c r="X5" s="6" t="s">
        <v>782</v>
      </c>
      <c r="Y5" s="6" t="s">
        <v>783</v>
      </c>
      <c r="Z5" s="6" t="s">
        <v>784</v>
      </c>
      <c r="AA5" s="6" t="s">
        <v>785</v>
      </c>
      <c r="AB5" s="6" t="s">
        <v>786</v>
      </c>
      <c r="AC5" s="6" t="s">
        <v>787</v>
      </c>
      <c r="AD5" s="6" t="s">
        <v>788</v>
      </c>
      <c r="AE5" s="6" t="s">
        <v>741</v>
      </c>
    </row>
    <row r="6" customFormat="false" ht="12.95" hidden="false" customHeight="true" outlineLevel="3" collapsed="false">
      <c r="A6" s="1" t="s">
        <v>789</v>
      </c>
      <c r="B6" s="1" t="s">
        <v>781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790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791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X6" s="6" t="s">
        <v>793</v>
      </c>
      <c r="Y6" s="6" t="s">
        <v>794</v>
      </c>
      <c r="Z6" s="6" t="s">
        <v>795</v>
      </c>
      <c r="AA6" s="6" t="s">
        <v>796</v>
      </c>
      <c r="AB6" s="6" t="s">
        <v>786</v>
      </c>
      <c r="AC6" s="6" t="s">
        <v>797</v>
      </c>
      <c r="AD6" s="6" t="s">
        <v>798</v>
      </c>
      <c r="AE6" s="6" t="s">
        <v>741</v>
      </c>
    </row>
    <row r="7" customFormat="false" ht="12.95" hidden="false" customHeight="true" outlineLevel="3" collapsed="false">
      <c r="A7" s="1" t="s">
        <v>799</v>
      </c>
      <c r="B7" s="1" t="s">
        <v>781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790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791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7" s="6" t="s">
        <v>738</v>
      </c>
      <c r="Y7" s="6" t="s">
        <v>738</v>
      </c>
      <c r="Z7" s="6" t="s">
        <v>738</v>
      </c>
      <c r="AA7" s="6" t="s">
        <v>738</v>
      </c>
      <c r="AB7" s="6" t="s">
        <v>738</v>
      </c>
      <c r="AC7" s="6" t="s">
        <v>738</v>
      </c>
      <c r="AD7" s="6" t="s">
        <v>738</v>
      </c>
      <c r="AE7" s="6" t="s">
        <v>738</v>
      </c>
    </row>
    <row r="8" customFormat="false" ht="12.95" hidden="false" customHeight="true" outlineLevel="2" collapsed="false">
      <c r="A8" s="1" t="s">
        <v>800</v>
      </c>
      <c r="B8" s="1" t="s">
        <v>801</v>
      </c>
      <c r="C8" s="1" t="s">
        <v>223</v>
      </c>
      <c r="X8" s="6" t="s">
        <v>802</v>
      </c>
      <c r="Y8" s="6" t="s">
        <v>803</v>
      </c>
      <c r="Z8" s="6" t="s">
        <v>794</v>
      </c>
      <c r="AA8" s="6" t="s">
        <v>804</v>
      </c>
      <c r="AB8" s="6" t="s">
        <v>805</v>
      </c>
      <c r="AC8" s="6" t="s">
        <v>797</v>
      </c>
      <c r="AD8" s="6" t="s">
        <v>806</v>
      </c>
      <c r="AE8" s="6" t="s">
        <v>741</v>
      </c>
    </row>
    <row r="9" customFormat="false" ht="12.95" hidden="false" customHeight="true" outlineLevel="3" collapsed="false">
      <c r="A9" s="1" t="s">
        <v>807</v>
      </c>
      <c r="B9" s="1" t="s">
        <v>801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808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809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X9" s="6" t="s">
        <v>810</v>
      </c>
      <c r="Y9" s="6" t="s">
        <v>811</v>
      </c>
      <c r="Z9" s="6" t="s">
        <v>812</v>
      </c>
      <c r="AA9" s="6" t="s">
        <v>811</v>
      </c>
      <c r="AB9" s="6" t="s">
        <v>805</v>
      </c>
      <c r="AC9" s="6" t="s">
        <v>797</v>
      </c>
      <c r="AD9" s="6" t="s">
        <v>813</v>
      </c>
      <c r="AE9" s="6" t="s">
        <v>741</v>
      </c>
    </row>
    <row r="10" customFormat="false" ht="12.95" hidden="false" customHeight="true" outlineLevel="3" collapsed="false">
      <c r="A10" s="1" t="s">
        <v>814</v>
      </c>
      <c r="B10" s="1" t="s">
        <v>801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808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809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10" s="6" t="s">
        <v>738</v>
      </c>
      <c r="Y10" s="6" t="s">
        <v>738</v>
      </c>
      <c r="Z10" s="6" t="s">
        <v>738</v>
      </c>
      <c r="AA10" s="6" t="s">
        <v>738</v>
      </c>
      <c r="AB10" s="6" t="s">
        <v>738</v>
      </c>
      <c r="AC10" s="6" t="s">
        <v>738</v>
      </c>
      <c r="AD10" s="6" t="s">
        <v>738</v>
      </c>
      <c r="AE10" s="6" t="s">
        <v>738</v>
      </c>
    </row>
    <row r="11" customFormat="false" ht="12.95" hidden="false" customHeight="true" outlineLevel="2" collapsed="false">
      <c r="A11" s="1" t="s">
        <v>815</v>
      </c>
      <c r="B11" s="1" t="s">
        <v>816</v>
      </c>
      <c r="C11" s="1" t="s">
        <v>223</v>
      </c>
      <c r="X11" s="6" t="s">
        <v>817</v>
      </c>
      <c r="Y11" s="6" t="s">
        <v>818</v>
      </c>
      <c r="Z11" s="6" t="s">
        <v>794</v>
      </c>
      <c r="AA11" s="6" t="s">
        <v>819</v>
      </c>
      <c r="AB11" s="6" t="s">
        <v>820</v>
      </c>
      <c r="AC11" s="6" t="s">
        <v>797</v>
      </c>
      <c r="AD11" s="6" t="s">
        <v>821</v>
      </c>
      <c r="AE11" s="6" t="s">
        <v>741</v>
      </c>
    </row>
    <row r="12" customFormat="false" ht="12.95" hidden="false" customHeight="true" outlineLevel="3" collapsed="false">
      <c r="A12" s="1" t="s">
        <v>822</v>
      </c>
      <c r="B12" s="1" t="s">
        <v>816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823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824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X12" s="6" t="s">
        <v>825</v>
      </c>
      <c r="Y12" s="6" t="s">
        <v>826</v>
      </c>
      <c r="Z12" s="6" t="s">
        <v>812</v>
      </c>
      <c r="AA12" s="6" t="s">
        <v>826</v>
      </c>
      <c r="AB12" s="6" t="s">
        <v>820</v>
      </c>
      <c r="AC12" s="6" t="s">
        <v>797</v>
      </c>
      <c r="AD12" s="6" t="s">
        <v>813</v>
      </c>
      <c r="AE12" s="6" t="s">
        <v>741</v>
      </c>
    </row>
    <row r="13" customFormat="false" ht="12.95" hidden="false" customHeight="true" outlineLevel="3" collapsed="false">
      <c r="A13" s="1" t="s">
        <v>827</v>
      </c>
      <c r="B13" s="1" t="s">
        <v>816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823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824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6" t="s">
        <v>738</v>
      </c>
      <c r="Y13" s="6" t="s">
        <v>738</v>
      </c>
      <c r="Z13" s="6" t="s">
        <v>738</v>
      </c>
      <c r="AA13" s="6" t="s">
        <v>738</v>
      </c>
      <c r="AB13" s="6" t="s">
        <v>738</v>
      </c>
      <c r="AC13" s="6" t="s">
        <v>738</v>
      </c>
      <c r="AD13" s="6" t="s">
        <v>738</v>
      </c>
      <c r="AE13" s="6" t="s">
        <v>738</v>
      </c>
    </row>
    <row r="14" customFormat="false" ht="12.95" hidden="false" customHeight="true" outlineLevel="1" collapsed="false">
      <c r="A14" s="1" t="s">
        <v>828</v>
      </c>
      <c r="B14" s="1" t="s">
        <v>781</v>
      </c>
      <c r="C14" s="1" t="s">
        <v>711</v>
      </c>
      <c r="G14" s="13"/>
      <c r="X14" s="6" t="s">
        <v>829</v>
      </c>
      <c r="Y14" s="6" t="s">
        <v>830</v>
      </c>
      <c r="Z14" s="6" t="s">
        <v>831</v>
      </c>
      <c r="AA14" s="6" t="s">
        <v>832</v>
      </c>
      <c r="AB14" s="6" t="s">
        <v>786</v>
      </c>
      <c r="AC14" s="6" t="s">
        <v>833</v>
      </c>
      <c r="AD14" s="6" t="s">
        <v>834</v>
      </c>
      <c r="AE14" s="6" t="s">
        <v>741</v>
      </c>
    </row>
    <row r="15" customFormat="false" ht="12.95" hidden="false" customHeight="true" outlineLevel="3" collapsed="false">
      <c r="A15" s="1" t="s">
        <v>835</v>
      </c>
      <c r="B15" s="1" t="s">
        <v>781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790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791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X15" s="6" t="s">
        <v>836</v>
      </c>
      <c r="Y15" s="6" t="s">
        <v>837</v>
      </c>
      <c r="Z15" s="6" t="s">
        <v>838</v>
      </c>
      <c r="AA15" s="6" t="s">
        <v>839</v>
      </c>
      <c r="AB15" s="6" t="s">
        <v>786</v>
      </c>
      <c r="AC15" s="6" t="s">
        <v>797</v>
      </c>
      <c r="AD15" s="6" t="s">
        <v>840</v>
      </c>
      <c r="AE15" s="6" t="s">
        <v>741</v>
      </c>
    </row>
    <row r="16" customFormat="false" ht="12.95" hidden="false" customHeight="true" outlineLevel="3" collapsed="false">
      <c r="A16" s="1" t="s">
        <v>841</v>
      </c>
      <c r="B16" s="1" t="s">
        <v>781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790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791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16" s="6" t="s">
        <v>738</v>
      </c>
      <c r="Y16" s="6" t="s">
        <v>738</v>
      </c>
      <c r="Z16" s="6" t="s">
        <v>738</v>
      </c>
      <c r="AA16" s="6" t="s">
        <v>738</v>
      </c>
      <c r="AB16" s="6" t="s">
        <v>738</v>
      </c>
      <c r="AC16" s="6" t="s">
        <v>738</v>
      </c>
      <c r="AD16" s="6" t="s">
        <v>738</v>
      </c>
      <c r="AE16" s="6" t="s">
        <v>738</v>
      </c>
    </row>
    <row r="17" customFormat="false" ht="12.95" hidden="false" customHeight="true" outlineLevel="2" collapsed="false">
      <c r="A17" s="1" t="s">
        <v>847</v>
      </c>
      <c r="B17" s="1" t="s">
        <v>801</v>
      </c>
      <c r="C17" s="1" t="s">
        <v>711</v>
      </c>
      <c r="G17" s="13"/>
      <c r="X17" s="6" t="s">
        <v>848</v>
      </c>
      <c r="Y17" s="6" t="s">
        <v>849</v>
      </c>
      <c r="Z17" s="6" t="s">
        <v>837</v>
      </c>
      <c r="AA17" s="6" t="s">
        <v>850</v>
      </c>
      <c r="AB17" s="6" t="s">
        <v>805</v>
      </c>
      <c r="AC17" s="6" t="s">
        <v>797</v>
      </c>
      <c r="AD17" s="6" t="s">
        <v>851</v>
      </c>
      <c r="AE17" s="6" t="s">
        <v>741</v>
      </c>
    </row>
    <row r="18" customFormat="false" ht="12.95" hidden="false" customHeight="true" outlineLevel="3" collapsed="false">
      <c r="A18" s="1" t="s">
        <v>852</v>
      </c>
      <c r="B18" s="1" t="s">
        <v>801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808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809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  <c r="X18" s="6" t="s">
        <v>853</v>
      </c>
      <c r="Y18" s="6" t="s">
        <v>854</v>
      </c>
      <c r="Z18" s="6" t="s">
        <v>855</v>
      </c>
      <c r="AA18" s="6" t="s">
        <v>797</v>
      </c>
      <c r="AB18" s="6" t="s">
        <v>805</v>
      </c>
      <c r="AC18" s="6" t="s">
        <v>797</v>
      </c>
      <c r="AD18" s="6" t="s">
        <v>813</v>
      </c>
      <c r="AE18" s="6" t="s">
        <v>741</v>
      </c>
    </row>
    <row r="19" customFormat="false" ht="12.95" hidden="false" customHeight="true" outlineLevel="3" collapsed="false">
      <c r="A19" s="1" t="s">
        <v>856</v>
      </c>
      <c r="B19" s="1" t="s">
        <v>801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808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809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19" s="6" t="s">
        <v>738</v>
      </c>
      <c r="Y19" s="6" t="s">
        <v>738</v>
      </c>
      <c r="Z19" s="6" t="s">
        <v>738</v>
      </c>
      <c r="AA19" s="6" t="s">
        <v>738</v>
      </c>
      <c r="AB19" s="6" t="s">
        <v>738</v>
      </c>
      <c r="AC19" s="6" t="s">
        <v>738</v>
      </c>
      <c r="AD19" s="6" t="s">
        <v>738</v>
      </c>
      <c r="AE19" s="6" t="s">
        <v>738</v>
      </c>
    </row>
    <row r="20" customFormat="false" ht="12.95" hidden="false" customHeight="true" outlineLevel="2" collapsed="false">
      <c r="A20" s="1" t="s">
        <v>857</v>
      </c>
      <c r="B20" s="1" t="s">
        <v>816</v>
      </c>
      <c r="C20" s="1" t="s">
        <v>711</v>
      </c>
      <c r="G20" s="13"/>
      <c r="X20" s="6" t="s">
        <v>858</v>
      </c>
      <c r="Y20" s="6" t="s">
        <v>859</v>
      </c>
      <c r="Z20" s="6" t="s">
        <v>837</v>
      </c>
      <c r="AA20" s="6" t="s">
        <v>819</v>
      </c>
      <c r="AB20" s="6" t="s">
        <v>820</v>
      </c>
      <c r="AC20" s="6" t="s">
        <v>797</v>
      </c>
      <c r="AD20" s="6" t="s">
        <v>860</v>
      </c>
      <c r="AE20" s="6" t="s">
        <v>741</v>
      </c>
    </row>
    <row r="21" customFormat="false" ht="12.95" hidden="false" customHeight="true" outlineLevel="3" collapsed="false">
      <c r="A21" s="1" t="s">
        <v>861</v>
      </c>
      <c r="B21" s="1" t="s">
        <v>816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823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824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6" t="s">
        <v>862</v>
      </c>
      <c r="Y21" s="6" t="s">
        <v>863</v>
      </c>
      <c r="Z21" s="6" t="s">
        <v>855</v>
      </c>
      <c r="AA21" s="6" t="s">
        <v>797</v>
      </c>
      <c r="AB21" s="6" t="s">
        <v>820</v>
      </c>
      <c r="AC21" s="6" t="s">
        <v>797</v>
      </c>
      <c r="AD21" s="6" t="s">
        <v>813</v>
      </c>
      <c r="AE21" s="6" t="s">
        <v>741</v>
      </c>
    </row>
    <row r="22" customFormat="false" ht="12.95" hidden="false" customHeight="true" outlineLevel="3" collapsed="false">
      <c r="A22" s="1" t="s">
        <v>864</v>
      </c>
      <c r="B22" s="1" t="s">
        <v>816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823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824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22" s="6" t="s">
        <v>738</v>
      </c>
      <c r="Y22" s="6" t="s">
        <v>738</v>
      </c>
      <c r="Z22" s="6" t="s">
        <v>738</v>
      </c>
      <c r="AA22" s="6" t="s">
        <v>738</v>
      </c>
      <c r="AB22" s="6" t="s">
        <v>738</v>
      </c>
      <c r="AC22" s="6" t="s">
        <v>738</v>
      </c>
      <c r="AD22" s="6" t="s">
        <v>738</v>
      </c>
      <c r="AE22" s="6" t="s">
        <v>738</v>
      </c>
    </row>
    <row r="23" customFormat="false" ht="12.95" hidden="false" customHeight="true" outlineLevel="1" collapsed="false">
      <c r="A23" s="1" t="s">
        <v>865</v>
      </c>
      <c r="B23" s="1" t="s">
        <v>781</v>
      </c>
      <c r="C23" s="1" t="s">
        <v>719</v>
      </c>
      <c r="G23" s="13"/>
      <c r="X23" s="6" t="s">
        <v>866</v>
      </c>
      <c r="Y23" s="6" t="s">
        <v>867</v>
      </c>
      <c r="Z23" s="6" t="s">
        <v>868</v>
      </c>
      <c r="AA23" s="6" t="s">
        <v>869</v>
      </c>
      <c r="AB23" s="6" t="s">
        <v>786</v>
      </c>
      <c r="AC23" s="6" t="s">
        <v>870</v>
      </c>
      <c r="AD23" s="6" t="s">
        <v>871</v>
      </c>
      <c r="AE23" s="6" t="s">
        <v>741</v>
      </c>
    </row>
    <row r="24" customFormat="false" ht="12.95" hidden="false" customHeight="true" outlineLevel="3" collapsed="false">
      <c r="A24" s="1" t="s">
        <v>872</v>
      </c>
      <c r="B24" s="1" t="s">
        <v>781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790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791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  <c r="X24" s="6" t="s">
        <v>873</v>
      </c>
      <c r="Y24" s="6" t="s">
        <v>874</v>
      </c>
      <c r="Z24" s="6" t="s">
        <v>812</v>
      </c>
      <c r="AA24" s="6" t="s">
        <v>875</v>
      </c>
      <c r="AB24" s="6" t="s">
        <v>786</v>
      </c>
      <c r="AC24" s="6" t="s">
        <v>797</v>
      </c>
      <c r="AD24" s="6" t="s">
        <v>876</v>
      </c>
      <c r="AE24" s="6" t="s">
        <v>741</v>
      </c>
    </row>
    <row r="25" customFormat="false" ht="12.95" hidden="false" customHeight="true" outlineLevel="3" collapsed="false">
      <c r="A25" s="1" t="s">
        <v>877</v>
      </c>
      <c r="B25" s="1" t="s">
        <v>781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790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791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25" s="6" t="s">
        <v>738</v>
      </c>
      <c r="Y25" s="6" t="s">
        <v>738</v>
      </c>
      <c r="Z25" s="6" t="s">
        <v>738</v>
      </c>
      <c r="AA25" s="6" t="s">
        <v>738</v>
      </c>
      <c r="AB25" s="6" t="s">
        <v>738</v>
      </c>
      <c r="AC25" s="6" t="s">
        <v>738</v>
      </c>
      <c r="AD25" s="6" t="s">
        <v>738</v>
      </c>
      <c r="AE25" s="6" t="s">
        <v>738</v>
      </c>
    </row>
    <row r="26" customFormat="false" ht="12.95" hidden="false" customHeight="true" outlineLevel="2" collapsed="false">
      <c r="A26" s="1" t="s">
        <v>883</v>
      </c>
      <c r="B26" s="1" t="s">
        <v>801</v>
      </c>
      <c r="C26" s="1" t="s">
        <v>719</v>
      </c>
      <c r="G26" s="13"/>
      <c r="X26" s="6" t="s">
        <v>884</v>
      </c>
      <c r="Y26" s="6" t="s">
        <v>885</v>
      </c>
      <c r="Z26" s="6" t="s">
        <v>874</v>
      </c>
      <c r="AA26" s="6" t="s">
        <v>886</v>
      </c>
      <c r="AB26" s="6" t="s">
        <v>805</v>
      </c>
      <c r="AC26" s="6" t="s">
        <v>797</v>
      </c>
      <c r="AD26" s="6" t="s">
        <v>887</v>
      </c>
      <c r="AE26" s="6" t="s">
        <v>741</v>
      </c>
    </row>
    <row r="27" customFormat="false" ht="12.95" hidden="false" customHeight="true" outlineLevel="3" collapsed="false">
      <c r="A27" s="1" t="s">
        <v>888</v>
      </c>
      <c r="B27" s="1" t="s">
        <v>801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808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809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  <c r="X27" s="6" t="s">
        <v>889</v>
      </c>
      <c r="Y27" s="6" t="s">
        <v>890</v>
      </c>
      <c r="Z27" s="6" t="s">
        <v>891</v>
      </c>
      <c r="AA27" s="6" t="s">
        <v>797</v>
      </c>
      <c r="AB27" s="6" t="s">
        <v>805</v>
      </c>
      <c r="AC27" s="6" t="s">
        <v>797</v>
      </c>
      <c r="AD27" s="6" t="s">
        <v>813</v>
      </c>
      <c r="AE27" s="6" t="s">
        <v>741</v>
      </c>
    </row>
    <row r="28" customFormat="false" ht="12.95" hidden="false" customHeight="true" outlineLevel="3" collapsed="false">
      <c r="A28" s="1" t="s">
        <v>892</v>
      </c>
      <c r="B28" s="1" t="s">
        <v>801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808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809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28" s="6" t="s">
        <v>738</v>
      </c>
      <c r="Y28" s="6" t="s">
        <v>738</v>
      </c>
      <c r="Z28" s="6" t="s">
        <v>738</v>
      </c>
      <c r="AA28" s="6" t="s">
        <v>738</v>
      </c>
      <c r="AB28" s="6" t="s">
        <v>738</v>
      </c>
      <c r="AC28" s="6" t="s">
        <v>738</v>
      </c>
      <c r="AD28" s="6" t="s">
        <v>738</v>
      </c>
      <c r="AE28" s="6" t="s">
        <v>738</v>
      </c>
    </row>
    <row r="29" customFormat="false" ht="12.95" hidden="false" customHeight="true" outlineLevel="2" collapsed="false">
      <c r="A29" s="1" t="s">
        <v>893</v>
      </c>
      <c r="B29" s="1" t="s">
        <v>816</v>
      </c>
      <c r="C29" s="1" t="s">
        <v>719</v>
      </c>
      <c r="G29" s="13"/>
      <c r="X29" s="6" t="s">
        <v>894</v>
      </c>
      <c r="Y29" s="6" t="s">
        <v>895</v>
      </c>
      <c r="Z29" s="6" t="s">
        <v>874</v>
      </c>
      <c r="AA29" s="6" t="s">
        <v>896</v>
      </c>
      <c r="AB29" s="6" t="s">
        <v>820</v>
      </c>
      <c r="AC29" s="6" t="s">
        <v>797</v>
      </c>
      <c r="AD29" s="6" t="s">
        <v>897</v>
      </c>
      <c r="AE29" s="6" t="s">
        <v>741</v>
      </c>
    </row>
    <row r="30" customFormat="false" ht="12.95" hidden="false" customHeight="true" outlineLevel="3" collapsed="false">
      <c r="A30" s="1" t="s">
        <v>898</v>
      </c>
      <c r="B30" s="1" t="s">
        <v>816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823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824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  <c r="X30" s="6" t="s">
        <v>899</v>
      </c>
      <c r="Y30" s="6" t="s">
        <v>900</v>
      </c>
      <c r="Z30" s="6" t="s">
        <v>891</v>
      </c>
      <c r="AA30" s="6" t="s">
        <v>797</v>
      </c>
      <c r="AB30" s="6" t="s">
        <v>820</v>
      </c>
      <c r="AC30" s="6" t="s">
        <v>797</v>
      </c>
      <c r="AD30" s="6" t="s">
        <v>813</v>
      </c>
      <c r="AE30" s="6" t="s">
        <v>741</v>
      </c>
    </row>
    <row r="31" customFormat="false" ht="12.95" hidden="false" customHeight="true" outlineLevel="3" collapsed="false">
      <c r="A31" s="1" t="s">
        <v>901</v>
      </c>
      <c r="B31" s="1" t="s">
        <v>816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823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824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31" s="6" t="s">
        <v>738</v>
      </c>
      <c r="Y31" s="6" t="s">
        <v>738</v>
      </c>
      <c r="Z31" s="6" t="s">
        <v>738</v>
      </c>
      <c r="AA31" s="6" t="s">
        <v>738</v>
      </c>
      <c r="AB31" s="6" t="s">
        <v>738</v>
      </c>
      <c r="AC31" s="6" t="s">
        <v>738</v>
      </c>
      <c r="AD31" s="6" t="s">
        <v>738</v>
      </c>
      <c r="AE31" s="6" t="s">
        <v>738</v>
      </c>
    </row>
    <row r="32" customFormat="false" ht="12.95" hidden="false" customHeight="true" outlineLevel="1" collapsed="false">
      <c r="A32" s="1" t="s">
        <v>902</v>
      </c>
      <c r="B32" s="1" t="s">
        <v>781</v>
      </c>
      <c r="C32" s="1" t="s">
        <v>731</v>
      </c>
      <c r="G32" s="13"/>
      <c r="X32" s="6" t="s">
        <v>903</v>
      </c>
      <c r="Y32" s="6" t="s">
        <v>904</v>
      </c>
      <c r="Z32" s="6" t="s">
        <v>868</v>
      </c>
      <c r="AA32" s="6" t="s">
        <v>905</v>
      </c>
      <c r="AB32" s="6" t="s">
        <v>786</v>
      </c>
      <c r="AC32" s="6" t="s">
        <v>906</v>
      </c>
      <c r="AD32" s="6" t="s">
        <v>907</v>
      </c>
      <c r="AE32" s="6" t="s">
        <v>741</v>
      </c>
    </row>
    <row r="33" customFormat="false" ht="12.95" hidden="false" customHeight="true" outlineLevel="3" collapsed="false">
      <c r="A33" s="1" t="s">
        <v>908</v>
      </c>
      <c r="B33" s="1" t="s">
        <v>781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790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791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X33" s="6" t="s">
        <v>909</v>
      </c>
      <c r="Y33" s="6" t="s">
        <v>910</v>
      </c>
      <c r="Z33" s="6" t="s">
        <v>812</v>
      </c>
      <c r="AA33" s="6" t="s">
        <v>911</v>
      </c>
      <c r="AB33" s="6" t="s">
        <v>786</v>
      </c>
      <c r="AC33" s="6" t="s">
        <v>797</v>
      </c>
      <c r="AD33" s="6" t="s">
        <v>912</v>
      </c>
      <c r="AE33" s="6" t="s">
        <v>741</v>
      </c>
    </row>
    <row r="34" customFormat="false" ht="12.95" hidden="false" customHeight="true" outlineLevel="3" collapsed="false">
      <c r="A34" s="1" t="s">
        <v>913</v>
      </c>
      <c r="B34" s="1" t="s">
        <v>781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790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791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34" s="6" t="s">
        <v>738</v>
      </c>
      <c r="Y34" s="6" t="s">
        <v>738</v>
      </c>
      <c r="Z34" s="6" t="s">
        <v>738</v>
      </c>
      <c r="AA34" s="6" t="s">
        <v>738</v>
      </c>
      <c r="AB34" s="6" t="s">
        <v>738</v>
      </c>
      <c r="AC34" s="6" t="s">
        <v>738</v>
      </c>
      <c r="AD34" s="6" t="s">
        <v>738</v>
      </c>
      <c r="AE34" s="6" t="s">
        <v>738</v>
      </c>
    </row>
    <row r="35" customFormat="false" ht="12.95" hidden="false" customHeight="true" outlineLevel="2" collapsed="false">
      <c r="A35" s="1" t="s">
        <v>919</v>
      </c>
      <c r="B35" s="1" t="s">
        <v>801</v>
      </c>
      <c r="C35" s="1" t="s">
        <v>731</v>
      </c>
      <c r="G35" s="13"/>
      <c r="X35" s="6" t="s">
        <v>920</v>
      </c>
      <c r="Y35" s="6" t="s">
        <v>921</v>
      </c>
      <c r="Z35" s="6" t="s">
        <v>910</v>
      </c>
      <c r="AA35" s="6" t="s">
        <v>922</v>
      </c>
      <c r="AB35" s="6" t="s">
        <v>805</v>
      </c>
      <c r="AC35" s="6" t="s">
        <v>797</v>
      </c>
      <c r="AD35" s="6" t="s">
        <v>923</v>
      </c>
      <c r="AE35" s="6" t="s">
        <v>741</v>
      </c>
    </row>
    <row r="36" customFormat="false" ht="12.95" hidden="false" customHeight="true" outlineLevel="3" collapsed="false">
      <c r="A36" s="1" t="s">
        <v>924</v>
      </c>
      <c r="B36" s="1" t="s">
        <v>801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808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809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X36" s="6" t="s">
        <v>925</v>
      </c>
      <c r="Y36" s="6" t="s">
        <v>926</v>
      </c>
      <c r="Z36" s="6" t="s">
        <v>927</v>
      </c>
      <c r="AA36" s="6" t="s">
        <v>797</v>
      </c>
      <c r="AB36" s="6" t="s">
        <v>805</v>
      </c>
      <c r="AC36" s="6" t="s">
        <v>797</v>
      </c>
      <c r="AD36" s="6" t="s">
        <v>813</v>
      </c>
      <c r="AE36" s="6" t="s">
        <v>741</v>
      </c>
    </row>
    <row r="37" customFormat="false" ht="12.95" hidden="false" customHeight="true" outlineLevel="3" collapsed="false">
      <c r="A37" s="1" t="s">
        <v>928</v>
      </c>
      <c r="B37" s="1" t="s">
        <v>801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808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809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37" s="6" t="s">
        <v>738</v>
      </c>
      <c r="Y37" s="6" t="s">
        <v>738</v>
      </c>
      <c r="Z37" s="6" t="s">
        <v>738</v>
      </c>
      <c r="AA37" s="6" t="s">
        <v>738</v>
      </c>
      <c r="AB37" s="6" t="s">
        <v>738</v>
      </c>
      <c r="AC37" s="6" t="s">
        <v>738</v>
      </c>
      <c r="AD37" s="6" t="s">
        <v>738</v>
      </c>
      <c r="AE37" s="6" t="s">
        <v>738</v>
      </c>
    </row>
    <row r="38" customFormat="false" ht="12.95" hidden="false" customHeight="true" outlineLevel="2" collapsed="false">
      <c r="A38" s="1" t="s">
        <v>929</v>
      </c>
      <c r="B38" s="1" t="s">
        <v>816</v>
      </c>
      <c r="C38" s="1" t="s">
        <v>731</v>
      </c>
      <c r="G38" s="13"/>
      <c r="X38" s="6" t="s">
        <v>930</v>
      </c>
      <c r="Y38" s="6" t="s">
        <v>931</v>
      </c>
      <c r="Z38" s="6" t="s">
        <v>910</v>
      </c>
      <c r="AA38" s="6" t="s">
        <v>932</v>
      </c>
      <c r="AB38" s="6" t="s">
        <v>820</v>
      </c>
      <c r="AC38" s="6" t="s">
        <v>797</v>
      </c>
      <c r="AD38" s="6" t="s">
        <v>933</v>
      </c>
      <c r="AE38" s="6" t="s">
        <v>741</v>
      </c>
    </row>
    <row r="39" customFormat="false" ht="12.95" hidden="false" customHeight="true" outlineLevel="3" collapsed="false">
      <c r="A39" s="1" t="s">
        <v>934</v>
      </c>
      <c r="B39" s="1" t="s">
        <v>816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823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824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X39" s="6" t="s">
        <v>935</v>
      </c>
      <c r="Y39" s="6" t="s">
        <v>936</v>
      </c>
      <c r="Z39" s="6" t="s">
        <v>927</v>
      </c>
      <c r="AA39" s="6" t="s">
        <v>797</v>
      </c>
      <c r="AB39" s="6" t="s">
        <v>820</v>
      </c>
      <c r="AC39" s="6" t="s">
        <v>797</v>
      </c>
      <c r="AD39" s="6" t="s">
        <v>813</v>
      </c>
      <c r="AE39" s="6" t="s">
        <v>741</v>
      </c>
    </row>
    <row r="40" customFormat="false" ht="12.95" hidden="false" customHeight="true" outlineLevel="3" collapsed="false">
      <c r="A40" s="1" t="s">
        <v>937</v>
      </c>
      <c r="B40" s="1" t="s">
        <v>816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823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824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40" s="6"/>
      <c r="Y40" s="6"/>
      <c r="Z40" s="6"/>
      <c r="AA40" s="6"/>
      <c r="AB40" s="6"/>
      <c r="AC40" s="6"/>
      <c r="AD40" s="6"/>
      <c r="AE40" s="6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41" s="5"/>
      <c r="Y41" s="5"/>
      <c r="Z41" s="5"/>
      <c r="AA41" s="5"/>
      <c r="AB41" s="5"/>
      <c r="AC41" s="5"/>
      <c r="AD41" s="5"/>
      <c r="AE41" s="5"/>
    </row>
    <row r="42" customFormat="false" ht="12.95" hidden="false" customHeight="true" outlineLevel="0" collapsed="false">
      <c r="A42" s="1" t="s">
        <v>104</v>
      </c>
      <c r="B42" s="1" t="s">
        <v>779</v>
      </c>
      <c r="C42" s="1" t="s">
        <v>550</v>
      </c>
      <c r="X42" s="6" t="s">
        <v>738</v>
      </c>
      <c r="Y42" s="6" t="s">
        <v>738</v>
      </c>
      <c r="Z42" s="6" t="s">
        <v>738</v>
      </c>
      <c r="AA42" s="6" t="s">
        <v>738</v>
      </c>
      <c r="AB42" s="6" t="s">
        <v>738</v>
      </c>
      <c r="AC42" s="6" t="s">
        <v>738</v>
      </c>
      <c r="AD42" s="6" t="s">
        <v>738</v>
      </c>
      <c r="AE42" s="6" t="s">
        <v>738</v>
      </c>
    </row>
    <row r="43" customFormat="false" ht="12.95" hidden="false" customHeight="true" outlineLevel="1" collapsed="false">
      <c r="A43" s="1" t="s">
        <v>938</v>
      </c>
      <c r="B43" s="1" t="s">
        <v>781</v>
      </c>
      <c r="C43" s="1" t="s">
        <v>312</v>
      </c>
      <c r="X43" s="6" t="s">
        <v>738</v>
      </c>
      <c r="Y43" s="6" t="s">
        <v>738</v>
      </c>
      <c r="Z43" s="6" t="s">
        <v>738</v>
      </c>
      <c r="AA43" s="6" t="s">
        <v>738</v>
      </c>
      <c r="AB43" s="6" t="s">
        <v>738</v>
      </c>
      <c r="AC43" s="6" t="s">
        <v>738</v>
      </c>
      <c r="AD43" s="6" t="s">
        <v>738</v>
      </c>
      <c r="AE43" s="6" t="s">
        <v>738</v>
      </c>
    </row>
    <row r="44" customFormat="false" ht="12.95" hidden="false" customHeight="true" outlineLevel="3" collapsed="false">
      <c r="A44" s="1" t="s">
        <v>939</v>
      </c>
      <c r="B44" s="1" t="s">
        <v>781</v>
      </c>
      <c r="C44" s="1" t="s">
        <v>314</v>
      </c>
      <c r="D44" s="1" t="s">
        <v>316</v>
      </c>
      <c r="E44" s="1" t="s">
        <v>281</v>
      </c>
      <c r="F44" s="2" t="s">
        <v>233</v>
      </c>
      <c r="G44" s="18" t="s">
        <v>790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791</v>
      </c>
      <c r="K44" s="2" t="s">
        <v>792</v>
      </c>
      <c r="L44" s="1" t="s">
        <v>318</v>
      </c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X44" s="6" t="s">
        <v>940</v>
      </c>
      <c r="Y44" s="6" t="s">
        <v>941</v>
      </c>
      <c r="Z44" s="6" t="s">
        <v>942</v>
      </c>
      <c r="AA44" s="6" t="s">
        <v>943</v>
      </c>
      <c r="AB44" s="6" t="s">
        <v>786</v>
      </c>
      <c r="AC44" s="6" t="s">
        <v>944</v>
      </c>
      <c r="AD44" s="6" t="s">
        <v>945</v>
      </c>
      <c r="AE44" s="6" t="s">
        <v>741</v>
      </c>
    </row>
    <row r="45" customFormat="false" ht="12.95" hidden="false" customHeight="true" outlineLevel="3" collapsed="false">
      <c r="A45" s="1" t="s">
        <v>946</v>
      </c>
      <c r="B45" s="1" t="s">
        <v>781</v>
      </c>
      <c r="C45" s="1" t="s">
        <v>343</v>
      </c>
      <c r="D45" s="1" t="s">
        <v>316</v>
      </c>
      <c r="E45" s="1" t="s">
        <v>281</v>
      </c>
      <c r="F45" s="2" t="s">
        <v>947</v>
      </c>
      <c r="G45" s="18" t="s">
        <v>790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791</v>
      </c>
      <c r="K45" s="2" t="s">
        <v>792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45" s="6" t="s">
        <v>948</v>
      </c>
      <c r="Y45" s="6" t="s">
        <v>949</v>
      </c>
      <c r="Z45" s="6" t="s">
        <v>950</v>
      </c>
      <c r="AA45" s="6" t="s">
        <v>951</v>
      </c>
      <c r="AB45" s="6" t="s">
        <v>786</v>
      </c>
      <c r="AC45" s="6" t="s">
        <v>797</v>
      </c>
      <c r="AD45" s="6" t="s">
        <v>952</v>
      </c>
      <c r="AE45" s="6" t="s">
        <v>741</v>
      </c>
    </row>
    <row r="46" customFormat="false" ht="12.95" hidden="false" customHeight="true" outlineLevel="2" collapsed="false">
      <c r="A46" s="1" t="s">
        <v>953</v>
      </c>
      <c r="B46" s="1" t="s">
        <v>801</v>
      </c>
      <c r="C46" s="1" t="s">
        <v>312</v>
      </c>
      <c r="X46" s="6" t="s">
        <v>738</v>
      </c>
      <c r="Y46" s="6" t="s">
        <v>738</v>
      </c>
      <c r="Z46" s="6" t="s">
        <v>738</v>
      </c>
      <c r="AA46" s="6" t="s">
        <v>738</v>
      </c>
      <c r="AB46" s="6" t="s">
        <v>738</v>
      </c>
      <c r="AC46" s="6" t="s">
        <v>738</v>
      </c>
      <c r="AD46" s="6" t="s">
        <v>738</v>
      </c>
      <c r="AE46" s="6" t="s">
        <v>738</v>
      </c>
    </row>
    <row r="47" customFormat="false" ht="12.95" hidden="false" customHeight="true" outlineLevel="3" collapsed="false">
      <c r="A47" s="1" t="s">
        <v>954</v>
      </c>
      <c r="B47" s="1" t="s">
        <v>801</v>
      </c>
      <c r="C47" s="1" t="s">
        <v>314</v>
      </c>
      <c r="D47" s="1" t="s">
        <v>316</v>
      </c>
      <c r="E47" s="1" t="s">
        <v>281</v>
      </c>
      <c r="F47" s="2" t="s">
        <v>233</v>
      </c>
      <c r="G47" s="18" t="s">
        <v>808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809</v>
      </c>
      <c r="K47" s="2" t="s">
        <v>792</v>
      </c>
      <c r="L47" s="1" t="s">
        <v>318</v>
      </c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  <c r="X47" s="6" t="s">
        <v>955</v>
      </c>
      <c r="Y47" s="6" t="s">
        <v>956</v>
      </c>
      <c r="Z47" s="6" t="s">
        <v>949</v>
      </c>
      <c r="AA47" s="6" t="s">
        <v>957</v>
      </c>
      <c r="AB47" s="6" t="s">
        <v>805</v>
      </c>
      <c r="AC47" s="6" t="s">
        <v>797</v>
      </c>
      <c r="AD47" s="6" t="s">
        <v>958</v>
      </c>
      <c r="AE47" s="6" t="s">
        <v>741</v>
      </c>
    </row>
    <row r="48" customFormat="false" ht="12.95" hidden="false" customHeight="true" outlineLevel="3" collapsed="false">
      <c r="A48" s="1" t="s">
        <v>959</v>
      </c>
      <c r="B48" s="1" t="s">
        <v>801</v>
      </c>
      <c r="C48" s="1" t="s">
        <v>343</v>
      </c>
      <c r="D48" s="1" t="s">
        <v>316</v>
      </c>
      <c r="E48" s="1" t="s">
        <v>281</v>
      </c>
      <c r="F48" s="2" t="s">
        <v>947</v>
      </c>
      <c r="G48" s="18" t="s">
        <v>808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809</v>
      </c>
      <c r="K48" s="2" t="s">
        <v>792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48" s="6" t="s">
        <v>960</v>
      </c>
      <c r="Y48" s="6" t="s">
        <v>961</v>
      </c>
      <c r="Z48" s="6" t="s">
        <v>962</v>
      </c>
      <c r="AA48" s="6" t="s">
        <v>961</v>
      </c>
      <c r="AB48" s="6" t="s">
        <v>805</v>
      </c>
      <c r="AC48" s="6" t="s">
        <v>797</v>
      </c>
      <c r="AD48" s="6" t="s">
        <v>963</v>
      </c>
      <c r="AE48" s="6" t="s">
        <v>741</v>
      </c>
    </row>
    <row r="49" customFormat="false" ht="12.95" hidden="false" customHeight="true" outlineLevel="2" collapsed="false">
      <c r="A49" s="1" t="s">
        <v>964</v>
      </c>
      <c r="B49" s="1" t="s">
        <v>816</v>
      </c>
      <c r="C49" s="1" t="s">
        <v>312</v>
      </c>
      <c r="X49" s="6" t="s">
        <v>738</v>
      </c>
      <c r="Y49" s="6" t="s">
        <v>738</v>
      </c>
      <c r="Z49" s="6" t="s">
        <v>738</v>
      </c>
      <c r="AA49" s="6" t="s">
        <v>738</v>
      </c>
      <c r="AB49" s="6" t="s">
        <v>738</v>
      </c>
      <c r="AC49" s="6" t="s">
        <v>738</v>
      </c>
      <c r="AD49" s="6" t="s">
        <v>738</v>
      </c>
      <c r="AE49" s="6" t="s">
        <v>738</v>
      </c>
    </row>
    <row r="50" customFormat="false" ht="12.95" hidden="false" customHeight="true" outlineLevel="3" collapsed="false">
      <c r="A50" s="1" t="s">
        <v>965</v>
      </c>
      <c r="B50" s="1" t="s">
        <v>816</v>
      </c>
      <c r="C50" s="1" t="s">
        <v>314</v>
      </c>
      <c r="D50" s="1" t="s">
        <v>316</v>
      </c>
      <c r="E50" s="1" t="s">
        <v>281</v>
      </c>
      <c r="F50" s="2" t="s">
        <v>233</v>
      </c>
      <c r="G50" s="18" t="s">
        <v>823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824</v>
      </c>
      <c r="K50" s="2" t="s">
        <v>792</v>
      </c>
      <c r="L50" s="1" t="s">
        <v>318</v>
      </c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  <c r="X50" s="6" t="s">
        <v>966</v>
      </c>
      <c r="Y50" s="6" t="s">
        <v>967</v>
      </c>
      <c r="Z50" s="6" t="s">
        <v>949</v>
      </c>
      <c r="AA50" s="6" t="s">
        <v>968</v>
      </c>
      <c r="AB50" s="6" t="s">
        <v>820</v>
      </c>
      <c r="AC50" s="6" t="s">
        <v>797</v>
      </c>
      <c r="AD50" s="6" t="s">
        <v>969</v>
      </c>
      <c r="AE50" s="6" t="s">
        <v>741</v>
      </c>
    </row>
    <row r="51" customFormat="false" ht="12.95" hidden="false" customHeight="true" outlineLevel="3" collapsed="false">
      <c r="A51" s="1" t="s">
        <v>970</v>
      </c>
      <c r="B51" s="1" t="s">
        <v>816</v>
      </c>
      <c r="C51" s="1" t="s">
        <v>343</v>
      </c>
      <c r="D51" s="1" t="s">
        <v>316</v>
      </c>
      <c r="E51" s="1" t="s">
        <v>281</v>
      </c>
      <c r="F51" s="2" t="s">
        <v>947</v>
      </c>
      <c r="G51" s="18" t="s">
        <v>823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824</v>
      </c>
      <c r="K51" s="2" t="s">
        <v>792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51" s="6" t="s">
        <v>971</v>
      </c>
      <c r="Y51" s="6" t="s">
        <v>972</v>
      </c>
      <c r="Z51" s="6" t="s">
        <v>962</v>
      </c>
      <c r="AA51" s="6" t="s">
        <v>972</v>
      </c>
      <c r="AB51" s="6" t="s">
        <v>820</v>
      </c>
      <c r="AC51" s="6" t="s">
        <v>797</v>
      </c>
      <c r="AD51" s="6" t="s">
        <v>973</v>
      </c>
      <c r="AE51" s="6" t="s">
        <v>741</v>
      </c>
    </row>
    <row r="52" customFormat="false" ht="12.95" hidden="false" customHeight="true" outlineLevel="1" collapsed="false">
      <c r="A52" s="1" t="s">
        <v>974</v>
      </c>
      <c r="B52" s="1" t="s">
        <v>781</v>
      </c>
      <c r="C52" s="1" t="s">
        <v>744</v>
      </c>
      <c r="X52" s="6" t="s">
        <v>738</v>
      </c>
      <c r="Y52" s="6" t="s">
        <v>738</v>
      </c>
      <c r="Z52" s="6" t="s">
        <v>738</v>
      </c>
      <c r="AA52" s="6" t="s">
        <v>738</v>
      </c>
      <c r="AB52" s="6" t="s">
        <v>738</v>
      </c>
      <c r="AC52" s="6" t="s">
        <v>738</v>
      </c>
      <c r="AD52" s="6" t="s">
        <v>738</v>
      </c>
      <c r="AE52" s="6" t="s">
        <v>738</v>
      </c>
    </row>
    <row r="53" customFormat="false" ht="12.95" hidden="false" customHeight="true" outlineLevel="3" collapsed="false">
      <c r="A53" s="1" t="s">
        <v>975</v>
      </c>
      <c r="B53" s="1" t="s">
        <v>781</v>
      </c>
      <c r="C53" s="1" t="s">
        <v>568</v>
      </c>
      <c r="D53" s="1" t="s">
        <v>316</v>
      </c>
      <c r="E53" s="1" t="s">
        <v>281</v>
      </c>
      <c r="F53" s="2" t="s">
        <v>233</v>
      </c>
      <c r="G53" s="18" t="s">
        <v>790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791</v>
      </c>
      <c r="K53" s="2" t="s">
        <v>792</v>
      </c>
      <c r="L53" s="1" t="s">
        <v>643</v>
      </c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  <c r="X53" s="6" t="s">
        <v>976</v>
      </c>
      <c r="Y53" s="6" t="s">
        <v>977</v>
      </c>
      <c r="Z53" s="6" t="s">
        <v>978</v>
      </c>
      <c r="AA53" s="6" t="s">
        <v>979</v>
      </c>
      <c r="AB53" s="6" t="s">
        <v>786</v>
      </c>
      <c r="AC53" s="6" t="s">
        <v>980</v>
      </c>
      <c r="AD53" s="6" t="s">
        <v>981</v>
      </c>
      <c r="AE53" s="6" t="s">
        <v>741</v>
      </c>
    </row>
    <row r="54" customFormat="false" ht="12.95" hidden="false" customHeight="true" outlineLevel="3" collapsed="false">
      <c r="A54" s="1" t="s">
        <v>982</v>
      </c>
      <c r="B54" s="1" t="s">
        <v>781</v>
      </c>
      <c r="C54" s="1" t="s">
        <v>576</v>
      </c>
      <c r="D54" s="1" t="s">
        <v>316</v>
      </c>
      <c r="E54" s="1" t="s">
        <v>281</v>
      </c>
      <c r="F54" s="2" t="s">
        <v>947</v>
      </c>
      <c r="G54" s="18" t="s">
        <v>790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791</v>
      </c>
      <c r="K54" s="2" t="s">
        <v>792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54" s="6" t="s">
        <v>983</v>
      </c>
      <c r="Y54" s="6" t="s">
        <v>984</v>
      </c>
      <c r="Z54" s="6" t="s">
        <v>950</v>
      </c>
      <c r="AA54" s="6" t="s">
        <v>985</v>
      </c>
      <c r="AB54" s="6" t="s">
        <v>786</v>
      </c>
      <c r="AC54" s="6" t="s">
        <v>797</v>
      </c>
      <c r="AD54" s="6" t="s">
        <v>986</v>
      </c>
      <c r="AE54" s="6" t="s">
        <v>741</v>
      </c>
    </row>
    <row r="55" customFormat="false" ht="12.95" hidden="false" customHeight="true" outlineLevel="2" collapsed="false">
      <c r="A55" s="1" t="s">
        <v>987</v>
      </c>
      <c r="B55" s="1" t="s">
        <v>801</v>
      </c>
      <c r="C55" s="1" t="s">
        <v>744</v>
      </c>
      <c r="X55" s="6" t="s">
        <v>738</v>
      </c>
      <c r="Y55" s="6" t="s">
        <v>738</v>
      </c>
      <c r="Z55" s="6" t="s">
        <v>738</v>
      </c>
      <c r="AA55" s="6" t="s">
        <v>738</v>
      </c>
      <c r="AB55" s="6" t="s">
        <v>738</v>
      </c>
      <c r="AC55" s="6" t="s">
        <v>738</v>
      </c>
      <c r="AD55" s="6" t="s">
        <v>738</v>
      </c>
      <c r="AE55" s="6" t="s">
        <v>738</v>
      </c>
    </row>
    <row r="56" customFormat="false" ht="12.95" hidden="false" customHeight="true" outlineLevel="3" collapsed="false">
      <c r="A56" s="1" t="s">
        <v>988</v>
      </c>
      <c r="B56" s="1" t="s">
        <v>801</v>
      </c>
      <c r="C56" s="1" t="s">
        <v>568</v>
      </c>
      <c r="D56" s="1" t="s">
        <v>316</v>
      </c>
      <c r="E56" s="1" t="s">
        <v>281</v>
      </c>
      <c r="F56" s="2" t="s">
        <v>233</v>
      </c>
      <c r="G56" s="18" t="s">
        <v>808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809</v>
      </c>
      <c r="K56" s="2" t="s">
        <v>792</v>
      </c>
      <c r="L56" s="1" t="s">
        <v>643</v>
      </c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  <c r="X56" s="6" t="s">
        <v>989</v>
      </c>
      <c r="Y56" s="6" t="s">
        <v>990</v>
      </c>
      <c r="Z56" s="6" t="s">
        <v>984</v>
      </c>
      <c r="AA56" s="6" t="s">
        <v>991</v>
      </c>
      <c r="AB56" s="6" t="s">
        <v>805</v>
      </c>
      <c r="AC56" s="6" t="s">
        <v>797</v>
      </c>
      <c r="AD56" s="6" t="s">
        <v>992</v>
      </c>
      <c r="AE56" s="6" t="s">
        <v>741</v>
      </c>
    </row>
    <row r="57" customFormat="false" ht="12.95" hidden="false" customHeight="true" outlineLevel="3" collapsed="false">
      <c r="A57" s="1" t="s">
        <v>993</v>
      </c>
      <c r="B57" s="1" t="s">
        <v>801</v>
      </c>
      <c r="C57" s="1" t="s">
        <v>576</v>
      </c>
      <c r="D57" s="1" t="s">
        <v>316</v>
      </c>
      <c r="E57" s="1" t="s">
        <v>281</v>
      </c>
      <c r="F57" s="2" t="s">
        <v>947</v>
      </c>
      <c r="G57" s="18" t="s">
        <v>808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809</v>
      </c>
      <c r="K57" s="2" t="s">
        <v>792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57" s="6" t="s">
        <v>994</v>
      </c>
      <c r="Y57" s="6" t="s">
        <v>995</v>
      </c>
      <c r="Z57" s="6" t="s">
        <v>996</v>
      </c>
      <c r="AA57" s="6" t="s">
        <v>797</v>
      </c>
      <c r="AB57" s="6" t="s">
        <v>805</v>
      </c>
      <c r="AC57" s="6" t="s">
        <v>797</v>
      </c>
      <c r="AD57" s="6" t="s">
        <v>963</v>
      </c>
      <c r="AE57" s="6" t="s">
        <v>741</v>
      </c>
    </row>
    <row r="58" customFormat="false" ht="12.95" hidden="false" customHeight="true" outlineLevel="2" collapsed="false">
      <c r="A58" s="1" t="s">
        <v>997</v>
      </c>
      <c r="B58" s="1" t="s">
        <v>816</v>
      </c>
      <c r="C58" s="1" t="s">
        <v>744</v>
      </c>
      <c r="X58" s="6" t="s">
        <v>738</v>
      </c>
      <c r="Y58" s="6" t="s">
        <v>738</v>
      </c>
      <c r="Z58" s="6" t="s">
        <v>738</v>
      </c>
      <c r="AA58" s="6" t="s">
        <v>738</v>
      </c>
      <c r="AB58" s="6" t="s">
        <v>738</v>
      </c>
      <c r="AC58" s="6" t="s">
        <v>738</v>
      </c>
      <c r="AD58" s="6" t="s">
        <v>738</v>
      </c>
      <c r="AE58" s="6" t="s">
        <v>738</v>
      </c>
    </row>
    <row r="59" customFormat="false" ht="12.95" hidden="false" customHeight="true" outlineLevel="3" collapsed="false">
      <c r="A59" s="1" t="s">
        <v>998</v>
      </c>
      <c r="B59" s="1" t="s">
        <v>816</v>
      </c>
      <c r="C59" s="1" t="s">
        <v>568</v>
      </c>
      <c r="D59" s="1" t="s">
        <v>316</v>
      </c>
      <c r="E59" s="1" t="s">
        <v>281</v>
      </c>
      <c r="F59" s="2" t="s">
        <v>233</v>
      </c>
      <c r="G59" s="18" t="s">
        <v>823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824</v>
      </c>
      <c r="K59" s="2" t="s">
        <v>792</v>
      </c>
      <c r="L59" s="1" t="s">
        <v>643</v>
      </c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  <c r="X59" s="6" t="s">
        <v>999</v>
      </c>
      <c r="Y59" s="6" t="s">
        <v>1000</v>
      </c>
      <c r="Z59" s="6" t="s">
        <v>984</v>
      </c>
      <c r="AA59" s="6" t="s">
        <v>1001</v>
      </c>
      <c r="AB59" s="6" t="s">
        <v>820</v>
      </c>
      <c r="AC59" s="6" t="s">
        <v>797</v>
      </c>
      <c r="AD59" s="6" t="s">
        <v>1002</v>
      </c>
      <c r="AE59" s="6" t="s">
        <v>741</v>
      </c>
    </row>
    <row r="60" customFormat="false" ht="12.95" hidden="false" customHeight="true" outlineLevel="3" collapsed="false">
      <c r="A60" s="1" t="s">
        <v>1003</v>
      </c>
      <c r="B60" s="1" t="s">
        <v>816</v>
      </c>
      <c r="C60" s="1" t="s">
        <v>576</v>
      </c>
      <c r="D60" s="1" t="s">
        <v>316</v>
      </c>
      <c r="E60" s="1" t="s">
        <v>281</v>
      </c>
      <c r="F60" s="2" t="s">
        <v>947</v>
      </c>
      <c r="G60" s="18" t="s">
        <v>823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824</v>
      </c>
      <c r="K60" s="2" t="s">
        <v>792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60" s="6" t="s">
        <v>1004</v>
      </c>
      <c r="Y60" s="6" t="s">
        <v>1005</v>
      </c>
      <c r="Z60" s="6" t="s">
        <v>996</v>
      </c>
      <c r="AA60" s="6" t="s">
        <v>797</v>
      </c>
      <c r="AB60" s="6" t="s">
        <v>820</v>
      </c>
      <c r="AC60" s="6" t="s">
        <v>797</v>
      </c>
      <c r="AD60" s="6" t="s">
        <v>1006</v>
      </c>
      <c r="AE60" s="6" t="s">
        <v>741</v>
      </c>
    </row>
    <row r="61" customFormat="false" ht="12.95" hidden="false" customHeight="true" outlineLevel="1" collapsed="false">
      <c r="A61" s="1" t="s">
        <v>1007</v>
      </c>
      <c r="B61" s="1" t="s">
        <v>781</v>
      </c>
      <c r="C61" s="1" t="s">
        <v>754</v>
      </c>
      <c r="X61" s="6" t="s">
        <v>738</v>
      </c>
      <c r="Y61" s="6" t="s">
        <v>738</v>
      </c>
      <c r="Z61" s="6" t="s">
        <v>738</v>
      </c>
      <c r="AA61" s="6" t="s">
        <v>738</v>
      </c>
      <c r="AB61" s="6" t="s">
        <v>738</v>
      </c>
      <c r="AC61" s="6" t="s">
        <v>738</v>
      </c>
      <c r="AD61" s="6" t="s">
        <v>738</v>
      </c>
      <c r="AE61" s="6" t="s">
        <v>738</v>
      </c>
    </row>
    <row r="62" customFormat="false" ht="12.95" hidden="false" customHeight="true" outlineLevel="3" collapsed="false">
      <c r="A62" s="1" t="s">
        <v>1008</v>
      </c>
      <c r="B62" s="1" t="s">
        <v>781</v>
      </c>
      <c r="C62" s="1" t="s">
        <v>587</v>
      </c>
      <c r="D62" s="1" t="s">
        <v>316</v>
      </c>
      <c r="E62" s="1" t="s">
        <v>281</v>
      </c>
      <c r="F62" s="2" t="s">
        <v>233</v>
      </c>
      <c r="G62" s="18" t="s">
        <v>790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791</v>
      </c>
      <c r="K62" s="2" t="s">
        <v>792</v>
      </c>
      <c r="L62" s="1" t="s">
        <v>643</v>
      </c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  <c r="X62" s="6" t="s">
        <v>1009</v>
      </c>
      <c r="Y62" s="6" t="s">
        <v>1010</v>
      </c>
      <c r="Z62" s="6" t="s">
        <v>1011</v>
      </c>
      <c r="AA62" s="6" t="s">
        <v>1012</v>
      </c>
      <c r="AB62" s="6" t="s">
        <v>786</v>
      </c>
      <c r="AC62" s="6" t="s">
        <v>1013</v>
      </c>
      <c r="AD62" s="6" t="s">
        <v>1014</v>
      </c>
      <c r="AE62" s="6" t="s">
        <v>741</v>
      </c>
    </row>
    <row r="63" customFormat="false" ht="12.95" hidden="false" customHeight="true" outlineLevel="3" collapsed="false">
      <c r="A63" s="1" t="s">
        <v>1015</v>
      </c>
      <c r="B63" s="1" t="s">
        <v>781</v>
      </c>
      <c r="C63" s="1" t="s">
        <v>594</v>
      </c>
      <c r="D63" s="1" t="s">
        <v>316</v>
      </c>
      <c r="E63" s="1" t="s">
        <v>281</v>
      </c>
      <c r="F63" s="2" t="s">
        <v>947</v>
      </c>
      <c r="G63" s="18" t="s">
        <v>790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791</v>
      </c>
      <c r="K63" s="2" t="s">
        <v>792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63" s="6" t="s">
        <v>1016</v>
      </c>
      <c r="Y63" s="6" t="s">
        <v>1017</v>
      </c>
      <c r="Z63" s="6" t="s">
        <v>950</v>
      </c>
      <c r="AA63" s="6" t="s">
        <v>1018</v>
      </c>
      <c r="AB63" s="6" t="s">
        <v>786</v>
      </c>
      <c r="AC63" s="6" t="s">
        <v>797</v>
      </c>
      <c r="AD63" s="6" t="s">
        <v>1019</v>
      </c>
      <c r="AE63" s="6" t="s">
        <v>741</v>
      </c>
    </row>
    <row r="64" customFormat="false" ht="12.95" hidden="false" customHeight="true" outlineLevel="2" collapsed="false">
      <c r="A64" s="1" t="s">
        <v>1020</v>
      </c>
      <c r="B64" s="1" t="s">
        <v>801</v>
      </c>
      <c r="C64" s="1" t="s">
        <v>754</v>
      </c>
      <c r="X64" s="6" t="s">
        <v>738</v>
      </c>
      <c r="Y64" s="6" t="s">
        <v>738</v>
      </c>
      <c r="Z64" s="6" t="s">
        <v>738</v>
      </c>
      <c r="AA64" s="6" t="s">
        <v>738</v>
      </c>
      <c r="AB64" s="6" t="s">
        <v>738</v>
      </c>
      <c r="AC64" s="6" t="s">
        <v>738</v>
      </c>
      <c r="AD64" s="6" t="s">
        <v>738</v>
      </c>
      <c r="AE64" s="6" t="s">
        <v>738</v>
      </c>
    </row>
    <row r="65" customFormat="false" ht="12.95" hidden="false" customHeight="true" outlineLevel="3" collapsed="false">
      <c r="A65" s="1" t="s">
        <v>1021</v>
      </c>
      <c r="B65" s="1" t="s">
        <v>801</v>
      </c>
      <c r="C65" s="1" t="s">
        <v>587</v>
      </c>
      <c r="D65" s="1" t="s">
        <v>316</v>
      </c>
      <c r="E65" s="1" t="s">
        <v>281</v>
      </c>
      <c r="F65" s="2" t="s">
        <v>233</v>
      </c>
      <c r="G65" s="18" t="s">
        <v>808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809</v>
      </c>
      <c r="K65" s="2" t="s">
        <v>792</v>
      </c>
      <c r="L65" s="1" t="s">
        <v>643</v>
      </c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  <c r="X65" s="6" t="s">
        <v>1022</v>
      </c>
      <c r="Y65" s="6" t="s">
        <v>1023</v>
      </c>
      <c r="Z65" s="6" t="s">
        <v>1017</v>
      </c>
      <c r="AA65" s="6" t="s">
        <v>1024</v>
      </c>
      <c r="AB65" s="6" t="s">
        <v>805</v>
      </c>
      <c r="AC65" s="6" t="s">
        <v>797</v>
      </c>
      <c r="AD65" s="6" t="s">
        <v>1025</v>
      </c>
      <c r="AE65" s="6" t="s">
        <v>741</v>
      </c>
    </row>
    <row r="66" customFormat="false" ht="12.95" hidden="false" customHeight="true" outlineLevel="3" collapsed="false">
      <c r="A66" s="1" t="s">
        <v>1026</v>
      </c>
      <c r="B66" s="1" t="s">
        <v>801</v>
      </c>
      <c r="C66" s="1" t="s">
        <v>594</v>
      </c>
      <c r="D66" s="1" t="s">
        <v>316</v>
      </c>
      <c r="E66" s="1" t="s">
        <v>281</v>
      </c>
      <c r="F66" s="2" t="s">
        <v>947</v>
      </c>
      <c r="G66" s="18" t="s">
        <v>808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809</v>
      </c>
      <c r="K66" s="2" t="s">
        <v>792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66" s="6" t="s">
        <v>1027</v>
      </c>
      <c r="Y66" s="6" t="s">
        <v>1028</v>
      </c>
      <c r="Z66" s="6" t="s">
        <v>1029</v>
      </c>
      <c r="AA66" s="6" t="s">
        <v>797</v>
      </c>
      <c r="AB66" s="6" t="s">
        <v>805</v>
      </c>
      <c r="AC66" s="6" t="s">
        <v>797</v>
      </c>
      <c r="AD66" s="6" t="s">
        <v>963</v>
      </c>
      <c r="AE66" s="6" t="s">
        <v>741</v>
      </c>
    </row>
    <row r="67" customFormat="false" ht="12.95" hidden="false" customHeight="true" outlineLevel="2" collapsed="false">
      <c r="A67" s="1" t="s">
        <v>1030</v>
      </c>
      <c r="B67" s="1" t="s">
        <v>816</v>
      </c>
      <c r="C67" s="1" t="s">
        <v>754</v>
      </c>
      <c r="X67" s="6" t="s">
        <v>738</v>
      </c>
      <c r="Y67" s="6" t="s">
        <v>738</v>
      </c>
      <c r="Z67" s="6" t="s">
        <v>738</v>
      </c>
      <c r="AA67" s="6" t="s">
        <v>738</v>
      </c>
      <c r="AB67" s="6" t="s">
        <v>738</v>
      </c>
      <c r="AC67" s="6" t="s">
        <v>738</v>
      </c>
      <c r="AD67" s="6" t="s">
        <v>738</v>
      </c>
      <c r="AE67" s="6" t="s">
        <v>738</v>
      </c>
    </row>
    <row r="68" customFormat="false" ht="12.95" hidden="false" customHeight="true" outlineLevel="3" collapsed="false">
      <c r="A68" s="1" t="s">
        <v>1031</v>
      </c>
      <c r="B68" s="1" t="s">
        <v>816</v>
      </c>
      <c r="C68" s="1" t="s">
        <v>587</v>
      </c>
      <c r="D68" s="1" t="s">
        <v>316</v>
      </c>
      <c r="E68" s="1" t="s">
        <v>281</v>
      </c>
      <c r="F68" s="2" t="s">
        <v>233</v>
      </c>
      <c r="G68" s="18" t="s">
        <v>823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824</v>
      </c>
      <c r="K68" s="2" t="s">
        <v>792</v>
      </c>
      <c r="L68" s="1" t="s">
        <v>643</v>
      </c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  <c r="X68" s="6" t="s">
        <v>1032</v>
      </c>
      <c r="Y68" s="6" t="s">
        <v>1033</v>
      </c>
      <c r="Z68" s="6" t="s">
        <v>1017</v>
      </c>
      <c r="AA68" s="6" t="s">
        <v>1001</v>
      </c>
      <c r="AB68" s="6" t="s">
        <v>820</v>
      </c>
      <c r="AC68" s="6" t="s">
        <v>797</v>
      </c>
      <c r="AD68" s="6" t="s">
        <v>1034</v>
      </c>
      <c r="AE68" s="6" t="s">
        <v>741</v>
      </c>
    </row>
    <row r="69" customFormat="false" ht="12.95" hidden="false" customHeight="true" outlineLevel="3" collapsed="false">
      <c r="A69" s="1" t="s">
        <v>1035</v>
      </c>
      <c r="B69" s="1" t="s">
        <v>816</v>
      </c>
      <c r="C69" s="1" t="s">
        <v>594</v>
      </c>
      <c r="D69" s="1" t="s">
        <v>316</v>
      </c>
      <c r="E69" s="1" t="s">
        <v>281</v>
      </c>
      <c r="F69" s="2" t="s">
        <v>947</v>
      </c>
      <c r="G69" s="18" t="s">
        <v>823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824</v>
      </c>
      <c r="K69" s="2" t="s">
        <v>792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69" s="6" t="s">
        <v>1036</v>
      </c>
      <c r="Y69" s="6" t="s">
        <v>1037</v>
      </c>
      <c r="Z69" s="6" t="s">
        <v>1029</v>
      </c>
      <c r="AA69" s="6" t="s">
        <v>797</v>
      </c>
      <c r="AB69" s="6" t="s">
        <v>820</v>
      </c>
      <c r="AC69" s="6" t="s">
        <v>797</v>
      </c>
      <c r="AD69" s="6" t="s">
        <v>1038</v>
      </c>
      <c r="AE69" s="6" t="s">
        <v>741</v>
      </c>
    </row>
    <row r="70" customFormat="false" ht="12.95" hidden="false" customHeight="true" outlineLevel="1" collapsed="false">
      <c r="A70" s="1" t="s">
        <v>1039</v>
      </c>
      <c r="B70" s="1" t="s">
        <v>781</v>
      </c>
      <c r="C70" s="1" t="s">
        <v>759</v>
      </c>
      <c r="X70" s="6" t="s">
        <v>738</v>
      </c>
      <c r="Y70" s="6" t="s">
        <v>738</v>
      </c>
      <c r="Z70" s="6" t="s">
        <v>738</v>
      </c>
      <c r="AA70" s="6" t="s">
        <v>738</v>
      </c>
      <c r="AB70" s="6" t="s">
        <v>738</v>
      </c>
      <c r="AC70" s="6" t="s">
        <v>738</v>
      </c>
      <c r="AD70" s="6" t="s">
        <v>738</v>
      </c>
      <c r="AE70" s="6" t="s">
        <v>738</v>
      </c>
    </row>
    <row r="71" customFormat="false" ht="12.95" hidden="false" customHeight="true" outlineLevel="3" collapsed="false">
      <c r="A71" s="1" t="s">
        <v>1040</v>
      </c>
      <c r="B71" s="1" t="s">
        <v>781</v>
      </c>
      <c r="C71" s="1" t="s">
        <v>604</v>
      </c>
      <c r="D71" s="1" t="s">
        <v>316</v>
      </c>
      <c r="E71" s="1" t="s">
        <v>281</v>
      </c>
      <c r="F71" s="2" t="s">
        <v>233</v>
      </c>
      <c r="G71" s="18" t="s">
        <v>790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791</v>
      </c>
      <c r="K71" s="2" t="s">
        <v>792</v>
      </c>
      <c r="L71" s="1" t="s">
        <v>643</v>
      </c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  <c r="X71" s="6" t="s">
        <v>1041</v>
      </c>
      <c r="Y71" s="6" t="s">
        <v>1042</v>
      </c>
      <c r="Z71" s="6" t="s">
        <v>1043</v>
      </c>
      <c r="AA71" s="6" t="s">
        <v>1044</v>
      </c>
      <c r="AB71" s="6" t="s">
        <v>786</v>
      </c>
      <c r="AC71" s="6" t="s">
        <v>1045</v>
      </c>
      <c r="AD71" s="6" t="s">
        <v>1046</v>
      </c>
      <c r="AE71" s="6" t="s">
        <v>741</v>
      </c>
    </row>
    <row r="72" customFormat="false" ht="12.95" hidden="false" customHeight="true" outlineLevel="3" collapsed="false">
      <c r="A72" s="1" t="s">
        <v>1047</v>
      </c>
      <c r="B72" s="1" t="s">
        <v>781</v>
      </c>
      <c r="C72" s="1" t="s">
        <v>612</v>
      </c>
      <c r="D72" s="1" t="s">
        <v>316</v>
      </c>
      <c r="E72" s="1" t="s">
        <v>281</v>
      </c>
      <c r="F72" s="2" t="s">
        <v>947</v>
      </c>
      <c r="G72" s="18" t="s">
        <v>790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791</v>
      </c>
      <c r="K72" s="2" t="s">
        <v>792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72" s="6" t="s">
        <v>1048</v>
      </c>
      <c r="Y72" s="6" t="s">
        <v>1049</v>
      </c>
      <c r="Z72" s="6" t="s">
        <v>950</v>
      </c>
      <c r="AA72" s="6" t="s">
        <v>985</v>
      </c>
      <c r="AB72" s="6" t="s">
        <v>786</v>
      </c>
      <c r="AC72" s="6" t="s">
        <v>797</v>
      </c>
      <c r="AD72" s="6" t="s">
        <v>1050</v>
      </c>
      <c r="AE72" s="6" t="s">
        <v>741</v>
      </c>
    </row>
    <row r="73" customFormat="false" ht="12.95" hidden="false" customHeight="true" outlineLevel="2" collapsed="false">
      <c r="A73" s="1" t="s">
        <v>1051</v>
      </c>
      <c r="B73" s="1" t="s">
        <v>801</v>
      </c>
      <c r="C73" s="1" t="s">
        <v>759</v>
      </c>
      <c r="X73" s="6" t="s">
        <v>738</v>
      </c>
      <c r="Y73" s="6" t="s">
        <v>738</v>
      </c>
      <c r="Z73" s="6" t="s">
        <v>738</v>
      </c>
      <c r="AA73" s="6" t="s">
        <v>738</v>
      </c>
      <c r="AB73" s="6" t="s">
        <v>738</v>
      </c>
      <c r="AC73" s="6" t="s">
        <v>738</v>
      </c>
      <c r="AD73" s="6" t="s">
        <v>738</v>
      </c>
      <c r="AE73" s="6" t="s">
        <v>738</v>
      </c>
    </row>
    <row r="74" customFormat="false" ht="12.95" hidden="false" customHeight="true" outlineLevel="3" collapsed="false">
      <c r="A74" s="1" t="s">
        <v>1052</v>
      </c>
      <c r="B74" s="1" t="s">
        <v>801</v>
      </c>
      <c r="C74" s="1" t="s">
        <v>604</v>
      </c>
      <c r="D74" s="1" t="s">
        <v>316</v>
      </c>
      <c r="E74" s="1" t="s">
        <v>281</v>
      </c>
      <c r="F74" s="2" t="s">
        <v>233</v>
      </c>
      <c r="G74" s="18" t="s">
        <v>808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809</v>
      </c>
      <c r="K74" s="2" t="s">
        <v>792</v>
      </c>
      <c r="L74" s="1" t="s">
        <v>643</v>
      </c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  <c r="X74" s="6" t="s">
        <v>1053</v>
      </c>
      <c r="Y74" s="6" t="s">
        <v>1054</v>
      </c>
      <c r="Z74" s="6" t="s">
        <v>1049</v>
      </c>
      <c r="AA74" s="6" t="s">
        <v>1024</v>
      </c>
      <c r="AB74" s="6" t="s">
        <v>805</v>
      </c>
      <c r="AC74" s="6" t="s">
        <v>797</v>
      </c>
      <c r="AD74" s="6" t="s">
        <v>1055</v>
      </c>
      <c r="AE74" s="6" t="s">
        <v>741</v>
      </c>
    </row>
    <row r="75" customFormat="false" ht="12.95" hidden="false" customHeight="true" outlineLevel="3" collapsed="false">
      <c r="A75" s="1" t="s">
        <v>1056</v>
      </c>
      <c r="B75" s="1" t="s">
        <v>801</v>
      </c>
      <c r="C75" s="1" t="s">
        <v>612</v>
      </c>
      <c r="D75" s="1" t="s">
        <v>316</v>
      </c>
      <c r="E75" s="1" t="s">
        <v>281</v>
      </c>
      <c r="F75" s="2" t="s">
        <v>947</v>
      </c>
      <c r="G75" s="18" t="s">
        <v>808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809</v>
      </c>
      <c r="K75" s="2" t="s">
        <v>792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75" s="6" t="s">
        <v>1057</v>
      </c>
      <c r="Y75" s="6" t="s">
        <v>1058</v>
      </c>
      <c r="Z75" s="6" t="s">
        <v>1059</v>
      </c>
      <c r="AA75" s="6" t="s">
        <v>797</v>
      </c>
      <c r="AB75" s="6" t="s">
        <v>805</v>
      </c>
      <c r="AC75" s="6" t="s">
        <v>797</v>
      </c>
      <c r="AD75" s="6" t="s">
        <v>963</v>
      </c>
      <c r="AE75" s="6" t="s">
        <v>741</v>
      </c>
    </row>
    <row r="76" customFormat="false" ht="12.95" hidden="false" customHeight="true" outlineLevel="2" collapsed="false">
      <c r="A76" s="1" t="s">
        <v>1060</v>
      </c>
      <c r="B76" s="1" t="s">
        <v>816</v>
      </c>
      <c r="C76" s="1" t="s">
        <v>759</v>
      </c>
      <c r="X76" s="6" t="s">
        <v>738</v>
      </c>
      <c r="Y76" s="6" t="s">
        <v>738</v>
      </c>
      <c r="Z76" s="6" t="s">
        <v>738</v>
      </c>
      <c r="AA76" s="6" t="s">
        <v>738</v>
      </c>
      <c r="AB76" s="6" t="s">
        <v>738</v>
      </c>
      <c r="AC76" s="6" t="s">
        <v>738</v>
      </c>
      <c r="AD76" s="6" t="s">
        <v>738</v>
      </c>
      <c r="AE76" s="6" t="s">
        <v>738</v>
      </c>
    </row>
    <row r="77" customFormat="false" ht="12.95" hidden="false" customHeight="true" outlineLevel="3" collapsed="false">
      <c r="A77" s="1" t="s">
        <v>1061</v>
      </c>
      <c r="B77" s="1" t="s">
        <v>816</v>
      </c>
      <c r="C77" s="1" t="s">
        <v>604</v>
      </c>
      <c r="D77" s="1" t="s">
        <v>316</v>
      </c>
      <c r="E77" s="1" t="s">
        <v>281</v>
      </c>
      <c r="F77" s="2" t="s">
        <v>233</v>
      </c>
      <c r="G77" s="18" t="s">
        <v>823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824</v>
      </c>
      <c r="K77" s="2" t="s">
        <v>792</v>
      </c>
      <c r="L77" s="1" t="s">
        <v>643</v>
      </c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  <c r="X77" s="6" t="s">
        <v>1062</v>
      </c>
      <c r="Y77" s="6" t="s">
        <v>1063</v>
      </c>
      <c r="Z77" s="6" t="s">
        <v>1049</v>
      </c>
      <c r="AA77" s="6" t="s">
        <v>1001</v>
      </c>
      <c r="AB77" s="6" t="s">
        <v>820</v>
      </c>
      <c r="AC77" s="6" t="s">
        <v>797</v>
      </c>
      <c r="AD77" s="6" t="s">
        <v>1064</v>
      </c>
      <c r="AE77" s="6" t="s">
        <v>741</v>
      </c>
    </row>
    <row r="78" customFormat="false" ht="12.95" hidden="false" customHeight="true" outlineLevel="3" collapsed="false">
      <c r="A78" s="1" t="s">
        <v>1065</v>
      </c>
      <c r="B78" s="1" t="s">
        <v>816</v>
      </c>
      <c r="C78" s="1" t="s">
        <v>612</v>
      </c>
      <c r="D78" s="1" t="s">
        <v>316</v>
      </c>
      <c r="E78" s="1" t="s">
        <v>281</v>
      </c>
      <c r="F78" s="2" t="s">
        <v>947</v>
      </c>
      <c r="G78" s="18" t="s">
        <v>823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824</v>
      </c>
      <c r="K78" s="2" t="s">
        <v>792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78" s="6" t="s">
        <v>1066</v>
      </c>
      <c r="Y78" s="6" t="s">
        <v>1067</v>
      </c>
      <c r="Z78" s="6" t="s">
        <v>1059</v>
      </c>
      <c r="AA78" s="6" t="s">
        <v>797</v>
      </c>
      <c r="AB78" s="6" t="s">
        <v>820</v>
      </c>
      <c r="AC78" s="6" t="s">
        <v>797</v>
      </c>
      <c r="AD78" s="6" t="s">
        <v>1068</v>
      </c>
      <c r="AE78" s="6" t="s">
        <v>741</v>
      </c>
    </row>
    <row r="79" customFormat="false" ht="12.95" hidden="false" customHeight="true" outlineLevel="0" collapsed="false">
      <c r="B79" s="1"/>
      <c r="C79" s="1"/>
      <c r="F79" s="2"/>
      <c r="G79" s="18"/>
      <c r="J79" s="2"/>
      <c r="K79" s="2"/>
      <c r="X79" s="6"/>
      <c r="Y79" s="6"/>
      <c r="Z79" s="6"/>
      <c r="AA79" s="6"/>
      <c r="AB79" s="6"/>
      <c r="AC79" s="6"/>
      <c r="AD79" s="6"/>
      <c r="AE79" s="6"/>
    </row>
    <row r="80" customFormat="false" ht="12.95" hidden="false" customHeight="true" outlineLevel="0" collapsed="false">
      <c r="A80" s="1" t="s">
        <v>106</v>
      </c>
      <c r="B80" s="1" t="s">
        <v>779</v>
      </c>
      <c r="C80" s="1" t="s">
        <v>622</v>
      </c>
      <c r="X80" s="6"/>
      <c r="Y80" s="6"/>
      <c r="Z80" s="6"/>
      <c r="AA80" s="6"/>
      <c r="AB80" s="6"/>
      <c r="AC80" s="6"/>
      <c r="AD80" s="6"/>
      <c r="AE80" s="6"/>
    </row>
    <row r="81" customFormat="false" ht="12.95" hidden="false" customHeight="true" outlineLevel="1" collapsed="false">
      <c r="A81" s="20" t="s">
        <v>1069</v>
      </c>
      <c r="B81" s="1" t="s">
        <v>781</v>
      </c>
      <c r="C81" s="1" t="s">
        <v>374</v>
      </c>
      <c r="X81" s="6" t="s">
        <v>738</v>
      </c>
      <c r="Y81" s="6" t="s">
        <v>738</v>
      </c>
      <c r="Z81" s="6" t="s">
        <v>738</v>
      </c>
      <c r="AA81" s="6" t="s">
        <v>738</v>
      </c>
      <c r="AB81" s="6" t="s">
        <v>738</v>
      </c>
      <c r="AC81" s="6" t="s">
        <v>738</v>
      </c>
      <c r="AD81" s="6" t="s">
        <v>738</v>
      </c>
      <c r="AE81" s="6" t="s">
        <v>738</v>
      </c>
    </row>
    <row r="82" customFormat="false" ht="12.95" hidden="false" customHeight="true" outlineLevel="3" collapsed="false">
      <c r="A82" s="20" t="s">
        <v>1070</v>
      </c>
      <c r="B82" s="1" t="s">
        <v>781</v>
      </c>
      <c r="C82" s="1" t="s">
        <v>624</v>
      </c>
      <c r="D82" s="1" t="s">
        <v>316</v>
      </c>
      <c r="E82" s="1" t="s">
        <v>281</v>
      </c>
      <c r="F82" s="2" t="s">
        <v>233</v>
      </c>
      <c r="G82" s="18" t="s">
        <v>790</v>
      </c>
      <c r="H82" s="1" t="str">
        <f aca="false">_xlfn.CONCAT("Y-Axis: ", C82)</f>
        <v>Y-Axis: Personal Tax Receipts (Average Current PFIT Brackets)</v>
      </c>
      <c r="I82" s="1" t="s">
        <v>235</v>
      </c>
      <c r="J82" s="2" t="s">
        <v>791</v>
      </c>
      <c r="K82" s="2" t="s">
        <v>792</v>
      </c>
      <c r="L82" s="1" t="s">
        <v>238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  <c r="X82" s="6" t="s">
        <v>1071</v>
      </c>
      <c r="Y82" s="6" t="s">
        <v>1072</v>
      </c>
      <c r="Z82" s="6" t="s">
        <v>1073</v>
      </c>
      <c r="AA82" s="6" t="s">
        <v>1074</v>
      </c>
      <c r="AB82" s="6" t="s">
        <v>1075</v>
      </c>
      <c r="AC82" s="6" t="s">
        <v>1076</v>
      </c>
      <c r="AD82" s="6" t="s">
        <v>1077</v>
      </c>
      <c r="AE82" s="6" t="s">
        <v>741</v>
      </c>
    </row>
    <row r="83" customFormat="false" ht="12.95" hidden="false" customHeight="true" outlineLevel="3" collapsed="false">
      <c r="A83" s="20" t="s">
        <v>1078</v>
      </c>
      <c r="B83" s="1" t="s">
        <v>781</v>
      </c>
      <c r="C83" s="1" t="s">
        <v>631</v>
      </c>
      <c r="D83" s="1" t="s">
        <v>316</v>
      </c>
      <c r="E83" s="1" t="s">
        <v>281</v>
      </c>
      <c r="F83" s="2" t="s">
        <v>282</v>
      </c>
      <c r="G83" s="18" t="s">
        <v>790</v>
      </c>
      <c r="H83" s="1" t="str">
        <f aca="false">_xlfn.CONCAT("Y-Axis: ", C83)</f>
        <v>Y-Axis: Personal Tax Receipts (Separate Current PFIT Brackets)</v>
      </c>
      <c r="I83" s="1" t="s">
        <v>235</v>
      </c>
      <c r="J83" s="2" t="s">
        <v>791</v>
      </c>
      <c r="K83" s="2" t="s">
        <v>792</v>
      </c>
      <c r="L83" s="1" t="s">
        <v>284</v>
      </c>
      <c r="M83" s="1" t="s">
        <v>285</v>
      </c>
      <c r="N83" s="1" t="s">
        <v>286</v>
      </c>
      <c r="O83" s="1" t="s">
        <v>287</v>
      </c>
      <c r="P83" s="1" t="s">
        <v>288</v>
      </c>
      <c r="Q83" s="1" t="s">
        <v>289</v>
      </c>
      <c r="R83" s="1" t="s">
        <v>290</v>
      </c>
      <c r="X83" s="6" t="s">
        <v>1079</v>
      </c>
      <c r="Y83" s="6" t="s">
        <v>1080</v>
      </c>
      <c r="Z83" s="6" t="s">
        <v>795</v>
      </c>
      <c r="AA83" s="6" t="s">
        <v>1081</v>
      </c>
      <c r="AB83" s="6" t="s">
        <v>1080</v>
      </c>
      <c r="AC83" s="6" t="s">
        <v>797</v>
      </c>
      <c r="AD83" s="6" t="s">
        <v>1082</v>
      </c>
      <c r="AE83" s="6" t="s">
        <v>741</v>
      </c>
    </row>
    <row r="84" customFormat="false" ht="12.95" hidden="false" customHeight="true" outlineLevel="2" collapsed="false">
      <c r="A84" s="20" t="s">
        <v>1083</v>
      </c>
      <c r="B84" s="1" t="s">
        <v>801</v>
      </c>
      <c r="C84" s="1" t="s">
        <v>374</v>
      </c>
      <c r="X84" s="6" t="s">
        <v>738</v>
      </c>
      <c r="Y84" s="6" t="s">
        <v>738</v>
      </c>
      <c r="Z84" s="6" t="s">
        <v>738</v>
      </c>
      <c r="AA84" s="6" t="s">
        <v>738</v>
      </c>
      <c r="AB84" s="6" t="s">
        <v>738</v>
      </c>
      <c r="AC84" s="6" t="s">
        <v>738</v>
      </c>
      <c r="AD84" s="6" t="s">
        <v>738</v>
      </c>
      <c r="AE84" s="6" t="s">
        <v>738</v>
      </c>
    </row>
    <row r="85" customFormat="false" ht="12.95" hidden="false" customHeight="true" outlineLevel="3" collapsed="false">
      <c r="A85" s="20" t="s">
        <v>1084</v>
      </c>
      <c r="B85" s="1" t="s">
        <v>801</v>
      </c>
      <c r="C85" s="1" t="s">
        <v>624</v>
      </c>
      <c r="D85" s="1" t="s">
        <v>316</v>
      </c>
      <c r="E85" s="1" t="s">
        <v>281</v>
      </c>
      <c r="F85" s="2" t="s">
        <v>233</v>
      </c>
      <c r="G85" s="18" t="s">
        <v>808</v>
      </c>
      <c r="H85" s="1" t="str">
        <f aca="false">_xlfn.CONCAT("Y-Axis: ", C85)</f>
        <v>Y-Axis: Personal Tax Receipts (Average Current PFIT Brackets)</v>
      </c>
      <c r="I85" s="1" t="s">
        <v>235</v>
      </c>
      <c r="J85" s="2" t="s">
        <v>809</v>
      </c>
      <c r="K85" s="2" t="s">
        <v>792</v>
      </c>
      <c r="L85" s="1" t="s">
        <v>238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  <c r="X85" s="6" t="s">
        <v>1085</v>
      </c>
      <c r="Y85" s="6" t="s">
        <v>1086</v>
      </c>
      <c r="Z85" s="6" t="s">
        <v>1080</v>
      </c>
      <c r="AA85" s="6" t="s">
        <v>1087</v>
      </c>
      <c r="AB85" s="6" t="s">
        <v>805</v>
      </c>
      <c r="AC85" s="6" t="s">
        <v>797</v>
      </c>
      <c r="AD85" s="6" t="s">
        <v>1088</v>
      </c>
      <c r="AE85" s="6" t="s">
        <v>741</v>
      </c>
    </row>
    <row r="86" customFormat="false" ht="12.95" hidden="false" customHeight="true" outlineLevel="3" collapsed="false">
      <c r="A86" s="20" t="s">
        <v>1089</v>
      </c>
      <c r="B86" s="1" t="s">
        <v>801</v>
      </c>
      <c r="C86" s="1" t="s">
        <v>631</v>
      </c>
      <c r="D86" s="1" t="s">
        <v>316</v>
      </c>
      <c r="E86" s="1" t="s">
        <v>281</v>
      </c>
      <c r="F86" s="2" t="s">
        <v>282</v>
      </c>
      <c r="G86" s="18" t="s">
        <v>808</v>
      </c>
      <c r="H86" s="1" t="str">
        <f aca="false">_xlfn.CONCAT("Y-Axis: ", C86)</f>
        <v>Y-Axis: Personal Tax Receipts (Separate Current PFIT Brackets)</v>
      </c>
      <c r="I86" s="1" t="s">
        <v>235</v>
      </c>
      <c r="J86" s="2" t="s">
        <v>809</v>
      </c>
      <c r="K86" s="2" t="s">
        <v>792</v>
      </c>
      <c r="L86" s="1" t="s">
        <v>284</v>
      </c>
      <c r="M86" s="1" t="s">
        <v>285</v>
      </c>
      <c r="N86" s="1" t="s">
        <v>286</v>
      </c>
      <c r="O86" s="1" t="s">
        <v>287</v>
      </c>
      <c r="P86" s="1" t="s">
        <v>288</v>
      </c>
      <c r="Q86" s="1" t="s">
        <v>289</v>
      </c>
      <c r="R86" s="1" t="s">
        <v>290</v>
      </c>
      <c r="X86" s="6" t="s">
        <v>1090</v>
      </c>
      <c r="Y86" s="6" t="s">
        <v>1091</v>
      </c>
      <c r="Z86" s="6" t="s">
        <v>1092</v>
      </c>
      <c r="AA86" s="6" t="s">
        <v>1091</v>
      </c>
      <c r="AB86" s="6" t="s">
        <v>1091</v>
      </c>
      <c r="AC86" s="6" t="s">
        <v>797</v>
      </c>
      <c r="AD86" s="6" t="s">
        <v>813</v>
      </c>
      <c r="AE86" s="6" t="s">
        <v>741</v>
      </c>
    </row>
    <row r="87" customFormat="false" ht="12.95" hidden="false" customHeight="true" outlineLevel="2" collapsed="false">
      <c r="A87" s="20" t="s">
        <v>1093</v>
      </c>
      <c r="B87" s="1" t="s">
        <v>816</v>
      </c>
      <c r="C87" s="1" t="s">
        <v>374</v>
      </c>
      <c r="X87" s="6" t="s">
        <v>738</v>
      </c>
      <c r="Y87" s="6" t="s">
        <v>738</v>
      </c>
      <c r="Z87" s="6" t="s">
        <v>738</v>
      </c>
      <c r="AA87" s="6" t="s">
        <v>738</v>
      </c>
      <c r="AB87" s="6" t="s">
        <v>738</v>
      </c>
      <c r="AC87" s="6" t="s">
        <v>738</v>
      </c>
      <c r="AD87" s="6" t="s">
        <v>738</v>
      </c>
      <c r="AE87" s="6" t="s">
        <v>738</v>
      </c>
    </row>
    <row r="88" customFormat="false" ht="12.95" hidden="false" customHeight="true" outlineLevel="3" collapsed="false">
      <c r="A88" s="20" t="s">
        <v>1094</v>
      </c>
      <c r="B88" s="1" t="s">
        <v>816</v>
      </c>
      <c r="C88" s="1" t="s">
        <v>624</v>
      </c>
      <c r="D88" s="1" t="s">
        <v>316</v>
      </c>
      <c r="E88" s="1" t="s">
        <v>281</v>
      </c>
      <c r="F88" s="2" t="s">
        <v>233</v>
      </c>
      <c r="G88" s="18" t="s">
        <v>823</v>
      </c>
      <c r="H88" s="1" t="str">
        <f aca="false">_xlfn.CONCAT("Y-Axis: ", C88)</f>
        <v>Y-Axis: Personal Tax Receipts (Average Current PFIT Brackets)</v>
      </c>
      <c r="I88" s="1" t="s">
        <v>235</v>
      </c>
      <c r="J88" s="2" t="s">
        <v>824</v>
      </c>
      <c r="K88" s="2" t="s">
        <v>792</v>
      </c>
      <c r="L88" s="1" t="s">
        <v>238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  <c r="X88" s="6" t="s">
        <v>1095</v>
      </c>
      <c r="Y88" s="6" t="s">
        <v>1096</v>
      </c>
      <c r="Z88" s="6" t="s">
        <v>1080</v>
      </c>
      <c r="AA88" s="6" t="s">
        <v>1097</v>
      </c>
      <c r="AB88" s="6" t="s">
        <v>820</v>
      </c>
      <c r="AC88" s="6" t="s">
        <v>797</v>
      </c>
      <c r="AD88" s="6" t="s">
        <v>1098</v>
      </c>
      <c r="AE88" s="6" t="s">
        <v>741</v>
      </c>
    </row>
    <row r="89" customFormat="false" ht="12.95" hidden="false" customHeight="true" outlineLevel="3" collapsed="false">
      <c r="A89" s="20" t="s">
        <v>1099</v>
      </c>
      <c r="B89" s="1" t="s">
        <v>816</v>
      </c>
      <c r="C89" s="1" t="s">
        <v>631</v>
      </c>
      <c r="D89" s="1" t="s">
        <v>316</v>
      </c>
      <c r="E89" s="1" t="s">
        <v>281</v>
      </c>
      <c r="F89" s="2" t="s">
        <v>282</v>
      </c>
      <c r="G89" s="18" t="s">
        <v>823</v>
      </c>
      <c r="H89" s="1" t="str">
        <f aca="false">_xlfn.CONCAT("Y-Axis: ", C89)</f>
        <v>Y-Axis: Personal Tax Receipts (Separate Current PFIT Brackets)</v>
      </c>
      <c r="I89" s="1" t="s">
        <v>235</v>
      </c>
      <c r="J89" s="2" t="s">
        <v>824</v>
      </c>
      <c r="K89" s="2" t="s">
        <v>792</v>
      </c>
      <c r="L89" s="1" t="s">
        <v>284</v>
      </c>
      <c r="M89" s="1" t="s">
        <v>285</v>
      </c>
      <c r="N89" s="1" t="s">
        <v>286</v>
      </c>
      <c r="O89" s="1" t="s">
        <v>287</v>
      </c>
      <c r="P89" s="1" t="s">
        <v>288</v>
      </c>
      <c r="Q89" s="1" t="s">
        <v>289</v>
      </c>
      <c r="R89" s="1" t="s">
        <v>290</v>
      </c>
      <c r="X89" s="6" t="s">
        <v>1100</v>
      </c>
      <c r="Y89" s="6" t="s">
        <v>1101</v>
      </c>
      <c r="Z89" s="6" t="s">
        <v>1092</v>
      </c>
      <c r="AA89" s="6" t="s">
        <v>1101</v>
      </c>
      <c r="AB89" s="6" t="s">
        <v>1101</v>
      </c>
      <c r="AC89" s="6" t="s">
        <v>797</v>
      </c>
      <c r="AD89" s="6" t="s">
        <v>813</v>
      </c>
      <c r="AE89" s="6" t="s">
        <v>741</v>
      </c>
    </row>
    <row r="90" customFormat="false" ht="12.95" hidden="false" customHeight="true" outlineLevel="1" collapsed="false">
      <c r="A90" s="20" t="s">
        <v>1102</v>
      </c>
      <c r="B90" s="1" t="s">
        <v>781</v>
      </c>
      <c r="C90" s="1" t="s">
        <v>765</v>
      </c>
      <c r="X90" s="6" t="s">
        <v>738</v>
      </c>
      <c r="Y90" s="6" t="s">
        <v>738</v>
      </c>
      <c r="Z90" s="6" t="s">
        <v>738</v>
      </c>
      <c r="AA90" s="6" t="s">
        <v>738</v>
      </c>
      <c r="AB90" s="6" t="s">
        <v>738</v>
      </c>
      <c r="AC90" s="6" t="s">
        <v>738</v>
      </c>
      <c r="AD90" s="6" t="s">
        <v>738</v>
      </c>
      <c r="AE90" s="6" t="s">
        <v>738</v>
      </c>
    </row>
    <row r="91" customFormat="false" ht="12.95" hidden="false" customHeight="true" outlineLevel="3" collapsed="false">
      <c r="A91" s="20" t="s">
        <v>1103</v>
      </c>
      <c r="B91" s="1" t="s">
        <v>781</v>
      </c>
      <c r="C91" s="1" t="s">
        <v>638</v>
      </c>
      <c r="D91" s="13" t="s">
        <v>316</v>
      </c>
      <c r="E91" s="13" t="s">
        <v>281</v>
      </c>
      <c r="F91" s="18" t="s">
        <v>233</v>
      </c>
      <c r="G91" s="18" t="s">
        <v>790</v>
      </c>
      <c r="H91" s="1" t="str">
        <f aca="false">_xlfn.CONCAT("Y-Axis: ", C91)</f>
        <v>Y-Axis: Corporate Tax Receipts (Average Current CFIT Brackets)</v>
      </c>
      <c r="I91" s="1" t="s">
        <v>235</v>
      </c>
      <c r="J91" s="13" t="s">
        <v>67</v>
      </c>
      <c r="K91" s="13" t="s">
        <v>65</v>
      </c>
      <c r="L91" s="1" t="s">
        <v>643</v>
      </c>
      <c r="Q91" s="13"/>
      <c r="R91" s="13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6" t="s">
        <v>1104</v>
      </c>
      <c r="Y91" s="6" t="s">
        <v>1105</v>
      </c>
      <c r="Z91" s="6" t="s">
        <v>1106</v>
      </c>
      <c r="AA91" s="6" t="s">
        <v>1107</v>
      </c>
      <c r="AB91" s="6" t="s">
        <v>786</v>
      </c>
      <c r="AC91" s="6" t="s">
        <v>1108</v>
      </c>
      <c r="AD91" s="6" t="s">
        <v>1109</v>
      </c>
      <c r="AE91" s="6" t="s">
        <v>741</v>
      </c>
    </row>
    <row r="92" customFormat="false" ht="12.95" hidden="false" customHeight="true" outlineLevel="3" collapsed="false">
      <c r="A92" s="20" t="s">
        <v>1110</v>
      </c>
      <c r="B92" s="1" t="s">
        <v>781</v>
      </c>
      <c r="C92" s="1" t="s">
        <v>646</v>
      </c>
      <c r="D92" s="13" t="s">
        <v>316</v>
      </c>
      <c r="E92" s="13" t="s">
        <v>281</v>
      </c>
      <c r="F92" s="18" t="s">
        <v>345</v>
      </c>
      <c r="G92" s="18" t="s">
        <v>790</v>
      </c>
      <c r="H92" s="1" t="str">
        <f aca="false">_xlfn.CONCAT("Y-Axis: ", C92)</f>
        <v>Y-Axis: Corporate Tax Receipts (Separate Current CFIT Brackets)</v>
      </c>
      <c r="I92" s="1" t="s">
        <v>235</v>
      </c>
      <c r="J92" s="13" t="s">
        <v>67</v>
      </c>
      <c r="K92" s="13" t="s">
        <v>65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3"/>
      <c r="R92" s="13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475</v>
      </c>
      <c r="X92" s="6" t="s">
        <v>1111</v>
      </c>
      <c r="Y92" s="6" t="s">
        <v>1112</v>
      </c>
      <c r="Z92" s="6" t="s">
        <v>950</v>
      </c>
      <c r="AA92" s="6" t="s">
        <v>1113</v>
      </c>
      <c r="AB92" s="6" t="s">
        <v>1112</v>
      </c>
      <c r="AC92" s="6" t="s">
        <v>797</v>
      </c>
      <c r="AD92" s="6" t="s">
        <v>1114</v>
      </c>
      <c r="AE92" s="6" t="s">
        <v>741</v>
      </c>
    </row>
    <row r="93" customFormat="false" ht="12.95" hidden="false" customHeight="true" outlineLevel="2" collapsed="false">
      <c r="A93" s="20" t="s">
        <v>1115</v>
      </c>
      <c r="B93" s="1" t="s">
        <v>801</v>
      </c>
      <c r="C93" s="1" t="s">
        <v>765</v>
      </c>
      <c r="X93" s="6" t="s">
        <v>738</v>
      </c>
      <c r="Y93" s="6" t="s">
        <v>738</v>
      </c>
      <c r="Z93" s="6" t="s">
        <v>738</v>
      </c>
      <c r="AA93" s="6" t="s">
        <v>738</v>
      </c>
      <c r="AB93" s="6" t="s">
        <v>738</v>
      </c>
      <c r="AC93" s="6" t="s">
        <v>738</v>
      </c>
      <c r="AD93" s="6" t="s">
        <v>738</v>
      </c>
      <c r="AE93" s="6" t="s">
        <v>738</v>
      </c>
    </row>
    <row r="94" customFormat="false" ht="12.95" hidden="false" customHeight="true" outlineLevel="3" collapsed="false">
      <c r="A94" s="20" t="s">
        <v>1116</v>
      </c>
      <c r="B94" s="1" t="s">
        <v>801</v>
      </c>
      <c r="C94" s="1" t="s">
        <v>638</v>
      </c>
      <c r="D94" s="13" t="s">
        <v>316</v>
      </c>
      <c r="E94" s="13" t="s">
        <v>281</v>
      </c>
      <c r="F94" s="18" t="s">
        <v>233</v>
      </c>
      <c r="G94" s="18" t="s">
        <v>808</v>
      </c>
      <c r="H94" s="1" t="str">
        <f aca="false">_xlfn.CONCAT("Y-Axis: ", C94)</f>
        <v>Y-Axis: Corporate Tax Receipts (Average Current CFIT Brackets)</v>
      </c>
      <c r="I94" s="1" t="s">
        <v>235</v>
      </c>
      <c r="J94" s="13" t="s">
        <v>67</v>
      </c>
      <c r="K94" s="13" t="s">
        <v>65</v>
      </c>
      <c r="L94" s="1" t="s">
        <v>643</v>
      </c>
      <c r="Q94" s="13"/>
      <c r="R94" s="13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6" t="s">
        <v>1117</v>
      </c>
      <c r="Y94" s="6" t="s">
        <v>1118</v>
      </c>
      <c r="Z94" s="6" t="s">
        <v>1112</v>
      </c>
      <c r="AA94" s="6" t="s">
        <v>1119</v>
      </c>
      <c r="AB94" s="6" t="s">
        <v>805</v>
      </c>
      <c r="AC94" s="6" t="s">
        <v>797</v>
      </c>
      <c r="AD94" s="6" t="s">
        <v>1120</v>
      </c>
      <c r="AE94" s="6" t="s">
        <v>741</v>
      </c>
    </row>
    <row r="95" customFormat="false" ht="12.95" hidden="false" customHeight="true" outlineLevel="3" collapsed="false">
      <c r="A95" s="20" t="s">
        <v>1121</v>
      </c>
      <c r="B95" s="1" t="s">
        <v>801</v>
      </c>
      <c r="C95" s="1" t="s">
        <v>646</v>
      </c>
      <c r="D95" s="13" t="s">
        <v>316</v>
      </c>
      <c r="E95" s="13" t="s">
        <v>281</v>
      </c>
      <c r="F95" s="18" t="s">
        <v>345</v>
      </c>
      <c r="G95" s="18" t="s">
        <v>808</v>
      </c>
      <c r="H95" s="1" t="str">
        <f aca="false">_xlfn.CONCAT("Y-Axis: ", C95)</f>
        <v>Y-Axis: Corporate Tax Receipts (Separate Current CFIT Brackets)</v>
      </c>
      <c r="I95" s="1" t="s">
        <v>235</v>
      </c>
      <c r="J95" s="13" t="s">
        <v>67</v>
      </c>
      <c r="K95" s="13" t="s">
        <v>65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3"/>
      <c r="R95" s="13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475</v>
      </c>
      <c r="X95" s="6" t="s">
        <v>1122</v>
      </c>
      <c r="Y95" s="6" t="s">
        <v>1123</v>
      </c>
      <c r="Z95" s="6" t="s">
        <v>1124</v>
      </c>
      <c r="AA95" s="6" t="s">
        <v>797</v>
      </c>
      <c r="AB95" s="6" t="s">
        <v>1123</v>
      </c>
      <c r="AC95" s="6" t="s">
        <v>797</v>
      </c>
      <c r="AD95" s="6" t="s">
        <v>813</v>
      </c>
      <c r="AE95" s="6" t="s">
        <v>741</v>
      </c>
    </row>
    <row r="96" customFormat="false" ht="12.95" hidden="false" customHeight="true" outlineLevel="2" collapsed="false">
      <c r="A96" s="20" t="s">
        <v>1125</v>
      </c>
      <c r="B96" s="1" t="s">
        <v>816</v>
      </c>
      <c r="C96" s="1" t="s">
        <v>765</v>
      </c>
      <c r="X96" s="6" t="s">
        <v>738</v>
      </c>
      <c r="Y96" s="6" t="s">
        <v>738</v>
      </c>
      <c r="Z96" s="6" t="s">
        <v>738</v>
      </c>
      <c r="AA96" s="6" t="s">
        <v>738</v>
      </c>
      <c r="AB96" s="6" t="s">
        <v>738</v>
      </c>
      <c r="AC96" s="6" t="s">
        <v>738</v>
      </c>
      <c r="AD96" s="6" t="s">
        <v>738</v>
      </c>
      <c r="AE96" s="6" t="s">
        <v>738</v>
      </c>
    </row>
    <row r="97" customFormat="false" ht="12.95" hidden="false" customHeight="true" outlineLevel="3" collapsed="false">
      <c r="A97" s="20" t="s">
        <v>1126</v>
      </c>
      <c r="B97" s="1" t="s">
        <v>816</v>
      </c>
      <c r="C97" s="1" t="s">
        <v>638</v>
      </c>
      <c r="D97" s="13" t="s">
        <v>316</v>
      </c>
      <c r="E97" s="13" t="s">
        <v>281</v>
      </c>
      <c r="F97" s="18" t="s">
        <v>233</v>
      </c>
      <c r="G97" s="18" t="s">
        <v>823</v>
      </c>
      <c r="H97" s="1" t="str">
        <f aca="false">_xlfn.CONCAT("Y-Axis: ", C97)</f>
        <v>Y-Axis: Corporate Tax Receipts (Average Current CFIT Brackets)</v>
      </c>
      <c r="I97" s="1" t="s">
        <v>235</v>
      </c>
      <c r="J97" s="13" t="s">
        <v>67</v>
      </c>
      <c r="K97" s="13" t="s">
        <v>65</v>
      </c>
      <c r="L97" s="1" t="s">
        <v>643</v>
      </c>
      <c r="Q97" s="13"/>
      <c r="R97" s="13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6" t="s">
        <v>1127</v>
      </c>
      <c r="Y97" s="6" t="s">
        <v>1128</v>
      </c>
      <c r="Z97" s="6" t="s">
        <v>1112</v>
      </c>
      <c r="AA97" s="6" t="s">
        <v>1001</v>
      </c>
      <c r="AB97" s="6" t="s">
        <v>820</v>
      </c>
      <c r="AC97" s="6" t="s">
        <v>797</v>
      </c>
      <c r="AD97" s="6" t="s">
        <v>1129</v>
      </c>
      <c r="AE97" s="6" t="s">
        <v>741</v>
      </c>
    </row>
    <row r="98" customFormat="false" ht="12.95" hidden="false" customHeight="true" outlineLevel="3" collapsed="false">
      <c r="A98" s="20" t="s">
        <v>1130</v>
      </c>
      <c r="B98" s="1" t="s">
        <v>816</v>
      </c>
      <c r="C98" s="1" t="s">
        <v>646</v>
      </c>
      <c r="D98" s="13" t="s">
        <v>316</v>
      </c>
      <c r="E98" s="13" t="s">
        <v>281</v>
      </c>
      <c r="F98" s="18" t="s">
        <v>345</v>
      </c>
      <c r="G98" s="18" t="s">
        <v>823</v>
      </c>
      <c r="H98" s="1" t="str">
        <f aca="false">_xlfn.CONCAT("Y-Axis: ", C98)</f>
        <v>Y-Axis: Corporate Tax Receipts (Separate Current CFIT Brackets)</v>
      </c>
      <c r="I98" s="1" t="s">
        <v>235</v>
      </c>
      <c r="J98" s="13" t="s">
        <v>67</v>
      </c>
      <c r="K98" s="13" t="s">
        <v>65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3"/>
      <c r="R98" s="13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475</v>
      </c>
      <c r="X98" s="6" t="s">
        <v>1131</v>
      </c>
      <c r="Y98" s="6" t="s">
        <v>1132</v>
      </c>
      <c r="Z98" s="6" t="s">
        <v>1124</v>
      </c>
      <c r="AA98" s="6" t="s">
        <v>797</v>
      </c>
      <c r="AB98" s="6" t="s">
        <v>1132</v>
      </c>
      <c r="AC98" s="6" t="s">
        <v>797</v>
      </c>
      <c r="AD98" s="6" t="s">
        <v>813</v>
      </c>
      <c r="AE98" s="6" t="s">
        <v>741</v>
      </c>
    </row>
    <row r="99" customFormat="false" ht="12.95" hidden="false" customHeight="true" outlineLevel="1" collapsed="false">
      <c r="A99" s="20" t="s">
        <v>1133</v>
      </c>
      <c r="B99" s="1" t="s">
        <v>781</v>
      </c>
      <c r="C99" s="1" t="s">
        <v>663</v>
      </c>
      <c r="D99" s="13" t="s">
        <v>316</v>
      </c>
      <c r="E99" s="13" t="s">
        <v>281</v>
      </c>
      <c r="F99" s="18" t="s">
        <v>233</v>
      </c>
      <c r="G99" s="18" t="s">
        <v>790</v>
      </c>
      <c r="H99" s="1" t="str">
        <f aca="false">_xlfn.CONCAT("Y-Axis: ", C99)</f>
        <v>Y-Axis: Net Public Savings</v>
      </c>
      <c r="I99" s="1" t="s">
        <v>235</v>
      </c>
      <c r="J99" s="13" t="s">
        <v>67</v>
      </c>
      <c r="K99" s="13" t="s">
        <v>65</v>
      </c>
      <c r="L99" s="1" t="s">
        <v>663</v>
      </c>
      <c r="M99" s="13"/>
      <c r="N99" s="13"/>
      <c r="O99" s="13"/>
      <c r="P99" s="13"/>
      <c r="Q99" s="13"/>
      <c r="R99" s="13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6" t="s">
        <v>1134</v>
      </c>
      <c r="Y99" s="6" t="s">
        <v>1135</v>
      </c>
      <c r="Z99" s="6" t="s">
        <v>1136</v>
      </c>
      <c r="AA99" s="6" t="s">
        <v>1137</v>
      </c>
      <c r="AB99" s="6" t="s">
        <v>1138</v>
      </c>
      <c r="AC99" s="6" t="s">
        <v>1139</v>
      </c>
      <c r="AD99" s="6" t="s">
        <v>1140</v>
      </c>
      <c r="AE99" s="6" t="s">
        <v>741</v>
      </c>
    </row>
    <row r="100" customFormat="false" ht="12.95" hidden="false" customHeight="true" outlineLevel="2" collapsed="false">
      <c r="A100" s="20" t="s">
        <v>1141</v>
      </c>
      <c r="B100" s="1" t="s">
        <v>801</v>
      </c>
      <c r="C100" s="1" t="s">
        <v>663</v>
      </c>
      <c r="D100" s="13" t="s">
        <v>316</v>
      </c>
      <c r="E100" s="13" t="s">
        <v>281</v>
      </c>
      <c r="F100" s="18" t="s">
        <v>233</v>
      </c>
      <c r="G100" s="18" t="s">
        <v>808</v>
      </c>
      <c r="H100" s="1" t="str">
        <f aca="false">_xlfn.CONCAT("Y-Axis: ", C100)</f>
        <v>Y-Axis: Net Public Savings</v>
      </c>
      <c r="I100" s="1" t="s">
        <v>235</v>
      </c>
      <c r="J100" s="13" t="s">
        <v>67</v>
      </c>
      <c r="K100" s="13" t="s">
        <v>65</v>
      </c>
      <c r="L100" s="1" t="s">
        <v>663</v>
      </c>
      <c r="M100" s="13"/>
      <c r="N100" s="13"/>
      <c r="O100" s="13"/>
      <c r="P100" s="13"/>
      <c r="Q100" s="13"/>
      <c r="R100" s="13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6" t="s">
        <v>1142</v>
      </c>
      <c r="Y100" s="6" t="s">
        <v>1143</v>
      </c>
      <c r="Z100" s="6" t="s">
        <v>1144</v>
      </c>
      <c r="AA100" s="6" t="s">
        <v>1145</v>
      </c>
      <c r="AB100" s="6" t="s">
        <v>1146</v>
      </c>
      <c r="AC100" s="6" t="s">
        <v>797</v>
      </c>
      <c r="AD100" s="6" t="s">
        <v>1147</v>
      </c>
      <c r="AE100" s="6" t="s">
        <v>741</v>
      </c>
    </row>
    <row r="101" customFormat="false" ht="12.95" hidden="false" customHeight="true" outlineLevel="2" collapsed="false">
      <c r="A101" s="20" t="s">
        <v>1148</v>
      </c>
      <c r="B101" s="1" t="s">
        <v>816</v>
      </c>
      <c r="C101" s="1" t="s">
        <v>663</v>
      </c>
      <c r="D101" s="13" t="s">
        <v>316</v>
      </c>
      <c r="E101" s="13" t="s">
        <v>281</v>
      </c>
      <c r="F101" s="18" t="s">
        <v>233</v>
      </c>
      <c r="G101" s="18" t="s">
        <v>823</v>
      </c>
      <c r="H101" s="1" t="str">
        <f aca="false">_xlfn.CONCAT("Y-Axis: ", C101)</f>
        <v>Y-Axis: Net Public Savings</v>
      </c>
      <c r="I101" s="1" t="s">
        <v>235</v>
      </c>
      <c r="J101" s="13" t="s">
        <v>67</v>
      </c>
      <c r="K101" s="13" t="s">
        <v>65</v>
      </c>
      <c r="L101" s="1" t="s">
        <v>663</v>
      </c>
      <c r="M101" s="13"/>
      <c r="N101" s="13"/>
      <c r="O101" s="13"/>
      <c r="P101" s="13"/>
      <c r="Q101" s="13"/>
      <c r="R101" s="13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6" t="s">
        <v>1149</v>
      </c>
      <c r="Y101" s="6" t="s">
        <v>1150</v>
      </c>
      <c r="Z101" s="6" t="s">
        <v>1144</v>
      </c>
      <c r="AA101" s="6" t="s">
        <v>1151</v>
      </c>
      <c r="AB101" s="6" t="s">
        <v>1152</v>
      </c>
      <c r="AC101" s="6" t="s">
        <v>797</v>
      </c>
      <c r="AD101" s="6" t="s">
        <v>1153</v>
      </c>
      <c r="AE101" s="6" t="s">
        <v>741</v>
      </c>
    </row>
    <row r="102" customFormat="false" ht="12.95" hidden="false" customHeight="true" outlineLevel="1" collapsed="false">
      <c r="A102" s="20" t="s">
        <v>1154</v>
      </c>
      <c r="B102" s="1" t="s">
        <v>781</v>
      </c>
      <c r="C102" s="1" t="s">
        <v>670</v>
      </c>
      <c r="D102" s="13" t="s">
        <v>316</v>
      </c>
      <c r="E102" s="13" t="s">
        <v>281</v>
      </c>
      <c r="F102" s="18" t="s">
        <v>233</v>
      </c>
      <c r="G102" s="18" t="s">
        <v>790</v>
      </c>
      <c r="H102" s="1" t="str">
        <f aca="false">_xlfn.CONCAT("Y-Axis: ", C102)</f>
        <v>Y-Axis: Primary Budget Balance</v>
      </c>
      <c r="I102" s="1" t="s">
        <v>235</v>
      </c>
      <c r="J102" s="13" t="s">
        <v>67</v>
      </c>
      <c r="K102" s="13" t="s">
        <v>65</v>
      </c>
      <c r="L102" s="1" t="s">
        <v>670</v>
      </c>
      <c r="M102" s="13"/>
      <c r="N102" s="13"/>
      <c r="O102" s="13"/>
      <c r="P102" s="13"/>
      <c r="Q102" s="13"/>
      <c r="R102" s="13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6" t="s">
        <v>738</v>
      </c>
      <c r="Y102" s="6" t="s">
        <v>738</v>
      </c>
      <c r="Z102" s="6" t="s">
        <v>738</v>
      </c>
      <c r="AA102" s="6" t="s">
        <v>738</v>
      </c>
      <c r="AB102" s="6" t="s">
        <v>738</v>
      </c>
      <c r="AC102" s="6" t="s">
        <v>738</v>
      </c>
      <c r="AD102" s="6" t="s">
        <v>738</v>
      </c>
      <c r="AE102" s="6" t="s">
        <v>738</v>
      </c>
    </row>
    <row r="103" customFormat="false" ht="12.95" hidden="false" customHeight="true" outlineLevel="2" collapsed="false">
      <c r="A103" s="20" t="s">
        <v>1155</v>
      </c>
      <c r="B103" s="1" t="s">
        <v>801</v>
      </c>
      <c r="C103" s="1" t="s">
        <v>670</v>
      </c>
      <c r="D103" s="13" t="s">
        <v>316</v>
      </c>
      <c r="E103" s="13" t="s">
        <v>281</v>
      </c>
      <c r="F103" s="18" t="s">
        <v>233</v>
      </c>
      <c r="G103" s="18" t="s">
        <v>808</v>
      </c>
      <c r="H103" s="1" t="str">
        <f aca="false">_xlfn.CONCAT("Y-Axis: ", C103)</f>
        <v>Y-Axis: Primary Budget Balance</v>
      </c>
      <c r="I103" s="1" t="s">
        <v>235</v>
      </c>
      <c r="J103" s="13" t="s">
        <v>67</v>
      </c>
      <c r="K103" s="13" t="s">
        <v>65</v>
      </c>
      <c r="L103" s="1" t="s">
        <v>670</v>
      </c>
      <c r="M103" s="13"/>
      <c r="N103" s="13"/>
      <c r="O103" s="13"/>
      <c r="P103" s="13"/>
      <c r="Q103" s="13"/>
      <c r="R103" s="13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6" t="s">
        <v>1156</v>
      </c>
      <c r="Y103" s="6" t="s">
        <v>1157</v>
      </c>
      <c r="Z103" s="6" t="s">
        <v>1158</v>
      </c>
      <c r="AA103" s="6" t="s">
        <v>1159</v>
      </c>
      <c r="AB103" s="6" t="s">
        <v>1160</v>
      </c>
      <c r="AC103" s="6" t="s">
        <v>1161</v>
      </c>
      <c r="AD103" s="6" t="s">
        <v>1162</v>
      </c>
      <c r="AE103" s="6" t="s">
        <v>741</v>
      </c>
    </row>
    <row r="104" customFormat="false" ht="12.95" hidden="false" customHeight="true" outlineLevel="2" collapsed="false">
      <c r="A104" s="20" t="s">
        <v>1163</v>
      </c>
      <c r="B104" s="1" t="s">
        <v>816</v>
      </c>
      <c r="C104" s="1" t="s">
        <v>670</v>
      </c>
      <c r="D104" s="13" t="s">
        <v>316</v>
      </c>
      <c r="E104" s="13" t="s">
        <v>281</v>
      </c>
      <c r="F104" s="18" t="s">
        <v>233</v>
      </c>
      <c r="G104" s="18" t="s">
        <v>823</v>
      </c>
      <c r="H104" s="1" t="str">
        <f aca="false">_xlfn.CONCAT("Y-Axis: ", C104)</f>
        <v>Y-Axis: Primary Budget Balance</v>
      </c>
      <c r="I104" s="1" t="s">
        <v>235</v>
      </c>
      <c r="J104" s="13" t="s">
        <v>67</v>
      </c>
      <c r="K104" s="13" t="s">
        <v>65</v>
      </c>
      <c r="L104" s="1" t="s">
        <v>670</v>
      </c>
      <c r="M104" s="13"/>
      <c r="N104" s="13"/>
      <c r="O104" s="13"/>
      <c r="P104" s="13"/>
      <c r="Q104" s="13"/>
      <c r="R104" s="13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6" t="s">
        <v>1164</v>
      </c>
      <c r="Y104" s="6" t="s">
        <v>1165</v>
      </c>
      <c r="Z104" s="6" t="s">
        <v>1166</v>
      </c>
      <c r="AA104" s="6" t="s">
        <v>1167</v>
      </c>
      <c r="AB104" s="6" t="s">
        <v>1168</v>
      </c>
      <c r="AC104" s="6" t="s">
        <v>797</v>
      </c>
      <c r="AD104" s="6" t="s">
        <v>1169</v>
      </c>
      <c r="AE104" s="6" t="s">
        <v>741</v>
      </c>
    </row>
    <row r="105" customFormat="false" ht="12.95" hidden="false" customHeight="true" outlineLevel="0" collapsed="false">
      <c r="A105" s="20"/>
      <c r="B105" s="1"/>
      <c r="C105" s="1"/>
      <c r="D105" s="13"/>
      <c r="E105" s="13"/>
      <c r="F105" s="18"/>
      <c r="G105" s="18"/>
      <c r="J105" s="13"/>
      <c r="K105" s="13"/>
      <c r="M105" s="13"/>
      <c r="N105" s="13"/>
      <c r="O105" s="13"/>
      <c r="P105" s="13"/>
      <c r="Q105" s="13"/>
      <c r="R105" s="13"/>
      <c r="X105" s="6"/>
      <c r="Y105" s="6"/>
      <c r="Z105" s="6"/>
      <c r="AA105" s="6"/>
      <c r="AB105" s="6"/>
      <c r="AC105" s="6"/>
      <c r="AD105" s="6"/>
      <c r="AE105" s="6"/>
    </row>
    <row r="106" customFormat="false" ht="12.95" hidden="false" customHeight="true" outlineLevel="0" collapsed="false">
      <c r="A106" s="1" t="s">
        <v>108</v>
      </c>
      <c r="B106" s="1" t="s">
        <v>1170</v>
      </c>
      <c r="C106" s="1" t="s">
        <v>676</v>
      </c>
      <c r="X106" s="6"/>
      <c r="Y106" s="6"/>
      <c r="Z106" s="6"/>
      <c r="AA106" s="6"/>
      <c r="AB106" s="6"/>
      <c r="AC106" s="6"/>
      <c r="AD106" s="6"/>
      <c r="AE106" s="6"/>
    </row>
    <row r="107" customFormat="false" ht="12.95" hidden="false" customHeight="true" outlineLevel="1" collapsed="false">
      <c r="A107" s="20" t="s">
        <v>1171</v>
      </c>
      <c r="B107" s="1" t="s">
        <v>781</v>
      </c>
      <c r="C107" s="13" t="s">
        <v>437</v>
      </c>
      <c r="D107" s="13" t="s">
        <v>316</v>
      </c>
      <c r="E107" s="13" t="s">
        <v>281</v>
      </c>
      <c r="F107" s="18" t="s">
        <v>233</v>
      </c>
      <c r="G107" s="13" t="s">
        <v>776</v>
      </c>
      <c r="H107" s="1" t="str">
        <f aca="false">_xlfn.CONCAT("Y-Axis: ", C107)</f>
        <v>Y-Axis: Net Fiscal Impact</v>
      </c>
      <c r="I107" s="1" t="s">
        <v>235</v>
      </c>
      <c r="J107" s="13" t="s">
        <v>67</v>
      </c>
      <c r="K107" s="13" t="s">
        <v>65</v>
      </c>
      <c r="L107" s="13" t="s">
        <v>437</v>
      </c>
      <c r="M107" s="13"/>
      <c r="N107" s="13"/>
      <c r="O107" s="13"/>
      <c r="P107" s="13"/>
      <c r="Q107" s="13"/>
      <c r="R107" s="13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6" t="s">
        <v>1172</v>
      </c>
      <c r="Y107" s="6" t="s">
        <v>1173</v>
      </c>
      <c r="Z107" s="6" t="s">
        <v>1174</v>
      </c>
      <c r="AA107" s="6" t="s">
        <v>1175</v>
      </c>
      <c r="AB107" s="6" t="s">
        <v>1176</v>
      </c>
      <c r="AC107" s="6" t="s">
        <v>1177</v>
      </c>
      <c r="AD107" s="6" t="s">
        <v>1178</v>
      </c>
      <c r="AE107" s="6" t="s">
        <v>741</v>
      </c>
    </row>
    <row r="108" customFormat="false" ht="12.95" hidden="false" customHeight="true" outlineLevel="2" collapsed="false">
      <c r="A108" s="20" t="s">
        <v>1179</v>
      </c>
      <c r="B108" s="1" t="s">
        <v>801</v>
      </c>
      <c r="C108" s="13" t="s">
        <v>437</v>
      </c>
      <c r="D108" s="13" t="s">
        <v>316</v>
      </c>
      <c r="E108" s="13" t="s">
        <v>281</v>
      </c>
      <c r="F108" s="18" t="s">
        <v>233</v>
      </c>
      <c r="G108" s="13" t="s">
        <v>776</v>
      </c>
      <c r="H108" s="1" t="str">
        <f aca="false">_xlfn.CONCAT("Y-Axis: ", C108)</f>
        <v>Y-Axis: Net Fiscal Impact</v>
      </c>
      <c r="I108" s="1" t="s">
        <v>235</v>
      </c>
      <c r="J108" s="13" t="s">
        <v>67</v>
      </c>
      <c r="K108" s="13" t="s">
        <v>65</v>
      </c>
      <c r="L108" s="13" t="s">
        <v>437</v>
      </c>
      <c r="M108" s="13"/>
      <c r="N108" s="13"/>
      <c r="O108" s="13"/>
      <c r="P108" s="13"/>
      <c r="Q108" s="13"/>
      <c r="R108" s="13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6" t="s">
        <v>1180</v>
      </c>
      <c r="Y108" s="6" t="s">
        <v>1181</v>
      </c>
      <c r="Z108" s="6" t="s">
        <v>1182</v>
      </c>
      <c r="AA108" s="6" t="s">
        <v>1183</v>
      </c>
      <c r="AB108" s="6" t="s">
        <v>1184</v>
      </c>
      <c r="AC108" s="6" t="s">
        <v>797</v>
      </c>
      <c r="AD108" s="6" t="s">
        <v>1185</v>
      </c>
      <c r="AE108" s="6" t="s">
        <v>741</v>
      </c>
    </row>
    <row r="109" customFormat="false" ht="12.95" hidden="false" customHeight="true" outlineLevel="2" collapsed="false">
      <c r="A109" s="20" t="s">
        <v>1186</v>
      </c>
      <c r="B109" s="1" t="s">
        <v>816</v>
      </c>
      <c r="C109" s="13" t="s">
        <v>437</v>
      </c>
      <c r="D109" s="13" t="s">
        <v>316</v>
      </c>
      <c r="E109" s="13" t="s">
        <v>281</v>
      </c>
      <c r="F109" s="18" t="s">
        <v>233</v>
      </c>
      <c r="G109" s="13" t="s">
        <v>776</v>
      </c>
      <c r="H109" s="1" t="str">
        <f aca="false">_xlfn.CONCAT("Y-Axis: ", C109)</f>
        <v>Y-Axis: Net Fiscal Impact</v>
      </c>
      <c r="I109" s="1" t="s">
        <v>235</v>
      </c>
      <c r="J109" s="13" t="s">
        <v>67</v>
      </c>
      <c r="K109" s="13" t="s">
        <v>65</v>
      </c>
      <c r="L109" s="13" t="s">
        <v>437</v>
      </c>
      <c r="M109" s="13"/>
      <c r="N109" s="13"/>
      <c r="O109" s="13"/>
      <c r="P109" s="13"/>
      <c r="Q109" s="13"/>
      <c r="R109" s="13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6" t="s">
        <v>1187</v>
      </c>
      <c r="Y109" s="6" t="s">
        <v>1188</v>
      </c>
      <c r="Z109" s="6" t="s">
        <v>1182</v>
      </c>
      <c r="AA109" s="6" t="s">
        <v>1189</v>
      </c>
      <c r="AB109" s="6" t="s">
        <v>1190</v>
      </c>
      <c r="AC109" s="6" t="s">
        <v>797</v>
      </c>
      <c r="AD109" s="6" t="s">
        <v>1191</v>
      </c>
      <c r="AE109" s="6" t="s">
        <v>741</v>
      </c>
    </row>
    <row r="110" customFormat="false" ht="12.95" hidden="false" customHeight="true" outlineLevel="1" collapsed="false">
      <c r="A110" s="20" t="s">
        <v>1192</v>
      </c>
      <c r="B110" s="1" t="s">
        <v>781</v>
      </c>
      <c r="C110" s="13" t="s">
        <v>447</v>
      </c>
      <c r="D110" s="13" t="s">
        <v>316</v>
      </c>
      <c r="E110" s="13" t="s">
        <v>281</v>
      </c>
      <c r="F110" s="18" t="s">
        <v>233</v>
      </c>
      <c r="G110" s="13" t="s">
        <v>776</v>
      </c>
      <c r="H110" s="1" t="str">
        <f aca="false">_xlfn.CONCAT("Y-Axis: ", C110)</f>
        <v>Y-Axis: Gini Coefficient</v>
      </c>
      <c r="I110" s="1" t="s">
        <v>235</v>
      </c>
      <c r="J110" s="13" t="s">
        <v>67</v>
      </c>
      <c r="K110" s="13" t="s">
        <v>65</v>
      </c>
      <c r="L110" s="13" t="s">
        <v>447</v>
      </c>
      <c r="M110" s="13"/>
      <c r="N110" s="13"/>
      <c r="O110" s="13"/>
      <c r="P110" s="13"/>
      <c r="Q110" s="13"/>
      <c r="R110" s="13"/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6" t="s">
        <v>1193</v>
      </c>
      <c r="Y110" s="6" t="s">
        <v>1194</v>
      </c>
      <c r="Z110" s="6" t="s">
        <v>1195</v>
      </c>
      <c r="AA110" s="6" t="s">
        <v>1196</v>
      </c>
      <c r="AB110" s="6" t="s">
        <v>1197</v>
      </c>
      <c r="AC110" s="6" t="s">
        <v>1198</v>
      </c>
      <c r="AD110" s="6" t="s">
        <v>1199</v>
      </c>
      <c r="AE110" s="6" t="s">
        <v>741</v>
      </c>
    </row>
    <row r="111" customFormat="false" ht="12.95" hidden="false" customHeight="true" outlineLevel="2" collapsed="false">
      <c r="A111" s="20" t="s">
        <v>1200</v>
      </c>
      <c r="B111" s="1" t="s">
        <v>801</v>
      </c>
      <c r="C111" s="13" t="s">
        <v>447</v>
      </c>
      <c r="D111" s="13" t="s">
        <v>316</v>
      </c>
      <c r="E111" s="13" t="s">
        <v>281</v>
      </c>
      <c r="F111" s="18" t="s">
        <v>233</v>
      </c>
      <c r="G111" s="13" t="s">
        <v>776</v>
      </c>
      <c r="H111" s="1" t="str">
        <f aca="false">_xlfn.CONCAT("Y-Axis: ", C111)</f>
        <v>Y-Axis: Gini Coefficient</v>
      </c>
      <c r="I111" s="1" t="s">
        <v>235</v>
      </c>
      <c r="J111" s="13" t="s">
        <v>67</v>
      </c>
      <c r="K111" s="13" t="s">
        <v>65</v>
      </c>
      <c r="L111" s="13" t="s">
        <v>447</v>
      </c>
      <c r="M111" s="13"/>
      <c r="N111" s="13"/>
      <c r="O111" s="13"/>
      <c r="P111" s="13"/>
      <c r="Q111" s="13"/>
      <c r="R111" s="13"/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6" t="s">
        <v>1201</v>
      </c>
      <c r="Y111" s="6" t="s">
        <v>1202</v>
      </c>
      <c r="Z111" s="6" t="s">
        <v>1203</v>
      </c>
      <c r="AA111" s="6" t="s">
        <v>1204</v>
      </c>
      <c r="AB111" s="6" t="s">
        <v>1205</v>
      </c>
      <c r="AC111" s="6" t="s">
        <v>797</v>
      </c>
      <c r="AD111" s="6" t="s">
        <v>1206</v>
      </c>
      <c r="AE111" s="6" t="s">
        <v>741</v>
      </c>
    </row>
    <row r="112" customFormat="false" ht="12.95" hidden="false" customHeight="true" outlineLevel="2" collapsed="false">
      <c r="A112" s="20" t="s">
        <v>1207</v>
      </c>
      <c r="B112" s="1" t="s">
        <v>816</v>
      </c>
      <c r="C112" s="13" t="s">
        <v>447</v>
      </c>
      <c r="D112" s="13" t="s">
        <v>316</v>
      </c>
      <c r="E112" s="13" t="s">
        <v>281</v>
      </c>
      <c r="F112" s="18" t="s">
        <v>233</v>
      </c>
      <c r="G112" s="13" t="s">
        <v>776</v>
      </c>
      <c r="H112" s="1" t="str">
        <f aca="false">_xlfn.CONCAT("Y-Axis: ", C112)</f>
        <v>Y-Axis: Gini Coefficient</v>
      </c>
      <c r="I112" s="1" t="s">
        <v>235</v>
      </c>
      <c r="J112" s="13" t="s">
        <v>67</v>
      </c>
      <c r="K112" s="13" t="s">
        <v>65</v>
      </c>
      <c r="L112" s="13" t="s">
        <v>447</v>
      </c>
      <c r="M112" s="13"/>
      <c r="N112" s="13"/>
      <c r="O112" s="13"/>
      <c r="P112" s="13"/>
      <c r="Q112" s="13"/>
      <c r="R112" s="13"/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6" t="s">
        <v>1208</v>
      </c>
      <c r="Y112" s="6" t="s">
        <v>1209</v>
      </c>
      <c r="Z112" s="6" t="s">
        <v>1203</v>
      </c>
      <c r="AA112" s="6" t="s">
        <v>1210</v>
      </c>
      <c r="AB112" s="6" t="s">
        <v>1211</v>
      </c>
      <c r="AC112" s="6" t="s">
        <v>797</v>
      </c>
      <c r="AD112" s="6" t="s">
        <v>1212</v>
      </c>
      <c r="AE112" s="6" t="s">
        <v>741</v>
      </c>
    </row>
    <row r="113" customFormat="false" ht="12.95" hidden="false" customHeight="true" outlineLevel="1" collapsed="false">
      <c r="A113" s="20" t="s">
        <v>1213</v>
      </c>
      <c r="B113" s="1" t="s">
        <v>781</v>
      </c>
      <c r="C113" s="13" t="s">
        <v>680</v>
      </c>
      <c r="D113" s="13" t="s">
        <v>316</v>
      </c>
      <c r="E113" s="13" t="s">
        <v>281</v>
      </c>
      <c r="F113" s="18" t="s">
        <v>233</v>
      </c>
      <c r="G113" s="13" t="s">
        <v>776</v>
      </c>
      <c r="H113" s="1" t="str">
        <f aca="false">_xlfn.CONCAT("Y-Axis: ", C113)</f>
        <v>Y-Axis: Employment Elasticity</v>
      </c>
      <c r="I113" s="1" t="s">
        <v>235</v>
      </c>
      <c r="J113" s="13" t="s">
        <v>67</v>
      </c>
      <c r="K113" s="13" t="s">
        <v>65</v>
      </c>
      <c r="L113" s="13" t="s">
        <v>680</v>
      </c>
      <c r="M113" s="13"/>
      <c r="N113" s="13"/>
      <c r="O113" s="13"/>
      <c r="P113" s="13"/>
      <c r="Q113" s="13"/>
      <c r="R113" s="13"/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6" t="s">
        <v>1214</v>
      </c>
      <c r="Y113" s="6" t="s">
        <v>1215</v>
      </c>
      <c r="Z113" s="6" t="s">
        <v>1216</v>
      </c>
      <c r="AA113" s="6" t="s">
        <v>1217</v>
      </c>
      <c r="AB113" s="6" t="s">
        <v>1218</v>
      </c>
      <c r="AC113" s="6" t="s">
        <v>1219</v>
      </c>
      <c r="AD113" s="6" t="s">
        <v>1220</v>
      </c>
      <c r="AE113" s="6" t="s">
        <v>741</v>
      </c>
    </row>
    <row r="114" customFormat="false" ht="12.95" hidden="false" customHeight="true" outlineLevel="2" collapsed="false">
      <c r="A114" s="20" t="s">
        <v>1221</v>
      </c>
      <c r="B114" s="1" t="s">
        <v>801</v>
      </c>
      <c r="C114" s="13" t="s">
        <v>680</v>
      </c>
      <c r="D114" s="13" t="s">
        <v>316</v>
      </c>
      <c r="E114" s="13" t="s">
        <v>281</v>
      </c>
      <c r="F114" s="18" t="s">
        <v>233</v>
      </c>
      <c r="G114" s="13" t="s">
        <v>776</v>
      </c>
      <c r="H114" s="1" t="str">
        <f aca="false">_xlfn.CONCAT("Y-Axis: ", C114)</f>
        <v>Y-Axis: Employment Elasticity</v>
      </c>
      <c r="I114" s="1" t="s">
        <v>235</v>
      </c>
      <c r="J114" s="13" t="s">
        <v>67</v>
      </c>
      <c r="K114" s="13" t="s">
        <v>65</v>
      </c>
      <c r="L114" s="13" t="s">
        <v>680</v>
      </c>
      <c r="M114" s="13"/>
      <c r="N114" s="13"/>
      <c r="O114" s="13"/>
      <c r="P114" s="13"/>
      <c r="Q114" s="13"/>
      <c r="R114" s="13"/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6" t="s">
        <v>1222</v>
      </c>
      <c r="Y114" s="6" t="s">
        <v>1223</v>
      </c>
      <c r="Z114" s="6" t="s">
        <v>1224</v>
      </c>
      <c r="AA114" s="6" t="s">
        <v>1225</v>
      </c>
      <c r="AB114" s="6" t="s">
        <v>1226</v>
      </c>
      <c r="AC114" s="6" t="s">
        <v>797</v>
      </c>
      <c r="AD114" s="6" t="s">
        <v>1227</v>
      </c>
      <c r="AE114" s="6" t="s">
        <v>741</v>
      </c>
    </row>
    <row r="115" customFormat="false" ht="12.95" hidden="false" customHeight="true" outlineLevel="2" collapsed="false">
      <c r="A115" s="20" t="s">
        <v>1228</v>
      </c>
      <c r="B115" s="1" t="s">
        <v>816</v>
      </c>
      <c r="C115" s="13" t="s">
        <v>680</v>
      </c>
      <c r="D115" s="13" t="s">
        <v>316</v>
      </c>
      <c r="E115" s="13" t="s">
        <v>281</v>
      </c>
      <c r="F115" s="18" t="s">
        <v>233</v>
      </c>
      <c r="G115" s="13" t="s">
        <v>776</v>
      </c>
      <c r="H115" s="1" t="str">
        <f aca="false">_xlfn.CONCAT("Y-Axis: ", C115)</f>
        <v>Y-Axis: Employment Elasticity</v>
      </c>
      <c r="I115" s="1" t="s">
        <v>235</v>
      </c>
      <c r="J115" s="13" t="s">
        <v>67</v>
      </c>
      <c r="K115" s="13" t="s">
        <v>65</v>
      </c>
      <c r="L115" s="13" t="s">
        <v>680</v>
      </c>
      <c r="M115" s="13"/>
      <c r="N115" s="13"/>
      <c r="O115" s="13"/>
      <c r="P115" s="13"/>
      <c r="Q115" s="13"/>
      <c r="R115" s="13"/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6" t="s">
        <v>1229</v>
      </c>
      <c r="Y115" s="6" t="s">
        <v>1230</v>
      </c>
      <c r="Z115" s="6" t="s">
        <v>1224</v>
      </c>
      <c r="AA115" s="6" t="s">
        <v>1231</v>
      </c>
      <c r="AB115" s="6" t="s">
        <v>1232</v>
      </c>
      <c r="AC115" s="6" t="s">
        <v>797</v>
      </c>
      <c r="AD115" s="6" t="s">
        <v>1233</v>
      </c>
      <c r="AE115" s="6" t="s">
        <v>741</v>
      </c>
    </row>
    <row r="116" customFormat="false" ht="12.95" hidden="false" customHeight="true" outlineLevel="1" collapsed="false">
      <c r="A116" s="20" t="s">
        <v>1234</v>
      </c>
      <c r="B116" s="1" t="s">
        <v>781</v>
      </c>
      <c r="C116" s="13" t="s">
        <v>683</v>
      </c>
      <c r="D116" s="13" t="s">
        <v>316</v>
      </c>
      <c r="E116" s="13" t="s">
        <v>281</v>
      </c>
      <c r="F116" s="18" t="s">
        <v>233</v>
      </c>
      <c r="G116" s="13" t="s">
        <v>776</v>
      </c>
      <c r="H116" s="1" t="str">
        <f aca="false">_xlfn.CONCAT("Y-Axis: ", C116)</f>
        <v>Y-Axis: Tax Base Elasticity (Aggregate)</v>
      </c>
      <c r="I116" s="1" t="s">
        <v>235</v>
      </c>
      <c r="J116" s="13" t="s">
        <v>67</v>
      </c>
      <c r="K116" s="13" t="s">
        <v>65</v>
      </c>
      <c r="L116" s="13" t="s">
        <v>683</v>
      </c>
      <c r="M116" s="13"/>
      <c r="N116" s="13"/>
      <c r="O116" s="13"/>
      <c r="P116" s="13"/>
      <c r="Q116" s="13"/>
      <c r="R116" s="13"/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6" t="s">
        <v>1235</v>
      </c>
      <c r="Y116" s="6" t="s">
        <v>1236</v>
      </c>
      <c r="Z116" s="6" t="s">
        <v>1237</v>
      </c>
      <c r="AA116" s="6" t="s">
        <v>1238</v>
      </c>
      <c r="AB116" s="6" t="s">
        <v>1239</v>
      </c>
      <c r="AC116" s="6" t="s">
        <v>1240</v>
      </c>
      <c r="AD116" s="6" t="s">
        <v>1241</v>
      </c>
      <c r="AE116" s="6" t="s">
        <v>741</v>
      </c>
    </row>
    <row r="117" customFormat="false" ht="12.95" hidden="false" customHeight="true" outlineLevel="2" collapsed="false">
      <c r="A117" s="20" t="s">
        <v>1242</v>
      </c>
      <c r="B117" s="1" t="s">
        <v>801</v>
      </c>
      <c r="C117" s="13" t="s">
        <v>683</v>
      </c>
      <c r="D117" s="13" t="s">
        <v>316</v>
      </c>
      <c r="E117" s="13" t="s">
        <v>281</v>
      </c>
      <c r="F117" s="18" t="s">
        <v>233</v>
      </c>
      <c r="G117" s="13" t="s">
        <v>776</v>
      </c>
      <c r="H117" s="1" t="str">
        <f aca="false">_xlfn.CONCAT("Y-Axis: ", C117)</f>
        <v>Y-Axis: Tax Base Elasticity (Aggregate)</v>
      </c>
      <c r="I117" s="1" t="s">
        <v>235</v>
      </c>
      <c r="J117" s="13" t="s">
        <v>67</v>
      </c>
      <c r="K117" s="13" t="s">
        <v>65</v>
      </c>
      <c r="L117" s="13" t="s">
        <v>683</v>
      </c>
      <c r="M117" s="13"/>
      <c r="N117" s="13"/>
      <c r="O117" s="13"/>
      <c r="P117" s="13"/>
      <c r="Q117" s="13"/>
      <c r="R117" s="13"/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6" t="s">
        <v>1243</v>
      </c>
      <c r="Y117" s="6" t="s">
        <v>1244</v>
      </c>
      <c r="Z117" s="6" t="s">
        <v>1245</v>
      </c>
      <c r="AA117" s="6" t="s">
        <v>1246</v>
      </c>
      <c r="AB117" s="6" t="s">
        <v>1247</v>
      </c>
      <c r="AC117" s="6" t="s">
        <v>797</v>
      </c>
      <c r="AD117" s="6" t="s">
        <v>1248</v>
      </c>
      <c r="AE117" s="6" t="s">
        <v>741</v>
      </c>
    </row>
    <row r="118" customFormat="false" ht="12.95" hidden="false" customHeight="true" outlineLevel="2" collapsed="false">
      <c r="A118" s="20" t="s">
        <v>1249</v>
      </c>
      <c r="B118" s="1" t="s">
        <v>816</v>
      </c>
      <c r="C118" s="13" t="s">
        <v>683</v>
      </c>
      <c r="D118" s="13" t="s">
        <v>316</v>
      </c>
      <c r="E118" s="13" t="s">
        <v>281</v>
      </c>
      <c r="F118" s="18" t="s">
        <v>233</v>
      </c>
      <c r="G118" s="13" t="s">
        <v>776</v>
      </c>
      <c r="H118" s="1" t="str">
        <f aca="false">_xlfn.CONCAT("Y-Axis: ", C118)</f>
        <v>Y-Axis: Tax Base Elasticity (Aggregate)</v>
      </c>
      <c r="I118" s="1" t="s">
        <v>235</v>
      </c>
      <c r="J118" s="13" t="s">
        <v>67</v>
      </c>
      <c r="K118" s="13" t="s">
        <v>65</v>
      </c>
      <c r="L118" s="13" t="s">
        <v>683</v>
      </c>
      <c r="M118" s="13"/>
      <c r="N118" s="13"/>
      <c r="O118" s="13"/>
      <c r="P118" s="13"/>
      <c r="Q118" s="13"/>
      <c r="R118" s="13"/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6" t="s">
        <v>1250</v>
      </c>
      <c r="Y118" s="6" t="s">
        <v>1251</v>
      </c>
      <c r="Z118" s="6" t="s">
        <v>1245</v>
      </c>
      <c r="AA118" s="6" t="s">
        <v>1252</v>
      </c>
      <c r="AB118" s="6" t="s">
        <v>1253</v>
      </c>
      <c r="AC118" s="6" t="s">
        <v>797</v>
      </c>
      <c r="AD118" s="6" t="s">
        <v>1254</v>
      </c>
      <c r="AE118" s="6" t="s">
        <v>741</v>
      </c>
    </row>
    <row r="119" customFormat="false" ht="12.95" hidden="false" customHeight="true" outlineLevel="1" collapsed="false">
      <c r="A119" s="20" t="s">
        <v>1255</v>
      </c>
      <c r="B119" s="1" t="s">
        <v>781</v>
      </c>
      <c r="C119" s="13" t="s">
        <v>686</v>
      </c>
      <c r="D119" s="13" t="s">
        <v>316</v>
      </c>
      <c r="E119" s="13" t="s">
        <v>281</v>
      </c>
      <c r="F119" s="18" t="s">
        <v>233</v>
      </c>
      <c r="G119" s="13" t="s">
        <v>776</v>
      </c>
      <c r="H119" s="1" t="str">
        <f aca="false">_xlfn.CONCAT("Y-Axis: ", C119)</f>
        <v>Y-Axis: Bottom 40% Wealth Share</v>
      </c>
      <c r="I119" s="1" t="s">
        <v>235</v>
      </c>
      <c r="J119" s="13" t="s">
        <v>67</v>
      </c>
      <c r="K119" s="13" t="s">
        <v>65</v>
      </c>
      <c r="L119" s="13" t="s">
        <v>686</v>
      </c>
      <c r="M119" s="13"/>
      <c r="N119" s="13"/>
      <c r="O119" s="13"/>
      <c r="P119" s="13"/>
      <c r="Q119" s="13"/>
      <c r="R119" s="13"/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6" t="s">
        <v>1256</v>
      </c>
      <c r="Y119" s="6" t="s">
        <v>1257</v>
      </c>
      <c r="Z119" s="6" t="s">
        <v>1258</v>
      </c>
      <c r="AA119" s="6" t="s">
        <v>1259</v>
      </c>
      <c r="AB119" s="6" t="s">
        <v>1260</v>
      </c>
      <c r="AC119" s="6" t="s">
        <v>1261</v>
      </c>
      <c r="AD119" s="6" t="s">
        <v>1262</v>
      </c>
      <c r="AE119" s="6" t="s">
        <v>741</v>
      </c>
    </row>
    <row r="120" customFormat="false" ht="12.95" hidden="false" customHeight="true" outlineLevel="2" collapsed="false">
      <c r="A120" s="20" t="s">
        <v>1263</v>
      </c>
      <c r="B120" s="1" t="s">
        <v>801</v>
      </c>
      <c r="C120" s="13" t="s">
        <v>686</v>
      </c>
      <c r="D120" s="13" t="s">
        <v>316</v>
      </c>
      <c r="E120" s="13" t="s">
        <v>281</v>
      </c>
      <c r="F120" s="18" t="s">
        <v>233</v>
      </c>
      <c r="G120" s="13" t="s">
        <v>776</v>
      </c>
      <c r="H120" s="1" t="str">
        <f aca="false">_xlfn.CONCAT("Y-Axis: ", C120)</f>
        <v>Y-Axis: Bottom 40% Wealth Share</v>
      </c>
      <c r="I120" s="1" t="s">
        <v>235</v>
      </c>
      <c r="J120" s="13" t="s">
        <v>67</v>
      </c>
      <c r="K120" s="13" t="s">
        <v>65</v>
      </c>
      <c r="L120" s="13" t="s">
        <v>686</v>
      </c>
      <c r="M120" s="13"/>
      <c r="N120" s="13"/>
      <c r="O120" s="13"/>
      <c r="P120" s="13"/>
      <c r="Q120" s="13"/>
      <c r="R120" s="13"/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6" t="s">
        <v>1264</v>
      </c>
      <c r="Y120" s="6" t="s">
        <v>1265</v>
      </c>
      <c r="Z120" s="6" t="s">
        <v>1266</v>
      </c>
      <c r="AA120" s="6" t="s">
        <v>1267</v>
      </c>
      <c r="AB120" s="6" t="s">
        <v>1268</v>
      </c>
      <c r="AC120" s="6" t="s">
        <v>797</v>
      </c>
      <c r="AD120" s="6" t="s">
        <v>1269</v>
      </c>
      <c r="AE120" s="6" t="s">
        <v>741</v>
      </c>
    </row>
    <row r="121" customFormat="false" ht="12.95" hidden="false" customHeight="true" outlineLevel="2" collapsed="false">
      <c r="A121" s="20" t="s">
        <v>1270</v>
      </c>
      <c r="B121" s="1" t="s">
        <v>816</v>
      </c>
      <c r="C121" s="13" t="s">
        <v>686</v>
      </c>
      <c r="D121" s="13" t="s">
        <v>316</v>
      </c>
      <c r="E121" s="13" t="s">
        <v>281</v>
      </c>
      <c r="F121" s="18" t="s">
        <v>233</v>
      </c>
      <c r="G121" s="13" t="s">
        <v>776</v>
      </c>
      <c r="H121" s="1" t="str">
        <f aca="false">_xlfn.CONCAT("Y-Axis: ", C121)</f>
        <v>Y-Axis: Bottom 40% Wealth Share</v>
      </c>
      <c r="I121" s="1" t="s">
        <v>235</v>
      </c>
      <c r="J121" s="13" t="s">
        <v>67</v>
      </c>
      <c r="K121" s="13" t="s">
        <v>65</v>
      </c>
      <c r="L121" s="13" t="s">
        <v>686</v>
      </c>
      <c r="M121" s="13"/>
      <c r="N121" s="13"/>
      <c r="O121" s="13"/>
      <c r="P121" s="13"/>
      <c r="Q121" s="13"/>
      <c r="R121" s="13"/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  <c r="X121" s="6" t="s">
        <v>1271</v>
      </c>
      <c r="Y121" s="6" t="s">
        <v>1272</v>
      </c>
      <c r="Z121" s="6" t="s">
        <v>1266</v>
      </c>
      <c r="AA121" s="6" t="s">
        <v>1273</v>
      </c>
      <c r="AB121" s="6" t="s">
        <v>1274</v>
      </c>
      <c r="AC121" s="6" t="s">
        <v>797</v>
      </c>
      <c r="AD121" s="6" t="s">
        <v>1275</v>
      </c>
      <c r="AE121" s="6" t="s">
        <v>741</v>
      </c>
    </row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" activeCellId="0" sqref="T3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7.59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true" hidden="false" outlineLevel="0" max="30" min="30" style="14" width="27.68"/>
    <col collapsed="false" customWidth="false" hidden="false" outlineLevel="0" max="16381" min="31" style="14" width="11.53"/>
    <col collapsed="false" customWidth="false" hidden="false" outlineLevel="0" max="16384" min="16382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5" t="s">
        <v>778</v>
      </c>
      <c r="AF2" s="14"/>
      <c r="AG2" s="14"/>
      <c r="AH2" s="14"/>
      <c r="AI2" s="14"/>
      <c r="AJ2" s="14"/>
      <c r="XFB2" s="12"/>
      <c r="XFC2" s="12"/>
      <c r="XFD2" s="12"/>
    </row>
    <row r="3" s="3" customFormat="true" ht="12.95" hidden="false" customHeight="true" outlineLevel="0" collapsed="false">
      <c r="A3" s="3" t="s">
        <v>22</v>
      </c>
      <c r="B3" s="3" t="s">
        <v>111</v>
      </c>
      <c r="X3" s="5"/>
      <c r="Y3" s="5"/>
      <c r="Z3" s="5"/>
      <c r="AA3" s="5"/>
      <c r="AB3" s="5"/>
      <c r="AC3" s="5"/>
      <c r="AD3" s="5"/>
      <c r="AE3" s="5"/>
      <c r="AF3" s="14"/>
      <c r="AG3" s="14"/>
      <c r="AH3" s="14"/>
      <c r="AI3" s="14"/>
      <c r="AJ3" s="14"/>
      <c r="XFB3" s="12"/>
      <c r="XFC3" s="12"/>
      <c r="XFD3" s="12"/>
    </row>
    <row r="4" customFormat="false" ht="12.95" hidden="false" customHeight="true" outlineLevel="0" collapsed="false">
      <c r="A4" s="1" t="s">
        <v>31</v>
      </c>
      <c r="B4" s="1" t="s">
        <v>1276</v>
      </c>
      <c r="C4" s="1" t="s">
        <v>463</v>
      </c>
      <c r="X4" s="6"/>
      <c r="Y4" s="6"/>
      <c r="Z4" s="6"/>
      <c r="AA4" s="6"/>
      <c r="AB4" s="6"/>
      <c r="AC4" s="6"/>
      <c r="AD4" s="6"/>
      <c r="AE4" s="6"/>
    </row>
    <row r="5" customFormat="false" ht="12.95" hidden="false" customHeight="true" outlineLevel="1" collapsed="false">
      <c r="A5" s="1" t="s">
        <v>1277</v>
      </c>
      <c r="B5" s="1" t="s">
        <v>1278</v>
      </c>
      <c r="C5" s="1" t="s">
        <v>223</v>
      </c>
      <c r="X5" s="6" t="s">
        <v>738</v>
      </c>
      <c r="Y5" s="6" t="s">
        <v>738</v>
      </c>
      <c r="Z5" s="6" t="s">
        <v>738</v>
      </c>
      <c r="AA5" s="6" t="s">
        <v>738</v>
      </c>
      <c r="AB5" s="6" t="s">
        <v>738</v>
      </c>
      <c r="AC5" s="6" t="s">
        <v>738</v>
      </c>
      <c r="AD5" s="6" t="s">
        <v>738</v>
      </c>
      <c r="AE5" s="6" t="s">
        <v>738</v>
      </c>
    </row>
    <row r="6" customFormat="false" ht="12.95" hidden="false" customHeight="true" outlineLevel="3" collapsed="false">
      <c r="A6" s="1" t="s">
        <v>1279</v>
      </c>
      <c r="B6" s="1" t="s">
        <v>1278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1280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1281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X6" s="6" t="s">
        <v>1282</v>
      </c>
      <c r="Y6" s="6" t="s">
        <v>1283</v>
      </c>
      <c r="Z6" s="6" t="s">
        <v>1284</v>
      </c>
      <c r="AA6" s="6" t="s">
        <v>1285</v>
      </c>
      <c r="AB6" s="6" t="s">
        <v>1286</v>
      </c>
      <c r="AC6" s="6" t="s">
        <v>787</v>
      </c>
      <c r="AD6" s="6" t="s">
        <v>1287</v>
      </c>
      <c r="AE6" s="6" t="s">
        <v>741</v>
      </c>
    </row>
    <row r="7" customFormat="false" ht="12.95" hidden="false" customHeight="true" outlineLevel="3" collapsed="false">
      <c r="A7" s="1" t="s">
        <v>1288</v>
      </c>
      <c r="B7" s="1" t="s">
        <v>1278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1280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1281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7" s="6" t="s">
        <v>1289</v>
      </c>
      <c r="Y7" s="6" t="s">
        <v>1290</v>
      </c>
      <c r="Z7" s="6" t="s">
        <v>795</v>
      </c>
      <c r="AA7" s="6" t="s">
        <v>1291</v>
      </c>
      <c r="AB7" s="6" t="s">
        <v>1290</v>
      </c>
      <c r="AC7" s="6" t="s">
        <v>797</v>
      </c>
      <c r="AD7" s="6" t="s">
        <v>1292</v>
      </c>
      <c r="AE7" s="6" t="s">
        <v>741</v>
      </c>
    </row>
    <row r="8" customFormat="false" ht="12.95" hidden="false" customHeight="true" outlineLevel="2" collapsed="false">
      <c r="A8" s="1" t="s">
        <v>1293</v>
      </c>
      <c r="B8" s="1" t="s">
        <v>1294</v>
      </c>
      <c r="C8" s="1" t="s">
        <v>223</v>
      </c>
      <c r="X8" s="6" t="s">
        <v>738</v>
      </c>
      <c r="Y8" s="6" t="s">
        <v>738</v>
      </c>
      <c r="Z8" s="6" t="s">
        <v>738</v>
      </c>
      <c r="AA8" s="6" t="s">
        <v>738</v>
      </c>
      <c r="AB8" s="6" t="s">
        <v>738</v>
      </c>
      <c r="AC8" s="6" t="s">
        <v>738</v>
      </c>
      <c r="AD8" s="6" t="s">
        <v>738</v>
      </c>
      <c r="AE8" s="6" t="s">
        <v>738</v>
      </c>
    </row>
    <row r="9" customFormat="false" ht="12.95" hidden="false" customHeight="true" outlineLevel="3" collapsed="false">
      <c r="A9" s="1" t="s">
        <v>1295</v>
      </c>
      <c r="B9" s="1" t="s">
        <v>1294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1296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1297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X9" s="6" t="s">
        <v>1298</v>
      </c>
      <c r="Y9" s="6" t="s">
        <v>1299</v>
      </c>
      <c r="Z9" s="6" t="s">
        <v>1290</v>
      </c>
      <c r="AA9" s="6" t="s">
        <v>1300</v>
      </c>
      <c r="AB9" s="6" t="s">
        <v>1301</v>
      </c>
      <c r="AC9" s="6" t="s">
        <v>797</v>
      </c>
      <c r="AD9" s="6" t="s">
        <v>1302</v>
      </c>
      <c r="AE9" s="6" t="s">
        <v>741</v>
      </c>
    </row>
    <row r="10" customFormat="false" ht="12.95" hidden="false" customHeight="true" outlineLevel="3" collapsed="false">
      <c r="A10" s="1" t="s">
        <v>1303</v>
      </c>
      <c r="B10" s="1" t="s">
        <v>1294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1296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1297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10" s="6" t="s">
        <v>1304</v>
      </c>
      <c r="Y10" s="6" t="s">
        <v>1305</v>
      </c>
      <c r="Z10" s="6" t="s">
        <v>1306</v>
      </c>
      <c r="AA10" s="6" t="s">
        <v>1305</v>
      </c>
      <c r="AB10" s="6" t="s">
        <v>1305</v>
      </c>
      <c r="AC10" s="6" t="s">
        <v>797</v>
      </c>
      <c r="AD10" s="6" t="s">
        <v>813</v>
      </c>
      <c r="AE10" s="6" t="s">
        <v>741</v>
      </c>
    </row>
    <row r="11" customFormat="false" ht="12.95" hidden="false" customHeight="true" outlineLevel="2" collapsed="false">
      <c r="A11" s="1" t="s">
        <v>1307</v>
      </c>
      <c r="B11" s="1" t="s">
        <v>1308</v>
      </c>
      <c r="C11" s="1" t="s">
        <v>223</v>
      </c>
      <c r="X11" s="6" t="s">
        <v>738</v>
      </c>
      <c r="Y11" s="6" t="s">
        <v>738</v>
      </c>
      <c r="Z11" s="6" t="s">
        <v>738</v>
      </c>
      <c r="AA11" s="6" t="s">
        <v>738</v>
      </c>
      <c r="AB11" s="6" t="s">
        <v>738</v>
      </c>
      <c r="AC11" s="6" t="s">
        <v>738</v>
      </c>
      <c r="AD11" s="6" t="s">
        <v>738</v>
      </c>
      <c r="AE11" s="6" t="s">
        <v>738</v>
      </c>
    </row>
    <row r="12" customFormat="false" ht="12.95" hidden="false" customHeight="true" outlineLevel="3" collapsed="false">
      <c r="A12" s="1" t="s">
        <v>1309</v>
      </c>
      <c r="B12" s="1" t="s">
        <v>1308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1310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1311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X12" s="6" t="s">
        <v>1312</v>
      </c>
      <c r="Y12" s="6" t="s">
        <v>1313</v>
      </c>
      <c r="Z12" s="6" t="s">
        <v>1290</v>
      </c>
      <c r="AA12" s="6" t="s">
        <v>1314</v>
      </c>
      <c r="AB12" s="6" t="s">
        <v>1315</v>
      </c>
      <c r="AC12" s="6" t="s">
        <v>797</v>
      </c>
      <c r="AD12" s="6" t="s">
        <v>1316</v>
      </c>
      <c r="AE12" s="6" t="s">
        <v>741</v>
      </c>
    </row>
    <row r="13" customFormat="false" ht="12.95" hidden="false" customHeight="true" outlineLevel="3" collapsed="false">
      <c r="A13" s="1" t="s">
        <v>1317</v>
      </c>
      <c r="B13" s="1" t="s">
        <v>1308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1310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1311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6" t="s">
        <v>1318</v>
      </c>
      <c r="Y13" s="6" t="s">
        <v>1319</v>
      </c>
      <c r="Z13" s="6" t="s">
        <v>1306</v>
      </c>
      <c r="AA13" s="6" t="s">
        <v>1319</v>
      </c>
      <c r="AB13" s="6" t="s">
        <v>1319</v>
      </c>
      <c r="AC13" s="6" t="s">
        <v>797</v>
      </c>
      <c r="AD13" s="6" t="s">
        <v>813</v>
      </c>
      <c r="AE13" s="6" t="s">
        <v>741</v>
      </c>
    </row>
    <row r="14" customFormat="false" ht="12.95" hidden="false" customHeight="true" outlineLevel="1" collapsed="false">
      <c r="A14" s="1" t="s">
        <v>1320</v>
      </c>
      <c r="B14" s="1" t="s">
        <v>1278</v>
      </c>
      <c r="C14" s="1" t="s">
        <v>711</v>
      </c>
      <c r="G14" s="13"/>
      <c r="X14" s="6" t="s">
        <v>738</v>
      </c>
      <c r="Y14" s="6" t="s">
        <v>738</v>
      </c>
      <c r="Z14" s="6" t="s">
        <v>738</v>
      </c>
      <c r="AA14" s="6" t="s">
        <v>738</v>
      </c>
      <c r="AB14" s="6" t="s">
        <v>738</v>
      </c>
      <c r="AC14" s="6" t="s">
        <v>738</v>
      </c>
      <c r="AD14" s="6" t="s">
        <v>738</v>
      </c>
      <c r="AE14" s="6" t="s">
        <v>738</v>
      </c>
    </row>
    <row r="15" customFormat="false" ht="12.95" hidden="false" customHeight="true" outlineLevel="3" collapsed="false">
      <c r="A15" s="1" t="s">
        <v>1321</v>
      </c>
      <c r="B15" s="1" t="s">
        <v>1278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1280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1281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X15" s="6" t="s">
        <v>1322</v>
      </c>
      <c r="Y15" s="6" t="s">
        <v>1323</v>
      </c>
      <c r="Z15" s="6" t="s">
        <v>831</v>
      </c>
      <c r="AA15" s="6" t="s">
        <v>1324</v>
      </c>
      <c r="AB15" s="6" t="s">
        <v>1290</v>
      </c>
      <c r="AC15" s="6" t="s">
        <v>833</v>
      </c>
      <c r="AD15" s="6" t="s">
        <v>1325</v>
      </c>
      <c r="AE15" s="6" t="s">
        <v>741</v>
      </c>
    </row>
    <row r="16" customFormat="false" ht="12.95" hidden="false" customHeight="true" outlineLevel="3" collapsed="false">
      <c r="A16" s="1" t="s">
        <v>1326</v>
      </c>
      <c r="B16" s="1" t="s">
        <v>1278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1280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1281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16" s="6" t="s">
        <v>1327</v>
      </c>
      <c r="Y16" s="6" t="s">
        <v>1328</v>
      </c>
      <c r="Z16" s="6" t="s">
        <v>1329</v>
      </c>
      <c r="AA16" s="6" t="s">
        <v>839</v>
      </c>
      <c r="AB16" s="6" t="s">
        <v>1290</v>
      </c>
      <c r="AC16" s="6" t="s">
        <v>797</v>
      </c>
      <c r="AD16" s="6" t="s">
        <v>840</v>
      </c>
      <c r="AE16" s="6" t="s">
        <v>741</v>
      </c>
    </row>
    <row r="17" customFormat="false" ht="12.95" hidden="false" customHeight="true" outlineLevel="2" collapsed="false">
      <c r="A17" s="1" t="s">
        <v>1330</v>
      </c>
      <c r="B17" s="1" t="s">
        <v>1294</v>
      </c>
      <c r="C17" s="1" t="s">
        <v>711</v>
      </c>
      <c r="G17" s="13"/>
      <c r="X17" s="6" t="s">
        <v>738</v>
      </c>
      <c r="Y17" s="6" t="s">
        <v>738</v>
      </c>
      <c r="Z17" s="6" t="s">
        <v>738</v>
      </c>
      <c r="AA17" s="6" t="s">
        <v>738</v>
      </c>
      <c r="AB17" s="6" t="s">
        <v>738</v>
      </c>
      <c r="AC17" s="6" t="s">
        <v>738</v>
      </c>
      <c r="AD17" s="6" t="s">
        <v>738</v>
      </c>
      <c r="AE17" s="6" t="s">
        <v>738</v>
      </c>
    </row>
    <row r="18" customFormat="false" ht="12.95" hidden="false" customHeight="true" outlineLevel="3" collapsed="false">
      <c r="A18" s="1" t="s">
        <v>1331</v>
      </c>
      <c r="B18" s="1" t="s">
        <v>1294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1296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1297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  <c r="X18" s="6" t="s">
        <v>1332</v>
      </c>
      <c r="Y18" s="6" t="s">
        <v>1333</v>
      </c>
      <c r="Z18" s="6" t="s">
        <v>1328</v>
      </c>
      <c r="AA18" s="6" t="s">
        <v>1334</v>
      </c>
      <c r="AB18" s="6" t="s">
        <v>1301</v>
      </c>
      <c r="AC18" s="6" t="s">
        <v>797</v>
      </c>
      <c r="AD18" s="6" t="s">
        <v>1335</v>
      </c>
      <c r="AE18" s="6" t="s">
        <v>741</v>
      </c>
    </row>
    <row r="19" customFormat="false" ht="12.95" hidden="false" customHeight="true" outlineLevel="3" collapsed="false">
      <c r="A19" s="1" t="s">
        <v>1336</v>
      </c>
      <c r="B19" s="1" t="s">
        <v>1294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1296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1297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19" s="6" t="s">
        <v>1337</v>
      </c>
      <c r="Y19" s="6" t="s">
        <v>1338</v>
      </c>
      <c r="Z19" s="6" t="s">
        <v>1339</v>
      </c>
      <c r="AA19" s="6" t="s">
        <v>797</v>
      </c>
      <c r="AB19" s="6" t="s">
        <v>1338</v>
      </c>
      <c r="AC19" s="6" t="s">
        <v>797</v>
      </c>
      <c r="AD19" s="6" t="s">
        <v>813</v>
      </c>
      <c r="AE19" s="6" t="s">
        <v>741</v>
      </c>
    </row>
    <row r="20" customFormat="false" ht="12.95" hidden="false" customHeight="true" outlineLevel="2" collapsed="false">
      <c r="A20" s="1" t="s">
        <v>1340</v>
      </c>
      <c r="B20" s="1" t="s">
        <v>1308</v>
      </c>
      <c r="C20" s="1" t="s">
        <v>711</v>
      </c>
      <c r="G20" s="13"/>
      <c r="X20" s="6" t="s">
        <v>738</v>
      </c>
      <c r="Y20" s="6" t="s">
        <v>738</v>
      </c>
      <c r="Z20" s="6" t="s">
        <v>738</v>
      </c>
      <c r="AA20" s="6" t="s">
        <v>738</v>
      </c>
      <c r="AB20" s="6" t="s">
        <v>738</v>
      </c>
      <c r="AC20" s="6" t="s">
        <v>738</v>
      </c>
      <c r="AD20" s="6" t="s">
        <v>738</v>
      </c>
      <c r="AE20" s="6" t="s">
        <v>738</v>
      </c>
    </row>
    <row r="21" customFormat="false" ht="12.95" hidden="false" customHeight="true" outlineLevel="3" collapsed="false">
      <c r="A21" s="1" t="s">
        <v>1341</v>
      </c>
      <c r="B21" s="1" t="s">
        <v>1308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1310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1311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6" t="s">
        <v>1342</v>
      </c>
      <c r="Y21" s="6" t="s">
        <v>1343</v>
      </c>
      <c r="Z21" s="6" t="s">
        <v>1328</v>
      </c>
      <c r="AA21" s="6" t="s">
        <v>819</v>
      </c>
      <c r="AB21" s="6" t="s">
        <v>1315</v>
      </c>
      <c r="AC21" s="6" t="s">
        <v>797</v>
      </c>
      <c r="AD21" s="6" t="s">
        <v>860</v>
      </c>
      <c r="AE21" s="6" t="s">
        <v>741</v>
      </c>
    </row>
    <row r="22" customFormat="false" ht="12.95" hidden="false" customHeight="true" outlineLevel="3" collapsed="false">
      <c r="A22" s="1" t="s">
        <v>1344</v>
      </c>
      <c r="B22" s="1" t="s">
        <v>1308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1310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1311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22" s="6" t="s">
        <v>1345</v>
      </c>
      <c r="Y22" s="6" t="s">
        <v>1346</v>
      </c>
      <c r="Z22" s="6" t="s">
        <v>1339</v>
      </c>
      <c r="AA22" s="6" t="s">
        <v>797</v>
      </c>
      <c r="AB22" s="6" t="s">
        <v>1346</v>
      </c>
      <c r="AC22" s="6" t="s">
        <v>797</v>
      </c>
      <c r="AD22" s="6" t="s">
        <v>813</v>
      </c>
      <c r="AE22" s="6" t="s">
        <v>741</v>
      </c>
    </row>
    <row r="23" customFormat="false" ht="12.95" hidden="false" customHeight="true" outlineLevel="1" collapsed="false">
      <c r="A23" s="1" t="s">
        <v>1347</v>
      </c>
      <c r="B23" s="1" t="s">
        <v>1278</v>
      </c>
      <c r="C23" s="1" t="s">
        <v>719</v>
      </c>
      <c r="G23" s="13"/>
      <c r="X23" s="6" t="s">
        <v>738</v>
      </c>
      <c r="Y23" s="6" t="s">
        <v>738</v>
      </c>
      <c r="Z23" s="6" t="s">
        <v>738</v>
      </c>
      <c r="AA23" s="6" t="s">
        <v>738</v>
      </c>
      <c r="AB23" s="6" t="s">
        <v>738</v>
      </c>
      <c r="AC23" s="6" t="s">
        <v>738</v>
      </c>
      <c r="AD23" s="6" t="s">
        <v>738</v>
      </c>
      <c r="AE23" s="6" t="s">
        <v>738</v>
      </c>
    </row>
    <row r="24" customFormat="false" ht="12.95" hidden="false" customHeight="true" outlineLevel="3" collapsed="false">
      <c r="A24" s="1" t="s">
        <v>1348</v>
      </c>
      <c r="B24" s="1" t="s">
        <v>1278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1280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1281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  <c r="X24" s="6" t="s">
        <v>1349</v>
      </c>
      <c r="Y24" s="6" t="s">
        <v>1350</v>
      </c>
      <c r="Z24" s="6" t="s">
        <v>868</v>
      </c>
      <c r="AA24" s="6" t="s">
        <v>1351</v>
      </c>
      <c r="AB24" s="6" t="s">
        <v>1286</v>
      </c>
      <c r="AC24" s="6" t="s">
        <v>870</v>
      </c>
      <c r="AD24" s="6" t="s">
        <v>871</v>
      </c>
      <c r="AE24" s="6" t="s">
        <v>741</v>
      </c>
    </row>
    <row r="25" customFormat="false" ht="12.95" hidden="false" customHeight="true" outlineLevel="3" collapsed="false">
      <c r="A25" s="1" t="s">
        <v>1352</v>
      </c>
      <c r="B25" s="1" t="s">
        <v>1278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1280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1281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25" s="6" t="s">
        <v>1353</v>
      </c>
      <c r="Y25" s="6" t="s">
        <v>1354</v>
      </c>
      <c r="Z25" s="6" t="s">
        <v>1306</v>
      </c>
      <c r="AA25" s="6" t="s">
        <v>875</v>
      </c>
      <c r="AB25" s="6" t="s">
        <v>1354</v>
      </c>
      <c r="AC25" s="6" t="s">
        <v>797</v>
      </c>
      <c r="AD25" s="6" t="s">
        <v>876</v>
      </c>
      <c r="AE25" s="6" t="s">
        <v>741</v>
      </c>
    </row>
    <row r="26" customFormat="false" ht="12.95" hidden="false" customHeight="true" outlineLevel="2" collapsed="false">
      <c r="A26" s="1" t="s">
        <v>1355</v>
      </c>
      <c r="B26" s="1" t="s">
        <v>1294</v>
      </c>
      <c r="C26" s="1" t="s">
        <v>719</v>
      </c>
      <c r="G26" s="13"/>
      <c r="X26" s="6" t="s">
        <v>738</v>
      </c>
      <c r="Y26" s="6" t="s">
        <v>738</v>
      </c>
      <c r="Z26" s="6" t="s">
        <v>738</v>
      </c>
      <c r="AA26" s="6" t="s">
        <v>738</v>
      </c>
      <c r="AB26" s="6" t="s">
        <v>738</v>
      </c>
      <c r="AC26" s="6" t="s">
        <v>738</v>
      </c>
      <c r="AD26" s="6" t="s">
        <v>738</v>
      </c>
      <c r="AE26" s="6" t="s">
        <v>738</v>
      </c>
    </row>
    <row r="27" customFormat="false" ht="12.95" hidden="false" customHeight="true" outlineLevel="3" collapsed="false">
      <c r="A27" s="1" t="s">
        <v>1356</v>
      </c>
      <c r="B27" s="1" t="s">
        <v>1294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1296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1297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  <c r="X27" s="6" t="s">
        <v>1357</v>
      </c>
      <c r="Y27" s="6" t="s">
        <v>1358</v>
      </c>
      <c r="Z27" s="6" t="s">
        <v>1354</v>
      </c>
      <c r="AA27" s="6" t="s">
        <v>1225</v>
      </c>
      <c r="AB27" s="6" t="s">
        <v>1301</v>
      </c>
      <c r="AC27" s="6" t="s">
        <v>797</v>
      </c>
      <c r="AD27" s="6" t="s">
        <v>1359</v>
      </c>
      <c r="AE27" s="6" t="s">
        <v>741</v>
      </c>
    </row>
    <row r="28" customFormat="false" ht="12.95" hidden="false" customHeight="true" outlineLevel="3" collapsed="false">
      <c r="A28" s="1" t="s">
        <v>1360</v>
      </c>
      <c r="B28" s="1" t="s">
        <v>1294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1296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1297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28" s="6" t="s">
        <v>1361</v>
      </c>
      <c r="Y28" s="6" t="s">
        <v>1362</v>
      </c>
      <c r="Z28" s="6" t="s">
        <v>1363</v>
      </c>
      <c r="AA28" s="6" t="s">
        <v>797</v>
      </c>
      <c r="AB28" s="6" t="s">
        <v>1362</v>
      </c>
      <c r="AC28" s="6" t="s">
        <v>797</v>
      </c>
      <c r="AD28" s="6" t="s">
        <v>813</v>
      </c>
      <c r="AE28" s="6" t="s">
        <v>741</v>
      </c>
    </row>
    <row r="29" customFormat="false" ht="12.95" hidden="false" customHeight="true" outlineLevel="2" collapsed="false">
      <c r="A29" s="1" t="s">
        <v>1364</v>
      </c>
      <c r="B29" s="1" t="s">
        <v>1308</v>
      </c>
      <c r="C29" s="1" t="s">
        <v>719</v>
      </c>
      <c r="G29" s="13"/>
      <c r="X29" s="6" t="s">
        <v>738</v>
      </c>
      <c r="Y29" s="6" t="s">
        <v>738</v>
      </c>
      <c r="Z29" s="6" t="s">
        <v>738</v>
      </c>
      <c r="AA29" s="6" t="s">
        <v>738</v>
      </c>
      <c r="AB29" s="6" t="s">
        <v>738</v>
      </c>
      <c r="AC29" s="6" t="s">
        <v>738</v>
      </c>
      <c r="AD29" s="6" t="s">
        <v>738</v>
      </c>
      <c r="AE29" s="6" t="s">
        <v>738</v>
      </c>
    </row>
    <row r="30" customFormat="false" ht="12.95" hidden="false" customHeight="true" outlineLevel="3" collapsed="false">
      <c r="A30" s="1" t="s">
        <v>1365</v>
      </c>
      <c r="B30" s="1" t="s">
        <v>1308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1310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1311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  <c r="X30" s="6" t="s">
        <v>1366</v>
      </c>
      <c r="Y30" s="6" t="s">
        <v>1367</v>
      </c>
      <c r="Z30" s="6" t="s">
        <v>1354</v>
      </c>
      <c r="AA30" s="6" t="s">
        <v>896</v>
      </c>
      <c r="AB30" s="6" t="s">
        <v>1315</v>
      </c>
      <c r="AC30" s="6" t="s">
        <v>797</v>
      </c>
      <c r="AD30" s="6" t="s">
        <v>1368</v>
      </c>
      <c r="AE30" s="6" t="s">
        <v>741</v>
      </c>
    </row>
    <row r="31" customFormat="false" ht="12.95" hidden="false" customHeight="true" outlineLevel="3" collapsed="false">
      <c r="A31" s="1" t="s">
        <v>1369</v>
      </c>
      <c r="B31" s="1" t="s">
        <v>1308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1310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1311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31" s="6" t="s">
        <v>1370</v>
      </c>
      <c r="Y31" s="6" t="s">
        <v>1371</v>
      </c>
      <c r="Z31" s="6" t="s">
        <v>1363</v>
      </c>
      <c r="AA31" s="6" t="s">
        <v>797</v>
      </c>
      <c r="AB31" s="6" t="s">
        <v>1371</v>
      </c>
      <c r="AC31" s="6" t="s">
        <v>797</v>
      </c>
      <c r="AD31" s="6" t="s">
        <v>813</v>
      </c>
      <c r="AE31" s="6" t="s">
        <v>741</v>
      </c>
    </row>
    <row r="32" customFormat="false" ht="12.95" hidden="false" customHeight="true" outlineLevel="1" collapsed="false">
      <c r="A32" s="1" t="s">
        <v>1372</v>
      </c>
      <c r="B32" s="1" t="s">
        <v>1278</v>
      </c>
      <c r="C32" s="1" t="s">
        <v>731</v>
      </c>
      <c r="G32" s="13"/>
      <c r="X32" s="6" t="s">
        <v>738</v>
      </c>
      <c r="Y32" s="6" t="s">
        <v>738</v>
      </c>
      <c r="Z32" s="6" t="s">
        <v>738</v>
      </c>
      <c r="AA32" s="6" t="s">
        <v>738</v>
      </c>
      <c r="AB32" s="6" t="s">
        <v>738</v>
      </c>
      <c r="AC32" s="6" t="s">
        <v>738</v>
      </c>
      <c r="AD32" s="6" t="s">
        <v>738</v>
      </c>
      <c r="AE32" s="6" t="s">
        <v>738</v>
      </c>
    </row>
    <row r="33" customFormat="false" ht="12.95" hidden="false" customHeight="true" outlineLevel="3" collapsed="false">
      <c r="A33" s="1" t="s">
        <v>1373</v>
      </c>
      <c r="B33" s="1" t="s">
        <v>1278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1280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1281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X33" s="6" t="s">
        <v>1374</v>
      </c>
      <c r="Y33" s="6" t="s">
        <v>1375</v>
      </c>
      <c r="Z33" s="6" t="s">
        <v>868</v>
      </c>
      <c r="AA33" s="6" t="s">
        <v>1376</v>
      </c>
      <c r="AB33" s="6" t="s">
        <v>1286</v>
      </c>
      <c r="AC33" s="6" t="s">
        <v>906</v>
      </c>
      <c r="AD33" s="6" t="s">
        <v>907</v>
      </c>
      <c r="AE33" s="6" t="s">
        <v>741</v>
      </c>
    </row>
    <row r="34" customFormat="false" ht="12.95" hidden="false" customHeight="true" outlineLevel="3" collapsed="false">
      <c r="A34" s="1" t="s">
        <v>1377</v>
      </c>
      <c r="B34" s="1" t="s">
        <v>1278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1280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1281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34" s="6" t="s">
        <v>1378</v>
      </c>
      <c r="Y34" s="6" t="s">
        <v>1379</v>
      </c>
      <c r="Z34" s="6" t="s">
        <v>1306</v>
      </c>
      <c r="AA34" s="6" t="s">
        <v>911</v>
      </c>
      <c r="AB34" s="6" t="s">
        <v>1379</v>
      </c>
      <c r="AC34" s="6" t="s">
        <v>797</v>
      </c>
      <c r="AD34" s="6" t="s">
        <v>912</v>
      </c>
      <c r="AE34" s="6" t="s">
        <v>741</v>
      </c>
    </row>
    <row r="35" customFormat="false" ht="12.95" hidden="false" customHeight="true" outlineLevel="2" collapsed="false">
      <c r="A35" s="1" t="s">
        <v>1380</v>
      </c>
      <c r="B35" s="1" t="s">
        <v>1294</v>
      </c>
      <c r="C35" s="1" t="s">
        <v>731</v>
      </c>
      <c r="G35" s="13"/>
      <c r="X35" s="6" t="s">
        <v>738</v>
      </c>
      <c r="Y35" s="6" t="s">
        <v>738</v>
      </c>
      <c r="Z35" s="6" t="s">
        <v>738</v>
      </c>
      <c r="AA35" s="6" t="s">
        <v>738</v>
      </c>
      <c r="AB35" s="6" t="s">
        <v>738</v>
      </c>
      <c r="AC35" s="6" t="s">
        <v>738</v>
      </c>
      <c r="AD35" s="6" t="s">
        <v>738</v>
      </c>
      <c r="AE35" s="6" t="s">
        <v>738</v>
      </c>
    </row>
    <row r="36" customFormat="false" ht="12.95" hidden="false" customHeight="true" outlineLevel="3" collapsed="false">
      <c r="A36" s="1" t="s">
        <v>1381</v>
      </c>
      <c r="B36" s="1" t="s">
        <v>1294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1296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1297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X36" s="6" t="s">
        <v>1382</v>
      </c>
      <c r="Y36" s="6" t="s">
        <v>1383</v>
      </c>
      <c r="Z36" s="6" t="s">
        <v>1379</v>
      </c>
      <c r="AA36" s="6" t="s">
        <v>1384</v>
      </c>
      <c r="AB36" s="6" t="s">
        <v>1301</v>
      </c>
      <c r="AC36" s="6" t="s">
        <v>797</v>
      </c>
      <c r="AD36" s="6" t="s">
        <v>923</v>
      </c>
      <c r="AE36" s="6" t="s">
        <v>741</v>
      </c>
    </row>
    <row r="37" customFormat="false" ht="12.95" hidden="false" customHeight="true" outlineLevel="3" collapsed="false">
      <c r="A37" s="1" t="s">
        <v>1385</v>
      </c>
      <c r="B37" s="1" t="s">
        <v>1294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1296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1297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37" s="6" t="s">
        <v>1386</v>
      </c>
      <c r="Y37" s="6" t="s">
        <v>1387</v>
      </c>
      <c r="Z37" s="6" t="s">
        <v>1388</v>
      </c>
      <c r="AA37" s="6" t="s">
        <v>797</v>
      </c>
      <c r="AB37" s="6" t="s">
        <v>1387</v>
      </c>
      <c r="AC37" s="6" t="s">
        <v>797</v>
      </c>
      <c r="AD37" s="6" t="s">
        <v>813</v>
      </c>
      <c r="AE37" s="6" t="s">
        <v>741</v>
      </c>
    </row>
    <row r="38" customFormat="false" ht="12.95" hidden="false" customHeight="true" outlineLevel="2" collapsed="false">
      <c r="A38" s="1" t="s">
        <v>1389</v>
      </c>
      <c r="B38" s="1" t="s">
        <v>1308</v>
      </c>
      <c r="C38" s="1" t="s">
        <v>731</v>
      </c>
      <c r="G38" s="13"/>
      <c r="X38" s="6" t="s">
        <v>738</v>
      </c>
      <c r="Y38" s="6" t="s">
        <v>738</v>
      </c>
      <c r="Z38" s="6" t="s">
        <v>738</v>
      </c>
      <c r="AA38" s="6" t="s">
        <v>738</v>
      </c>
      <c r="AB38" s="6" t="s">
        <v>738</v>
      </c>
      <c r="AC38" s="6" t="s">
        <v>738</v>
      </c>
      <c r="AD38" s="6" t="s">
        <v>738</v>
      </c>
      <c r="AE38" s="6" t="s">
        <v>738</v>
      </c>
    </row>
    <row r="39" customFormat="false" ht="12.95" hidden="false" customHeight="true" outlineLevel="3" collapsed="false">
      <c r="A39" s="1" t="s">
        <v>1390</v>
      </c>
      <c r="B39" s="1" t="s">
        <v>1308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1310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1311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X39" s="6" t="s">
        <v>1391</v>
      </c>
      <c r="Y39" s="6" t="s">
        <v>1392</v>
      </c>
      <c r="Z39" s="6" t="s">
        <v>1379</v>
      </c>
      <c r="AA39" s="6" t="s">
        <v>932</v>
      </c>
      <c r="AB39" s="6" t="s">
        <v>1315</v>
      </c>
      <c r="AC39" s="6" t="s">
        <v>797</v>
      </c>
      <c r="AD39" s="6" t="s">
        <v>1393</v>
      </c>
      <c r="AE39" s="6" t="s">
        <v>741</v>
      </c>
    </row>
    <row r="40" customFormat="false" ht="12.95" hidden="false" customHeight="true" outlineLevel="3" collapsed="false">
      <c r="A40" s="1" t="s">
        <v>1394</v>
      </c>
      <c r="B40" s="1" t="s">
        <v>1308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1310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1311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40" s="6" t="s">
        <v>1395</v>
      </c>
      <c r="Y40" s="6" t="s">
        <v>1396</v>
      </c>
      <c r="Z40" s="6" t="s">
        <v>1388</v>
      </c>
      <c r="AA40" s="6" t="s">
        <v>797</v>
      </c>
      <c r="AB40" s="6" t="s">
        <v>1396</v>
      </c>
      <c r="AC40" s="6" t="s">
        <v>797</v>
      </c>
      <c r="AD40" s="6" t="s">
        <v>813</v>
      </c>
      <c r="AE40" s="6" t="s">
        <v>741</v>
      </c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41" s="5"/>
      <c r="Y41" s="5"/>
      <c r="Z41" s="5"/>
      <c r="AA41" s="5"/>
      <c r="AB41" s="5"/>
      <c r="AC41" s="5"/>
      <c r="AD41" s="5"/>
      <c r="AE41" s="5"/>
    </row>
    <row r="42" customFormat="false" ht="12.95" hidden="false" customHeight="true" outlineLevel="0" collapsed="false">
      <c r="A42" s="1" t="s">
        <v>34</v>
      </c>
      <c r="B42" s="1" t="s">
        <v>1276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6" t="s">
        <v>738</v>
      </c>
      <c r="Y42" s="6" t="s">
        <v>738</v>
      </c>
      <c r="Z42" s="6" t="s">
        <v>738</v>
      </c>
      <c r="AA42" s="6" t="s">
        <v>738</v>
      </c>
      <c r="AB42" s="6" t="s">
        <v>738</v>
      </c>
      <c r="AC42" s="6" t="s">
        <v>738</v>
      </c>
      <c r="AD42" s="6" t="s">
        <v>738</v>
      </c>
      <c r="AE42" s="6" t="s">
        <v>738</v>
      </c>
    </row>
    <row r="43" customFormat="false" ht="12.95" hidden="false" customHeight="true" outlineLevel="1" collapsed="false">
      <c r="A43" s="1" t="s">
        <v>1397</v>
      </c>
      <c r="B43" s="1" t="s">
        <v>1278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6" t="s">
        <v>738</v>
      </c>
      <c r="Y43" s="6" t="s">
        <v>738</v>
      </c>
      <c r="Z43" s="6" t="s">
        <v>738</v>
      </c>
      <c r="AA43" s="6" t="s">
        <v>738</v>
      </c>
      <c r="AB43" s="6" t="s">
        <v>738</v>
      </c>
      <c r="AC43" s="6" t="s">
        <v>738</v>
      </c>
      <c r="AD43" s="6" t="s">
        <v>738</v>
      </c>
      <c r="AE43" s="6" t="s">
        <v>738</v>
      </c>
    </row>
    <row r="44" customFormat="false" ht="12.95" hidden="false" customHeight="true" outlineLevel="3" collapsed="false">
      <c r="A44" s="1" t="s">
        <v>1398</v>
      </c>
      <c r="B44" s="1" t="s">
        <v>1278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X44" s="6" t="s">
        <v>1399</v>
      </c>
      <c r="Y44" s="6" t="s">
        <v>1400</v>
      </c>
      <c r="Z44" s="6" t="s">
        <v>1401</v>
      </c>
      <c r="AA44" s="6" t="s">
        <v>1402</v>
      </c>
      <c r="AB44" s="6" t="s">
        <v>1286</v>
      </c>
      <c r="AC44" s="6" t="s">
        <v>944</v>
      </c>
      <c r="AD44" s="6" t="s">
        <v>1403</v>
      </c>
      <c r="AE44" s="6" t="s">
        <v>741</v>
      </c>
    </row>
    <row r="45" customFormat="false" ht="12.95" hidden="false" customHeight="true" outlineLevel="3" collapsed="false">
      <c r="A45" s="1" t="s">
        <v>1404</v>
      </c>
      <c r="B45" s="1" t="s">
        <v>1278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45" s="6" t="s">
        <v>1405</v>
      </c>
      <c r="Y45" s="6" t="s">
        <v>1406</v>
      </c>
      <c r="Z45" s="6" t="s">
        <v>950</v>
      </c>
      <c r="AA45" s="6" t="s">
        <v>1407</v>
      </c>
      <c r="AB45" s="6" t="s">
        <v>1286</v>
      </c>
      <c r="AC45" s="6" t="s">
        <v>797</v>
      </c>
      <c r="AD45" s="6" t="s">
        <v>952</v>
      </c>
      <c r="AE45" s="6" t="s">
        <v>741</v>
      </c>
    </row>
    <row r="46" customFormat="false" ht="12.95" hidden="false" customHeight="true" outlineLevel="2" collapsed="false">
      <c r="A46" s="1" t="s">
        <v>1408</v>
      </c>
      <c r="B46" s="1" t="s">
        <v>1294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  <c r="X46" s="6" t="s">
        <v>738</v>
      </c>
      <c r="Y46" s="6" t="s">
        <v>738</v>
      </c>
      <c r="Z46" s="6" t="s">
        <v>738</v>
      </c>
      <c r="AA46" s="6" t="s">
        <v>738</v>
      </c>
      <c r="AB46" s="6" t="s">
        <v>738</v>
      </c>
      <c r="AC46" s="6" t="s">
        <v>738</v>
      </c>
      <c r="AD46" s="6" t="s">
        <v>738</v>
      </c>
      <c r="AE46" s="6" t="s">
        <v>738</v>
      </c>
    </row>
    <row r="47" customFormat="false" ht="12.95" hidden="false" customHeight="true" outlineLevel="3" collapsed="false">
      <c r="A47" s="1" t="s">
        <v>1409</v>
      </c>
      <c r="B47" s="1" t="s">
        <v>1294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  <c r="X47" s="6" t="s">
        <v>1410</v>
      </c>
      <c r="Y47" s="6" t="s">
        <v>1411</v>
      </c>
      <c r="Z47" s="6" t="s">
        <v>1406</v>
      </c>
      <c r="AA47" s="6" t="s">
        <v>1412</v>
      </c>
      <c r="AB47" s="6" t="s">
        <v>1301</v>
      </c>
      <c r="AC47" s="6" t="s">
        <v>797</v>
      </c>
      <c r="AD47" s="6" t="s">
        <v>1413</v>
      </c>
      <c r="AE47" s="6" t="s">
        <v>741</v>
      </c>
    </row>
    <row r="48" customFormat="false" ht="12.95" hidden="false" customHeight="true" outlineLevel="3" collapsed="false">
      <c r="A48" s="1" t="s">
        <v>1414</v>
      </c>
      <c r="B48" s="1" t="s">
        <v>1294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48" s="6" t="s">
        <v>1415</v>
      </c>
      <c r="Y48" s="6" t="s">
        <v>1416</v>
      </c>
      <c r="Z48" s="6" t="s">
        <v>1417</v>
      </c>
      <c r="AA48" s="6" t="s">
        <v>1416</v>
      </c>
      <c r="AB48" s="6" t="s">
        <v>1301</v>
      </c>
      <c r="AC48" s="6" t="s">
        <v>797</v>
      </c>
      <c r="AD48" s="6" t="s">
        <v>1418</v>
      </c>
      <c r="AE48" s="6" t="s">
        <v>741</v>
      </c>
    </row>
    <row r="49" customFormat="false" ht="12.95" hidden="false" customHeight="true" outlineLevel="2" collapsed="false">
      <c r="A49" s="1" t="s">
        <v>1419</v>
      </c>
      <c r="B49" s="1" t="s">
        <v>1308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  <c r="X49" s="6" t="s">
        <v>738</v>
      </c>
      <c r="Y49" s="6" t="s">
        <v>738</v>
      </c>
      <c r="Z49" s="6" t="s">
        <v>738</v>
      </c>
      <c r="AA49" s="6" t="s">
        <v>738</v>
      </c>
      <c r="AB49" s="6" t="s">
        <v>738</v>
      </c>
      <c r="AC49" s="6" t="s">
        <v>738</v>
      </c>
      <c r="AD49" s="6" t="s">
        <v>738</v>
      </c>
      <c r="AE49" s="6" t="s">
        <v>738</v>
      </c>
    </row>
    <row r="50" customFormat="false" ht="12.95" hidden="false" customHeight="true" outlineLevel="3" collapsed="false">
      <c r="A50" s="1" t="s">
        <v>1420</v>
      </c>
      <c r="B50" s="1" t="s">
        <v>1308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  <c r="X50" s="6" t="s">
        <v>1421</v>
      </c>
      <c r="Y50" s="6" t="s">
        <v>1422</v>
      </c>
      <c r="Z50" s="6" t="s">
        <v>1406</v>
      </c>
      <c r="AA50" s="6" t="s">
        <v>968</v>
      </c>
      <c r="AB50" s="6" t="s">
        <v>1315</v>
      </c>
      <c r="AC50" s="6" t="s">
        <v>797</v>
      </c>
      <c r="AD50" s="6" t="s">
        <v>1423</v>
      </c>
      <c r="AE50" s="6" t="s">
        <v>741</v>
      </c>
    </row>
    <row r="51" customFormat="false" ht="12.95" hidden="false" customHeight="true" outlineLevel="3" collapsed="false">
      <c r="A51" s="1" t="s">
        <v>1424</v>
      </c>
      <c r="B51" s="1" t="s">
        <v>1308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51" s="6" t="s">
        <v>1425</v>
      </c>
      <c r="Y51" s="6" t="s">
        <v>1426</v>
      </c>
      <c r="Z51" s="6" t="s">
        <v>1417</v>
      </c>
      <c r="AA51" s="6" t="s">
        <v>1426</v>
      </c>
      <c r="AB51" s="6" t="s">
        <v>1315</v>
      </c>
      <c r="AC51" s="6" t="s">
        <v>797</v>
      </c>
      <c r="AD51" s="6" t="s">
        <v>973</v>
      </c>
      <c r="AE51" s="6" t="s">
        <v>741</v>
      </c>
    </row>
    <row r="52" customFormat="false" ht="12.95" hidden="false" customHeight="true" outlineLevel="1" collapsed="false">
      <c r="A52" s="1" t="s">
        <v>1427</v>
      </c>
      <c r="B52" s="1" t="s">
        <v>1278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6" t="s">
        <v>738</v>
      </c>
      <c r="Y52" s="6" t="s">
        <v>738</v>
      </c>
      <c r="Z52" s="6" t="s">
        <v>738</v>
      </c>
      <c r="AA52" s="6" t="s">
        <v>738</v>
      </c>
      <c r="AB52" s="6" t="s">
        <v>738</v>
      </c>
      <c r="AC52" s="6" t="s">
        <v>738</v>
      </c>
      <c r="AD52" s="6" t="s">
        <v>738</v>
      </c>
      <c r="AE52" s="6" t="s">
        <v>738</v>
      </c>
    </row>
    <row r="53" customFormat="false" ht="12.95" hidden="false" customHeight="true" outlineLevel="3" collapsed="false">
      <c r="A53" s="1" t="s">
        <v>1428</v>
      </c>
      <c r="B53" s="1" t="s">
        <v>1278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  <c r="X53" s="6" t="s">
        <v>1429</v>
      </c>
      <c r="Y53" s="6" t="s">
        <v>1430</v>
      </c>
      <c r="Z53" s="6" t="s">
        <v>1431</v>
      </c>
      <c r="AA53" s="6" t="s">
        <v>1432</v>
      </c>
      <c r="AB53" s="6" t="s">
        <v>1286</v>
      </c>
      <c r="AC53" s="6" t="s">
        <v>980</v>
      </c>
      <c r="AD53" s="6" t="s">
        <v>1433</v>
      </c>
      <c r="AE53" s="6" t="s">
        <v>741</v>
      </c>
    </row>
    <row r="54" customFormat="false" ht="12.95" hidden="false" customHeight="true" outlineLevel="3" collapsed="false">
      <c r="A54" s="1" t="s">
        <v>1434</v>
      </c>
      <c r="B54" s="1" t="s">
        <v>1278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54" s="6" t="s">
        <v>1435</v>
      </c>
      <c r="Y54" s="6" t="s">
        <v>1436</v>
      </c>
      <c r="Z54" s="6" t="s">
        <v>950</v>
      </c>
      <c r="AA54" s="6" t="s">
        <v>985</v>
      </c>
      <c r="AB54" s="6" t="s">
        <v>1286</v>
      </c>
      <c r="AC54" s="6" t="s">
        <v>797</v>
      </c>
      <c r="AD54" s="6" t="s">
        <v>986</v>
      </c>
      <c r="AE54" s="6" t="s">
        <v>741</v>
      </c>
    </row>
    <row r="55" customFormat="false" ht="12.95" hidden="false" customHeight="true" outlineLevel="2" collapsed="false">
      <c r="A55" s="1" t="s">
        <v>1437</v>
      </c>
      <c r="B55" s="1" t="s">
        <v>1294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  <c r="X55" s="6" t="s">
        <v>738</v>
      </c>
      <c r="Y55" s="6" t="s">
        <v>738</v>
      </c>
      <c r="Z55" s="6" t="s">
        <v>738</v>
      </c>
      <c r="AA55" s="6" t="s">
        <v>738</v>
      </c>
      <c r="AB55" s="6" t="s">
        <v>738</v>
      </c>
      <c r="AC55" s="6" t="s">
        <v>738</v>
      </c>
      <c r="AD55" s="6" t="s">
        <v>738</v>
      </c>
      <c r="AE55" s="6" t="s">
        <v>738</v>
      </c>
    </row>
    <row r="56" customFormat="false" ht="12.95" hidden="false" customHeight="true" outlineLevel="3" collapsed="false">
      <c r="A56" s="1" t="s">
        <v>1438</v>
      </c>
      <c r="B56" s="1" t="s">
        <v>1294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  <c r="X56" s="6" t="s">
        <v>1439</v>
      </c>
      <c r="Y56" s="6" t="s">
        <v>1440</v>
      </c>
      <c r="Z56" s="6" t="s">
        <v>1436</v>
      </c>
      <c r="AA56" s="6" t="s">
        <v>1441</v>
      </c>
      <c r="AB56" s="6" t="s">
        <v>1301</v>
      </c>
      <c r="AC56" s="6" t="s">
        <v>797</v>
      </c>
      <c r="AD56" s="6" t="s">
        <v>1442</v>
      </c>
      <c r="AE56" s="6" t="s">
        <v>741</v>
      </c>
    </row>
    <row r="57" customFormat="false" ht="12.95" hidden="false" customHeight="true" outlineLevel="3" collapsed="false">
      <c r="A57" s="1" t="s">
        <v>1443</v>
      </c>
      <c r="B57" s="1" t="s">
        <v>1294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57" s="6" t="s">
        <v>1444</v>
      </c>
      <c r="Y57" s="6" t="s">
        <v>1445</v>
      </c>
      <c r="Z57" s="6" t="s">
        <v>1446</v>
      </c>
      <c r="AA57" s="6" t="s">
        <v>797</v>
      </c>
      <c r="AB57" s="6" t="s">
        <v>1301</v>
      </c>
      <c r="AC57" s="6" t="s">
        <v>797</v>
      </c>
      <c r="AD57" s="6" t="s">
        <v>1418</v>
      </c>
      <c r="AE57" s="6" t="s">
        <v>741</v>
      </c>
    </row>
    <row r="58" customFormat="false" ht="12.95" hidden="false" customHeight="true" outlineLevel="2" collapsed="false">
      <c r="A58" s="1" t="s">
        <v>1447</v>
      </c>
      <c r="B58" s="1" t="s">
        <v>1308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  <c r="X58" s="6" t="s">
        <v>738</v>
      </c>
      <c r="Y58" s="6" t="s">
        <v>738</v>
      </c>
      <c r="Z58" s="6" t="s">
        <v>738</v>
      </c>
      <c r="AA58" s="6" t="s">
        <v>738</v>
      </c>
      <c r="AB58" s="6" t="s">
        <v>738</v>
      </c>
      <c r="AC58" s="6" t="s">
        <v>738</v>
      </c>
      <c r="AD58" s="6" t="s">
        <v>738</v>
      </c>
      <c r="AE58" s="6" t="s">
        <v>738</v>
      </c>
    </row>
    <row r="59" customFormat="false" ht="12.95" hidden="false" customHeight="true" outlineLevel="3" collapsed="false">
      <c r="A59" s="1" t="s">
        <v>1448</v>
      </c>
      <c r="B59" s="1" t="s">
        <v>1308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  <c r="X59" s="6" t="s">
        <v>1449</v>
      </c>
      <c r="Y59" s="6" t="s">
        <v>1450</v>
      </c>
      <c r="Z59" s="6" t="s">
        <v>1436</v>
      </c>
      <c r="AA59" s="6" t="s">
        <v>1451</v>
      </c>
      <c r="AB59" s="6" t="s">
        <v>1315</v>
      </c>
      <c r="AC59" s="6" t="s">
        <v>797</v>
      </c>
      <c r="AD59" s="6" t="s">
        <v>1002</v>
      </c>
      <c r="AE59" s="6" t="s">
        <v>741</v>
      </c>
    </row>
    <row r="60" customFormat="false" ht="12.95" hidden="false" customHeight="true" outlineLevel="3" collapsed="false">
      <c r="A60" s="1" t="s">
        <v>1452</v>
      </c>
      <c r="B60" s="1" t="s">
        <v>1308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60" s="6" t="s">
        <v>1453</v>
      </c>
      <c r="Y60" s="6" t="s">
        <v>1454</v>
      </c>
      <c r="Z60" s="6" t="s">
        <v>1446</v>
      </c>
      <c r="AA60" s="6" t="s">
        <v>797</v>
      </c>
      <c r="AB60" s="6" t="s">
        <v>1315</v>
      </c>
      <c r="AC60" s="6" t="s">
        <v>797</v>
      </c>
      <c r="AD60" s="6" t="s">
        <v>1006</v>
      </c>
      <c r="AE60" s="6" t="s">
        <v>741</v>
      </c>
    </row>
    <row r="61" customFormat="false" ht="12.95" hidden="false" customHeight="true" outlineLevel="1" collapsed="false">
      <c r="A61" s="1" t="s">
        <v>1455</v>
      </c>
      <c r="B61" s="1" t="s">
        <v>1278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6" t="s">
        <v>738</v>
      </c>
      <c r="Y61" s="6" t="s">
        <v>738</v>
      </c>
      <c r="Z61" s="6" t="s">
        <v>738</v>
      </c>
      <c r="AA61" s="6" t="s">
        <v>738</v>
      </c>
      <c r="AB61" s="6" t="s">
        <v>738</v>
      </c>
      <c r="AC61" s="6" t="s">
        <v>738</v>
      </c>
      <c r="AD61" s="6" t="s">
        <v>738</v>
      </c>
      <c r="AE61" s="6" t="s">
        <v>738</v>
      </c>
    </row>
    <row r="62" customFormat="false" ht="12.95" hidden="false" customHeight="true" outlineLevel="3" collapsed="false">
      <c r="A62" s="1" t="s">
        <v>1456</v>
      </c>
      <c r="B62" s="1" t="s">
        <v>1278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  <c r="X62" s="6" t="s">
        <v>1457</v>
      </c>
      <c r="Y62" s="6" t="s">
        <v>1458</v>
      </c>
      <c r="Z62" s="6" t="s">
        <v>1459</v>
      </c>
      <c r="AA62" s="6" t="s">
        <v>1012</v>
      </c>
      <c r="AB62" s="6" t="s">
        <v>1286</v>
      </c>
      <c r="AC62" s="6" t="s">
        <v>1013</v>
      </c>
      <c r="AD62" s="6" t="s">
        <v>1460</v>
      </c>
      <c r="AE62" s="6" t="s">
        <v>741</v>
      </c>
    </row>
    <row r="63" customFormat="false" ht="12.95" hidden="false" customHeight="true" outlineLevel="3" collapsed="false">
      <c r="A63" s="1" t="s">
        <v>1461</v>
      </c>
      <c r="B63" s="1" t="s">
        <v>1278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63" s="6" t="s">
        <v>1462</v>
      </c>
      <c r="Y63" s="6" t="s">
        <v>1463</v>
      </c>
      <c r="Z63" s="6" t="s">
        <v>950</v>
      </c>
      <c r="AA63" s="6" t="s">
        <v>1018</v>
      </c>
      <c r="AB63" s="6" t="s">
        <v>1286</v>
      </c>
      <c r="AC63" s="6" t="s">
        <v>797</v>
      </c>
      <c r="AD63" s="6" t="s">
        <v>1019</v>
      </c>
      <c r="AE63" s="6" t="s">
        <v>741</v>
      </c>
    </row>
    <row r="64" customFormat="false" ht="12.95" hidden="false" customHeight="true" outlineLevel="2" collapsed="false">
      <c r="A64" s="1" t="s">
        <v>1464</v>
      </c>
      <c r="B64" s="1" t="s">
        <v>1294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  <c r="X64" s="6" t="s">
        <v>738</v>
      </c>
      <c r="Y64" s="6" t="s">
        <v>738</v>
      </c>
      <c r="Z64" s="6" t="s">
        <v>738</v>
      </c>
      <c r="AA64" s="6" t="s">
        <v>738</v>
      </c>
      <c r="AB64" s="6" t="s">
        <v>738</v>
      </c>
      <c r="AC64" s="6" t="s">
        <v>738</v>
      </c>
      <c r="AD64" s="6" t="s">
        <v>738</v>
      </c>
      <c r="AE64" s="6" t="s">
        <v>738</v>
      </c>
    </row>
    <row r="65" customFormat="false" ht="12.95" hidden="false" customHeight="true" outlineLevel="3" collapsed="false">
      <c r="A65" s="1" t="s">
        <v>1465</v>
      </c>
      <c r="B65" s="1" t="s">
        <v>1294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  <c r="X65" s="6" t="s">
        <v>1466</v>
      </c>
      <c r="Y65" s="6" t="s">
        <v>1467</v>
      </c>
      <c r="Z65" s="6" t="s">
        <v>1463</v>
      </c>
      <c r="AA65" s="6" t="s">
        <v>1441</v>
      </c>
      <c r="AB65" s="6" t="s">
        <v>1301</v>
      </c>
      <c r="AC65" s="6" t="s">
        <v>797</v>
      </c>
      <c r="AD65" s="6" t="s">
        <v>1468</v>
      </c>
      <c r="AE65" s="6" t="s">
        <v>741</v>
      </c>
    </row>
    <row r="66" customFormat="false" ht="12.95" hidden="false" customHeight="true" outlineLevel="3" collapsed="false">
      <c r="A66" s="1" t="s">
        <v>1469</v>
      </c>
      <c r="B66" s="1" t="s">
        <v>1294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66" s="6" t="s">
        <v>1470</v>
      </c>
      <c r="Y66" s="6" t="s">
        <v>1471</v>
      </c>
      <c r="Z66" s="6" t="s">
        <v>1472</v>
      </c>
      <c r="AA66" s="6" t="s">
        <v>797</v>
      </c>
      <c r="AB66" s="6" t="s">
        <v>1301</v>
      </c>
      <c r="AC66" s="6" t="s">
        <v>797</v>
      </c>
      <c r="AD66" s="6" t="s">
        <v>1418</v>
      </c>
      <c r="AE66" s="6" t="s">
        <v>741</v>
      </c>
    </row>
    <row r="67" customFormat="false" ht="12.95" hidden="false" customHeight="true" outlineLevel="2" collapsed="false">
      <c r="A67" s="1" t="s">
        <v>1473</v>
      </c>
      <c r="B67" s="1" t="s">
        <v>1308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  <c r="X67" s="6" t="s">
        <v>738</v>
      </c>
      <c r="Y67" s="6" t="s">
        <v>738</v>
      </c>
      <c r="Z67" s="6" t="s">
        <v>738</v>
      </c>
      <c r="AA67" s="6" t="s">
        <v>738</v>
      </c>
      <c r="AB67" s="6" t="s">
        <v>738</v>
      </c>
      <c r="AC67" s="6" t="s">
        <v>738</v>
      </c>
      <c r="AD67" s="6" t="s">
        <v>738</v>
      </c>
      <c r="AE67" s="6" t="s">
        <v>738</v>
      </c>
    </row>
    <row r="68" customFormat="false" ht="12.95" hidden="false" customHeight="true" outlineLevel="2" collapsed="false">
      <c r="A68" s="1" t="s">
        <v>1474</v>
      </c>
      <c r="B68" s="1" t="s">
        <v>1308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  <c r="X68" s="6" t="s">
        <v>1475</v>
      </c>
      <c r="Y68" s="6" t="s">
        <v>1476</v>
      </c>
      <c r="Z68" s="6" t="s">
        <v>1463</v>
      </c>
      <c r="AA68" s="6" t="s">
        <v>1451</v>
      </c>
      <c r="AB68" s="6" t="s">
        <v>1315</v>
      </c>
      <c r="AC68" s="6" t="s">
        <v>797</v>
      </c>
      <c r="AD68" s="6" t="s">
        <v>1034</v>
      </c>
      <c r="AE68" s="6" t="s">
        <v>741</v>
      </c>
    </row>
    <row r="69" customFormat="false" ht="12.95" hidden="false" customHeight="true" outlineLevel="2" collapsed="false">
      <c r="A69" s="1" t="s">
        <v>1477</v>
      </c>
      <c r="B69" s="1" t="s">
        <v>1308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69" s="6" t="s">
        <v>1478</v>
      </c>
      <c r="Y69" s="6" t="s">
        <v>1479</v>
      </c>
      <c r="Z69" s="6" t="s">
        <v>1472</v>
      </c>
      <c r="AA69" s="6" t="s">
        <v>797</v>
      </c>
      <c r="AB69" s="6" t="s">
        <v>1315</v>
      </c>
      <c r="AC69" s="6" t="s">
        <v>797</v>
      </c>
      <c r="AD69" s="6" t="s">
        <v>1038</v>
      </c>
      <c r="AE69" s="6" t="s">
        <v>741</v>
      </c>
    </row>
    <row r="70" customFormat="false" ht="12.95" hidden="false" customHeight="true" outlineLevel="1" collapsed="false">
      <c r="A70" s="1" t="s">
        <v>1480</v>
      </c>
      <c r="B70" s="1" t="s">
        <v>1278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6" t="s">
        <v>738</v>
      </c>
      <c r="Y70" s="6" t="s">
        <v>738</v>
      </c>
      <c r="Z70" s="6" t="s">
        <v>738</v>
      </c>
      <c r="AA70" s="6" t="s">
        <v>738</v>
      </c>
      <c r="AB70" s="6" t="s">
        <v>738</v>
      </c>
      <c r="AC70" s="6" t="s">
        <v>738</v>
      </c>
      <c r="AD70" s="6" t="s">
        <v>738</v>
      </c>
      <c r="AE70" s="6" t="s">
        <v>738</v>
      </c>
    </row>
    <row r="71" customFormat="false" ht="12.95" hidden="false" customHeight="true" outlineLevel="3" collapsed="false">
      <c r="A71" s="1" t="s">
        <v>1481</v>
      </c>
      <c r="B71" s="1" t="s">
        <v>1278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  <c r="X71" s="6" t="s">
        <v>1482</v>
      </c>
      <c r="Y71" s="6" t="s">
        <v>1483</v>
      </c>
      <c r="Z71" s="6" t="s">
        <v>1484</v>
      </c>
      <c r="AA71" s="6" t="s">
        <v>1485</v>
      </c>
      <c r="AB71" s="6" t="s">
        <v>1286</v>
      </c>
      <c r="AC71" s="6" t="s">
        <v>1045</v>
      </c>
      <c r="AD71" s="6" t="s">
        <v>1486</v>
      </c>
      <c r="AE71" s="6" t="s">
        <v>741</v>
      </c>
    </row>
    <row r="72" customFormat="false" ht="12.95" hidden="false" customHeight="true" outlineLevel="3" collapsed="false">
      <c r="A72" s="1" t="s">
        <v>1487</v>
      </c>
      <c r="B72" s="1" t="s">
        <v>1278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72" s="6" t="s">
        <v>1488</v>
      </c>
      <c r="Y72" s="6" t="s">
        <v>1489</v>
      </c>
      <c r="Z72" s="6" t="s">
        <v>950</v>
      </c>
      <c r="AA72" s="6" t="s">
        <v>985</v>
      </c>
      <c r="AB72" s="6" t="s">
        <v>1286</v>
      </c>
      <c r="AC72" s="6" t="s">
        <v>797</v>
      </c>
      <c r="AD72" s="6" t="s">
        <v>1050</v>
      </c>
      <c r="AE72" s="6" t="s">
        <v>741</v>
      </c>
    </row>
    <row r="73" customFormat="false" ht="12.95" hidden="false" customHeight="true" outlineLevel="2" collapsed="false">
      <c r="A73" s="1" t="s">
        <v>1490</v>
      </c>
      <c r="B73" s="1" t="s">
        <v>1294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  <c r="X73" s="6" t="s">
        <v>738</v>
      </c>
      <c r="Y73" s="6" t="s">
        <v>738</v>
      </c>
      <c r="Z73" s="6" t="s">
        <v>738</v>
      </c>
      <c r="AA73" s="6" t="s">
        <v>738</v>
      </c>
      <c r="AB73" s="6" t="s">
        <v>738</v>
      </c>
      <c r="AC73" s="6" t="s">
        <v>738</v>
      </c>
      <c r="AD73" s="6" t="s">
        <v>738</v>
      </c>
      <c r="AE73" s="6" t="s">
        <v>738</v>
      </c>
    </row>
    <row r="74" customFormat="false" ht="12.95" hidden="false" customHeight="true" outlineLevel="3" collapsed="false">
      <c r="A74" s="1" t="s">
        <v>1491</v>
      </c>
      <c r="B74" s="1" t="s">
        <v>1294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  <c r="X74" s="6" t="s">
        <v>1492</v>
      </c>
      <c r="Y74" s="6" t="s">
        <v>1493</v>
      </c>
      <c r="Z74" s="6" t="s">
        <v>1489</v>
      </c>
      <c r="AA74" s="6" t="s">
        <v>1441</v>
      </c>
      <c r="AB74" s="6" t="s">
        <v>1301</v>
      </c>
      <c r="AC74" s="6" t="s">
        <v>797</v>
      </c>
      <c r="AD74" s="6" t="s">
        <v>1494</v>
      </c>
      <c r="AE74" s="6" t="s">
        <v>741</v>
      </c>
    </row>
    <row r="75" customFormat="false" ht="12.95" hidden="false" customHeight="true" outlineLevel="3" collapsed="false">
      <c r="A75" s="1" t="s">
        <v>1495</v>
      </c>
      <c r="B75" s="1" t="s">
        <v>1294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75" s="6" t="s">
        <v>1496</v>
      </c>
      <c r="Y75" s="6" t="s">
        <v>1497</v>
      </c>
      <c r="Z75" s="6" t="s">
        <v>1498</v>
      </c>
      <c r="AA75" s="6" t="s">
        <v>797</v>
      </c>
      <c r="AB75" s="6" t="s">
        <v>1301</v>
      </c>
      <c r="AC75" s="6" t="s">
        <v>797</v>
      </c>
      <c r="AD75" s="6" t="s">
        <v>1418</v>
      </c>
      <c r="AE75" s="6" t="s">
        <v>741</v>
      </c>
    </row>
    <row r="76" customFormat="false" ht="12.95" hidden="false" customHeight="true" outlineLevel="2" collapsed="false">
      <c r="A76" s="1" t="s">
        <v>1499</v>
      </c>
      <c r="B76" s="1" t="s">
        <v>1308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  <c r="X76" s="6" t="s">
        <v>738</v>
      </c>
      <c r="Y76" s="6" t="s">
        <v>738</v>
      </c>
      <c r="Z76" s="6" t="s">
        <v>738</v>
      </c>
      <c r="AA76" s="6" t="s">
        <v>738</v>
      </c>
      <c r="AB76" s="6" t="s">
        <v>738</v>
      </c>
      <c r="AC76" s="6" t="s">
        <v>738</v>
      </c>
      <c r="AD76" s="6" t="s">
        <v>738</v>
      </c>
      <c r="AE76" s="6" t="s">
        <v>738</v>
      </c>
    </row>
    <row r="77" customFormat="false" ht="12.95" hidden="false" customHeight="true" outlineLevel="3" collapsed="false">
      <c r="A77" s="1" t="s">
        <v>1500</v>
      </c>
      <c r="B77" s="1" t="s">
        <v>1308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  <c r="X77" s="6" t="s">
        <v>1501</v>
      </c>
      <c r="Y77" s="6" t="s">
        <v>1502</v>
      </c>
      <c r="Z77" s="6" t="s">
        <v>1489</v>
      </c>
      <c r="AA77" s="6" t="s">
        <v>1451</v>
      </c>
      <c r="AB77" s="6" t="s">
        <v>1315</v>
      </c>
      <c r="AC77" s="6" t="s">
        <v>797</v>
      </c>
      <c r="AD77" s="6" t="s">
        <v>1064</v>
      </c>
      <c r="AE77" s="6" t="s">
        <v>741</v>
      </c>
    </row>
    <row r="78" customFormat="false" ht="12.95" hidden="false" customHeight="true" outlineLevel="3" collapsed="false">
      <c r="A78" s="1" t="s">
        <v>1503</v>
      </c>
      <c r="B78" s="1" t="s">
        <v>1308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78" s="6" t="s">
        <v>1504</v>
      </c>
      <c r="Y78" s="6" t="s">
        <v>1505</v>
      </c>
      <c r="Z78" s="6" t="s">
        <v>1498</v>
      </c>
      <c r="AA78" s="6" t="s">
        <v>797</v>
      </c>
      <c r="AB78" s="6" t="s">
        <v>1315</v>
      </c>
      <c r="AC78" s="6" t="s">
        <v>797</v>
      </c>
      <c r="AD78" s="6" t="s">
        <v>1068</v>
      </c>
      <c r="AE78" s="6" t="s">
        <v>741</v>
      </c>
    </row>
    <row r="79" customFormat="false" ht="12.9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customFormat="false" ht="12.95" hidden="false" customHeight="true" outlineLevel="0" collapsed="false">
      <c r="A80" s="1" t="s">
        <v>37</v>
      </c>
      <c r="B80" s="1" t="s">
        <v>1276</v>
      </c>
      <c r="C80" s="1" t="s">
        <v>622</v>
      </c>
      <c r="F80" s="2"/>
      <c r="G80" s="18"/>
      <c r="J80" s="2"/>
      <c r="K80" s="2"/>
      <c r="X80" s="6"/>
      <c r="Y80" s="6"/>
      <c r="Z80" s="6"/>
      <c r="AA80" s="6"/>
      <c r="AB80" s="6"/>
      <c r="AC80" s="6"/>
      <c r="AD80" s="6"/>
      <c r="AE80" s="6"/>
      <c r="AF80" s="12"/>
    </row>
    <row r="81" s="12" customFormat="true" ht="12.95" hidden="false" customHeight="true" outlineLevel="1" collapsed="false">
      <c r="A81" s="6" t="s">
        <v>1506</v>
      </c>
      <c r="B81" s="6" t="s">
        <v>1507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 t="s">
        <v>738</v>
      </c>
      <c r="Y81" s="6" t="s">
        <v>738</v>
      </c>
      <c r="Z81" s="6" t="s">
        <v>738</v>
      </c>
      <c r="AA81" s="6" t="s">
        <v>738</v>
      </c>
      <c r="AB81" s="6" t="s">
        <v>738</v>
      </c>
      <c r="AC81" s="6" t="s">
        <v>738</v>
      </c>
      <c r="AD81" s="6" t="s">
        <v>738</v>
      </c>
      <c r="AE81" s="6" t="s">
        <v>738</v>
      </c>
      <c r="AF81" s="14"/>
      <c r="AG81" s="14"/>
      <c r="AH81" s="14"/>
      <c r="AI81" s="14"/>
      <c r="AJ81" s="14"/>
    </row>
    <row r="82" s="12" customFormat="true" ht="12.95" hidden="false" customHeight="true" outlineLevel="3" collapsed="false">
      <c r="A82" s="6" t="s">
        <v>1508</v>
      </c>
      <c r="B82" s="6" t="s">
        <v>1507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6" t="s">
        <v>1509</v>
      </c>
      <c r="Y82" s="6" t="s">
        <v>1510</v>
      </c>
      <c r="Z82" s="6" t="s">
        <v>1511</v>
      </c>
      <c r="AA82" s="6" t="s">
        <v>1512</v>
      </c>
      <c r="AB82" s="6" t="s">
        <v>1286</v>
      </c>
      <c r="AC82" s="6" t="s">
        <v>1513</v>
      </c>
      <c r="AD82" s="6" t="s">
        <v>1514</v>
      </c>
      <c r="AE82" s="6" t="s">
        <v>741</v>
      </c>
      <c r="AF82" s="14"/>
      <c r="AG82" s="14"/>
      <c r="AH82" s="14"/>
      <c r="AI82" s="14"/>
      <c r="AJ82" s="14"/>
    </row>
    <row r="83" s="12" customFormat="true" ht="12.95" hidden="false" customHeight="true" outlineLevel="3" collapsed="false">
      <c r="A83" s="6" t="s">
        <v>1515</v>
      </c>
      <c r="B83" s="6" t="s">
        <v>1507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6" t="s">
        <v>1516</v>
      </c>
      <c r="Y83" s="6" t="s">
        <v>1517</v>
      </c>
      <c r="Z83" s="6" t="s">
        <v>795</v>
      </c>
      <c r="AA83" s="6" t="s">
        <v>1518</v>
      </c>
      <c r="AB83" s="6" t="s">
        <v>1517</v>
      </c>
      <c r="AC83" s="6" t="s">
        <v>797</v>
      </c>
      <c r="AD83" s="6" t="s">
        <v>1082</v>
      </c>
      <c r="AE83" s="6" t="s">
        <v>741</v>
      </c>
      <c r="AF83" s="14"/>
      <c r="AG83" s="14"/>
      <c r="AH83" s="14"/>
      <c r="AI83" s="14"/>
      <c r="AJ83" s="14"/>
    </row>
    <row r="84" s="12" customFormat="true" ht="12.95" hidden="false" customHeight="true" outlineLevel="2" collapsed="false">
      <c r="A84" s="6" t="s">
        <v>1519</v>
      </c>
      <c r="B84" s="6" t="s">
        <v>1520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 t="s">
        <v>738</v>
      </c>
      <c r="Y84" s="6" t="s">
        <v>738</v>
      </c>
      <c r="Z84" s="6" t="s">
        <v>738</v>
      </c>
      <c r="AA84" s="6" t="s">
        <v>738</v>
      </c>
      <c r="AB84" s="6" t="s">
        <v>738</v>
      </c>
      <c r="AC84" s="6" t="s">
        <v>738</v>
      </c>
      <c r="AD84" s="6" t="s">
        <v>738</v>
      </c>
      <c r="AE84" s="6" t="s">
        <v>738</v>
      </c>
      <c r="AF84" s="14"/>
      <c r="AG84" s="14"/>
      <c r="AH84" s="14"/>
      <c r="AI84" s="14"/>
      <c r="AJ84" s="14"/>
    </row>
    <row r="85" s="12" customFormat="true" ht="12.95" hidden="false" customHeight="true" outlineLevel="3" collapsed="false">
      <c r="A85" s="6" t="s">
        <v>1521</v>
      </c>
      <c r="B85" s="6" t="s">
        <v>1520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6" t="s">
        <v>1522</v>
      </c>
      <c r="Y85" s="6" t="s">
        <v>1523</v>
      </c>
      <c r="Z85" s="6" t="s">
        <v>1517</v>
      </c>
      <c r="AA85" s="6" t="s">
        <v>1524</v>
      </c>
      <c r="AB85" s="6" t="s">
        <v>1301</v>
      </c>
      <c r="AC85" s="6" t="s">
        <v>797</v>
      </c>
      <c r="AD85" s="6" t="s">
        <v>1088</v>
      </c>
      <c r="AE85" s="6" t="s">
        <v>741</v>
      </c>
      <c r="AF85" s="14"/>
      <c r="AG85" s="14"/>
      <c r="AH85" s="14"/>
      <c r="AI85" s="14"/>
      <c r="AJ85" s="14"/>
    </row>
    <row r="86" s="12" customFormat="true" ht="12.95" hidden="false" customHeight="true" outlineLevel="3" collapsed="false">
      <c r="A86" s="6" t="s">
        <v>1525</v>
      </c>
      <c r="B86" s="6" t="s">
        <v>1520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6" t="s">
        <v>1526</v>
      </c>
      <c r="Y86" s="6" t="s">
        <v>1527</v>
      </c>
      <c r="Z86" s="6" t="s">
        <v>1528</v>
      </c>
      <c r="AA86" s="6" t="s">
        <v>1527</v>
      </c>
      <c r="AB86" s="6" t="s">
        <v>1527</v>
      </c>
      <c r="AC86" s="6" t="s">
        <v>797</v>
      </c>
      <c r="AD86" s="6" t="s">
        <v>813</v>
      </c>
      <c r="AE86" s="6" t="s">
        <v>741</v>
      </c>
      <c r="AF86" s="14"/>
      <c r="AG86" s="14"/>
      <c r="AH86" s="14"/>
      <c r="AI86" s="14"/>
      <c r="AJ86" s="14"/>
    </row>
    <row r="87" s="12" customFormat="true" ht="12.95" hidden="false" customHeight="true" outlineLevel="2" collapsed="false">
      <c r="A87" s="6" t="s">
        <v>1529</v>
      </c>
      <c r="B87" s="6" t="s">
        <v>1530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 t="s">
        <v>738</v>
      </c>
      <c r="Y87" s="6" t="s">
        <v>738</v>
      </c>
      <c r="Z87" s="6" t="s">
        <v>738</v>
      </c>
      <c r="AA87" s="6" t="s">
        <v>738</v>
      </c>
      <c r="AB87" s="6" t="s">
        <v>738</v>
      </c>
      <c r="AC87" s="6" t="s">
        <v>738</v>
      </c>
      <c r="AD87" s="6" t="s">
        <v>738</v>
      </c>
      <c r="AE87" s="6" t="s">
        <v>738</v>
      </c>
      <c r="AF87" s="14"/>
      <c r="AG87" s="14"/>
      <c r="AH87" s="14"/>
      <c r="AI87" s="14"/>
      <c r="AJ87" s="14"/>
    </row>
    <row r="88" s="12" customFormat="true" ht="12.95" hidden="false" customHeight="true" outlineLevel="3" collapsed="false">
      <c r="A88" s="6" t="s">
        <v>1531</v>
      </c>
      <c r="B88" s="6" t="s">
        <v>1530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6" t="s">
        <v>1532</v>
      </c>
      <c r="Y88" s="6" t="s">
        <v>1533</v>
      </c>
      <c r="Z88" s="6" t="s">
        <v>1517</v>
      </c>
      <c r="AA88" s="6" t="s">
        <v>1534</v>
      </c>
      <c r="AB88" s="6" t="s">
        <v>1315</v>
      </c>
      <c r="AC88" s="6" t="s">
        <v>797</v>
      </c>
      <c r="AD88" s="6" t="s">
        <v>1098</v>
      </c>
      <c r="AE88" s="6" t="s">
        <v>741</v>
      </c>
      <c r="AF88" s="14"/>
      <c r="AG88" s="14"/>
      <c r="AH88" s="14"/>
      <c r="AI88" s="14"/>
      <c r="AJ88" s="14"/>
    </row>
    <row r="89" s="12" customFormat="true" ht="12.95" hidden="false" customHeight="true" outlineLevel="3" collapsed="false">
      <c r="A89" s="6" t="s">
        <v>1535</v>
      </c>
      <c r="B89" s="6" t="s">
        <v>1530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6" t="s">
        <v>1536</v>
      </c>
      <c r="Y89" s="6" t="s">
        <v>1537</v>
      </c>
      <c r="Z89" s="6" t="s">
        <v>1528</v>
      </c>
      <c r="AA89" s="6" t="s">
        <v>1537</v>
      </c>
      <c r="AB89" s="6" t="s">
        <v>1537</v>
      </c>
      <c r="AC89" s="6" t="s">
        <v>797</v>
      </c>
      <c r="AD89" s="6" t="s">
        <v>813</v>
      </c>
      <c r="AE89" s="6" t="s">
        <v>741</v>
      </c>
      <c r="AF89" s="14"/>
      <c r="AG89" s="14"/>
      <c r="AH89" s="14"/>
      <c r="AI89" s="14"/>
      <c r="AJ89" s="14"/>
    </row>
    <row r="90" s="12" customFormat="true" ht="12.95" hidden="false" customHeight="true" outlineLevel="1" collapsed="false">
      <c r="A90" s="6" t="s">
        <v>1538</v>
      </c>
      <c r="B90" s="6" t="s">
        <v>1530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6" t="s">
        <v>738</v>
      </c>
      <c r="Y90" s="6" t="s">
        <v>738</v>
      </c>
      <c r="Z90" s="6" t="s">
        <v>738</v>
      </c>
      <c r="AA90" s="6" t="s">
        <v>738</v>
      </c>
      <c r="AB90" s="6" t="s">
        <v>738</v>
      </c>
      <c r="AC90" s="6" t="s">
        <v>738</v>
      </c>
      <c r="AD90" s="6" t="s">
        <v>738</v>
      </c>
      <c r="AE90" s="6" t="s">
        <v>738</v>
      </c>
      <c r="AF90" s="14"/>
      <c r="AG90" s="14"/>
      <c r="AH90" s="14"/>
      <c r="AI90" s="14"/>
      <c r="AJ90" s="14"/>
    </row>
    <row r="91" s="12" customFormat="true" ht="12.95" hidden="false" customHeight="true" outlineLevel="3" collapsed="false">
      <c r="A91" s="6" t="s">
        <v>1539</v>
      </c>
      <c r="B91" s="2" t="s">
        <v>1507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6" t="s">
        <v>1540</v>
      </c>
      <c r="Y91" s="6" t="s">
        <v>1541</v>
      </c>
      <c r="Z91" s="6" t="s">
        <v>1542</v>
      </c>
      <c r="AA91" s="6" t="s">
        <v>1543</v>
      </c>
      <c r="AB91" s="6" t="s">
        <v>1544</v>
      </c>
      <c r="AC91" s="6" t="s">
        <v>1545</v>
      </c>
      <c r="AD91" s="6" t="s">
        <v>1546</v>
      </c>
      <c r="AE91" s="6" t="s">
        <v>741</v>
      </c>
      <c r="AF91" s="14"/>
      <c r="AG91" s="14"/>
      <c r="AH91" s="14"/>
      <c r="AI91" s="14"/>
      <c r="AJ91" s="14"/>
    </row>
    <row r="92" s="12" customFormat="true" ht="12.95" hidden="false" customHeight="true" outlineLevel="3" collapsed="false">
      <c r="A92" s="6" t="s">
        <v>1547</v>
      </c>
      <c r="B92" s="2" t="s">
        <v>1507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6" t="s">
        <v>1548</v>
      </c>
      <c r="Y92" s="6" t="s">
        <v>1549</v>
      </c>
      <c r="Z92" s="6" t="s">
        <v>950</v>
      </c>
      <c r="AA92" s="6" t="s">
        <v>1550</v>
      </c>
      <c r="AB92" s="6" t="s">
        <v>1549</v>
      </c>
      <c r="AC92" s="6" t="s">
        <v>797</v>
      </c>
      <c r="AD92" s="6" t="s">
        <v>1114</v>
      </c>
      <c r="AE92" s="6" t="s">
        <v>741</v>
      </c>
      <c r="AF92" s="14"/>
      <c r="AG92" s="14"/>
      <c r="AH92" s="14"/>
      <c r="AI92" s="14"/>
      <c r="AJ92" s="14"/>
    </row>
    <row r="93" s="12" customFormat="true" ht="12.95" hidden="false" customHeight="true" outlineLevel="2" collapsed="false">
      <c r="A93" s="21" t="s">
        <v>1551</v>
      </c>
      <c r="B93" s="2" t="s">
        <v>1520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6" t="s">
        <v>738</v>
      </c>
      <c r="Y93" s="6" t="s">
        <v>738</v>
      </c>
      <c r="Z93" s="6" t="s">
        <v>738</v>
      </c>
      <c r="AA93" s="6" t="s">
        <v>738</v>
      </c>
      <c r="AB93" s="6" t="s">
        <v>738</v>
      </c>
      <c r="AC93" s="6" t="s">
        <v>738</v>
      </c>
      <c r="AD93" s="6" t="s">
        <v>738</v>
      </c>
      <c r="AE93" s="6" t="s">
        <v>738</v>
      </c>
      <c r="AF93" s="14"/>
      <c r="AG93" s="14"/>
      <c r="AH93" s="14"/>
      <c r="AI93" s="14"/>
      <c r="AJ93" s="14"/>
    </row>
    <row r="94" s="12" customFormat="true" ht="12.95" hidden="false" customHeight="true" outlineLevel="3" collapsed="false">
      <c r="A94" s="21" t="s">
        <v>1552</v>
      </c>
      <c r="B94" s="2" t="s">
        <v>1520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6" t="s">
        <v>1553</v>
      </c>
      <c r="Y94" s="6" t="s">
        <v>1554</v>
      </c>
      <c r="Z94" s="6" t="s">
        <v>1549</v>
      </c>
      <c r="AA94" s="6" t="s">
        <v>1555</v>
      </c>
      <c r="AB94" s="6" t="s">
        <v>1556</v>
      </c>
      <c r="AC94" s="6" t="s">
        <v>797</v>
      </c>
      <c r="AD94" s="6" t="s">
        <v>1120</v>
      </c>
      <c r="AE94" s="6" t="s">
        <v>741</v>
      </c>
      <c r="AF94" s="14"/>
      <c r="AG94" s="14"/>
      <c r="AH94" s="14"/>
      <c r="AI94" s="14"/>
      <c r="AJ94" s="14"/>
    </row>
    <row r="95" s="12" customFormat="true" ht="12.95" hidden="false" customHeight="true" outlineLevel="3" collapsed="false">
      <c r="A95" s="21" t="s">
        <v>1557</v>
      </c>
      <c r="B95" s="2" t="s">
        <v>1520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6" t="s">
        <v>1558</v>
      </c>
      <c r="Y95" s="6" t="s">
        <v>1559</v>
      </c>
      <c r="Z95" s="6" t="s">
        <v>1560</v>
      </c>
      <c r="AA95" s="6" t="s">
        <v>797</v>
      </c>
      <c r="AB95" s="6" t="s">
        <v>1559</v>
      </c>
      <c r="AC95" s="6" t="s">
        <v>797</v>
      </c>
      <c r="AD95" s="6" t="s">
        <v>813</v>
      </c>
      <c r="AE95" s="6" t="s">
        <v>741</v>
      </c>
      <c r="AF95" s="14"/>
      <c r="AG95" s="14"/>
      <c r="AH95" s="14"/>
      <c r="AI95" s="14"/>
      <c r="AJ95" s="14"/>
    </row>
    <row r="96" s="12" customFormat="true" ht="12.95" hidden="false" customHeight="true" outlineLevel="2" collapsed="false">
      <c r="A96" s="21" t="s">
        <v>1561</v>
      </c>
      <c r="B96" s="2" t="s">
        <v>1530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6" t="s">
        <v>738</v>
      </c>
      <c r="Y96" s="6" t="s">
        <v>738</v>
      </c>
      <c r="Z96" s="6" t="s">
        <v>738</v>
      </c>
      <c r="AA96" s="6" t="s">
        <v>738</v>
      </c>
      <c r="AB96" s="6" t="s">
        <v>738</v>
      </c>
      <c r="AC96" s="6" t="s">
        <v>738</v>
      </c>
      <c r="AD96" s="6" t="s">
        <v>738</v>
      </c>
      <c r="AE96" s="6" t="s">
        <v>738</v>
      </c>
      <c r="AF96" s="14"/>
      <c r="AG96" s="14"/>
      <c r="AH96" s="14"/>
      <c r="AI96" s="14"/>
      <c r="AJ96" s="14"/>
    </row>
    <row r="97" s="12" customFormat="true" ht="12.95" hidden="false" customHeight="true" outlineLevel="3" collapsed="false">
      <c r="A97" s="21" t="s">
        <v>1562</v>
      </c>
      <c r="B97" s="2" t="s">
        <v>1530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6" t="s">
        <v>1563</v>
      </c>
      <c r="Y97" s="6" t="s">
        <v>1564</v>
      </c>
      <c r="Z97" s="6" t="s">
        <v>1549</v>
      </c>
      <c r="AA97" s="6" t="s">
        <v>1001</v>
      </c>
      <c r="AB97" s="6" t="s">
        <v>1565</v>
      </c>
      <c r="AC97" s="6" t="s">
        <v>797</v>
      </c>
      <c r="AD97" s="6" t="s">
        <v>1129</v>
      </c>
      <c r="AE97" s="6" t="s">
        <v>741</v>
      </c>
      <c r="AF97" s="14"/>
      <c r="AG97" s="14"/>
      <c r="AH97" s="14"/>
      <c r="AI97" s="14"/>
      <c r="AJ97" s="14"/>
    </row>
    <row r="98" s="12" customFormat="true" ht="12.95" hidden="false" customHeight="true" outlineLevel="3" collapsed="false">
      <c r="A98" s="21" t="s">
        <v>1566</v>
      </c>
      <c r="B98" s="2" t="s">
        <v>1530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6" t="s">
        <v>1567</v>
      </c>
      <c r="Y98" s="6" t="s">
        <v>1568</v>
      </c>
      <c r="Z98" s="6" t="s">
        <v>1560</v>
      </c>
      <c r="AA98" s="6" t="s">
        <v>797</v>
      </c>
      <c r="AB98" s="6" t="s">
        <v>1568</v>
      </c>
      <c r="AC98" s="6" t="s">
        <v>797</v>
      </c>
      <c r="AD98" s="6" t="s">
        <v>813</v>
      </c>
      <c r="AE98" s="6" t="s">
        <v>741</v>
      </c>
      <c r="AF98" s="14"/>
      <c r="AG98" s="14"/>
      <c r="AH98" s="14"/>
      <c r="AI98" s="14"/>
      <c r="AJ98" s="14"/>
    </row>
    <row r="99" s="12" customFormat="true" ht="12.95" hidden="false" customHeight="true" outlineLevel="1" collapsed="false">
      <c r="A99" s="21" t="s">
        <v>1569</v>
      </c>
      <c r="B99" s="2" t="s">
        <v>1507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6" t="s">
        <v>1570</v>
      </c>
      <c r="Y99" s="6" t="s">
        <v>1571</v>
      </c>
      <c r="Z99" s="6" t="s">
        <v>1572</v>
      </c>
      <c r="AA99" s="6" t="s">
        <v>1573</v>
      </c>
      <c r="AB99" s="6" t="s">
        <v>1574</v>
      </c>
      <c r="AC99" s="6" t="s">
        <v>1575</v>
      </c>
      <c r="AD99" s="6" t="s">
        <v>1576</v>
      </c>
      <c r="AE99" s="6" t="s">
        <v>741</v>
      </c>
      <c r="AF99" s="14"/>
      <c r="AG99" s="14"/>
      <c r="AH99" s="14"/>
      <c r="AI99" s="14"/>
      <c r="AJ99" s="14"/>
    </row>
    <row r="100" s="12" customFormat="true" ht="12.95" hidden="false" customHeight="true" outlineLevel="2" collapsed="false">
      <c r="A100" s="21" t="s">
        <v>1577</v>
      </c>
      <c r="B100" s="2" t="s">
        <v>1520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6" t="s">
        <v>1578</v>
      </c>
      <c r="Y100" s="6" t="s">
        <v>1579</v>
      </c>
      <c r="Z100" s="6" t="s">
        <v>1580</v>
      </c>
      <c r="AA100" s="6" t="s">
        <v>1581</v>
      </c>
      <c r="AB100" s="6" t="s">
        <v>1582</v>
      </c>
      <c r="AC100" s="6" t="s">
        <v>797</v>
      </c>
      <c r="AD100" s="6" t="s">
        <v>1583</v>
      </c>
      <c r="AE100" s="6" t="s">
        <v>741</v>
      </c>
      <c r="AF100" s="14"/>
      <c r="AG100" s="14"/>
      <c r="AH100" s="14"/>
      <c r="AI100" s="14"/>
      <c r="AJ100" s="14"/>
    </row>
    <row r="101" s="12" customFormat="true" ht="12.95" hidden="false" customHeight="true" outlineLevel="2" collapsed="false">
      <c r="A101" s="21" t="s">
        <v>1584</v>
      </c>
      <c r="B101" s="2" t="s">
        <v>1530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6" t="s">
        <v>1585</v>
      </c>
      <c r="Y101" s="6" t="s">
        <v>1586</v>
      </c>
      <c r="Z101" s="6" t="s">
        <v>1580</v>
      </c>
      <c r="AA101" s="6" t="s">
        <v>1587</v>
      </c>
      <c r="AB101" s="6" t="s">
        <v>1588</v>
      </c>
      <c r="AC101" s="6" t="s">
        <v>797</v>
      </c>
      <c r="AD101" s="6" t="s">
        <v>1589</v>
      </c>
      <c r="AE101" s="6" t="s">
        <v>741</v>
      </c>
      <c r="AF101" s="14"/>
      <c r="AG101" s="14"/>
      <c r="AH101" s="14"/>
      <c r="AI101" s="14"/>
      <c r="AJ101" s="14"/>
    </row>
    <row r="102" s="12" customFormat="true" ht="12.95" hidden="false" customHeight="true" outlineLevel="1" collapsed="false">
      <c r="A102" s="21" t="s">
        <v>1590</v>
      </c>
      <c r="B102" s="2" t="s">
        <v>1507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6" t="s">
        <v>1591</v>
      </c>
      <c r="Y102" s="6" t="s">
        <v>1592</v>
      </c>
      <c r="Z102" s="6" t="s">
        <v>1593</v>
      </c>
      <c r="AA102" s="6" t="s">
        <v>1594</v>
      </c>
      <c r="AB102" s="6" t="s">
        <v>1595</v>
      </c>
      <c r="AC102" s="6" t="s">
        <v>1596</v>
      </c>
      <c r="AD102" s="6" t="s">
        <v>1597</v>
      </c>
      <c r="AE102" s="6" t="s">
        <v>741</v>
      </c>
      <c r="AF102" s="14"/>
      <c r="AG102" s="14"/>
      <c r="AH102" s="14"/>
      <c r="AI102" s="14"/>
    </row>
    <row r="103" s="12" customFormat="true" ht="12.95" hidden="false" customHeight="true" outlineLevel="2" collapsed="false">
      <c r="A103" s="21" t="s">
        <v>1598</v>
      </c>
      <c r="B103" s="2" t="s">
        <v>1520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6" t="s">
        <v>1599</v>
      </c>
      <c r="Y103" s="6" t="s">
        <v>1600</v>
      </c>
      <c r="Z103" s="6" t="s">
        <v>1601</v>
      </c>
      <c r="AA103" s="6" t="s">
        <v>1602</v>
      </c>
      <c r="AB103" s="6" t="s">
        <v>1603</v>
      </c>
      <c r="AC103" s="6" t="s">
        <v>797</v>
      </c>
      <c r="AD103" s="6" t="s">
        <v>1604</v>
      </c>
      <c r="AE103" s="6" t="s">
        <v>741</v>
      </c>
      <c r="AF103" s="14"/>
      <c r="AG103" s="14"/>
      <c r="AH103" s="14"/>
      <c r="AI103" s="14"/>
      <c r="AJ103" s="14"/>
    </row>
    <row r="104" s="12" customFormat="true" ht="12.95" hidden="false" customHeight="true" outlineLevel="2" collapsed="false">
      <c r="A104" s="21" t="s">
        <v>1605</v>
      </c>
      <c r="B104" s="2" t="s">
        <v>1530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6" t="s">
        <v>1606</v>
      </c>
      <c r="Y104" s="6" t="s">
        <v>1607</v>
      </c>
      <c r="Z104" s="6" t="s">
        <v>1601</v>
      </c>
      <c r="AA104" s="6" t="s">
        <v>1608</v>
      </c>
      <c r="AB104" s="6" t="s">
        <v>1609</v>
      </c>
      <c r="AC104" s="6" t="s">
        <v>797</v>
      </c>
      <c r="AD104" s="6" t="s">
        <v>1610</v>
      </c>
      <c r="AE104" s="6" t="s">
        <v>741</v>
      </c>
      <c r="AF104" s="14"/>
      <c r="AG104" s="14"/>
      <c r="AH104" s="14"/>
      <c r="AI104" s="14"/>
      <c r="AJ104" s="14"/>
    </row>
    <row r="105" s="12" customFormat="true" ht="12.95" hidden="false" customHeight="true" outlineLevel="0" collapsed="false"/>
    <row r="106" s="12" customFormat="true" ht="12.95" hidden="false" customHeight="true" outlineLevel="0" collapsed="false">
      <c r="A106" s="1" t="s">
        <v>119</v>
      </c>
      <c r="B106" s="1" t="s">
        <v>1276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6"/>
      <c r="Y106" s="6"/>
      <c r="Z106" s="6"/>
      <c r="AA106" s="6"/>
      <c r="AB106" s="6"/>
      <c r="AC106" s="6"/>
      <c r="AD106" s="6"/>
      <c r="AE106" s="6"/>
      <c r="AF106" s="14"/>
      <c r="AG106" s="14"/>
      <c r="AH106" s="14"/>
      <c r="AI106" s="14"/>
      <c r="AJ106" s="14"/>
    </row>
    <row r="107" s="12" customFormat="true" ht="12.95" hidden="false" customHeight="true" outlineLevel="1" collapsed="false">
      <c r="A107" s="6" t="s">
        <v>1611</v>
      </c>
      <c r="B107" s="2" t="s">
        <v>1507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6" t="s">
        <v>1612</v>
      </c>
      <c r="Y107" s="6" t="s">
        <v>1613</v>
      </c>
      <c r="Z107" s="6" t="s">
        <v>1614</v>
      </c>
      <c r="AA107" s="6" t="s">
        <v>1615</v>
      </c>
      <c r="AB107" s="6" t="s">
        <v>1616</v>
      </c>
      <c r="AC107" s="6" t="s">
        <v>1177</v>
      </c>
      <c r="AD107" s="6" t="s">
        <v>1617</v>
      </c>
      <c r="AE107" s="6" t="s">
        <v>741</v>
      </c>
      <c r="AF107" s="14"/>
      <c r="AG107" s="14"/>
      <c r="AH107" s="14"/>
      <c r="AI107" s="14"/>
      <c r="AJ107" s="14"/>
    </row>
    <row r="108" s="12" customFormat="true" ht="12.95" hidden="false" customHeight="true" outlineLevel="2" collapsed="false">
      <c r="A108" s="6" t="s">
        <v>1618</v>
      </c>
      <c r="B108" s="2" t="s">
        <v>1520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6" t="s">
        <v>1619</v>
      </c>
      <c r="Y108" s="6" t="s">
        <v>1620</v>
      </c>
      <c r="Z108" s="6" t="s">
        <v>1621</v>
      </c>
      <c r="AA108" s="6" t="s">
        <v>1622</v>
      </c>
      <c r="AB108" s="6" t="s">
        <v>1623</v>
      </c>
      <c r="AC108" s="6" t="s">
        <v>797</v>
      </c>
      <c r="AD108" s="6" t="s">
        <v>1185</v>
      </c>
      <c r="AE108" s="6" t="s">
        <v>741</v>
      </c>
      <c r="AF108" s="14"/>
      <c r="AG108" s="14"/>
      <c r="AH108" s="14"/>
      <c r="AI108" s="14"/>
      <c r="AJ108" s="14"/>
    </row>
    <row r="109" s="12" customFormat="true" ht="12.95" hidden="false" customHeight="true" outlineLevel="2" collapsed="false">
      <c r="A109" s="6" t="s">
        <v>1624</v>
      </c>
      <c r="B109" s="2" t="s">
        <v>1530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6" t="s">
        <v>1625</v>
      </c>
      <c r="Y109" s="6" t="s">
        <v>1626</v>
      </c>
      <c r="Z109" s="6" t="s">
        <v>1621</v>
      </c>
      <c r="AA109" s="6" t="s">
        <v>1189</v>
      </c>
      <c r="AB109" s="6" t="s">
        <v>1627</v>
      </c>
      <c r="AC109" s="6" t="s">
        <v>797</v>
      </c>
      <c r="AD109" s="6" t="s">
        <v>1191</v>
      </c>
      <c r="AE109" s="6" t="s">
        <v>741</v>
      </c>
      <c r="AF109" s="14"/>
      <c r="AG109" s="14"/>
      <c r="AH109" s="14"/>
      <c r="AI109" s="14"/>
      <c r="AJ109" s="14"/>
    </row>
    <row r="110" customFormat="false" ht="12.95" hidden="false" customHeight="true" outlineLevel="1" collapsed="false">
      <c r="A110" s="6" t="s">
        <v>1628</v>
      </c>
      <c r="B110" s="2" t="s">
        <v>1507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6" t="s">
        <v>1629</v>
      </c>
      <c r="Y110" s="6" t="s">
        <v>1630</v>
      </c>
      <c r="Z110" s="6" t="s">
        <v>1631</v>
      </c>
      <c r="AA110" s="6" t="s">
        <v>1632</v>
      </c>
      <c r="AB110" s="6" t="s">
        <v>1633</v>
      </c>
      <c r="AC110" s="6" t="s">
        <v>1198</v>
      </c>
      <c r="AD110" s="6" t="s">
        <v>1634</v>
      </c>
      <c r="AE110" s="6" t="s">
        <v>741</v>
      </c>
    </row>
    <row r="111" customFormat="false" ht="12.95" hidden="false" customHeight="true" outlineLevel="2" collapsed="false">
      <c r="A111" s="6" t="s">
        <v>1635</v>
      </c>
      <c r="B111" s="2" t="s">
        <v>1520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6" t="s">
        <v>1636</v>
      </c>
      <c r="Y111" s="6" t="s">
        <v>1637</v>
      </c>
      <c r="Z111" s="6" t="s">
        <v>1638</v>
      </c>
      <c r="AA111" s="6" t="s">
        <v>1204</v>
      </c>
      <c r="AB111" s="6" t="s">
        <v>1639</v>
      </c>
      <c r="AC111" s="6" t="s">
        <v>797</v>
      </c>
      <c r="AD111" s="6" t="s">
        <v>1206</v>
      </c>
      <c r="AE111" s="6" t="s">
        <v>741</v>
      </c>
    </row>
    <row r="112" customFormat="false" ht="12.95" hidden="false" customHeight="true" outlineLevel="2" collapsed="false">
      <c r="A112" s="6" t="s">
        <v>1640</v>
      </c>
      <c r="B112" s="2" t="s">
        <v>1530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6" t="s">
        <v>1641</v>
      </c>
      <c r="Y112" s="6" t="s">
        <v>1642</v>
      </c>
      <c r="Z112" s="6" t="s">
        <v>1638</v>
      </c>
      <c r="AA112" s="6" t="s">
        <v>1210</v>
      </c>
      <c r="AB112" s="6" t="s">
        <v>1643</v>
      </c>
      <c r="AC112" s="6" t="s">
        <v>797</v>
      </c>
      <c r="AD112" s="6" t="s">
        <v>1212</v>
      </c>
      <c r="AE112" s="6" t="s">
        <v>741</v>
      </c>
    </row>
    <row r="113" customFormat="false" ht="12.95" hidden="false" customHeight="true" outlineLevel="1" collapsed="false">
      <c r="A113" s="6" t="s">
        <v>1644</v>
      </c>
      <c r="B113" s="2" t="s">
        <v>1507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6" t="s">
        <v>1645</v>
      </c>
      <c r="Y113" s="6" t="s">
        <v>1646</v>
      </c>
      <c r="Z113" s="6" t="s">
        <v>1647</v>
      </c>
      <c r="AA113" s="6" t="s">
        <v>1648</v>
      </c>
      <c r="AB113" s="6" t="s">
        <v>1649</v>
      </c>
      <c r="AC113" s="6" t="s">
        <v>1219</v>
      </c>
      <c r="AD113" s="6" t="s">
        <v>1220</v>
      </c>
      <c r="AE113" s="6" t="s">
        <v>741</v>
      </c>
    </row>
    <row r="114" customFormat="false" ht="12.95" hidden="false" customHeight="true" outlineLevel="2" collapsed="false">
      <c r="A114" s="6" t="s">
        <v>1650</v>
      </c>
      <c r="B114" s="2" t="s">
        <v>1520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6" t="s">
        <v>1651</v>
      </c>
      <c r="Y114" s="6" t="s">
        <v>1652</v>
      </c>
      <c r="Z114" s="6" t="s">
        <v>1653</v>
      </c>
      <c r="AA114" s="6" t="s">
        <v>1225</v>
      </c>
      <c r="AB114" s="6" t="s">
        <v>1654</v>
      </c>
      <c r="AC114" s="6" t="s">
        <v>797</v>
      </c>
      <c r="AD114" s="6" t="s">
        <v>1227</v>
      </c>
      <c r="AE114" s="6" t="s">
        <v>741</v>
      </c>
    </row>
    <row r="115" customFormat="false" ht="12.95" hidden="false" customHeight="true" outlineLevel="2" collapsed="false">
      <c r="A115" s="6" t="s">
        <v>1655</v>
      </c>
      <c r="B115" s="2" t="s">
        <v>1530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6" t="s">
        <v>1656</v>
      </c>
      <c r="Y115" s="6" t="s">
        <v>1657</v>
      </c>
      <c r="Z115" s="6" t="s">
        <v>1653</v>
      </c>
      <c r="AA115" s="6" t="s">
        <v>1231</v>
      </c>
      <c r="AB115" s="6" t="s">
        <v>1658</v>
      </c>
      <c r="AC115" s="6" t="s">
        <v>797</v>
      </c>
      <c r="AD115" s="6" t="s">
        <v>1233</v>
      </c>
      <c r="AE115" s="6" t="s">
        <v>741</v>
      </c>
    </row>
    <row r="116" customFormat="false" ht="12.95" hidden="false" customHeight="true" outlineLevel="1" collapsed="false">
      <c r="A116" s="6" t="s">
        <v>1659</v>
      </c>
      <c r="B116" s="2" t="s">
        <v>1507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6" t="s">
        <v>1660</v>
      </c>
      <c r="Y116" s="6" t="s">
        <v>1661</v>
      </c>
      <c r="Z116" s="6" t="s">
        <v>1662</v>
      </c>
      <c r="AA116" s="6" t="s">
        <v>1663</v>
      </c>
      <c r="AB116" s="6" t="s">
        <v>1664</v>
      </c>
      <c r="AC116" s="6" t="s">
        <v>1240</v>
      </c>
      <c r="AD116" s="6" t="s">
        <v>1241</v>
      </c>
      <c r="AE116" s="6" t="s">
        <v>741</v>
      </c>
    </row>
    <row r="117" customFormat="false" ht="12.95" hidden="false" customHeight="true" outlineLevel="2" collapsed="false">
      <c r="A117" s="6" t="s">
        <v>1665</v>
      </c>
      <c r="B117" s="2" t="s">
        <v>1520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6" t="s">
        <v>1666</v>
      </c>
      <c r="Y117" s="6" t="s">
        <v>1667</v>
      </c>
      <c r="Z117" s="6" t="s">
        <v>1668</v>
      </c>
      <c r="AA117" s="6" t="s">
        <v>1246</v>
      </c>
      <c r="AB117" s="6" t="s">
        <v>1669</v>
      </c>
      <c r="AC117" s="6" t="s">
        <v>797</v>
      </c>
      <c r="AD117" s="6" t="s">
        <v>1248</v>
      </c>
      <c r="AE117" s="6" t="s">
        <v>741</v>
      </c>
    </row>
    <row r="118" customFormat="false" ht="12.95" hidden="false" customHeight="true" outlineLevel="2" collapsed="false">
      <c r="A118" s="6" t="s">
        <v>1670</v>
      </c>
      <c r="B118" s="2" t="s">
        <v>1530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6" t="s">
        <v>1671</v>
      </c>
      <c r="Y118" s="6" t="s">
        <v>1672</v>
      </c>
      <c r="Z118" s="6" t="s">
        <v>1668</v>
      </c>
      <c r="AA118" s="6" t="s">
        <v>1252</v>
      </c>
      <c r="AB118" s="6" t="s">
        <v>1673</v>
      </c>
      <c r="AC118" s="6" t="s">
        <v>797</v>
      </c>
      <c r="AD118" s="6" t="s">
        <v>1254</v>
      </c>
      <c r="AE118" s="6" t="s">
        <v>741</v>
      </c>
    </row>
    <row r="119" customFormat="false" ht="12.95" hidden="false" customHeight="true" outlineLevel="1" collapsed="false">
      <c r="A119" s="21" t="s">
        <v>1674</v>
      </c>
      <c r="B119" s="2" t="s">
        <v>1507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6" t="s">
        <v>1675</v>
      </c>
      <c r="Y119" s="6" t="s">
        <v>1676</v>
      </c>
      <c r="Z119" s="6" t="s">
        <v>1677</v>
      </c>
      <c r="AA119" s="6" t="s">
        <v>1678</v>
      </c>
      <c r="AB119" s="6" t="s">
        <v>1679</v>
      </c>
      <c r="AC119" s="6" t="s">
        <v>1261</v>
      </c>
      <c r="AD119" s="6" t="s">
        <v>1262</v>
      </c>
      <c r="AE119" s="6" t="s">
        <v>741</v>
      </c>
    </row>
    <row r="120" customFormat="false" ht="12.95" hidden="false" customHeight="true" outlineLevel="2" collapsed="false">
      <c r="A120" s="21" t="s">
        <v>1680</v>
      </c>
      <c r="B120" s="2" t="s">
        <v>1520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6" t="s">
        <v>1681</v>
      </c>
      <c r="Y120" s="6" t="s">
        <v>1682</v>
      </c>
      <c r="Z120" s="6" t="s">
        <v>1683</v>
      </c>
      <c r="AA120" s="6" t="s">
        <v>1267</v>
      </c>
      <c r="AB120" s="6" t="s">
        <v>1684</v>
      </c>
      <c r="AC120" s="6" t="s">
        <v>797</v>
      </c>
      <c r="AD120" s="6" t="s">
        <v>1269</v>
      </c>
      <c r="AE120" s="6" t="s">
        <v>741</v>
      </c>
    </row>
    <row r="121" customFormat="false" ht="12.95" hidden="false" customHeight="true" outlineLevel="2" collapsed="false">
      <c r="A121" s="21" t="s">
        <v>1685</v>
      </c>
      <c r="B121" s="2" t="s">
        <v>1530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  <c r="X121" s="6" t="s">
        <v>1686</v>
      </c>
      <c r="Y121" s="6" t="s">
        <v>1687</v>
      </c>
      <c r="Z121" s="6" t="s">
        <v>1683</v>
      </c>
      <c r="AA121" s="6" t="s">
        <v>1273</v>
      </c>
      <c r="AB121" s="6" t="s">
        <v>1688</v>
      </c>
      <c r="AC121" s="6" t="s">
        <v>797</v>
      </c>
      <c r="AD121" s="6" t="s">
        <v>1275</v>
      </c>
      <c r="AE121" s="6" t="s">
        <v>741</v>
      </c>
    </row>
    <row r="122" customFormat="false" ht="12.95" hidden="false" customHeight="true" outlineLevel="2" collapsed="false">
      <c r="A122" s="21"/>
      <c r="C122" s="1"/>
      <c r="F122" s="2"/>
      <c r="G122" s="13"/>
      <c r="X122" s="6"/>
      <c r="Y122" s="6"/>
      <c r="Z122" s="6"/>
      <c r="AA122" s="6"/>
      <c r="AB122" s="6"/>
      <c r="AC122" s="6"/>
      <c r="AD122" s="6"/>
      <c r="AE122" s="6"/>
    </row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9" activeCellId="0" sqref="T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9.89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69" min="24" style="14" width="11.53"/>
    <col collapsed="false" customWidth="false" hidden="false" outlineLevel="0" max="16384" min="16383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621</v>
      </c>
      <c r="B3" s="3" t="s">
        <v>1689</v>
      </c>
      <c r="X3" s="14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46</v>
      </c>
      <c r="B4" s="1" t="s">
        <v>1690</v>
      </c>
      <c r="C4" s="1" t="s">
        <v>463</v>
      </c>
    </row>
    <row r="5" customFormat="false" ht="12.95" hidden="false" customHeight="true" outlineLevel="1" collapsed="false">
      <c r="A5" s="1" t="s">
        <v>1691</v>
      </c>
      <c r="B5" s="1" t="s">
        <v>1692</v>
      </c>
      <c r="C5" s="1" t="s">
        <v>223</v>
      </c>
    </row>
    <row r="6" customFormat="false" ht="12.95" hidden="false" customHeight="true" outlineLevel="3" collapsed="false">
      <c r="A6" s="1" t="s">
        <v>1693</v>
      </c>
      <c r="B6" s="1" t="s">
        <v>1692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1694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1695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1696</v>
      </c>
      <c r="B7" s="1" t="s">
        <v>1692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1694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1695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</row>
    <row r="8" customFormat="false" ht="12.95" hidden="false" customHeight="true" outlineLevel="2" collapsed="false">
      <c r="A8" s="1" t="s">
        <v>1697</v>
      </c>
      <c r="B8" s="1" t="s">
        <v>1698</v>
      </c>
      <c r="C8" s="1" t="s">
        <v>223</v>
      </c>
    </row>
    <row r="9" customFormat="false" ht="12.95" hidden="false" customHeight="true" outlineLevel="3" collapsed="false">
      <c r="A9" s="1" t="s">
        <v>1699</v>
      </c>
      <c r="B9" s="1" t="s">
        <v>1698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1700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1701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1702</v>
      </c>
      <c r="B10" s="1" t="s">
        <v>1698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1700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1701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</row>
    <row r="11" customFormat="false" ht="12.95" hidden="false" customHeight="true" outlineLevel="2" collapsed="false">
      <c r="A11" s="1" t="s">
        <v>1703</v>
      </c>
      <c r="B11" s="1" t="s">
        <v>1704</v>
      </c>
      <c r="C11" s="1" t="s">
        <v>223</v>
      </c>
    </row>
    <row r="12" customFormat="false" ht="12.95" hidden="false" customHeight="true" outlineLevel="3" collapsed="false">
      <c r="A12" s="1" t="s">
        <v>1705</v>
      </c>
      <c r="B12" s="1" t="s">
        <v>1704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1706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1707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1708</v>
      </c>
      <c r="B13" s="1" t="s">
        <v>1704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1706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1707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</row>
    <row r="14" customFormat="false" ht="12.95" hidden="false" customHeight="true" outlineLevel="1" collapsed="false">
      <c r="A14" s="1" t="s">
        <v>1709</v>
      </c>
      <c r="B14" s="1" t="s">
        <v>1692</v>
      </c>
      <c r="C14" s="1" t="s">
        <v>711</v>
      </c>
      <c r="G14" s="13"/>
    </row>
    <row r="15" customFormat="false" ht="12.95" hidden="false" customHeight="true" outlineLevel="3" collapsed="false">
      <c r="A15" s="1" t="s">
        <v>1710</v>
      </c>
      <c r="B15" s="1" t="s">
        <v>1692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1694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1695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1711</v>
      </c>
      <c r="B16" s="1" t="s">
        <v>1692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1694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1695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customFormat="false" ht="12.95" hidden="false" customHeight="true" outlineLevel="2" collapsed="false">
      <c r="A17" s="1" t="s">
        <v>1712</v>
      </c>
      <c r="B17" s="1" t="s">
        <v>1698</v>
      </c>
      <c r="C17" s="1" t="s">
        <v>711</v>
      </c>
      <c r="G17" s="13"/>
    </row>
    <row r="18" customFormat="false" ht="12.95" hidden="false" customHeight="true" outlineLevel="3" collapsed="false">
      <c r="A18" s="1" t="s">
        <v>1713</v>
      </c>
      <c r="B18" s="1" t="s">
        <v>1698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1700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1701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1714</v>
      </c>
      <c r="B19" s="1" t="s">
        <v>1698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1700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1701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</row>
    <row r="20" customFormat="false" ht="12.95" hidden="false" customHeight="true" outlineLevel="2" collapsed="false">
      <c r="A20" s="1" t="s">
        <v>1715</v>
      </c>
      <c r="B20" s="1" t="s">
        <v>1704</v>
      </c>
      <c r="C20" s="1" t="s">
        <v>711</v>
      </c>
      <c r="G20" s="13"/>
    </row>
    <row r="21" customFormat="false" ht="12.95" hidden="false" customHeight="true" outlineLevel="3" collapsed="false">
      <c r="A21" s="1" t="s">
        <v>1716</v>
      </c>
      <c r="B21" s="1" t="s">
        <v>1704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1706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1707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1717</v>
      </c>
      <c r="B22" s="1" t="s">
        <v>1704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1706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1707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</row>
    <row r="23" customFormat="false" ht="12.95" hidden="false" customHeight="true" outlineLevel="1" collapsed="false">
      <c r="A23" s="1" t="s">
        <v>1718</v>
      </c>
      <c r="B23" s="1" t="s">
        <v>1692</v>
      </c>
      <c r="C23" s="1" t="s">
        <v>719</v>
      </c>
      <c r="G23" s="13"/>
    </row>
    <row r="24" customFormat="false" ht="12.95" hidden="false" customHeight="true" outlineLevel="3" collapsed="false">
      <c r="A24" s="1" t="s">
        <v>1719</v>
      </c>
      <c r="B24" s="1" t="s">
        <v>1692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1694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1695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1720</v>
      </c>
      <c r="B25" s="1" t="s">
        <v>1692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1694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1695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</row>
    <row r="26" customFormat="false" ht="12.95" hidden="false" customHeight="true" outlineLevel="2" collapsed="false">
      <c r="A26" s="1" t="s">
        <v>1721</v>
      </c>
      <c r="B26" s="1" t="s">
        <v>1698</v>
      </c>
      <c r="C26" s="1" t="s">
        <v>719</v>
      </c>
      <c r="G26" s="13"/>
    </row>
    <row r="27" customFormat="false" ht="12.95" hidden="false" customHeight="true" outlineLevel="3" collapsed="false">
      <c r="A27" s="1" t="s">
        <v>1722</v>
      </c>
      <c r="B27" s="1" t="s">
        <v>1698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1700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1701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1723</v>
      </c>
      <c r="B28" s="1" t="s">
        <v>1698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1700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1701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</row>
    <row r="29" customFormat="false" ht="12.95" hidden="false" customHeight="true" outlineLevel="2" collapsed="false">
      <c r="A29" s="1" t="s">
        <v>1724</v>
      </c>
      <c r="B29" s="1" t="s">
        <v>1704</v>
      </c>
      <c r="C29" s="1" t="s">
        <v>719</v>
      </c>
      <c r="G29" s="13"/>
    </row>
    <row r="30" customFormat="false" ht="12.95" hidden="false" customHeight="true" outlineLevel="3" collapsed="false">
      <c r="A30" s="1" t="s">
        <v>1725</v>
      </c>
      <c r="B30" s="1" t="s">
        <v>1704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1706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1707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1726</v>
      </c>
      <c r="B31" s="1" t="s">
        <v>1704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1706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1707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</row>
    <row r="32" customFormat="false" ht="12.95" hidden="false" customHeight="true" outlineLevel="1" collapsed="false">
      <c r="A32" s="1" t="s">
        <v>1727</v>
      </c>
      <c r="B32" s="1" t="s">
        <v>1692</v>
      </c>
      <c r="C32" s="1" t="s">
        <v>731</v>
      </c>
      <c r="G32" s="13"/>
    </row>
    <row r="33" customFormat="false" ht="12.95" hidden="false" customHeight="true" outlineLevel="3" collapsed="false">
      <c r="A33" s="1" t="s">
        <v>1728</v>
      </c>
      <c r="B33" s="1" t="s">
        <v>1692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1694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1695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1729</v>
      </c>
      <c r="B34" s="1" t="s">
        <v>1692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1694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1695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</row>
    <row r="35" customFormat="false" ht="12.95" hidden="false" customHeight="true" outlineLevel="2" collapsed="false">
      <c r="A35" s="1" t="s">
        <v>1730</v>
      </c>
      <c r="B35" s="1" t="s">
        <v>1698</v>
      </c>
      <c r="C35" s="1" t="s">
        <v>731</v>
      </c>
      <c r="G35" s="13"/>
    </row>
    <row r="36" customFormat="false" ht="12.95" hidden="false" customHeight="true" outlineLevel="3" collapsed="false">
      <c r="A36" s="1" t="s">
        <v>1731</v>
      </c>
      <c r="B36" s="1" t="s">
        <v>1698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1700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1701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1732</v>
      </c>
      <c r="B37" s="1" t="s">
        <v>1698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1700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1701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</row>
    <row r="38" customFormat="false" ht="12.95" hidden="false" customHeight="true" outlineLevel="2" collapsed="false">
      <c r="A38" s="1" t="s">
        <v>1733</v>
      </c>
      <c r="B38" s="1" t="s">
        <v>1704</v>
      </c>
      <c r="C38" s="1" t="s">
        <v>731</v>
      </c>
      <c r="G38" s="13"/>
    </row>
    <row r="39" customFormat="false" ht="12.95" hidden="false" customHeight="true" outlineLevel="3" collapsed="false">
      <c r="A39" s="1" t="s">
        <v>1734</v>
      </c>
      <c r="B39" s="1" t="s">
        <v>1704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1706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1707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1735</v>
      </c>
      <c r="B40" s="1" t="s">
        <v>1704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1706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1707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</row>
    <row r="41" customFormat="false" ht="12.95" hidden="false" customHeight="true" outlineLevel="3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49</v>
      </c>
      <c r="B42" s="1" t="s">
        <v>1690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2.95" hidden="false" customHeight="true" outlineLevel="2" collapsed="false">
      <c r="A43" s="1" t="s">
        <v>1736</v>
      </c>
      <c r="B43" s="1" t="s">
        <v>1692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2.95" hidden="false" customHeight="true" outlineLevel="3" collapsed="false">
      <c r="A44" s="1" t="s">
        <v>1737</v>
      </c>
      <c r="B44" s="1" t="s">
        <v>1692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1738</v>
      </c>
      <c r="B45" s="1" t="s">
        <v>1692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</row>
    <row r="46" customFormat="false" ht="12.95" hidden="false" customHeight="true" outlineLevel="2" collapsed="false">
      <c r="A46" s="1" t="s">
        <v>1739</v>
      </c>
      <c r="B46" s="1" t="s">
        <v>1698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1740</v>
      </c>
      <c r="B47" s="1" t="s">
        <v>1698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1741</v>
      </c>
      <c r="B48" s="1" t="s">
        <v>1698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</row>
    <row r="49" customFormat="false" ht="12.95" hidden="false" customHeight="true" outlineLevel="2" collapsed="false">
      <c r="A49" s="1" t="s">
        <v>1742</v>
      </c>
      <c r="B49" s="1" t="s">
        <v>1704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1743</v>
      </c>
      <c r="B50" s="1" t="s">
        <v>1704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1744</v>
      </c>
      <c r="B51" s="1" t="s">
        <v>1704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</row>
    <row r="52" customFormat="false" ht="12.95" hidden="false" customHeight="true" outlineLevel="1" collapsed="false">
      <c r="A52" s="1" t="s">
        <v>1745</v>
      </c>
      <c r="B52" s="1" t="s">
        <v>1692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2.95" hidden="false" customHeight="true" outlineLevel="3" collapsed="false">
      <c r="A53" s="1" t="s">
        <v>1746</v>
      </c>
      <c r="B53" s="1" t="s">
        <v>1692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1747</v>
      </c>
      <c r="B54" s="1" t="s">
        <v>1692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</row>
    <row r="55" customFormat="false" ht="12.95" hidden="false" customHeight="true" outlineLevel="2" collapsed="false">
      <c r="A55" s="1" t="s">
        <v>1748</v>
      </c>
      <c r="B55" s="1" t="s">
        <v>1698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1749</v>
      </c>
      <c r="B56" s="1" t="s">
        <v>1698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1750</v>
      </c>
      <c r="B57" s="1" t="s">
        <v>1698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</row>
    <row r="58" customFormat="false" ht="12.95" hidden="false" customHeight="true" outlineLevel="2" collapsed="false">
      <c r="A58" s="1" t="s">
        <v>1751</v>
      </c>
      <c r="B58" s="1" t="s">
        <v>1704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1752</v>
      </c>
      <c r="B59" s="1" t="s">
        <v>1704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1753</v>
      </c>
      <c r="B60" s="1" t="s">
        <v>1704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</row>
    <row r="61" customFormat="false" ht="12.95" hidden="false" customHeight="true" outlineLevel="1" collapsed="false">
      <c r="A61" s="1" t="s">
        <v>1754</v>
      </c>
      <c r="B61" s="1" t="s">
        <v>1692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2.95" hidden="false" customHeight="true" outlineLevel="3" collapsed="false">
      <c r="A62" s="1" t="s">
        <v>1755</v>
      </c>
      <c r="B62" s="1" t="s">
        <v>1692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1756</v>
      </c>
      <c r="B63" s="1" t="s">
        <v>1692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</row>
    <row r="64" customFormat="false" ht="12.95" hidden="false" customHeight="true" outlineLevel="2" collapsed="false">
      <c r="A64" s="1" t="s">
        <v>1757</v>
      </c>
      <c r="B64" s="1" t="s">
        <v>1698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1758</v>
      </c>
      <c r="B65" s="1" t="s">
        <v>1698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1759</v>
      </c>
      <c r="B66" s="1" t="s">
        <v>1698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</row>
    <row r="67" customFormat="false" ht="12.95" hidden="false" customHeight="true" outlineLevel="2" collapsed="false">
      <c r="A67" s="1" t="s">
        <v>1760</v>
      </c>
      <c r="B67" s="1" t="s">
        <v>1704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1761</v>
      </c>
      <c r="B68" s="1" t="s">
        <v>1704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1762</v>
      </c>
      <c r="B69" s="1" t="s">
        <v>1704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</row>
    <row r="70" customFormat="false" ht="12.95" hidden="false" customHeight="true" outlineLevel="1" collapsed="false">
      <c r="A70" s="1" t="s">
        <v>1763</v>
      </c>
      <c r="B70" s="1" t="s">
        <v>1692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2.95" hidden="false" customHeight="true" outlineLevel="3" collapsed="false">
      <c r="A71" s="1" t="s">
        <v>1764</v>
      </c>
      <c r="B71" s="1" t="s">
        <v>1692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1765</v>
      </c>
      <c r="B72" s="1" t="s">
        <v>1692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</row>
    <row r="73" customFormat="false" ht="12.95" hidden="false" customHeight="true" outlineLevel="2" collapsed="false">
      <c r="A73" s="1" t="s">
        <v>1766</v>
      </c>
      <c r="B73" s="1" t="s">
        <v>1698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1767</v>
      </c>
      <c r="B74" s="1" t="s">
        <v>1698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1768</v>
      </c>
      <c r="B75" s="1" t="s">
        <v>1698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</row>
    <row r="76" customFormat="false" ht="12.95" hidden="false" customHeight="true" outlineLevel="2" collapsed="false">
      <c r="A76" s="1" t="s">
        <v>1769</v>
      </c>
      <c r="B76" s="1" t="s">
        <v>1704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1770</v>
      </c>
      <c r="B77" s="1" t="s">
        <v>1704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1771</v>
      </c>
      <c r="B78" s="1" t="s">
        <v>1704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</row>
    <row r="79" customFormat="false" ht="12.95" hidden="false" customHeight="true" outlineLevel="3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129</v>
      </c>
      <c r="B80" s="1" t="s">
        <v>1690</v>
      </c>
      <c r="C80" s="1" t="s">
        <v>622</v>
      </c>
      <c r="F80" s="2"/>
      <c r="G80" s="18"/>
      <c r="J80" s="2"/>
      <c r="K80" s="2"/>
    </row>
    <row r="81" s="12" customFormat="true" ht="12.95" hidden="false" customHeight="true" outlineLevel="1" collapsed="false">
      <c r="A81" s="6" t="s">
        <v>1772</v>
      </c>
      <c r="B81" s="6" t="s">
        <v>1773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4"/>
    </row>
    <row r="82" s="12" customFormat="true" ht="12.95" hidden="false" customHeight="true" outlineLevel="3" collapsed="false">
      <c r="A82" s="6" t="s">
        <v>1774</v>
      </c>
      <c r="B82" s="6" t="s">
        <v>1773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14"/>
    </row>
    <row r="83" s="12" customFormat="true" ht="12.95" hidden="false" customHeight="true" outlineLevel="3" collapsed="false">
      <c r="A83" s="6" t="s">
        <v>1775</v>
      </c>
      <c r="B83" s="6" t="s">
        <v>1773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14"/>
    </row>
    <row r="84" s="12" customFormat="true" ht="12.95" hidden="false" customHeight="true" outlineLevel="2" collapsed="false">
      <c r="A84" s="6" t="s">
        <v>1776</v>
      </c>
      <c r="B84" s="6" t="s">
        <v>1777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4"/>
    </row>
    <row r="85" s="12" customFormat="true" ht="12.95" hidden="false" customHeight="true" outlineLevel="3" collapsed="false">
      <c r="A85" s="6" t="s">
        <v>1778</v>
      </c>
      <c r="B85" s="6" t="s">
        <v>1777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14"/>
    </row>
    <row r="86" s="12" customFormat="true" ht="12.95" hidden="false" customHeight="true" outlineLevel="3" collapsed="false">
      <c r="A86" s="6" t="s">
        <v>1779</v>
      </c>
      <c r="B86" s="6" t="s">
        <v>1777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14"/>
    </row>
    <row r="87" s="12" customFormat="true" ht="12.95" hidden="false" customHeight="true" outlineLevel="2" collapsed="false">
      <c r="A87" s="6" t="s">
        <v>1780</v>
      </c>
      <c r="B87" s="6" t="s">
        <v>1781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="12" customFormat="true" ht="12.95" hidden="false" customHeight="true" outlineLevel="3" collapsed="false">
      <c r="A88" s="6" t="s">
        <v>1782</v>
      </c>
      <c r="B88" s="6" t="s">
        <v>1781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14"/>
    </row>
    <row r="89" s="12" customFormat="true" ht="12.95" hidden="false" customHeight="true" outlineLevel="3" collapsed="false">
      <c r="A89" s="6" t="s">
        <v>1783</v>
      </c>
      <c r="B89" s="6" t="s">
        <v>1781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14"/>
    </row>
    <row r="90" s="12" customFormat="true" ht="12.95" hidden="false" customHeight="true" outlineLevel="1" collapsed="false">
      <c r="A90" s="6" t="s">
        <v>1784</v>
      </c>
      <c r="B90" s="6" t="s">
        <v>1781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4"/>
    </row>
    <row r="91" s="12" customFormat="true" ht="12.95" hidden="false" customHeight="true" outlineLevel="3" collapsed="false">
      <c r="A91" s="6" t="s">
        <v>1785</v>
      </c>
      <c r="B91" s="2" t="s">
        <v>1773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14"/>
    </row>
    <row r="92" s="12" customFormat="true" ht="12.95" hidden="false" customHeight="true" outlineLevel="3" collapsed="false">
      <c r="A92" s="6" t="s">
        <v>1786</v>
      </c>
      <c r="B92" s="2" t="s">
        <v>1773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14"/>
    </row>
    <row r="93" s="12" customFormat="true" ht="12.95" hidden="false" customHeight="true" outlineLevel="2" collapsed="false">
      <c r="A93" s="21" t="s">
        <v>1787</v>
      </c>
      <c r="B93" s="2" t="s">
        <v>1777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4"/>
    </row>
    <row r="94" s="12" customFormat="true" ht="12.95" hidden="false" customHeight="true" outlineLevel="3" collapsed="false">
      <c r="A94" s="21" t="s">
        <v>1788</v>
      </c>
      <c r="B94" s="2" t="s">
        <v>1777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14"/>
    </row>
    <row r="95" s="12" customFormat="true" ht="12.95" hidden="false" customHeight="true" outlineLevel="3" collapsed="false">
      <c r="A95" s="21" t="s">
        <v>1789</v>
      </c>
      <c r="B95" s="2" t="s">
        <v>1777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14"/>
    </row>
    <row r="96" s="12" customFormat="true" ht="12.95" hidden="false" customHeight="true" outlineLevel="2" collapsed="false">
      <c r="A96" s="21" t="s">
        <v>1790</v>
      </c>
      <c r="B96" s="2" t="s">
        <v>1781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4"/>
    </row>
    <row r="97" s="12" customFormat="true" ht="12.95" hidden="false" customHeight="true" outlineLevel="3" collapsed="false">
      <c r="A97" s="21" t="s">
        <v>1791</v>
      </c>
      <c r="B97" s="2" t="s">
        <v>1781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14"/>
    </row>
    <row r="98" s="12" customFormat="true" ht="12.95" hidden="false" customHeight="true" outlineLevel="3" collapsed="false">
      <c r="A98" s="21" t="s">
        <v>1792</v>
      </c>
      <c r="B98" s="2" t="s">
        <v>1781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14"/>
    </row>
    <row r="99" s="12" customFormat="true" ht="12.95" hidden="false" customHeight="true" outlineLevel="1" collapsed="false">
      <c r="A99" s="21" t="s">
        <v>1793</v>
      </c>
      <c r="B99" s="2" t="s">
        <v>1773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/>
    </row>
    <row r="100" s="12" customFormat="true" ht="12.95" hidden="false" customHeight="true" outlineLevel="2" collapsed="false">
      <c r="A100" s="21" t="s">
        <v>1794</v>
      </c>
      <c r="B100" s="2" t="s">
        <v>1777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/>
    </row>
    <row r="101" s="12" customFormat="true" ht="12.95" hidden="false" customHeight="true" outlineLevel="2" collapsed="false">
      <c r="A101" s="21" t="s">
        <v>1795</v>
      </c>
      <c r="B101" s="2" t="s">
        <v>1781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/>
    </row>
    <row r="102" s="12" customFormat="true" ht="12.95" hidden="false" customHeight="true" outlineLevel="1" collapsed="false">
      <c r="A102" s="21" t="s">
        <v>1796</v>
      </c>
      <c r="B102" s="2" t="s">
        <v>1773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4"/>
    </row>
    <row r="103" s="12" customFormat="true" ht="12.95" hidden="false" customHeight="true" outlineLevel="2" collapsed="false">
      <c r="A103" s="21" t="s">
        <v>1797</v>
      </c>
      <c r="B103" s="2" t="s">
        <v>1777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4"/>
    </row>
    <row r="104" s="12" customFormat="true" ht="12.95" hidden="false" customHeight="true" outlineLevel="2" collapsed="false">
      <c r="A104" s="21" t="s">
        <v>1798</v>
      </c>
      <c r="B104" s="2" t="s">
        <v>1781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4"/>
    </row>
    <row r="105" s="12" customFormat="true" ht="12.95" hidden="false" customHeight="true" outlineLevel="2" collapsed="false">
      <c r="A105" s="21"/>
      <c r="B105" s="2"/>
      <c r="C105" s="1"/>
      <c r="D105" s="1"/>
      <c r="E105" s="1"/>
      <c r="F105" s="2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4"/>
    </row>
    <row r="106" s="12" customFormat="true" ht="12.95" hidden="false" customHeight="true" outlineLevel="0" collapsed="false">
      <c r="A106" s="1" t="s">
        <v>132</v>
      </c>
      <c r="B106" s="1" t="s">
        <v>1690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4"/>
    </row>
    <row r="107" s="12" customFormat="true" ht="12.95" hidden="false" customHeight="true" outlineLevel="1" collapsed="false">
      <c r="A107" s="6" t="s">
        <v>1799</v>
      </c>
      <c r="B107" s="2" t="s">
        <v>1773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/>
    </row>
    <row r="108" s="12" customFormat="true" ht="12.95" hidden="false" customHeight="true" outlineLevel="2" collapsed="false">
      <c r="A108" s="6" t="s">
        <v>1800</v>
      </c>
      <c r="B108" s="2" t="s">
        <v>1777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/>
    </row>
    <row r="109" s="12" customFormat="true" ht="12.95" hidden="false" customHeight="true" outlineLevel="2" collapsed="false">
      <c r="A109" s="6" t="s">
        <v>1801</v>
      </c>
      <c r="B109" s="2" t="s">
        <v>1781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/>
    </row>
    <row r="110" customFormat="false" ht="12.95" hidden="false" customHeight="true" outlineLevel="1" collapsed="false">
      <c r="A110" s="6" t="s">
        <v>1802</v>
      </c>
      <c r="B110" s="2" t="s">
        <v>1773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6" t="s">
        <v>1803</v>
      </c>
      <c r="B111" s="2" t="s">
        <v>1777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6" t="s">
        <v>1804</v>
      </c>
      <c r="B112" s="2" t="s">
        <v>1781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6" t="s">
        <v>1805</v>
      </c>
      <c r="B113" s="2" t="s">
        <v>1773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6" t="s">
        <v>1806</v>
      </c>
      <c r="B114" s="2" t="s">
        <v>1777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6" t="s">
        <v>1807</v>
      </c>
      <c r="B115" s="2" t="s">
        <v>1781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6" t="s">
        <v>1808</v>
      </c>
      <c r="B116" s="2" t="s">
        <v>1773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6" t="s">
        <v>1809</v>
      </c>
      <c r="B117" s="2" t="s">
        <v>1777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6" t="s">
        <v>1810</v>
      </c>
      <c r="B118" s="2" t="s">
        <v>1781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21" t="s">
        <v>1811</v>
      </c>
      <c r="B119" s="2" t="s">
        <v>1773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21" t="s">
        <v>1812</v>
      </c>
      <c r="B120" s="2" t="s">
        <v>1777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21" t="s">
        <v>1813</v>
      </c>
      <c r="B121" s="2" t="s">
        <v>1781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22" customFormat="false" ht="12.95" hidden="false" customHeight="true" outlineLevel="2" collapsed="false">
      <c r="A122" s="21"/>
      <c r="C122" s="1"/>
      <c r="F122" s="2"/>
      <c r="G122" s="13"/>
    </row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39" activeCellId="0" sqref="F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46.81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68" min="24" style="14" width="11.53"/>
    <col collapsed="false" customWidth="false" hidden="false" outlineLevel="0" max="16384" min="16383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134</v>
      </c>
      <c r="B3" s="3" t="s">
        <v>1814</v>
      </c>
      <c r="X3" s="14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52</v>
      </c>
      <c r="B4" s="1" t="s">
        <v>1815</v>
      </c>
      <c r="C4" s="1" t="s">
        <v>463</v>
      </c>
    </row>
    <row r="5" customFormat="false" ht="12.95" hidden="false" customHeight="true" outlineLevel="1" collapsed="false">
      <c r="A5" s="1" t="s">
        <v>1816</v>
      </c>
      <c r="B5" s="1" t="s">
        <v>1817</v>
      </c>
      <c r="C5" s="1" t="s">
        <v>223</v>
      </c>
    </row>
    <row r="6" customFormat="false" ht="12.95" hidden="false" customHeight="true" outlineLevel="3" collapsed="false">
      <c r="A6" s="1" t="s">
        <v>1818</v>
      </c>
      <c r="B6" s="1" t="s">
        <v>1817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1819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1820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1821</v>
      </c>
      <c r="B7" s="1" t="s">
        <v>1817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1819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1820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</row>
    <row r="8" customFormat="false" ht="12.95" hidden="false" customHeight="true" outlineLevel="2" collapsed="false">
      <c r="A8" s="1" t="s">
        <v>1822</v>
      </c>
      <c r="B8" s="1" t="s">
        <v>1823</v>
      </c>
      <c r="C8" s="1" t="s">
        <v>223</v>
      </c>
    </row>
    <row r="9" customFormat="false" ht="12.95" hidden="false" customHeight="true" outlineLevel="3" collapsed="false">
      <c r="A9" s="1" t="s">
        <v>1824</v>
      </c>
      <c r="B9" s="1" t="s">
        <v>1823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1825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1826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1827</v>
      </c>
      <c r="B10" s="1" t="s">
        <v>1823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1825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1826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</row>
    <row r="11" customFormat="false" ht="12.95" hidden="false" customHeight="true" outlineLevel="2" collapsed="false">
      <c r="A11" s="1" t="s">
        <v>1828</v>
      </c>
      <c r="B11" s="1" t="s">
        <v>1829</v>
      </c>
      <c r="C11" s="1" t="s">
        <v>223</v>
      </c>
    </row>
    <row r="12" customFormat="false" ht="12.95" hidden="false" customHeight="true" outlineLevel="3" collapsed="false">
      <c r="A12" s="1" t="s">
        <v>1830</v>
      </c>
      <c r="B12" s="1" t="s">
        <v>1829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1831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1832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1833</v>
      </c>
      <c r="B13" s="1" t="s">
        <v>1829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1831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1832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</row>
    <row r="14" customFormat="false" ht="12.95" hidden="false" customHeight="true" outlineLevel="1" collapsed="false">
      <c r="A14" s="1" t="s">
        <v>1834</v>
      </c>
      <c r="B14" s="1" t="s">
        <v>1817</v>
      </c>
      <c r="C14" s="1" t="s">
        <v>711</v>
      </c>
      <c r="G14" s="13"/>
    </row>
    <row r="15" customFormat="false" ht="12.95" hidden="false" customHeight="true" outlineLevel="3" collapsed="false">
      <c r="A15" s="1" t="s">
        <v>1835</v>
      </c>
      <c r="B15" s="1" t="s">
        <v>1817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1819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1820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1836</v>
      </c>
      <c r="B16" s="1" t="s">
        <v>1817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1819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1820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customFormat="false" ht="12.95" hidden="false" customHeight="true" outlineLevel="2" collapsed="false">
      <c r="A17" s="1" t="s">
        <v>1837</v>
      </c>
      <c r="B17" s="1" t="s">
        <v>1823</v>
      </c>
      <c r="C17" s="1" t="s">
        <v>711</v>
      </c>
      <c r="G17" s="13"/>
    </row>
    <row r="18" customFormat="false" ht="12.95" hidden="false" customHeight="true" outlineLevel="3" collapsed="false">
      <c r="A18" s="1" t="s">
        <v>1838</v>
      </c>
      <c r="B18" s="1" t="s">
        <v>1823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1825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1826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1839</v>
      </c>
      <c r="B19" s="1" t="s">
        <v>1823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1825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1826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</row>
    <row r="20" customFormat="false" ht="12.95" hidden="false" customHeight="true" outlineLevel="2" collapsed="false">
      <c r="A20" s="1" t="s">
        <v>1840</v>
      </c>
      <c r="B20" s="1" t="s">
        <v>1829</v>
      </c>
      <c r="C20" s="1" t="s">
        <v>711</v>
      </c>
      <c r="G20" s="13"/>
    </row>
    <row r="21" customFormat="false" ht="12.95" hidden="false" customHeight="true" outlineLevel="3" collapsed="false">
      <c r="A21" s="1" t="s">
        <v>1841</v>
      </c>
      <c r="B21" s="1" t="s">
        <v>1829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1831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1832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1842</v>
      </c>
      <c r="B22" s="1" t="s">
        <v>1829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1831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1832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</row>
    <row r="23" customFormat="false" ht="12.95" hidden="false" customHeight="true" outlineLevel="1" collapsed="false">
      <c r="A23" s="1" t="s">
        <v>1843</v>
      </c>
      <c r="B23" s="1" t="s">
        <v>1817</v>
      </c>
      <c r="C23" s="1" t="s">
        <v>719</v>
      </c>
      <c r="G23" s="13"/>
    </row>
    <row r="24" customFormat="false" ht="12.95" hidden="false" customHeight="true" outlineLevel="3" collapsed="false">
      <c r="A24" s="1" t="s">
        <v>1844</v>
      </c>
      <c r="B24" s="1" t="s">
        <v>1817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1819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1820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1845</v>
      </c>
      <c r="B25" s="1" t="s">
        <v>1817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1819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1820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</row>
    <row r="26" customFormat="false" ht="12.95" hidden="false" customHeight="true" outlineLevel="2" collapsed="false">
      <c r="A26" s="1" t="s">
        <v>1846</v>
      </c>
      <c r="B26" s="1" t="s">
        <v>1823</v>
      </c>
      <c r="C26" s="1" t="s">
        <v>719</v>
      </c>
      <c r="G26" s="13"/>
    </row>
    <row r="27" customFormat="false" ht="12.95" hidden="false" customHeight="true" outlineLevel="3" collapsed="false">
      <c r="A27" s="1" t="s">
        <v>1847</v>
      </c>
      <c r="B27" s="1" t="s">
        <v>1823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1825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1826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1848</v>
      </c>
      <c r="B28" s="1" t="s">
        <v>1823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1825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1826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</row>
    <row r="29" customFormat="false" ht="12.95" hidden="false" customHeight="true" outlineLevel="2" collapsed="false">
      <c r="A29" s="1" t="s">
        <v>1849</v>
      </c>
      <c r="B29" s="1" t="s">
        <v>1829</v>
      </c>
      <c r="C29" s="1" t="s">
        <v>719</v>
      </c>
      <c r="G29" s="13"/>
    </row>
    <row r="30" customFormat="false" ht="12.95" hidden="false" customHeight="true" outlineLevel="3" collapsed="false">
      <c r="A30" s="1" t="s">
        <v>1850</v>
      </c>
      <c r="B30" s="1" t="s">
        <v>1829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1831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1832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1851</v>
      </c>
      <c r="B31" s="1" t="s">
        <v>1829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1831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1832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</row>
    <row r="32" customFormat="false" ht="12.95" hidden="false" customHeight="true" outlineLevel="1" collapsed="false">
      <c r="A32" s="1" t="s">
        <v>1852</v>
      </c>
      <c r="B32" s="1" t="s">
        <v>1817</v>
      </c>
      <c r="C32" s="1" t="s">
        <v>731</v>
      </c>
      <c r="G32" s="13"/>
    </row>
    <row r="33" customFormat="false" ht="12.95" hidden="false" customHeight="true" outlineLevel="3" collapsed="false">
      <c r="A33" s="1" t="s">
        <v>1853</v>
      </c>
      <c r="B33" s="1" t="s">
        <v>1817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1819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1820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1854</v>
      </c>
      <c r="B34" s="1" t="s">
        <v>1817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1819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1820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</row>
    <row r="35" customFormat="false" ht="12.95" hidden="false" customHeight="true" outlineLevel="2" collapsed="false">
      <c r="A35" s="1" t="s">
        <v>1855</v>
      </c>
      <c r="B35" s="1" t="s">
        <v>1823</v>
      </c>
      <c r="C35" s="1" t="s">
        <v>731</v>
      </c>
      <c r="G35" s="13"/>
    </row>
    <row r="36" customFormat="false" ht="12.95" hidden="false" customHeight="true" outlineLevel="3" collapsed="false">
      <c r="A36" s="1" t="s">
        <v>1856</v>
      </c>
      <c r="B36" s="1" t="s">
        <v>1823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1825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1826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1857</v>
      </c>
      <c r="B37" s="1" t="s">
        <v>1823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1825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1826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</row>
    <row r="38" customFormat="false" ht="12.95" hidden="false" customHeight="true" outlineLevel="2" collapsed="false">
      <c r="A38" s="1" t="s">
        <v>1858</v>
      </c>
      <c r="B38" s="1" t="s">
        <v>1829</v>
      </c>
      <c r="C38" s="1" t="s">
        <v>731</v>
      </c>
      <c r="G38" s="13"/>
    </row>
    <row r="39" customFormat="false" ht="12.95" hidden="false" customHeight="true" outlineLevel="3" collapsed="false">
      <c r="A39" s="1" t="s">
        <v>1859</v>
      </c>
      <c r="B39" s="1" t="s">
        <v>1829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1831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1832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1860</v>
      </c>
      <c r="B40" s="1" t="s">
        <v>1829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1831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1832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</row>
    <row r="41" customFormat="false" ht="12.95" hidden="false" customHeight="true" outlineLevel="3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54</v>
      </c>
      <c r="B42" s="1" t="s">
        <v>1815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2.95" hidden="false" customHeight="true" outlineLevel="1" collapsed="false">
      <c r="A43" s="1" t="s">
        <v>1861</v>
      </c>
      <c r="B43" s="1" t="s">
        <v>1817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2.95" hidden="false" customHeight="true" outlineLevel="3" collapsed="false">
      <c r="A44" s="1" t="s">
        <v>1862</v>
      </c>
      <c r="B44" s="1" t="s">
        <v>1817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1863</v>
      </c>
      <c r="B45" s="1" t="s">
        <v>1817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</row>
    <row r="46" customFormat="false" ht="12.95" hidden="false" customHeight="true" outlineLevel="2" collapsed="false">
      <c r="A46" s="1" t="s">
        <v>1864</v>
      </c>
      <c r="B46" s="1" t="s">
        <v>1823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1865</v>
      </c>
      <c r="B47" s="1" t="s">
        <v>1823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1866</v>
      </c>
      <c r="B48" s="1" t="s">
        <v>1823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</row>
    <row r="49" customFormat="false" ht="12.95" hidden="false" customHeight="true" outlineLevel="2" collapsed="false">
      <c r="A49" s="1" t="s">
        <v>1867</v>
      </c>
      <c r="B49" s="1" t="s">
        <v>1829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1868</v>
      </c>
      <c r="B50" s="1" t="s">
        <v>1829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1869</v>
      </c>
      <c r="B51" s="1" t="s">
        <v>1829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</row>
    <row r="52" customFormat="false" ht="12.95" hidden="false" customHeight="true" outlineLevel="1" collapsed="false">
      <c r="A52" s="1" t="s">
        <v>1870</v>
      </c>
      <c r="B52" s="1" t="s">
        <v>1817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2.95" hidden="false" customHeight="true" outlineLevel="3" collapsed="false">
      <c r="A53" s="1" t="s">
        <v>1871</v>
      </c>
      <c r="B53" s="1" t="s">
        <v>1817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1872</v>
      </c>
      <c r="B54" s="1" t="s">
        <v>1817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</row>
    <row r="55" customFormat="false" ht="12.95" hidden="false" customHeight="true" outlineLevel="2" collapsed="false">
      <c r="A55" s="1" t="s">
        <v>1873</v>
      </c>
      <c r="B55" s="1" t="s">
        <v>1823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1874</v>
      </c>
      <c r="B56" s="1" t="s">
        <v>1823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1875</v>
      </c>
      <c r="B57" s="1" t="s">
        <v>1823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</row>
    <row r="58" customFormat="false" ht="12.95" hidden="false" customHeight="true" outlineLevel="2" collapsed="false">
      <c r="A58" s="1" t="s">
        <v>1876</v>
      </c>
      <c r="B58" s="1" t="s">
        <v>1829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1877</v>
      </c>
      <c r="B59" s="1" t="s">
        <v>1829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1878</v>
      </c>
      <c r="B60" s="1" t="s">
        <v>1829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</row>
    <row r="61" customFormat="false" ht="12.95" hidden="false" customHeight="true" outlineLevel="1" collapsed="false">
      <c r="A61" s="1" t="s">
        <v>1879</v>
      </c>
      <c r="B61" s="1" t="s">
        <v>1817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2.95" hidden="false" customHeight="true" outlineLevel="3" collapsed="false">
      <c r="A62" s="1" t="s">
        <v>1880</v>
      </c>
      <c r="B62" s="1" t="s">
        <v>1817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1881</v>
      </c>
      <c r="B63" s="1" t="s">
        <v>1817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</row>
    <row r="64" customFormat="false" ht="12.95" hidden="false" customHeight="true" outlineLevel="2" collapsed="false">
      <c r="A64" s="1" t="s">
        <v>1882</v>
      </c>
      <c r="B64" s="1" t="s">
        <v>1823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1883</v>
      </c>
      <c r="B65" s="1" t="s">
        <v>1823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1884</v>
      </c>
      <c r="B66" s="1" t="s">
        <v>1823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</row>
    <row r="67" customFormat="false" ht="12.95" hidden="false" customHeight="true" outlineLevel="2" collapsed="false">
      <c r="A67" s="1" t="s">
        <v>1885</v>
      </c>
      <c r="B67" s="1" t="s">
        <v>1829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1886</v>
      </c>
      <c r="B68" s="1" t="s">
        <v>1829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1887</v>
      </c>
      <c r="B69" s="1" t="s">
        <v>1829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</row>
    <row r="70" customFormat="false" ht="12.95" hidden="false" customHeight="true" outlineLevel="1" collapsed="false">
      <c r="A70" s="1" t="s">
        <v>1888</v>
      </c>
      <c r="B70" s="1" t="s">
        <v>1817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2.95" hidden="false" customHeight="true" outlineLevel="3" collapsed="false">
      <c r="A71" s="1" t="s">
        <v>1889</v>
      </c>
      <c r="B71" s="1" t="s">
        <v>1817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1890</v>
      </c>
      <c r="B72" s="1" t="s">
        <v>1817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</row>
    <row r="73" customFormat="false" ht="12.95" hidden="false" customHeight="true" outlineLevel="2" collapsed="false">
      <c r="A73" s="1" t="s">
        <v>1891</v>
      </c>
      <c r="B73" s="1" t="s">
        <v>1823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1892</v>
      </c>
      <c r="B74" s="1" t="s">
        <v>1823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1893</v>
      </c>
      <c r="B75" s="1" t="s">
        <v>1823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</row>
    <row r="76" customFormat="false" ht="12.95" hidden="false" customHeight="true" outlineLevel="2" collapsed="false">
      <c r="A76" s="1" t="s">
        <v>1894</v>
      </c>
      <c r="B76" s="1" t="s">
        <v>1829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1895</v>
      </c>
      <c r="B77" s="1" t="s">
        <v>1829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1896</v>
      </c>
      <c r="B78" s="1" t="s">
        <v>1829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</row>
    <row r="79" customFormat="false" ht="12.95" hidden="false" customHeight="true" outlineLevel="3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56</v>
      </c>
      <c r="B80" s="1" t="s">
        <v>1815</v>
      </c>
      <c r="C80" s="1" t="s">
        <v>622</v>
      </c>
      <c r="F80" s="2"/>
      <c r="G80" s="18"/>
      <c r="J80" s="2"/>
      <c r="K80" s="2"/>
    </row>
    <row r="81" s="12" customFormat="true" ht="12.95" hidden="false" customHeight="true" outlineLevel="1" collapsed="false">
      <c r="A81" s="6" t="s">
        <v>1897</v>
      </c>
      <c r="B81" s="6" t="s">
        <v>1898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4"/>
    </row>
    <row r="82" s="12" customFormat="true" ht="12.95" hidden="false" customHeight="true" outlineLevel="3" collapsed="false">
      <c r="A82" s="6" t="s">
        <v>1899</v>
      </c>
      <c r="B82" s="6" t="s">
        <v>1898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14"/>
    </row>
    <row r="83" s="12" customFormat="true" ht="12.95" hidden="false" customHeight="true" outlineLevel="3" collapsed="false">
      <c r="A83" s="6" t="s">
        <v>1900</v>
      </c>
      <c r="B83" s="6" t="s">
        <v>1898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14"/>
    </row>
    <row r="84" s="12" customFormat="true" ht="12.95" hidden="false" customHeight="true" outlineLevel="2" collapsed="false">
      <c r="A84" s="6" t="s">
        <v>1901</v>
      </c>
      <c r="B84" s="6" t="s">
        <v>1902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4"/>
    </row>
    <row r="85" s="12" customFormat="true" ht="12.95" hidden="false" customHeight="true" outlineLevel="3" collapsed="false">
      <c r="A85" s="6" t="s">
        <v>1903</v>
      </c>
      <c r="B85" s="6" t="s">
        <v>1902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14"/>
    </row>
    <row r="86" s="12" customFormat="true" ht="12.95" hidden="false" customHeight="true" outlineLevel="3" collapsed="false">
      <c r="A86" s="6" t="s">
        <v>1904</v>
      </c>
      <c r="B86" s="6" t="s">
        <v>1902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14"/>
    </row>
    <row r="87" s="12" customFormat="true" ht="12.95" hidden="false" customHeight="true" outlineLevel="2" collapsed="false">
      <c r="A87" s="6" t="s">
        <v>1905</v>
      </c>
      <c r="B87" s="6" t="s">
        <v>1906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="12" customFormat="true" ht="12.95" hidden="false" customHeight="true" outlineLevel="3" collapsed="false">
      <c r="A88" s="6" t="s">
        <v>1907</v>
      </c>
      <c r="B88" s="6" t="s">
        <v>1906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14"/>
    </row>
    <row r="89" s="12" customFormat="true" ht="12.95" hidden="false" customHeight="true" outlineLevel="3" collapsed="false">
      <c r="A89" s="6" t="s">
        <v>1908</v>
      </c>
      <c r="B89" s="6" t="s">
        <v>1906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14"/>
    </row>
    <row r="90" s="12" customFormat="true" ht="12.95" hidden="false" customHeight="true" outlineLevel="1" collapsed="false">
      <c r="A90" s="6" t="s">
        <v>1909</v>
      </c>
      <c r="B90" s="6" t="s">
        <v>1906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4"/>
    </row>
    <row r="91" s="12" customFormat="true" ht="12.95" hidden="false" customHeight="true" outlineLevel="3" collapsed="false">
      <c r="A91" s="6" t="s">
        <v>1910</v>
      </c>
      <c r="B91" s="2" t="s">
        <v>1898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14"/>
    </row>
    <row r="92" s="12" customFormat="true" ht="12.95" hidden="false" customHeight="true" outlineLevel="3" collapsed="false">
      <c r="A92" s="6" t="s">
        <v>1911</v>
      </c>
      <c r="B92" s="2" t="s">
        <v>1898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14"/>
    </row>
    <row r="93" s="12" customFormat="true" ht="12.95" hidden="false" customHeight="true" outlineLevel="2" collapsed="false">
      <c r="A93" s="21" t="s">
        <v>1912</v>
      </c>
      <c r="B93" s="2" t="s">
        <v>1902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4"/>
    </row>
    <row r="94" s="12" customFormat="true" ht="12.95" hidden="false" customHeight="true" outlineLevel="3" collapsed="false">
      <c r="A94" s="21" t="s">
        <v>1913</v>
      </c>
      <c r="B94" s="2" t="s">
        <v>1902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14"/>
    </row>
    <row r="95" s="12" customFormat="true" ht="12.95" hidden="false" customHeight="true" outlineLevel="3" collapsed="false">
      <c r="A95" s="21" t="s">
        <v>1914</v>
      </c>
      <c r="B95" s="2" t="s">
        <v>1902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14"/>
    </row>
    <row r="96" s="12" customFormat="true" ht="12.95" hidden="false" customHeight="true" outlineLevel="2" collapsed="false">
      <c r="A96" s="21" t="s">
        <v>1915</v>
      </c>
      <c r="B96" s="2" t="s">
        <v>1906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4"/>
    </row>
    <row r="97" s="12" customFormat="true" ht="12.95" hidden="false" customHeight="true" outlineLevel="3" collapsed="false">
      <c r="A97" s="21" t="s">
        <v>1916</v>
      </c>
      <c r="B97" s="2" t="s">
        <v>1906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14"/>
    </row>
    <row r="98" s="12" customFormat="true" ht="12.95" hidden="false" customHeight="true" outlineLevel="3" collapsed="false">
      <c r="A98" s="21" t="s">
        <v>1917</v>
      </c>
      <c r="B98" s="2" t="s">
        <v>1906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14"/>
    </row>
    <row r="99" s="12" customFormat="true" ht="12.95" hidden="false" customHeight="true" outlineLevel="1" collapsed="false">
      <c r="A99" s="21" t="s">
        <v>1918</v>
      </c>
      <c r="B99" s="2" t="s">
        <v>1898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/>
    </row>
    <row r="100" s="12" customFormat="true" ht="12.95" hidden="false" customHeight="true" outlineLevel="2" collapsed="false">
      <c r="A100" s="21" t="s">
        <v>1919</v>
      </c>
      <c r="B100" s="2" t="s">
        <v>1902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/>
    </row>
    <row r="101" s="12" customFormat="true" ht="12.95" hidden="false" customHeight="true" outlineLevel="2" collapsed="false">
      <c r="A101" s="21" t="s">
        <v>1920</v>
      </c>
      <c r="B101" s="2" t="s">
        <v>1906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/>
    </row>
    <row r="102" s="12" customFormat="true" ht="12.95" hidden="false" customHeight="true" outlineLevel="1" collapsed="false">
      <c r="A102" s="21" t="s">
        <v>1921</v>
      </c>
      <c r="B102" s="2" t="s">
        <v>1898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4"/>
    </row>
    <row r="103" s="12" customFormat="true" ht="12.95" hidden="false" customHeight="true" outlineLevel="2" collapsed="false">
      <c r="A103" s="21" t="s">
        <v>1922</v>
      </c>
      <c r="B103" s="2" t="s">
        <v>1902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4"/>
    </row>
    <row r="104" s="12" customFormat="true" ht="12.95" hidden="false" customHeight="true" outlineLevel="2" collapsed="false">
      <c r="A104" s="21" t="s">
        <v>1923</v>
      </c>
      <c r="B104" s="2" t="s">
        <v>1906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4"/>
    </row>
    <row r="105" s="12" customFormat="true" ht="12.95" hidden="false" customHeight="true" outlineLevel="2" collapsed="false">
      <c r="A105" s="21"/>
      <c r="B105" s="2"/>
      <c r="C105" s="1"/>
      <c r="D105" s="1"/>
      <c r="E105" s="1"/>
      <c r="F105" s="2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4"/>
    </row>
    <row r="106" s="12" customFormat="true" ht="12.95" hidden="false" customHeight="true" outlineLevel="0" collapsed="false">
      <c r="A106" s="1" t="s">
        <v>59</v>
      </c>
      <c r="B106" s="1" t="s">
        <v>1815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4"/>
    </row>
    <row r="107" s="12" customFormat="true" ht="12.95" hidden="false" customHeight="true" outlineLevel="1" collapsed="false">
      <c r="A107" s="6" t="s">
        <v>1924</v>
      </c>
      <c r="B107" s="2" t="s">
        <v>1898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/>
    </row>
    <row r="108" s="12" customFormat="true" ht="12.95" hidden="false" customHeight="true" outlineLevel="2" collapsed="false">
      <c r="A108" s="6" t="s">
        <v>1925</v>
      </c>
      <c r="B108" s="2" t="s">
        <v>1902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/>
    </row>
    <row r="109" s="12" customFormat="true" ht="12.95" hidden="false" customHeight="true" outlineLevel="2" collapsed="false">
      <c r="A109" s="6" t="s">
        <v>1926</v>
      </c>
      <c r="B109" s="2" t="s">
        <v>1906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/>
    </row>
    <row r="110" customFormat="false" ht="12.95" hidden="false" customHeight="true" outlineLevel="1" collapsed="false">
      <c r="A110" s="6" t="s">
        <v>1927</v>
      </c>
      <c r="B110" s="2" t="s">
        <v>1898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6" t="s">
        <v>1928</v>
      </c>
      <c r="B111" s="2" t="s">
        <v>1902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6" t="s">
        <v>1929</v>
      </c>
      <c r="B112" s="2" t="s">
        <v>1906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6" t="s">
        <v>1930</v>
      </c>
      <c r="B113" s="2" t="s">
        <v>1898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6" t="s">
        <v>1931</v>
      </c>
      <c r="B114" s="2" t="s">
        <v>1902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6" t="s">
        <v>1932</v>
      </c>
      <c r="B115" s="2" t="s">
        <v>1906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6" t="s">
        <v>1933</v>
      </c>
      <c r="B116" s="2" t="s">
        <v>1898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6" t="s">
        <v>1934</v>
      </c>
      <c r="B117" s="2" t="s">
        <v>1902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6" t="s">
        <v>1935</v>
      </c>
      <c r="B118" s="2" t="s">
        <v>1906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21" t="s">
        <v>1936</v>
      </c>
      <c r="B119" s="2" t="s">
        <v>1898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21" t="s">
        <v>1937</v>
      </c>
      <c r="B120" s="2" t="s">
        <v>1902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21" t="s">
        <v>1938</v>
      </c>
      <c r="B121" s="2" t="s">
        <v>1906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S48" activeCellId="0" sqref="S48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52.07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55.32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142</v>
      </c>
      <c r="B3" s="3" t="s">
        <v>140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145</v>
      </c>
      <c r="B4" s="1" t="s">
        <v>1939</v>
      </c>
      <c r="C4" s="1" t="s">
        <v>463</v>
      </c>
    </row>
    <row r="5" customFormat="false" ht="12.95" hidden="false" customHeight="true" outlineLevel="1" collapsed="false">
      <c r="A5" s="1" t="s">
        <v>1940</v>
      </c>
      <c r="B5" s="1" t="s">
        <v>1941</v>
      </c>
      <c r="C5" s="1" t="s">
        <v>223</v>
      </c>
    </row>
    <row r="6" customFormat="false" ht="12.95" hidden="false" customHeight="true" outlineLevel="3" collapsed="false">
      <c r="A6" s="1" t="s">
        <v>1942</v>
      </c>
      <c r="B6" s="1" t="s">
        <v>1941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1943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1281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1944</v>
      </c>
      <c r="B7" s="1" t="s">
        <v>1941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1945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1281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1946</v>
      </c>
      <c r="B8" s="1" t="s">
        <v>1947</v>
      </c>
      <c r="C8" s="1" t="s">
        <v>223</v>
      </c>
    </row>
    <row r="9" customFormat="false" ht="12.95" hidden="false" customHeight="true" outlineLevel="3" collapsed="false">
      <c r="A9" s="1" t="s">
        <v>1948</v>
      </c>
      <c r="B9" s="1" t="s">
        <v>1947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1949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1297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1950</v>
      </c>
      <c r="B10" s="1" t="s">
        <v>1947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1949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1297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1951</v>
      </c>
      <c r="B11" s="1" t="s">
        <v>1952</v>
      </c>
      <c r="C11" s="1" t="s">
        <v>223</v>
      </c>
    </row>
    <row r="12" customFormat="false" ht="12.95" hidden="false" customHeight="true" outlineLevel="3" collapsed="false">
      <c r="A12" s="1" t="s">
        <v>1953</v>
      </c>
      <c r="B12" s="1" t="s">
        <v>1952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1954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1311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1955</v>
      </c>
      <c r="B13" s="1" t="s">
        <v>1952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1954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1311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1956</v>
      </c>
      <c r="B14" s="1" t="s">
        <v>1941</v>
      </c>
      <c r="C14" s="1" t="s">
        <v>711</v>
      </c>
      <c r="G14" s="13"/>
    </row>
    <row r="15" customFormat="false" ht="12.95" hidden="false" customHeight="true" outlineLevel="3" collapsed="false">
      <c r="A15" s="1" t="s">
        <v>1957</v>
      </c>
      <c r="B15" s="1" t="s">
        <v>1941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1943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1281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1958</v>
      </c>
      <c r="B16" s="1" t="s">
        <v>1941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1945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1281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1959</v>
      </c>
      <c r="B17" s="1" t="s">
        <v>1947</v>
      </c>
      <c r="C17" s="1" t="s">
        <v>711</v>
      </c>
    </row>
    <row r="18" customFormat="false" ht="12.95" hidden="false" customHeight="true" outlineLevel="3" collapsed="false">
      <c r="A18" s="1" t="s">
        <v>1960</v>
      </c>
      <c r="B18" s="1" t="s">
        <v>1947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1949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1297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1961</v>
      </c>
      <c r="B19" s="1" t="s">
        <v>1947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1949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1297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1962</v>
      </c>
      <c r="B20" s="1" t="s">
        <v>1952</v>
      </c>
      <c r="C20" s="1" t="s">
        <v>711</v>
      </c>
    </row>
    <row r="21" customFormat="false" ht="12.95" hidden="false" customHeight="true" outlineLevel="3" collapsed="false">
      <c r="A21" s="1" t="s">
        <v>1963</v>
      </c>
      <c r="B21" s="1" t="s">
        <v>1952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1954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1311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1964</v>
      </c>
      <c r="B22" s="1" t="s">
        <v>1952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1954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1311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1965</v>
      </c>
      <c r="B23" s="1" t="s">
        <v>1941</v>
      </c>
      <c r="C23" s="1" t="s">
        <v>719</v>
      </c>
      <c r="G23" s="13"/>
    </row>
    <row r="24" customFormat="false" ht="12.95" hidden="false" customHeight="true" outlineLevel="3" collapsed="false">
      <c r="A24" s="1" t="s">
        <v>1966</v>
      </c>
      <c r="B24" s="1" t="s">
        <v>1941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1943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1281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1967</v>
      </c>
      <c r="B25" s="1" t="s">
        <v>1941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1945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1281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1968</v>
      </c>
      <c r="B26" s="1" t="s">
        <v>1947</v>
      </c>
      <c r="C26" s="1" t="s">
        <v>719</v>
      </c>
    </row>
    <row r="27" customFormat="false" ht="12.95" hidden="false" customHeight="true" outlineLevel="3" collapsed="false">
      <c r="A27" s="1" t="s">
        <v>1969</v>
      </c>
      <c r="B27" s="1" t="s">
        <v>1947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1949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1297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1970</v>
      </c>
      <c r="B28" s="1" t="s">
        <v>1947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1949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1297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1971</v>
      </c>
      <c r="B29" s="1" t="s">
        <v>1952</v>
      </c>
      <c r="C29" s="1" t="s">
        <v>719</v>
      </c>
    </row>
    <row r="30" customFormat="false" ht="12.95" hidden="false" customHeight="true" outlineLevel="3" collapsed="false">
      <c r="A30" s="1" t="s">
        <v>1972</v>
      </c>
      <c r="B30" s="1" t="s">
        <v>1952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1954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1311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1973</v>
      </c>
      <c r="B31" s="1" t="s">
        <v>1952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1954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1311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1974</v>
      </c>
      <c r="B32" s="1" t="s">
        <v>1941</v>
      </c>
      <c r="C32" s="1" t="s">
        <v>731</v>
      </c>
      <c r="G32" s="13"/>
    </row>
    <row r="33" customFormat="false" ht="12.95" hidden="false" customHeight="true" outlineLevel="3" collapsed="false">
      <c r="A33" s="1" t="s">
        <v>1975</v>
      </c>
      <c r="B33" s="1" t="s">
        <v>1941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1943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1281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1976</v>
      </c>
      <c r="B34" s="1" t="s">
        <v>1941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1945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1281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2" collapsed="false">
      <c r="A35" s="1" t="s">
        <v>1977</v>
      </c>
      <c r="B35" s="1" t="s">
        <v>1947</v>
      </c>
      <c r="C35" s="1" t="s">
        <v>731</v>
      </c>
    </row>
    <row r="36" customFormat="false" ht="12.95" hidden="false" customHeight="true" outlineLevel="3" collapsed="false">
      <c r="A36" s="1" t="s">
        <v>1978</v>
      </c>
      <c r="B36" s="1" t="s">
        <v>1947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1949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1297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1979</v>
      </c>
      <c r="B37" s="1" t="s">
        <v>1947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1949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1297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2" collapsed="false">
      <c r="A38" s="1" t="s">
        <v>1980</v>
      </c>
      <c r="B38" s="1" t="s">
        <v>1952</v>
      </c>
      <c r="C38" s="1" t="s">
        <v>731</v>
      </c>
    </row>
    <row r="39" customFormat="false" ht="12.95" hidden="false" customHeight="true" outlineLevel="3" collapsed="false">
      <c r="A39" s="1" t="s">
        <v>1981</v>
      </c>
      <c r="B39" s="1" t="s">
        <v>1952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1954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1311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1982</v>
      </c>
      <c r="B40" s="1" t="s">
        <v>1952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1954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1311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148</v>
      </c>
      <c r="B42" s="1" t="s">
        <v>1939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1" collapsed="false">
      <c r="A43" s="1" t="s">
        <v>1983</v>
      </c>
      <c r="B43" s="1" t="s">
        <v>1941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1984</v>
      </c>
      <c r="B44" s="1" t="s">
        <v>1941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1943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1985</v>
      </c>
      <c r="B45" s="1" t="s">
        <v>1941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1945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1986</v>
      </c>
      <c r="B46" s="1" t="s">
        <v>1947</v>
      </c>
      <c r="C46" s="1" t="s">
        <v>312</v>
      </c>
      <c r="D46" s="13"/>
      <c r="E46" s="13"/>
      <c r="F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1987</v>
      </c>
      <c r="B47" s="1" t="s">
        <v>1947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1949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1988</v>
      </c>
      <c r="B48" s="1" t="s">
        <v>1947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1949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1989</v>
      </c>
      <c r="B49" s="1" t="s">
        <v>1952</v>
      </c>
      <c r="C49" s="1" t="s">
        <v>312</v>
      </c>
      <c r="D49" s="13"/>
      <c r="E49" s="13"/>
      <c r="F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1990</v>
      </c>
      <c r="B50" s="1" t="s">
        <v>1952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1954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1991</v>
      </c>
      <c r="B51" s="1" t="s">
        <v>1952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1954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1992</v>
      </c>
      <c r="B52" s="1" t="s">
        <v>1941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1993</v>
      </c>
      <c r="B53" s="1" t="s">
        <v>1941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1943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1994</v>
      </c>
      <c r="B54" s="1" t="s">
        <v>1941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1945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1995</v>
      </c>
      <c r="B55" s="1" t="s">
        <v>1947</v>
      </c>
      <c r="C55" s="1" t="s">
        <v>744</v>
      </c>
      <c r="D55" s="13"/>
      <c r="E55" s="13"/>
      <c r="F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1996</v>
      </c>
      <c r="B56" s="1" t="s">
        <v>1947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1949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1997</v>
      </c>
      <c r="B57" s="1" t="s">
        <v>1947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1949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1998</v>
      </c>
      <c r="B58" s="1" t="s">
        <v>1952</v>
      </c>
      <c r="C58" s="1" t="s">
        <v>744</v>
      </c>
      <c r="D58" s="13"/>
      <c r="E58" s="13"/>
      <c r="F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1999</v>
      </c>
      <c r="B59" s="1" t="s">
        <v>1952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1954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2000</v>
      </c>
      <c r="B60" s="1" t="s">
        <v>1952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1954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2" collapsed="false">
      <c r="A61" s="1" t="s">
        <v>2001</v>
      </c>
      <c r="B61" s="1" t="s">
        <v>1941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2002</v>
      </c>
      <c r="B62" s="1" t="s">
        <v>1941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1943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2003</v>
      </c>
      <c r="B63" s="1" t="s">
        <v>1941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1945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2004</v>
      </c>
      <c r="B64" s="1" t="s">
        <v>1947</v>
      </c>
      <c r="C64" s="1" t="s">
        <v>754</v>
      </c>
      <c r="D64" s="13"/>
      <c r="E64" s="13"/>
      <c r="F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2005</v>
      </c>
      <c r="B65" s="1" t="s">
        <v>1947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1949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2006</v>
      </c>
      <c r="B66" s="1" t="s">
        <v>1947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1949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2007</v>
      </c>
      <c r="B67" s="1" t="s">
        <v>1952</v>
      </c>
      <c r="C67" s="1" t="s">
        <v>754</v>
      </c>
      <c r="D67" s="13"/>
      <c r="E67" s="13"/>
      <c r="F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2008</v>
      </c>
      <c r="B68" s="1" t="s">
        <v>1952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1954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2009</v>
      </c>
      <c r="B69" s="1" t="s">
        <v>1952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1954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2010</v>
      </c>
      <c r="B70" s="1" t="s">
        <v>1941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2011</v>
      </c>
      <c r="B71" s="1" t="s">
        <v>1941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1943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2012</v>
      </c>
      <c r="B72" s="1" t="s">
        <v>1941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1945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2013</v>
      </c>
      <c r="B73" s="1" t="s">
        <v>1947</v>
      </c>
      <c r="C73" s="1" t="s">
        <v>759</v>
      </c>
      <c r="D73" s="13"/>
      <c r="E73" s="13"/>
      <c r="F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2014</v>
      </c>
      <c r="B74" s="1" t="s">
        <v>1947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1949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2015</v>
      </c>
      <c r="B75" s="1" t="s">
        <v>1947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1949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2016</v>
      </c>
      <c r="B76" s="1" t="s">
        <v>1952</v>
      </c>
      <c r="C76" s="1" t="s">
        <v>759</v>
      </c>
      <c r="D76" s="13"/>
      <c r="E76" s="13"/>
      <c r="F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2017</v>
      </c>
      <c r="B77" s="1" t="s">
        <v>1952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1954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2018</v>
      </c>
      <c r="B78" s="1" t="s">
        <v>1952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1954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customFormat="false" ht="12.95" hidden="false" customHeight="true" outlineLevel="0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151</v>
      </c>
      <c r="B80" s="1" t="s">
        <v>1939</v>
      </c>
      <c r="C80" s="1" t="s">
        <v>622</v>
      </c>
      <c r="G80" s="13"/>
    </row>
    <row r="81" customFormat="false" ht="12.95" hidden="false" customHeight="true" outlineLevel="1" collapsed="false">
      <c r="A81" s="1" t="s">
        <v>2019</v>
      </c>
      <c r="B81" s="1" t="s">
        <v>2020</v>
      </c>
      <c r="C81" s="1" t="s">
        <v>374</v>
      </c>
    </row>
    <row r="82" customFormat="false" ht="12.95" hidden="false" customHeight="true" outlineLevel="3" collapsed="false">
      <c r="A82" s="1" t="s">
        <v>2021</v>
      </c>
      <c r="B82" s="1" t="s">
        <v>2020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1943</v>
      </c>
      <c r="H82" s="1" t="s">
        <v>380</v>
      </c>
      <c r="I82" s="1" t="s">
        <v>235</v>
      </c>
      <c r="J82" s="1" t="s">
        <v>695</v>
      </c>
      <c r="K82" s="1" t="s">
        <v>39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2022</v>
      </c>
      <c r="B83" s="1" t="s">
        <v>2020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1945</v>
      </c>
      <c r="H83" s="1" t="s">
        <v>407</v>
      </c>
      <c r="I83" s="1" t="s">
        <v>235</v>
      </c>
      <c r="J83" s="1" t="s">
        <v>695</v>
      </c>
      <c r="K83" s="1" t="s">
        <v>39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2023</v>
      </c>
      <c r="B84" s="1" t="s">
        <v>2024</v>
      </c>
      <c r="C84" s="1" t="s">
        <v>374</v>
      </c>
    </row>
    <row r="85" customFormat="false" ht="12.95" hidden="false" customHeight="true" outlineLevel="3" collapsed="false">
      <c r="A85" s="1" t="s">
        <v>2025</v>
      </c>
      <c r="B85" s="1" t="s">
        <v>2024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1949</v>
      </c>
      <c r="H85" s="1" t="s">
        <v>380</v>
      </c>
      <c r="I85" s="1" t="s">
        <v>235</v>
      </c>
      <c r="J85" s="1" t="s">
        <v>706</v>
      </c>
      <c r="K85" s="1" t="s">
        <v>39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2026</v>
      </c>
      <c r="B86" s="1" t="s">
        <v>2024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1949</v>
      </c>
      <c r="H86" s="1" t="s">
        <v>407</v>
      </c>
      <c r="I86" s="1" t="s">
        <v>235</v>
      </c>
      <c r="J86" s="1" t="s">
        <v>706</v>
      </c>
      <c r="K86" s="1" t="s">
        <v>39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2027</v>
      </c>
      <c r="B87" s="1" t="s">
        <v>2028</v>
      </c>
      <c r="C87" s="1" t="s">
        <v>374</v>
      </c>
    </row>
    <row r="88" customFormat="false" ht="12.95" hidden="false" customHeight="true" outlineLevel="3" collapsed="false">
      <c r="A88" s="1" t="s">
        <v>2029</v>
      </c>
      <c r="B88" s="1" t="s">
        <v>2028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1954</v>
      </c>
      <c r="H88" s="1" t="s">
        <v>380</v>
      </c>
      <c r="I88" s="1" t="s">
        <v>235</v>
      </c>
      <c r="J88" s="1" t="s">
        <v>710</v>
      </c>
      <c r="K88" s="1" t="s">
        <v>39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2030</v>
      </c>
      <c r="B89" s="1" t="s">
        <v>2028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1954</v>
      </c>
      <c r="H89" s="1" t="s">
        <v>407</v>
      </c>
      <c r="I89" s="1" t="s">
        <v>235</v>
      </c>
      <c r="J89" s="1" t="s">
        <v>710</v>
      </c>
      <c r="K89" s="1" t="s">
        <v>39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2031</v>
      </c>
      <c r="B90" s="1" t="s">
        <v>2028</v>
      </c>
      <c r="C90" s="1" t="s">
        <v>765</v>
      </c>
    </row>
    <row r="91" customFormat="false" ht="12.95" hidden="false" customHeight="true" outlineLevel="3" collapsed="false">
      <c r="A91" s="1" t="s">
        <v>2032</v>
      </c>
      <c r="B91" s="1" t="s">
        <v>2020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1943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2033</v>
      </c>
      <c r="B92" s="1" t="s">
        <v>2020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1945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2034</v>
      </c>
      <c r="B93" s="1" t="s">
        <v>2024</v>
      </c>
      <c r="C93" s="1" t="s">
        <v>765</v>
      </c>
    </row>
    <row r="94" customFormat="false" ht="12.95" hidden="false" customHeight="true" outlineLevel="3" collapsed="false">
      <c r="A94" s="1" t="s">
        <v>2035</v>
      </c>
      <c r="B94" s="1" t="s">
        <v>2024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1949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2036</v>
      </c>
      <c r="B95" s="1" t="s">
        <v>2024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1949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2037</v>
      </c>
      <c r="B96" s="1" t="s">
        <v>2028</v>
      </c>
      <c r="C96" s="1" t="s">
        <v>765</v>
      </c>
    </row>
    <row r="97" customFormat="false" ht="12.95" hidden="false" customHeight="true" outlineLevel="3" collapsed="false">
      <c r="A97" s="1" t="s">
        <v>2038</v>
      </c>
      <c r="B97" s="1" t="s">
        <v>2028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1954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2039</v>
      </c>
      <c r="B98" s="1" t="s">
        <v>2028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1954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2040</v>
      </c>
      <c r="B99" s="1" t="s">
        <v>2020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1943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2041</v>
      </c>
      <c r="B100" s="1" t="s">
        <v>2024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1949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2042</v>
      </c>
      <c r="B101" s="1" t="s">
        <v>2028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1954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2043</v>
      </c>
      <c r="B102" s="1" t="s">
        <v>2020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1943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2044</v>
      </c>
      <c r="B103" s="1" t="s">
        <v>2024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1949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2045</v>
      </c>
      <c r="B104" s="1" t="s">
        <v>2028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2046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3"/>
    </row>
    <row r="106" customFormat="false" ht="12.95" hidden="false" customHeight="true" outlineLevel="0" collapsed="false">
      <c r="A106" s="1" t="s">
        <v>154</v>
      </c>
      <c r="B106" s="1" t="s">
        <v>1939</v>
      </c>
      <c r="C106" s="1" t="s">
        <v>676</v>
      </c>
      <c r="G106" s="13"/>
    </row>
    <row r="107" customFormat="false" ht="12.95" hidden="false" customHeight="true" outlineLevel="1" collapsed="false">
      <c r="A107" s="1" t="s">
        <v>2047</v>
      </c>
      <c r="B107" s="1" t="s">
        <v>2020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</row>
    <row r="108" customFormat="false" ht="12.95" hidden="false" customHeight="true" outlineLevel="2" collapsed="false">
      <c r="A108" s="1" t="s">
        <v>2048</v>
      </c>
      <c r="B108" s="1" t="s">
        <v>2024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2049</v>
      </c>
      <c r="B109" s="1" t="s">
        <v>2028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2050</v>
      </c>
      <c r="B110" s="1" t="s">
        <v>2020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2051</v>
      </c>
      <c r="B111" s="1" t="s">
        <v>2024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2052</v>
      </c>
      <c r="B112" s="1" t="s">
        <v>2028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2053</v>
      </c>
      <c r="B113" s="1" t="s">
        <v>2020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1" t="s">
        <v>2054</v>
      </c>
      <c r="B114" s="1" t="s">
        <v>2024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2055</v>
      </c>
      <c r="B115" s="1" t="s">
        <v>2028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2056</v>
      </c>
      <c r="B116" s="1" t="s">
        <v>2020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2057</v>
      </c>
      <c r="B117" s="1" t="s">
        <v>2024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2058</v>
      </c>
      <c r="B118" s="1" t="s">
        <v>2028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2059</v>
      </c>
      <c r="B119" s="1" t="s">
        <v>2020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2060</v>
      </c>
      <c r="B120" s="1" t="s">
        <v>2024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2061</v>
      </c>
      <c r="B121" s="1" t="s">
        <v>2028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S48" activeCellId="0" sqref="S48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47.97"/>
    <col collapsed="false" customWidth="true" hidden="false" outlineLevel="0" max="3" min="3" style="2" width="49.1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46.13"/>
    <col collapsed="false" customWidth="true" hidden="false" outlineLevel="0" max="7" min="7" style="1" width="43.7"/>
    <col collapsed="false" customWidth="true" hidden="false" outlineLevel="0" max="8" min="8" style="1" width="62.24"/>
    <col collapsed="false" customWidth="true" hidden="false" outlineLevel="1" max="9" min="9" style="1" width="16.14"/>
    <col collapsed="false" customWidth="true" hidden="false" outlineLevel="0" max="10" min="10" style="1" width="32.29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219</v>
      </c>
      <c r="B3" s="3" t="s">
        <v>156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159</v>
      </c>
      <c r="B4" s="1" t="s">
        <v>220</v>
      </c>
      <c r="C4" s="1" t="s">
        <v>463</v>
      </c>
    </row>
    <row r="5" customFormat="false" ht="12.95" hidden="false" customHeight="true" outlineLevel="1" collapsed="false">
      <c r="A5" s="1" t="s">
        <v>2062</v>
      </c>
      <c r="B5" s="1" t="s">
        <v>2063</v>
      </c>
      <c r="C5" s="1" t="s">
        <v>223</v>
      </c>
    </row>
    <row r="6" customFormat="false" ht="12.95" hidden="false" customHeight="true" outlineLevel="3" collapsed="false">
      <c r="A6" s="1" t="s">
        <v>2064</v>
      </c>
      <c r="B6" s="1" t="s">
        <v>2063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2065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2066</v>
      </c>
      <c r="K6" s="2" t="s">
        <v>237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2067</v>
      </c>
      <c r="B7" s="1" t="s">
        <v>2063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2068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2066</v>
      </c>
      <c r="K7" s="2" t="s">
        <v>237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2069</v>
      </c>
      <c r="B8" s="1" t="s">
        <v>2070</v>
      </c>
      <c r="C8" s="1" t="s">
        <v>223</v>
      </c>
    </row>
    <row r="9" customFormat="false" ht="12.95" hidden="false" customHeight="true" outlineLevel="3" collapsed="false">
      <c r="A9" s="1" t="s">
        <v>2071</v>
      </c>
      <c r="B9" s="1" t="s">
        <v>2070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2072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2073</v>
      </c>
      <c r="K9" s="2" t="s">
        <v>237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2074</v>
      </c>
      <c r="B10" s="1" t="s">
        <v>2070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2072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2073</v>
      </c>
      <c r="K10" s="2" t="s">
        <v>237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221</v>
      </c>
      <c r="B11" s="1" t="s">
        <v>222</v>
      </c>
      <c r="C11" s="1" t="s">
        <v>223</v>
      </c>
    </row>
    <row r="12" customFormat="false" ht="12.95" hidden="false" customHeight="true" outlineLevel="3" collapsed="false">
      <c r="A12" s="1" t="s">
        <v>224</v>
      </c>
      <c r="B12" s="1" t="s">
        <v>222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230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236</v>
      </c>
      <c r="K12" s="2" t="s">
        <v>237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278</v>
      </c>
      <c r="B13" s="1" t="s">
        <v>222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230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236</v>
      </c>
      <c r="K13" s="2" t="s">
        <v>237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2075</v>
      </c>
      <c r="B14" s="1" t="s">
        <v>2063</v>
      </c>
      <c r="C14" s="1" t="s">
        <v>711</v>
      </c>
      <c r="G14" s="13"/>
    </row>
    <row r="15" customFormat="false" ht="12.95" hidden="false" customHeight="true" outlineLevel="3" collapsed="false">
      <c r="A15" s="1" t="s">
        <v>2076</v>
      </c>
      <c r="B15" s="1" t="s">
        <v>2063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2065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2066</v>
      </c>
      <c r="K15" s="2" t="s">
        <v>237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2077</v>
      </c>
      <c r="B16" s="1" t="s">
        <v>2063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2068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2066</v>
      </c>
      <c r="K16" s="2" t="s">
        <v>237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2078</v>
      </c>
      <c r="B17" s="1" t="s">
        <v>2070</v>
      </c>
      <c r="C17" s="1" t="s">
        <v>711</v>
      </c>
    </row>
    <row r="18" customFormat="false" ht="12.95" hidden="false" customHeight="true" outlineLevel="3" collapsed="false">
      <c r="A18" s="1" t="s">
        <v>2079</v>
      </c>
      <c r="B18" s="1" t="s">
        <v>2070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2072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2073</v>
      </c>
      <c r="K18" s="2" t="s">
        <v>237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2080</v>
      </c>
      <c r="B19" s="1" t="s">
        <v>2070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2072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2073</v>
      </c>
      <c r="K19" s="2" t="s">
        <v>237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2081</v>
      </c>
      <c r="B20" s="1" t="s">
        <v>222</v>
      </c>
      <c r="C20" s="1" t="s">
        <v>711</v>
      </c>
    </row>
    <row r="21" customFormat="false" ht="12.95" hidden="false" customHeight="true" outlineLevel="3" collapsed="false">
      <c r="A21" s="1" t="s">
        <v>2082</v>
      </c>
      <c r="B21" s="1" t="s">
        <v>222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230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236</v>
      </c>
      <c r="K21" s="2" t="s">
        <v>237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2083</v>
      </c>
      <c r="B22" s="1" t="s">
        <v>222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230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236</v>
      </c>
      <c r="K22" s="2" t="s">
        <v>237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2084</v>
      </c>
      <c r="B23" s="1" t="s">
        <v>2063</v>
      </c>
      <c r="C23" s="1" t="s">
        <v>719</v>
      </c>
      <c r="G23" s="13"/>
    </row>
    <row r="24" customFormat="false" ht="12.95" hidden="false" customHeight="true" outlineLevel="3" collapsed="false">
      <c r="A24" s="1" t="s">
        <v>2085</v>
      </c>
      <c r="B24" s="1" t="s">
        <v>2063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2065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2066</v>
      </c>
      <c r="K24" s="2" t="s">
        <v>237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2086</v>
      </c>
      <c r="B25" s="1" t="s">
        <v>2063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2068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2066</v>
      </c>
      <c r="K25" s="2" t="s">
        <v>237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2087</v>
      </c>
      <c r="B26" s="1" t="s">
        <v>2070</v>
      </c>
      <c r="C26" s="1" t="s">
        <v>719</v>
      </c>
    </row>
    <row r="27" customFormat="false" ht="12.95" hidden="false" customHeight="true" outlineLevel="3" collapsed="false">
      <c r="A27" s="1" t="s">
        <v>2088</v>
      </c>
      <c r="B27" s="1" t="s">
        <v>2070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2072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2073</v>
      </c>
      <c r="K27" s="2" t="s">
        <v>237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2089</v>
      </c>
      <c r="B28" s="1" t="s">
        <v>2070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2072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2073</v>
      </c>
      <c r="K28" s="2" t="s">
        <v>237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2090</v>
      </c>
      <c r="B29" s="1" t="s">
        <v>222</v>
      </c>
      <c r="C29" s="1" t="s">
        <v>719</v>
      </c>
    </row>
    <row r="30" customFormat="false" ht="12.95" hidden="false" customHeight="true" outlineLevel="3" collapsed="false">
      <c r="A30" s="1" t="s">
        <v>2091</v>
      </c>
      <c r="B30" s="1" t="s">
        <v>222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230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236</v>
      </c>
      <c r="K30" s="2" t="s">
        <v>237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2092</v>
      </c>
      <c r="B31" s="1" t="s">
        <v>222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230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236</v>
      </c>
      <c r="K31" s="2" t="s">
        <v>237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2093</v>
      </c>
      <c r="B32" s="1" t="s">
        <v>2063</v>
      </c>
      <c r="C32" s="1" t="s">
        <v>731</v>
      </c>
      <c r="G32" s="13"/>
    </row>
    <row r="33" customFormat="false" ht="12.95" hidden="false" customHeight="true" outlineLevel="2" collapsed="false">
      <c r="A33" s="1" t="s">
        <v>2094</v>
      </c>
      <c r="B33" s="1" t="s">
        <v>2063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2065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2066</v>
      </c>
      <c r="K33" s="2" t="s">
        <v>237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2" collapsed="false">
      <c r="A34" s="1" t="s">
        <v>2095</v>
      </c>
      <c r="B34" s="1" t="s">
        <v>2063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2068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2066</v>
      </c>
      <c r="K34" s="2" t="s">
        <v>237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1" collapsed="false">
      <c r="A35" s="1" t="s">
        <v>2096</v>
      </c>
      <c r="B35" s="1" t="s">
        <v>2070</v>
      </c>
      <c r="C35" s="1" t="s">
        <v>731</v>
      </c>
    </row>
    <row r="36" customFormat="false" ht="12.95" hidden="false" customHeight="true" outlineLevel="2" collapsed="false">
      <c r="A36" s="1" t="s">
        <v>2097</v>
      </c>
      <c r="B36" s="1" t="s">
        <v>2070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2072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2073</v>
      </c>
      <c r="K36" s="2" t="s">
        <v>237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2" collapsed="false">
      <c r="A37" s="1" t="s">
        <v>2098</v>
      </c>
      <c r="B37" s="1" t="s">
        <v>2070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2072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2073</v>
      </c>
      <c r="K37" s="2" t="s">
        <v>237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1" collapsed="false">
      <c r="A38" s="1" t="s">
        <v>2099</v>
      </c>
      <c r="B38" s="1" t="s">
        <v>222</v>
      </c>
      <c r="C38" s="1" t="s">
        <v>731</v>
      </c>
    </row>
    <row r="39" customFormat="false" ht="12.95" hidden="false" customHeight="true" outlineLevel="2" collapsed="false">
      <c r="A39" s="1" t="s">
        <v>2100</v>
      </c>
      <c r="B39" s="1" t="s">
        <v>222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230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236</v>
      </c>
      <c r="K39" s="2" t="s">
        <v>237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2" collapsed="false">
      <c r="A40" s="1" t="s">
        <v>2101</v>
      </c>
      <c r="B40" s="1" t="s">
        <v>222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230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236</v>
      </c>
      <c r="K40" s="2" t="s">
        <v>237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s="12" customFormat="true" ht="12.95" hidden="false" customHeight="true" outlineLevel="0" collapsed="false"/>
    <row r="42" customFormat="false" ht="12.95" hidden="false" customHeight="true" outlineLevel="0" collapsed="false">
      <c r="A42" s="1" t="s">
        <v>161</v>
      </c>
      <c r="B42" s="1" t="s">
        <v>220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2" collapsed="false">
      <c r="A43" s="1" t="s">
        <v>2102</v>
      </c>
      <c r="B43" s="1" t="s">
        <v>2063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2103</v>
      </c>
      <c r="B44" s="1" t="s">
        <v>2063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2065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2066</v>
      </c>
      <c r="K44" s="2" t="s">
        <v>237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2104</v>
      </c>
      <c r="B45" s="1" t="s">
        <v>2063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2068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2066</v>
      </c>
      <c r="K45" s="2" t="s">
        <v>237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2105</v>
      </c>
      <c r="B46" s="1" t="s">
        <v>2070</v>
      </c>
      <c r="C46" s="1" t="s">
        <v>312</v>
      </c>
      <c r="D46" s="13"/>
      <c r="E46" s="13"/>
      <c r="F46" s="13"/>
      <c r="Q46" s="13"/>
      <c r="R46" s="13"/>
    </row>
    <row r="47" customFormat="false" ht="12.95" hidden="false" customHeight="true" outlineLevel="3" collapsed="false">
      <c r="A47" s="1" t="s">
        <v>2106</v>
      </c>
      <c r="B47" s="1" t="s">
        <v>2070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2072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2073</v>
      </c>
      <c r="K47" s="2" t="s">
        <v>237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2107</v>
      </c>
      <c r="B48" s="1" t="s">
        <v>2070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2072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2073</v>
      </c>
      <c r="K48" s="2" t="s">
        <v>237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311</v>
      </c>
      <c r="B49" s="1" t="s">
        <v>222</v>
      </c>
      <c r="C49" s="1" t="s">
        <v>312</v>
      </c>
      <c r="D49" s="13"/>
      <c r="E49" s="13"/>
      <c r="F49" s="13"/>
      <c r="Q49" s="13"/>
      <c r="R49" s="13"/>
    </row>
    <row r="50" customFormat="false" ht="12.95" hidden="false" customHeight="true" outlineLevel="3" collapsed="false">
      <c r="A50" s="1" t="s">
        <v>313</v>
      </c>
      <c r="B50" s="1" t="s">
        <v>222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230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236</v>
      </c>
      <c r="K50" s="2" t="s">
        <v>237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342</v>
      </c>
      <c r="B51" s="1" t="s">
        <v>222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230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236</v>
      </c>
      <c r="K51" s="2" t="s">
        <v>237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2108</v>
      </c>
      <c r="B52" s="1" t="s">
        <v>2063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2109</v>
      </c>
      <c r="B53" s="1" t="s">
        <v>2063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2065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2066</v>
      </c>
      <c r="K53" s="2" t="s">
        <v>237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2110</v>
      </c>
      <c r="B54" s="1" t="s">
        <v>2063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2068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2066</v>
      </c>
      <c r="K54" s="2" t="s">
        <v>237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2111</v>
      </c>
      <c r="B55" s="1" t="s">
        <v>2070</v>
      </c>
      <c r="C55" s="1" t="s">
        <v>744</v>
      </c>
      <c r="D55" s="13"/>
      <c r="E55" s="13"/>
      <c r="F55" s="13"/>
      <c r="Q55" s="13"/>
      <c r="R55" s="13"/>
    </row>
    <row r="56" customFormat="false" ht="12.95" hidden="false" customHeight="true" outlineLevel="3" collapsed="false">
      <c r="A56" s="1" t="s">
        <v>2112</v>
      </c>
      <c r="B56" s="1" t="s">
        <v>2070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2072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2073</v>
      </c>
      <c r="K56" s="2" t="s">
        <v>237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2113</v>
      </c>
      <c r="B57" s="1" t="s">
        <v>2070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2072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2073</v>
      </c>
      <c r="K57" s="2" t="s">
        <v>237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2114</v>
      </c>
      <c r="B58" s="1" t="s">
        <v>222</v>
      </c>
      <c r="C58" s="1" t="s">
        <v>744</v>
      </c>
      <c r="D58" s="13"/>
      <c r="E58" s="13"/>
      <c r="F58" s="13"/>
      <c r="Q58" s="13"/>
      <c r="R58" s="13"/>
    </row>
    <row r="59" customFormat="false" ht="12.95" hidden="false" customHeight="true" outlineLevel="3" collapsed="false">
      <c r="A59" s="1" t="s">
        <v>2115</v>
      </c>
      <c r="B59" s="1" t="s">
        <v>222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230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236</v>
      </c>
      <c r="K59" s="2" t="s">
        <v>237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2116</v>
      </c>
      <c r="B60" s="1" t="s">
        <v>222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230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236</v>
      </c>
      <c r="K60" s="2" t="s">
        <v>237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1" collapsed="false">
      <c r="A61" s="1" t="s">
        <v>2117</v>
      </c>
      <c r="B61" s="1" t="s">
        <v>2063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2118</v>
      </c>
      <c r="B62" s="1" t="s">
        <v>2063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2065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2066</v>
      </c>
      <c r="K62" s="2" t="s">
        <v>237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2119</v>
      </c>
      <c r="B63" s="1" t="s">
        <v>2063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2068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2066</v>
      </c>
      <c r="K63" s="2" t="s">
        <v>237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2120</v>
      </c>
      <c r="B64" s="1" t="s">
        <v>2070</v>
      </c>
      <c r="C64" s="1" t="s">
        <v>754</v>
      </c>
      <c r="D64" s="13"/>
      <c r="E64" s="13"/>
      <c r="F64" s="13"/>
      <c r="Q64" s="13"/>
      <c r="R64" s="13"/>
    </row>
    <row r="65" customFormat="false" ht="12.95" hidden="false" customHeight="true" outlineLevel="3" collapsed="false">
      <c r="A65" s="1" t="s">
        <v>2121</v>
      </c>
      <c r="B65" s="1" t="s">
        <v>2070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2072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2073</v>
      </c>
      <c r="K65" s="2" t="s">
        <v>237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2122</v>
      </c>
      <c r="B66" s="1" t="s">
        <v>2070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2072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2073</v>
      </c>
      <c r="K66" s="2" t="s">
        <v>237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2123</v>
      </c>
      <c r="B67" s="1" t="s">
        <v>222</v>
      </c>
      <c r="C67" s="1" t="s">
        <v>754</v>
      </c>
      <c r="D67" s="13"/>
      <c r="E67" s="13"/>
      <c r="F67" s="13"/>
      <c r="Q67" s="13"/>
      <c r="R67" s="13"/>
    </row>
    <row r="68" customFormat="false" ht="12.95" hidden="false" customHeight="true" outlineLevel="3" collapsed="false">
      <c r="A68" s="1" t="s">
        <v>2124</v>
      </c>
      <c r="B68" s="1" t="s">
        <v>222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230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236</v>
      </c>
      <c r="K68" s="2" t="s">
        <v>237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2125</v>
      </c>
      <c r="B69" s="1" t="s">
        <v>222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230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236</v>
      </c>
      <c r="K69" s="2" t="s">
        <v>237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2126</v>
      </c>
      <c r="B70" s="1" t="s">
        <v>2063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2127</v>
      </c>
      <c r="B71" s="1" t="s">
        <v>2063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2065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2066</v>
      </c>
      <c r="K71" s="2" t="s">
        <v>237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2128</v>
      </c>
      <c r="B72" s="1" t="s">
        <v>2063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2068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2066</v>
      </c>
      <c r="K72" s="2" t="s">
        <v>237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2129</v>
      </c>
      <c r="B73" s="1" t="s">
        <v>2070</v>
      </c>
      <c r="C73" s="1" t="s">
        <v>759</v>
      </c>
      <c r="D73" s="13"/>
      <c r="E73" s="13"/>
      <c r="F73" s="13"/>
      <c r="Q73" s="13"/>
      <c r="R73" s="13"/>
    </row>
    <row r="74" customFormat="false" ht="12.95" hidden="false" customHeight="true" outlineLevel="3" collapsed="false">
      <c r="A74" s="1" t="s">
        <v>2130</v>
      </c>
      <c r="B74" s="1" t="s">
        <v>2070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2072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2073</v>
      </c>
      <c r="K74" s="2" t="s">
        <v>237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2131</v>
      </c>
      <c r="B75" s="1" t="s">
        <v>2070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2072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2073</v>
      </c>
      <c r="K75" s="2" t="s">
        <v>237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2132</v>
      </c>
      <c r="B76" s="1" t="s">
        <v>222</v>
      </c>
      <c r="C76" s="1" t="s">
        <v>759</v>
      </c>
      <c r="D76" s="13"/>
      <c r="E76" s="13"/>
      <c r="F76" s="13"/>
      <c r="Q76" s="13"/>
      <c r="R76" s="13"/>
    </row>
    <row r="77" customFormat="false" ht="12.95" hidden="false" customHeight="true" outlineLevel="3" collapsed="false">
      <c r="A77" s="1" t="s">
        <v>2133</v>
      </c>
      <c r="B77" s="1" t="s">
        <v>222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230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236</v>
      </c>
      <c r="K77" s="2" t="s">
        <v>237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2134</v>
      </c>
      <c r="B78" s="1" t="s">
        <v>222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230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236</v>
      </c>
      <c r="K78" s="2" t="s">
        <v>237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s="12" customFormat="true" ht="12.95" hidden="false" customHeight="true" outlineLevel="0" collapsed="false"/>
    <row r="80" customFormat="false" ht="12.95" hidden="false" customHeight="true" outlineLevel="0" collapsed="false">
      <c r="A80" s="1" t="s">
        <v>163</v>
      </c>
      <c r="B80" s="1" t="s">
        <v>220</v>
      </c>
      <c r="C80" s="1" t="s">
        <v>622</v>
      </c>
      <c r="G80" s="13"/>
    </row>
    <row r="81" customFormat="false" ht="12.95" hidden="false" customHeight="true" outlineLevel="1" collapsed="false">
      <c r="A81" s="1" t="s">
        <v>2135</v>
      </c>
      <c r="B81" s="1" t="s">
        <v>435</v>
      </c>
      <c r="C81" s="1" t="s">
        <v>374</v>
      </c>
    </row>
    <row r="82" customFormat="false" ht="12.95" hidden="false" customHeight="true" outlineLevel="3" collapsed="false">
      <c r="A82" s="1" t="s">
        <v>2136</v>
      </c>
      <c r="B82" s="1" t="s">
        <v>435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2065</v>
      </c>
      <c r="H82" s="1" t="s">
        <v>380</v>
      </c>
      <c r="I82" s="1" t="s">
        <v>235</v>
      </c>
      <c r="J82" s="2" t="s">
        <v>2066</v>
      </c>
      <c r="K82" s="2" t="s">
        <v>237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2137</v>
      </c>
      <c r="B83" s="1" t="s">
        <v>435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2068</v>
      </c>
      <c r="H83" s="1" t="s">
        <v>407</v>
      </c>
      <c r="I83" s="1" t="s">
        <v>235</v>
      </c>
      <c r="J83" s="2" t="s">
        <v>2066</v>
      </c>
      <c r="K83" s="2" t="s">
        <v>237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2138</v>
      </c>
      <c r="B84" s="1" t="s">
        <v>2139</v>
      </c>
      <c r="C84" s="1" t="s">
        <v>374</v>
      </c>
    </row>
    <row r="85" customFormat="false" ht="12.95" hidden="false" customHeight="true" outlineLevel="3" collapsed="false">
      <c r="A85" s="1" t="s">
        <v>2140</v>
      </c>
      <c r="B85" s="1" t="s">
        <v>2139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2072</v>
      </c>
      <c r="H85" s="1" t="s">
        <v>380</v>
      </c>
      <c r="I85" s="1" t="s">
        <v>235</v>
      </c>
      <c r="J85" s="2" t="s">
        <v>2073</v>
      </c>
      <c r="K85" s="2" t="s">
        <v>237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2141</v>
      </c>
      <c r="B86" s="1" t="s">
        <v>2139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2072</v>
      </c>
      <c r="H86" s="1" t="s">
        <v>407</v>
      </c>
      <c r="I86" s="1" t="s">
        <v>235</v>
      </c>
      <c r="J86" s="2" t="s">
        <v>2073</v>
      </c>
      <c r="K86" s="2" t="s">
        <v>237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372</v>
      </c>
      <c r="B87" s="1" t="s">
        <v>373</v>
      </c>
      <c r="C87" s="1" t="s">
        <v>374</v>
      </c>
    </row>
    <row r="88" customFormat="false" ht="12.95" hidden="false" customHeight="true" outlineLevel="3" collapsed="false">
      <c r="A88" s="1" t="s">
        <v>375</v>
      </c>
      <c r="B88" s="1" t="s">
        <v>373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230</v>
      </c>
      <c r="H88" s="1" t="s">
        <v>380</v>
      </c>
      <c r="I88" s="1" t="s">
        <v>235</v>
      </c>
      <c r="J88" s="2" t="s">
        <v>236</v>
      </c>
      <c r="K88" s="2" t="s">
        <v>237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403</v>
      </c>
      <c r="B89" s="1" t="s">
        <v>373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230</v>
      </c>
      <c r="H89" s="1" t="s">
        <v>407</v>
      </c>
      <c r="I89" s="1" t="s">
        <v>235</v>
      </c>
      <c r="J89" s="2" t="s">
        <v>236</v>
      </c>
      <c r="K89" s="2" t="s">
        <v>237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2142</v>
      </c>
      <c r="B90" s="1" t="s">
        <v>373</v>
      </c>
      <c r="C90" s="1" t="s">
        <v>765</v>
      </c>
    </row>
    <row r="91" customFormat="false" ht="12.95" hidden="false" customHeight="true" outlineLevel="3" collapsed="false">
      <c r="A91" s="1" t="s">
        <v>2143</v>
      </c>
      <c r="B91" s="1" t="s">
        <v>435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2065</v>
      </c>
      <c r="H91" s="1" t="s">
        <v>767</v>
      </c>
      <c r="I91" s="1" t="s">
        <v>235</v>
      </c>
      <c r="J91" s="2" t="s">
        <v>2066</v>
      </c>
      <c r="K91" s="2" t="s">
        <v>237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2144</v>
      </c>
      <c r="B92" s="1" t="s">
        <v>435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2068</v>
      </c>
      <c r="H92" s="1" t="s">
        <v>769</v>
      </c>
      <c r="I92" s="1" t="s">
        <v>235</v>
      </c>
      <c r="J92" s="2" t="s">
        <v>2066</v>
      </c>
      <c r="K92" s="2" t="s">
        <v>237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2145</v>
      </c>
      <c r="B93" s="1" t="s">
        <v>2139</v>
      </c>
      <c r="C93" s="1" t="s">
        <v>765</v>
      </c>
    </row>
    <row r="94" customFormat="false" ht="12.95" hidden="false" customHeight="true" outlineLevel="3" collapsed="false">
      <c r="A94" s="1" t="s">
        <v>2146</v>
      </c>
      <c r="B94" s="1" t="s">
        <v>2139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2072</v>
      </c>
      <c r="H94" s="1" t="s">
        <v>767</v>
      </c>
      <c r="I94" s="1" t="s">
        <v>235</v>
      </c>
      <c r="J94" s="2" t="s">
        <v>2073</v>
      </c>
      <c r="K94" s="2" t="s">
        <v>237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2147</v>
      </c>
      <c r="B95" s="1" t="s">
        <v>2139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2072</v>
      </c>
      <c r="H95" s="1" t="s">
        <v>769</v>
      </c>
      <c r="I95" s="1" t="s">
        <v>235</v>
      </c>
      <c r="J95" s="2" t="s">
        <v>2073</v>
      </c>
      <c r="K95" s="2" t="s">
        <v>237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2148</v>
      </c>
      <c r="B96" s="1" t="s">
        <v>373</v>
      </c>
      <c r="C96" s="1" t="s">
        <v>765</v>
      </c>
    </row>
    <row r="97" customFormat="false" ht="12.95" hidden="false" customHeight="true" outlineLevel="3" collapsed="false">
      <c r="A97" s="1" t="s">
        <v>2149</v>
      </c>
      <c r="B97" s="1" t="s">
        <v>373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230</v>
      </c>
      <c r="H97" s="1" t="s">
        <v>767</v>
      </c>
      <c r="I97" s="1" t="s">
        <v>235</v>
      </c>
      <c r="J97" s="2" t="s">
        <v>236</v>
      </c>
      <c r="K97" s="2" t="s">
        <v>237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2150</v>
      </c>
      <c r="B98" s="1" t="s">
        <v>373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230</v>
      </c>
      <c r="H98" s="1" t="s">
        <v>769</v>
      </c>
      <c r="I98" s="1" t="s">
        <v>235</v>
      </c>
      <c r="J98" s="2" t="s">
        <v>236</v>
      </c>
      <c r="K98" s="2" t="s">
        <v>237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2151</v>
      </c>
      <c r="B99" s="1" t="s">
        <v>435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2065</v>
      </c>
      <c r="H99" s="1" t="s">
        <v>665</v>
      </c>
      <c r="I99" s="1" t="s">
        <v>235</v>
      </c>
      <c r="J99" s="2" t="s">
        <v>2066</v>
      </c>
      <c r="K99" s="2" t="s">
        <v>237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2152</v>
      </c>
      <c r="B100" s="1" t="s">
        <v>2139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2072</v>
      </c>
      <c r="H100" s="1" t="s">
        <v>665</v>
      </c>
      <c r="I100" s="1" t="s">
        <v>235</v>
      </c>
      <c r="J100" s="2" t="s">
        <v>2073</v>
      </c>
      <c r="K100" s="2" t="s">
        <v>237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2153</v>
      </c>
      <c r="B101" s="1" t="s">
        <v>373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230</v>
      </c>
      <c r="H101" s="1" t="s">
        <v>665</v>
      </c>
      <c r="I101" s="1" t="s">
        <v>235</v>
      </c>
      <c r="J101" s="2" t="s">
        <v>236</v>
      </c>
      <c r="K101" s="2" t="s">
        <v>237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2154</v>
      </c>
      <c r="B102" s="1" t="s">
        <v>435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2065</v>
      </c>
      <c r="H102" s="1" t="s">
        <v>672</v>
      </c>
      <c r="I102" s="1" t="s">
        <v>235</v>
      </c>
      <c r="J102" s="2" t="s">
        <v>2066</v>
      </c>
      <c r="K102" s="2" t="s">
        <v>237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2155</v>
      </c>
      <c r="B103" s="1" t="s">
        <v>2139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2072</v>
      </c>
      <c r="H103" s="1" t="s">
        <v>672</v>
      </c>
      <c r="I103" s="1" t="s">
        <v>235</v>
      </c>
      <c r="J103" s="2" t="s">
        <v>2073</v>
      </c>
      <c r="K103" s="2" t="s">
        <v>237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2156</v>
      </c>
      <c r="B104" s="1" t="s">
        <v>373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230</v>
      </c>
      <c r="H104" s="1" t="s">
        <v>672</v>
      </c>
      <c r="I104" s="1" t="s">
        <v>235</v>
      </c>
      <c r="J104" s="2" t="s">
        <v>236</v>
      </c>
      <c r="K104" s="2" t="s">
        <v>237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3"/>
    </row>
    <row r="106" customFormat="false" ht="12.95" hidden="false" customHeight="true" outlineLevel="0" collapsed="false">
      <c r="A106" s="1" t="s">
        <v>165</v>
      </c>
      <c r="B106" s="1" t="s">
        <v>220</v>
      </c>
      <c r="C106" s="1" t="s">
        <v>676</v>
      </c>
      <c r="G106" s="13"/>
    </row>
    <row r="107" customFormat="false" ht="12.95" hidden="false" customHeight="true" outlineLevel="1" collapsed="false">
      <c r="A107" s="1" t="s">
        <v>434</v>
      </c>
      <c r="B107" s="1" t="s">
        <v>435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8" t="s">
        <v>2065</v>
      </c>
      <c r="H107" s="1" t="s">
        <v>439</v>
      </c>
      <c r="I107" s="1" t="s">
        <v>440</v>
      </c>
      <c r="J107" s="2" t="s">
        <v>2066</v>
      </c>
      <c r="K107" s="2" t="s">
        <v>237</v>
      </c>
      <c r="L107" s="1" t="s">
        <v>437</v>
      </c>
    </row>
    <row r="108" customFormat="false" ht="12.95" hidden="false" customHeight="true" outlineLevel="2" collapsed="false">
      <c r="A108" s="1" t="s">
        <v>2157</v>
      </c>
      <c r="B108" s="1" t="s">
        <v>2139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8" t="s">
        <v>2072</v>
      </c>
      <c r="H108" s="1" t="s">
        <v>439</v>
      </c>
      <c r="I108" s="1" t="s">
        <v>440</v>
      </c>
      <c r="J108" s="2" t="s">
        <v>2073</v>
      </c>
      <c r="K108" s="2" t="s">
        <v>237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436</v>
      </c>
      <c r="B109" s="1" t="s">
        <v>373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8" t="s">
        <v>230</v>
      </c>
      <c r="H109" s="1" t="s">
        <v>439</v>
      </c>
      <c r="I109" s="1" t="s">
        <v>440</v>
      </c>
      <c r="J109" s="2" t="s">
        <v>236</v>
      </c>
      <c r="K109" s="2" t="s">
        <v>237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445</v>
      </c>
      <c r="B110" s="1" t="s">
        <v>435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8" t="s">
        <v>2065</v>
      </c>
      <c r="H110" s="1" t="s">
        <v>449</v>
      </c>
      <c r="I110" s="1" t="s">
        <v>440</v>
      </c>
      <c r="J110" s="2" t="s">
        <v>2066</v>
      </c>
      <c r="K110" s="2" t="s">
        <v>237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2158</v>
      </c>
      <c r="B111" s="1" t="s">
        <v>2139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8" t="s">
        <v>2072</v>
      </c>
      <c r="H111" s="1" t="s">
        <v>449</v>
      </c>
      <c r="I111" s="1" t="s">
        <v>440</v>
      </c>
      <c r="J111" s="2" t="s">
        <v>2073</v>
      </c>
      <c r="K111" s="2" t="s">
        <v>237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446</v>
      </c>
      <c r="B112" s="1" t="s">
        <v>373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8" t="s">
        <v>230</v>
      </c>
      <c r="H112" s="1" t="s">
        <v>449</v>
      </c>
      <c r="I112" s="1" t="s">
        <v>440</v>
      </c>
      <c r="J112" s="2" t="s">
        <v>236</v>
      </c>
      <c r="K112" s="2" t="s">
        <v>237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2159</v>
      </c>
      <c r="B113" s="1" t="s">
        <v>435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8" t="s">
        <v>2065</v>
      </c>
      <c r="H113" s="1" t="s">
        <v>681</v>
      </c>
      <c r="I113" s="1" t="s">
        <v>440</v>
      </c>
      <c r="J113" s="2" t="s">
        <v>2066</v>
      </c>
      <c r="K113" s="2" t="s">
        <v>237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1" t="s">
        <v>2160</v>
      </c>
      <c r="B114" s="1" t="s">
        <v>2139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8" t="s">
        <v>2072</v>
      </c>
      <c r="H114" s="1" t="s">
        <v>681</v>
      </c>
      <c r="I114" s="1" t="s">
        <v>440</v>
      </c>
      <c r="J114" s="2" t="s">
        <v>2073</v>
      </c>
      <c r="K114" s="2" t="s">
        <v>237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2161</v>
      </c>
      <c r="B115" s="1" t="s">
        <v>373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8" t="s">
        <v>230</v>
      </c>
      <c r="H115" s="1" t="s">
        <v>681</v>
      </c>
      <c r="I115" s="1" t="s">
        <v>440</v>
      </c>
      <c r="J115" s="2" t="s">
        <v>236</v>
      </c>
      <c r="K115" s="2" t="s">
        <v>237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2162</v>
      </c>
      <c r="B116" s="1" t="s">
        <v>435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8" t="s">
        <v>2065</v>
      </c>
      <c r="H116" s="1" t="s">
        <v>684</v>
      </c>
      <c r="I116" s="1" t="s">
        <v>440</v>
      </c>
      <c r="J116" s="2" t="s">
        <v>2066</v>
      </c>
      <c r="K116" s="2" t="s">
        <v>237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2163</v>
      </c>
      <c r="B117" s="1" t="s">
        <v>2139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8" t="s">
        <v>2072</v>
      </c>
      <c r="H117" s="1" t="s">
        <v>684</v>
      </c>
      <c r="I117" s="1" t="s">
        <v>440</v>
      </c>
      <c r="J117" s="2" t="s">
        <v>2073</v>
      </c>
      <c r="K117" s="2" t="s">
        <v>237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2164</v>
      </c>
      <c r="B118" s="1" t="s">
        <v>373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8" t="s">
        <v>230</v>
      </c>
      <c r="H118" s="1" t="s">
        <v>684</v>
      </c>
      <c r="I118" s="1" t="s">
        <v>440</v>
      </c>
      <c r="J118" s="2" t="s">
        <v>236</v>
      </c>
      <c r="K118" s="2" t="s">
        <v>237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2165</v>
      </c>
      <c r="B119" s="1" t="s">
        <v>435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8" t="s">
        <v>2065</v>
      </c>
      <c r="H119" s="1" t="s">
        <v>687</v>
      </c>
      <c r="I119" s="1" t="s">
        <v>440</v>
      </c>
      <c r="J119" s="2" t="s">
        <v>2066</v>
      </c>
      <c r="K119" s="2" t="s">
        <v>237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2166</v>
      </c>
      <c r="B120" s="1" t="s">
        <v>2139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8" t="s">
        <v>2072</v>
      </c>
      <c r="H120" s="1" t="s">
        <v>687</v>
      </c>
      <c r="I120" s="1" t="s">
        <v>440</v>
      </c>
      <c r="J120" s="2" t="s">
        <v>2073</v>
      </c>
      <c r="K120" s="2" t="s">
        <v>237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2167</v>
      </c>
      <c r="B121" s="1" t="s">
        <v>373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8" t="s">
        <v>230</v>
      </c>
      <c r="H121" s="1" t="s">
        <v>687</v>
      </c>
      <c r="I121" s="1" t="s">
        <v>440</v>
      </c>
      <c r="J121" s="2" t="s">
        <v>236</v>
      </c>
      <c r="K121" s="2" t="s">
        <v>237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22" customFormat="false" ht="12.95" hidden="false" customHeight="true" outlineLevel="0" collapsed="false">
      <c r="B122" s="1"/>
      <c r="C122" s="1"/>
      <c r="G122" s="13"/>
    </row>
    <row r="123" s="12" customFormat="true" ht="12.95" hidden="false" customHeight="true" outlineLevel="0" collapsed="false"/>
    <row r="124" s="12" customFormat="true" ht="12.95" hidden="false" customHeight="true" outlineLevel="0" collapsed="false"/>
    <row r="125" s="12" customFormat="true" ht="12.95" hidden="false" customHeight="true" outlineLevel="0" collapsed="false"/>
    <row r="126" s="12" customFormat="true" ht="12.95" hidden="false" customHeight="true" outlineLevel="0" collapsed="false"/>
    <row r="127" s="12" customFormat="true" ht="12.95" hidden="false" customHeight="true" outlineLevel="0" collapsed="false"/>
    <row r="128" s="12" customFormat="true" ht="12.95" hidden="false" customHeight="true" outlineLevel="0" collapsed="false"/>
    <row r="129" s="12" customFormat="true" ht="12.95" hidden="false" customHeight="true" outlineLevel="0" collapsed="false"/>
    <row r="130" s="12" customFormat="true" ht="12.95" hidden="false" customHeight="true" outlineLevel="0" collapsed="false"/>
    <row r="131" s="12" customFormat="true" ht="12.95" hidden="false" customHeight="true" outlineLevel="0" collapsed="false"/>
    <row r="132" s="12" customFormat="true" ht="12.95" hidden="false" customHeight="true" outlineLevel="0" collapsed="false"/>
    <row r="133" s="12" customFormat="true" ht="12.95" hidden="false" customHeight="true" outlineLevel="0" collapsed="false"/>
    <row r="134" s="12" customFormat="true" ht="12.95" hidden="false" customHeight="true" outlineLevel="0" collapsed="false"/>
    <row r="135" s="12" customFormat="true" ht="12.95" hidden="false" customHeight="true" outlineLevel="0" collapsed="false"/>
    <row r="136" s="12" customFormat="true" ht="12.95" hidden="false" customHeight="true" outlineLevel="0" collapsed="false"/>
    <row r="137" s="12" customFormat="true" ht="12.95" hidden="false" customHeight="true" outlineLevel="0" collapsed="false"/>
    <row r="138" s="12" customFormat="true" ht="12.95" hidden="false" customHeight="true" outlineLevel="0" collapsed="false"/>
    <row r="139" s="12" customFormat="true" ht="12.95" hidden="false" customHeight="true" outlineLevel="0" collapsed="false"/>
    <row r="140" s="12" customFormat="true" ht="12.95" hidden="false" customHeight="true" outlineLevel="0" collapsed="false"/>
    <row r="141" s="12" customFormat="true" ht="12.95" hidden="false" customHeight="true" outlineLevel="0" collapsed="false"/>
    <row r="142" s="12" customFormat="true" ht="12.95" hidden="false" customHeight="true" outlineLevel="0" collapsed="false"/>
    <row r="143" s="12" customFormat="true" ht="12.95" hidden="false" customHeight="true" outlineLevel="0" collapsed="false"/>
    <row r="144" s="12" customFormat="true" ht="12.95" hidden="false" customHeight="true" outlineLevel="0" collapsed="false"/>
    <row r="145" s="12" customFormat="true" ht="12.95" hidden="false" customHeight="true" outlineLevel="0" collapsed="false"/>
    <row r="146" s="12" customFormat="true" ht="12.95" hidden="false" customHeight="true" outlineLevel="0" collapsed="false"/>
    <row r="147" s="12" customFormat="true" ht="12.95" hidden="false" customHeight="true" outlineLevel="0" collapsed="false"/>
    <row r="148" s="12" customFormat="true" ht="12.95" hidden="false" customHeight="true" outlineLevel="0" collapsed="false"/>
    <row r="149" s="12" customFormat="true" ht="12.95" hidden="false" customHeight="true" outlineLevel="0" collapsed="false"/>
    <row r="150" s="12" customFormat="true" ht="12.95" hidden="false" customHeight="true" outlineLevel="0" collapsed="false"/>
    <row r="151" s="12" customFormat="true" ht="12.95" hidden="false" customHeight="true" outlineLevel="0" collapsed="false"/>
    <row r="152" s="12" customFormat="true" ht="12.95" hidden="false" customHeight="true" outlineLevel="0" collapsed="false"/>
    <row r="153" s="12" customFormat="true" ht="12.95" hidden="false" customHeight="true" outlineLevel="0" collapsed="false"/>
    <row r="154" s="12" customFormat="true" ht="12.95" hidden="false" customHeight="true" outlineLevel="0" collapsed="false"/>
    <row r="155" s="12" customFormat="true" ht="12.95" hidden="false" customHeight="true" outlineLevel="0" collapsed="false"/>
    <row r="156" s="12" customFormat="true" ht="12.95" hidden="false" customHeight="true" outlineLevel="0" collapsed="false"/>
    <row r="157" s="12" customFormat="true" ht="12.95" hidden="false" customHeight="true" outlineLevel="0" collapsed="false"/>
    <row r="158" s="12" customFormat="true" ht="12.95" hidden="false" customHeight="true" outlineLevel="0" collapsed="false"/>
    <row r="159" s="12" customFormat="true" ht="12.95" hidden="false" customHeight="true" outlineLevel="0" collapsed="false"/>
    <row r="160" s="12" customFormat="true" ht="12.95" hidden="false" customHeight="true" outlineLevel="0" collapsed="false"/>
    <row r="161" s="12" customFormat="true" ht="12.95" hidden="false" customHeight="true" outlineLevel="0" collapsed="false"/>
    <row r="162" s="12" customFormat="true" ht="12.95" hidden="false" customHeight="true" outlineLevel="0" collapsed="false"/>
    <row r="163" s="12" customFormat="true" ht="12.95" hidden="false" customHeight="true" outlineLevel="0" collapsed="false"/>
    <row r="164" s="12" customFormat="true" ht="12.95" hidden="false" customHeight="true" outlineLevel="0" collapsed="false"/>
    <row r="165" s="12" customFormat="true" ht="12.95" hidden="false" customHeight="true" outlineLevel="0" collapsed="false"/>
    <row r="166" s="12" customFormat="true" ht="12.95" hidden="false" customHeight="true" outlineLevel="0" collapsed="false"/>
    <row r="167" s="12" customFormat="true" ht="12.95" hidden="false" customHeight="true" outlineLevel="0" collapsed="false"/>
    <row r="168" s="12" customFormat="true" ht="12.95" hidden="false" customHeight="true" outlineLevel="0" collapsed="false"/>
    <row r="169" s="12" customFormat="true" ht="12.95" hidden="false" customHeight="true" outlineLevel="0" collapsed="false"/>
    <row r="170" s="12" customFormat="true" ht="12.95" hidden="false" customHeight="true" outlineLevel="0" collapsed="false"/>
    <row r="171" s="12" customFormat="true" ht="12.95" hidden="false" customHeight="true" outlineLevel="0" collapsed="false"/>
    <row r="172" s="12" customFormat="true" ht="12.95" hidden="false" customHeight="true" outlineLevel="0" collapsed="false"/>
    <row r="173" s="12" customFormat="true" ht="12.95" hidden="false" customHeight="true" outlineLevel="0" collapsed="false"/>
    <row r="174" s="12" customFormat="true" ht="12.95" hidden="false" customHeight="true" outlineLevel="0" collapsed="false"/>
    <row r="175" s="12" customFormat="true" ht="12.95" hidden="false" customHeight="true" outlineLevel="0" collapsed="false"/>
    <row r="176" s="12" customFormat="true" ht="12.95" hidden="false" customHeight="true" outlineLevel="0" collapsed="false"/>
    <row r="177" s="12" customFormat="true" ht="12.95" hidden="false" customHeight="true" outlineLevel="0" collapsed="false"/>
    <row r="178" s="12" customFormat="true" ht="12.95" hidden="false" customHeight="true" outlineLevel="0" collapsed="false"/>
    <row r="179" s="12" customFormat="true" ht="12.95" hidden="false" customHeight="true" outlineLevel="0" collapsed="false"/>
    <row r="180" s="12" customFormat="true" ht="12.95" hidden="false" customHeight="true" outlineLevel="0" collapsed="false"/>
    <row r="181" s="12" customFormat="true" ht="12.95" hidden="false" customHeight="true" outlineLevel="0" collapsed="false"/>
    <row r="182" s="12" customFormat="true" ht="12.95" hidden="false" customHeight="true" outlineLevel="0" collapsed="false"/>
    <row r="183" s="12" customFormat="true" ht="12.95" hidden="false" customHeight="true" outlineLevel="0" collapsed="false"/>
    <row r="184" s="12" customFormat="true" ht="12.95" hidden="false" customHeight="true" outlineLevel="0" collapsed="false"/>
    <row r="185" s="12" customFormat="true" ht="12.95" hidden="false" customHeight="true" outlineLevel="0" collapsed="false"/>
    <row r="186" s="12" customFormat="true" ht="12.95" hidden="false" customHeight="true" outlineLevel="0" collapsed="false"/>
    <row r="187" s="12" customFormat="true" ht="12.95" hidden="false" customHeight="true" outlineLevel="0" collapsed="false"/>
    <row r="188" s="12" customFormat="true" ht="12.95" hidden="false" customHeight="true" outlineLevel="0" collapsed="false"/>
    <row r="189" s="12" customFormat="true" ht="12.95" hidden="false" customHeight="true" outlineLevel="0" collapsed="false"/>
    <row r="190" s="12" customFormat="true" ht="12.95" hidden="false" customHeight="true" outlineLevel="0" collapsed="false"/>
    <row r="191" s="12" customFormat="true" ht="12.95" hidden="false" customHeight="true" outlineLevel="0" collapsed="false"/>
    <row r="192" s="12" customFormat="true" ht="12.95" hidden="false" customHeight="true" outlineLevel="0" collapsed="false"/>
    <row r="193" s="12" customFormat="true" ht="12.95" hidden="false" customHeight="true" outlineLevel="0" collapsed="false"/>
    <row r="194" s="12" customFormat="true" ht="12.95" hidden="false" customHeight="true" outlineLevel="0" collapsed="false"/>
    <row r="195" s="12" customFormat="true" ht="12.95" hidden="false" customHeight="true" outlineLevel="0" collapsed="false"/>
    <row r="196" s="12" customFormat="true" ht="12.95" hidden="false" customHeight="true" outlineLevel="0" collapsed="false"/>
    <row r="197" s="12" customFormat="true" ht="12.95" hidden="false" customHeight="true" outlineLevel="0" collapsed="false"/>
    <row r="198" s="12" customFormat="true" ht="12.95" hidden="false" customHeight="true" outlineLevel="0" collapsed="false"/>
    <row r="199" s="12" customFormat="true" ht="12.95" hidden="false" customHeight="true" outlineLevel="0" collapsed="false"/>
    <row r="200" s="12" customFormat="tru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8.87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2168</v>
      </c>
      <c r="B3" s="3" t="s">
        <v>166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169</v>
      </c>
      <c r="B4" s="1" t="s">
        <v>2169</v>
      </c>
      <c r="C4" s="1" t="s">
        <v>463</v>
      </c>
    </row>
    <row r="5" customFormat="false" ht="12.95" hidden="false" customHeight="true" outlineLevel="1" collapsed="false">
      <c r="A5" s="1" t="s">
        <v>2170</v>
      </c>
      <c r="B5" s="1" t="s">
        <v>2171</v>
      </c>
      <c r="C5" s="1" t="s">
        <v>223</v>
      </c>
    </row>
    <row r="6" customFormat="false" ht="12.95" hidden="false" customHeight="true" outlineLevel="3" collapsed="false">
      <c r="A6" s="1" t="s">
        <v>2172</v>
      </c>
      <c r="B6" s="1" t="s">
        <v>2171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2173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2174</v>
      </c>
      <c r="K6" s="2" t="s">
        <v>237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2175</v>
      </c>
      <c r="B7" s="1" t="s">
        <v>2171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2176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2174</v>
      </c>
      <c r="K7" s="2" t="s">
        <v>237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2177</v>
      </c>
      <c r="B8" s="1" t="s">
        <v>2178</v>
      </c>
      <c r="C8" s="1" t="s">
        <v>223</v>
      </c>
    </row>
    <row r="9" customFormat="false" ht="12.95" hidden="false" customHeight="true" outlineLevel="3" collapsed="false">
      <c r="A9" s="1" t="s">
        <v>2179</v>
      </c>
      <c r="B9" s="1" t="s">
        <v>2178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2180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2181</v>
      </c>
      <c r="K9" s="2" t="s">
        <v>237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2182</v>
      </c>
      <c r="B10" s="1" t="s">
        <v>2178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2180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2181</v>
      </c>
      <c r="K10" s="2" t="s">
        <v>237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2183</v>
      </c>
      <c r="B11" s="1" t="s">
        <v>2184</v>
      </c>
      <c r="C11" s="1" t="s">
        <v>223</v>
      </c>
    </row>
    <row r="12" customFormat="false" ht="12.95" hidden="false" customHeight="true" outlineLevel="3" collapsed="false">
      <c r="A12" s="1" t="s">
        <v>2185</v>
      </c>
      <c r="B12" s="1" t="s">
        <v>2184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2186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2187</v>
      </c>
      <c r="K12" s="2" t="s">
        <v>237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2188</v>
      </c>
      <c r="B13" s="1" t="s">
        <v>2184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2186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2187</v>
      </c>
      <c r="K13" s="2" t="s">
        <v>237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2189</v>
      </c>
      <c r="B14" s="1" t="s">
        <v>2171</v>
      </c>
      <c r="C14" s="1" t="s">
        <v>711</v>
      </c>
      <c r="G14" s="13"/>
    </row>
    <row r="15" customFormat="false" ht="12.95" hidden="false" customHeight="true" outlineLevel="3" collapsed="false">
      <c r="A15" s="1" t="s">
        <v>2190</v>
      </c>
      <c r="B15" s="1" t="s">
        <v>2171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2173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2174</v>
      </c>
      <c r="K15" s="2" t="s">
        <v>237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2191</v>
      </c>
      <c r="B16" s="1" t="s">
        <v>2171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2176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2174</v>
      </c>
      <c r="K16" s="2" t="s">
        <v>237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2192</v>
      </c>
      <c r="B17" s="1" t="s">
        <v>2178</v>
      </c>
      <c r="C17" s="1" t="s">
        <v>711</v>
      </c>
    </row>
    <row r="18" customFormat="false" ht="12.95" hidden="false" customHeight="true" outlineLevel="3" collapsed="false">
      <c r="A18" s="1" t="s">
        <v>2193</v>
      </c>
      <c r="B18" s="1" t="s">
        <v>2178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2180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2181</v>
      </c>
      <c r="K18" s="2" t="s">
        <v>237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2194</v>
      </c>
      <c r="B19" s="1" t="s">
        <v>2178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2180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2181</v>
      </c>
      <c r="K19" s="2" t="s">
        <v>237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2195</v>
      </c>
      <c r="B20" s="1" t="s">
        <v>2184</v>
      </c>
      <c r="C20" s="1" t="s">
        <v>711</v>
      </c>
    </row>
    <row r="21" customFormat="false" ht="12.95" hidden="false" customHeight="true" outlineLevel="3" collapsed="false">
      <c r="A21" s="1" t="s">
        <v>2196</v>
      </c>
      <c r="B21" s="1" t="s">
        <v>2184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2186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2187</v>
      </c>
      <c r="K21" s="2" t="s">
        <v>237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2197</v>
      </c>
      <c r="B22" s="1" t="s">
        <v>2184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2186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2187</v>
      </c>
      <c r="K22" s="2" t="s">
        <v>237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2198</v>
      </c>
      <c r="B23" s="1" t="s">
        <v>2171</v>
      </c>
      <c r="C23" s="1" t="s">
        <v>719</v>
      </c>
      <c r="G23" s="13"/>
    </row>
    <row r="24" customFormat="false" ht="12.95" hidden="false" customHeight="true" outlineLevel="3" collapsed="false">
      <c r="A24" s="1" t="s">
        <v>2199</v>
      </c>
      <c r="B24" s="1" t="s">
        <v>2171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2173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2174</v>
      </c>
      <c r="K24" s="2" t="s">
        <v>237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2200</v>
      </c>
      <c r="B25" s="1" t="s">
        <v>2171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2176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2174</v>
      </c>
      <c r="K25" s="2" t="s">
        <v>237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2201</v>
      </c>
      <c r="B26" s="1" t="s">
        <v>2178</v>
      </c>
      <c r="C26" s="1" t="s">
        <v>719</v>
      </c>
    </row>
    <row r="27" customFormat="false" ht="12.95" hidden="false" customHeight="true" outlineLevel="3" collapsed="false">
      <c r="A27" s="1" t="s">
        <v>2202</v>
      </c>
      <c r="B27" s="1" t="s">
        <v>2178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2180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2181</v>
      </c>
      <c r="K27" s="2" t="s">
        <v>237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2203</v>
      </c>
      <c r="B28" s="1" t="s">
        <v>2178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2180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2181</v>
      </c>
      <c r="K28" s="2" t="s">
        <v>237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2204</v>
      </c>
      <c r="B29" s="1" t="s">
        <v>2184</v>
      </c>
      <c r="C29" s="1" t="s">
        <v>719</v>
      </c>
    </row>
    <row r="30" customFormat="false" ht="12.95" hidden="false" customHeight="true" outlineLevel="3" collapsed="false">
      <c r="A30" s="1" t="s">
        <v>2205</v>
      </c>
      <c r="B30" s="1" t="s">
        <v>2184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2186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2187</v>
      </c>
      <c r="K30" s="2" t="s">
        <v>237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2206</v>
      </c>
      <c r="B31" s="1" t="s">
        <v>2184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2186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2187</v>
      </c>
      <c r="K31" s="2" t="s">
        <v>237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2207</v>
      </c>
      <c r="B32" s="1" t="s">
        <v>2171</v>
      </c>
      <c r="C32" s="1" t="s">
        <v>731</v>
      </c>
      <c r="G32" s="13"/>
    </row>
    <row r="33" customFormat="false" ht="12.95" hidden="false" customHeight="true" outlineLevel="3" collapsed="false">
      <c r="A33" s="1" t="s">
        <v>2208</v>
      </c>
      <c r="B33" s="1" t="s">
        <v>2171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2173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2174</v>
      </c>
      <c r="K33" s="2" t="s">
        <v>237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2209</v>
      </c>
      <c r="B34" s="1" t="s">
        <v>2171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2176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2174</v>
      </c>
      <c r="K34" s="2" t="s">
        <v>237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2" collapsed="false">
      <c r="A35" s="1" t="s">
        <v>2210</v>
      </c>
      <c r="B35" s="1" t="s">
        <v>2178</v>
      </c>
      <c r="C35" s="1" t="s">
        <v>731</v>
      </c>
    </row>
    <row r="36" customFormat="false" ht="12.95" hidden="false" customHeight="true" outlineLevel="3" collapsed="false">
      <c r="A36" s="1" t="s">
        <v>2211</v>
      </c>
      <c r="B36" s="1" t="s">
        <v>2178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2180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2181</v>
      </c>
      <c r="K36" s="2" t="s">
        <v>237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2212</v>
      </c>
      <c r="B37" s="1" t="s">
        <v>2178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2180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2181</v>
      </c>
      <c r="K37" s="2" t="s">
        <v>237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2" collapsed="false">
      <c r="A38" s="1" t="s">
        <v>2213</v>
      </c>
      <c r="B38" s="1" t="s">
        <v>2184</v>
      </c>
      <c r="C38" s="1" t="s">
        <v>731</v>
      </c>
    </row>
    <row r="39" customFormat="false" ht="12.95" hidden="false" customHeight="true" outlineLevel="3" collapsed="false">
      <c r="A39" s="1" t="s">
        <v>2214</v>
      </c>
      <c r="B39" s="1" t="s">
        <v>2184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2186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2187</v>
      </c>
      <c r="K39" s="2" t="s">
        <v>237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2215</v>
      </c>
      <c r="B40" s="1" t="s">
        <v>2184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2186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2187</v>
      </c>
      <c r="K40" s="2" t="s">
        <v>237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ET41" s="12"/>
    </row>
    <row r="42" customFormat="false" ht="12.95" hidden="false" customHeight="true" outlineLevel="0" collapsed="false">
      <c r="A42" s="1" t="s">
        <v>171</v>
      </c>
      <c r="B42" s="1" t="s">
        <v>2169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1" collapsed="false">
      <c r="A43" s="1" t="s">
        <v>2216</v>
      </c>
      <c r="B43" s="1" t="s">
        <v>2171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2217</v>
      </c>
      <c r="B44" s="1" t="s">
        <v>2171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2173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2174</v>
      </c>
      <c r="K44" s="2" t="s">
        <v>237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2218</v>
      </c>
      <c r="B45" s="1" t="s">
        <v>2171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2176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2174</v>
      </c>
      <c r="K45" s="2" t="s">
        <v>237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2219</v>
      </c>
      <c r="B46" s="1" t="s">
        <v>2178</v>
      </c>
      <c r="C46" s="1" t="s">
        <v>312</v>
      </c>
      <c r="D46" s="13"/>
      <c r="E46" s="13"/>
      <c r="F46" s="13"/>
      <c r="Q46" s="13"/>
      <c r="R46" s="13"/>
    </row>
    <row r="47" customFormat="false" ht="12.95" hidden="false" customHeight="true" outlineLevel="3" collapsed="false">
      <c r="A47" s="1" t="s">
        <v>2220</v>
      </c>
      <c r="B47" s="1" t="s">
        <v>2178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2180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2181</v>
      </c>
      <c r="K47" s="2" t="s">
        <v>237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2221</v>
      </c>
      <c r="B48" s="1" t="s">
        <v>2178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2180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2181</v>
      </c>
      <c r="K48" s="2" t="s">
        <v>237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2222</v>
      </c>
      <c r="B49" s="1" t="s">
        <v>2184</v>
      </c>
      <c r="C49" s="1" t="s">
        <v>312</v>
      </c>
      <c r="D49" s="13"/>
      <c r="E49" s="13"/>
      <c r="F49" s="13"/>
      <c r="K49" s="13"/>
      <c r="Q49" s="13"/>
      <c r="R49" s="13"/>
    </row>
    <row r="50" customFormat="false" ht="12.95" hidden="false" customHeight="true" outlineLevel="3" collapsed="false">
      <c r="A50" s="1" t="s">
        <v>2223</v>
      </c>
      <c r="B50" s="1" t="s">
        <v>2184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2186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2187</v>
      </c>
      <c r="K50" s="2" t="s">
        <v>237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2224</v>
      </c>
      <c r="B51" s="1" t="s">
        <v>2184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2186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2187</v>
      </c>
      <c r="K51" s="2" t="s">
        <v>237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2225</v>
      </c>
      <c r="B52" s="1" t="s">
        <v>2171</v>
      </c>
      <c r="C52" s="1" t="s">
        <v>744</v>
      </c>
      <c r="D52" s="13"/>
      <c r="E52" s="13"/>
      <c r="F52" s="13"/>
      <c r="G52" s="13"/>
      <c r="H52" s="13"/>
      <c r="I52" s="13"/>
      <c r="J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2226</v>
      </c>
      <c r="B53" s="1" t="s">
        <v>2171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2173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2174</v>
      </c>
      <c r="K53" s="2" t="s">
        <v>237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2227</v>
      </c>
      <c r="B54" s="1" t="s">
        <v>2171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2176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2174</v>
      </c>
      <c r="K54" s="2" t="s">
        <v>237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2228</v>
      </c>
      <c r="B55" s="1" t="s">
        <v>2178</v>
      </c>
      <c r="C55" s="1" t="s">
        <v>744</v>
      </c>
      <c r="D55" s="13"/>
      <c r="E55" s="13"/>
      <c r="F55" s="13"/>
      <c r="K55" s="13"/>
      <c r="Q55" s="13"/>
      <c r="R55" s="13"/>
    </row>
    <row r="56" customFormat="false" ht="12.95" hidden="false" customHeight="true" outlineLevel="3" collapsed="false">
      <c r="A56" s="1" t="s">
        <v>2229</v>
      </c>
      <c r="B56" s="1" t="s">
        <v>2178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2180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2181</v>
      </c>
      <c r="K56" s="2" t="s">
        <v>237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2230</v>
      </c>
      <c r="B57" s="1" t="s">
        <v>2178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2180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2181</v>
      </c>
      <c r="K57" s="2" t="s">
        <v>237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2231</v>
      </c>
      <c r="B58" s="1" t="s">
        <v>2184</v>
      </c>
      <c r="C58" s="1" t="s">
        <v>744</v>
      </c>
      <c r="D58" s="13"/>
      <c r="E58" s="13"/>
      <c r="F58" s="13"/>
      <c r="Q58" s="13"/>
      <c r="R58" s="13"/>
    </row>
    <row r="59" customFormat="false" ht="12.95" hidden="false" customHeight="true" outlineLevel="3" collapsed="false">
      <c r="A59" s="1" t="s">
        <v>2232</v>
      </c>
      <c r="B59" s="1" t="s">
        <v>2184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2186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2187</v>
      </c>
      <c r="K59" s="2" t="s">
        <v>237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2233</v>
      </c>
      <c r="B60" s="1" t="s">
        <v>2184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2186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2187</v>
      </c>
      <c r="K60" s="2" t="s">
        <v>237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1" collapsed="false">
      <c r="A61" s="1" t="s">
        <v>2234</v>
      </c>
      <c r="B61" s="1" t="s">
        <v>2171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2235</v>
      </c>
      <c r="B62" s="1" t="s">
        <v>2171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2173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2174</v>
      </c>
      <c r="K62" s="2" t="s">
        <v>237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2236</v>
      </c>
      <c r="B63" s="1" t="s">
        <v>2171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2176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2174</v>
      </c>
      <c r="K63" s="2" t="s">
        <v>237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2237</v>
      </c>
      <c r="B64" s="1" t="s">
        <v>2178</v>
      </c>
      <c r="C64" s="1" t="s">
        <v>754</v>
      </c>
      <c r="D64" s="13"/>
      <c r="E64" s="13"/>
      <c r="F64" s="13"/>
      <c r="Q64" s="13"/>
      <c r="R64" s="13"/>
    </row>
    <row r="65" customFormat="false" ht="12.95" hidden="false" customHeight="true" outlineLevel="3" collapsed="false">
      <c r="A65" s="1" t="s">
        <v>2238</v>
      </c>
      <c r="B65" s="1" t="s">
        <v>2178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2180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2181</v>
      </c>
      <c r="K65" s="2" t="s">
        <v>237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2239</v>
      </c>
      <c r="B66" s="1" t="s">
        <v>2178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2180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2181</v>
      </c>
      <c r="K66" s="2" t="s">
        <v>237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2240</v>
      </c>
      <c r="B67" s="1" t="s">
        <v>2184</v>
      </c>
      <c r="C67" s="1" t="s">
        <v>754</v>
      </c>
      <c r="D67" s="13"/>
      <c r="E67" s="13"/>
      <c r="F67" s="13"/>
      <c r="K67" s="13"/>
      <c r="Q67" s="13"/>
      <c r="R67" s="13"/>
    </row>
    <row r="68" customFormat="false" ht="12.95" hidden="false" customHeight="true" outlineLevel="3" collapsed="false">
      <c r="A68" s="1" t="s">
        <v>2241</v>
      </c>
      <c r="B68" s="1" t="s">
        <v>2184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2186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2187</v>
      </c>
      <c r="K68" s="2" t="s">
        <v>237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2242</v>
      </c>
      <c r="B69" s="1" t="s">
        <v>2184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2186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2187</v>
      </c>
      <c r="K69" s="2" t="s">
        <v>237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2243</v>
      </c>
      <c r="B70" s="1" t="s">
        <v>2171</v>
      </c>
      <c r="C70" s="1" t="s">
        <v>759</v>
      </c>
      <c r="D70" s="13"/>
      <c r="E70" s="13"/>
      <c r="F70" s="13"/>
      <c r="G70" s="13"/>
      <c r="H70" s="13"/>
      <c r="I70" s="13"/>
      <c r="J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2244</v>
      </c>
      <c r="B71" s="1" t="s">
        <v>2171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2173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2174</v>
      </c>
      <c r="K71" s="2" t="s">
        <v>237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2245</v>
      </c>
      <c r="B72" s="1" t="s">
        <v>2171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2176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2174</v>
      </c>
      <c r="K72" s="2" t="s">
        <v>237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2246</v>
      </c>
      <c r="B73" s="1" t="s">
        <v>2178</v>
      </c>
      <c r="C73" s="1" t="s">
        <v>759</v>
      </c>
      <c r="D73" s="13"/>
      <c r="E73" s="13"/>
      <c r="F73" s="13"/>
      <c r="K73" s="13"/>
      <c r="Q73" s="13"/>
      <c r="R73" s="13"/>
    </row>
    <row r="74" customFormat="false" ht="12.95" hidden="false" customHeight="true" outlineLevel="3" collapsed="false">
      <c r="A74" s="1" t="s">
        <v>2247</v>
      </c>
      <c r="B74" s="1" t="s">
        <v>2178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2180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2181</v>
      </c>
      <c r="K74" s="2" t="s">
        <v>237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2248</v>
      </c>
      <c r="B75" s="1" t="s">
        <v>2178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2180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2181</v>
      </c>
      <c r="K75" s="2" t="s">
        <v>237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2249</v>
      </c>
      <c r="B76" s="1" t="s">
        <v>2184</v>
      </c>
      <c r="C76" s="1" t="s">
        <v>759</v>
      </c>
      <c r="D76" s="13"/>
      <c r="E76" s="13"/>
      <c r="F76" s="13"/>
      <c r="Q76" s="13"/>
      <c r="R76" s="13"/>
    </row>
    <row r="77" customFormat="false" ht="12.95" hidden="false" customHeight="true" outlineLevel="3" collapsed="false">
      <c r="A77" s="1" t="s">
        <v>2250</v>
      </c>
      <c r="B77" s="1" t="s">
        <v>2184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2186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2187</v>
      </c>
      <c r="K77" s="2" t="s">
        <v>237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2251</v>
      </c>
      <c r="B78" s="1" t="s">
        <v>2184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2186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2187</v>
      </c>
      <c r="K78" s="2" t="s">
        <v>237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customFormat="false" ht="12.95" hidden="false" customHeight="true" outlineLevel="0" collapsed="false">
      <c r="B79" s="1"/>
      <c r="C79" s="1"/>
      <c r="D79" s="13"/>
      <c r="E79" s="13"/>
      <c r="F79" s="18"/>
      <c r="G79" s="18"/>
      <c r="J79" s="13"/>
      <c r="K79" s="13"/>
      <c r="Q79" s="13"/>
      <c r="R79" s="13"/>
      <c r="XET79" s="12"/>
    </row>
    <row r="80" customFormat="false" ht="12.95" hidden="false" customHeight="true" outlineLevel="0" collapsed="false">
      <c r="A80" s="1" t="s">
        <v>173</v>
      </c>
      <c r="B80" s="1" t="s">
        <v>2169</v>
      </c>
      <c r="C80" s="1" t="s">
        <v>622</v>
      </c>
      <c r="G80" s="13"/>
    </row>
    <row r="81" customFormat="false" ht="12.95" hidden="false" customHeight="true" outlineLevel="1" collapsed="false">
      <c r="A81" s="1" t="s">
        <v>2252</v>
      </c>
      <c r="B81" s="1" t="s">
        <v>2253</v>
      </c>
      <c r="C81" s="1" t="s">
        <v>374</v>
      </c>
    </row>
    <row r="82" customFormat="false" ht="12.95" hidden="false" customHeight="true" outlineLevel="3" collapsed="false">
      <c r="A82" s="1" t="s">
        <v>2254</v>
      </c>
      <c r="B82" s="1" t="s">
        <v>2253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2173</v>
      </c>
      <c r="H82" s="1" t="s">
        <v>380</v>
      </c>
      <c r="I82" s="1" t="s">
        <v>235</v>
      </c>
      <c r="J82" s="2" t="s">
        <v>2174</v>
      </c>
      <c r="K82" s="2" t="s">
        <v>237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2255</v>
      </c>
      <c r="B83" s="1" t="s">
        <v>2253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2176</v>
      </c>
      <c r="H83" s="1" t="s">
        <v>407</v>
      </c>
      <c r="I83" s="1" t="s">
        <v>235</v>
      </c>
      <c r="J83" s="2" t="s">
        <v>2174</v>
      </c>
      <c r="K83" s="2" t="s">
        <v>237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2256</v>
      </c>
      <c r="B84" s="1" t="s">
        <v>2257</v>
      </c>
      <c r="C84" s="1" t="s">
        <v>374</v>
      </c>
    </row>
    <row r="85" customFormat="false" ht="12.95" hidden="false" customHeight="true" outlineLevel="3" collapsed="false">
      <c r="A85" s="1" t="s">
        <v>2258</v>
      </c>
      <c r="B85" s="1" t="s">
        <v>2257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2180</v>
      </c>
      <c r="H85" s="1" t="s">
        <v>380</v>
      </c>
      <c r="I85" s="1" t="s">
        <v>235</v>
      </c>
      <c r="J85" s="2" t="s">
        <v>2181</v>
      </c>
      <c r="K85" s="2" t="s">
        <v>237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2259</v>
      </c>
      <c r="B86" s="1" t="s">
        <v>2257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2180</v>
      </c>
      <c r="H86" s="1" t="s">
        <v>407</v>
      </c>
      <c r="I86" s="1" t="s">
        <v>235</v>
      </c>
      <c r="J86" s="2" t="s">
        <v>2181</v>
      </c>
      <c r="K86" s="2" t="s">
        <v>237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2260</v>
      </c>
      <c r="B87" s="1" t="s">
        <v>2261</v>
      </c>
      <c r="C87" s="1" t="s">
        <v>374</v>
      </c>
    </row>
    <row r="88" customFormat="false" ht="12.95" hidden="false" customHeight="true" outlineLevel="3" collapsed="false">
      <c r="A88" s="1" t="s">
        <v>2262</v>
      </c>
      <c r="B88" s="1" t="s">
        <v>2261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2186</v>
      </c>
      <c r="H88" s="1" t="s">
        <v>380</v>
      </c>
      <c r="I88" s="1" t="s">
        <v>235</v>
      </c>
      <c r="J88" s="2" t="s">
        <v>2187</v>
      </c>
      <c r="K88" s="2" t="s">
        <v>237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2263</v>
      </c>
      <c r="B89" s="1" t="s">
        <v>2261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2186</v>
      </c>
      <c r="H89" s="1" t="s">
        <v>407</v>
      </c>
      <c r="I89" s="1" t="s">
        <v>235</v>
      </c>
      <c r="J89" s="2" t="s">
        <v>2187</v>
      </c>
      <c r="K89" s="2" t="s">
        <v>237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2264</v>
      </c>
      <c r="B90" s="1" t="s">
        <v>2261</v>
      </c>
      <c r="C90" s="1" t="s">
        <v>765</v>
      </c>
    </row>
    <row r="91" customFormat="false" ht="12.95" hidden="false" customHeight="true" outlineLevel="3" collapsed="false">
      <c r="A91" s="1" t="s">
        <v>2265</v>
      </c>
      <c r="B91" s="1" t="s">
        <v>2253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2173</v>
      </c>
      <c r="H91" s="1" t="s">
        <v>767</v>
      </c>
      <c r="I91" s="1" t="s">
        <v>235</v>
      </c>
      <c r="J91" s="2" t="s">
        <v>2174</v>
      </c>
      <c r="K91" s="2" t="s">
        <v>237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2266</v>
      </c>
      <c r="B92" s="1" t="s">
        <v>2253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2176</v>
      </c>
      <c r="H92" s="1" t="s">
        <v>769</v>
      </c>
      <c r="I92" s="1" t="s">
        <v>235</v>
      </c>
      <c r="J92" s="2" t="s">
        <v>2174</v>
      </c>
      <c r="K92" s="2" t="s">
        <v>237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2267</v>
      </c>
      <c r="B93" s="1" t="s">
        <v>2257</v>
      </c>
      <c r="C93" s="1" t="s">
        <v>765</v>
      </c>
    </row>
    <row r="94" customFormat="false" ht="12.95" hidden="false" customHeight="true" outlineLevel="3" collapsed="false">
      <c r="A94" s="1" t="s">
        <v>2268</v>
      </c>
      <c r="B94" s="1" t="s">
        <v>2257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2180</v>
      </c>
      <c r="H94" s="1" t="s">
        <v>767</v>
      </c>
      <c r="I94" s="1" t="s">
        <v>235</v>
      </c>
      <c r="J94" s="2" t="s">
        <v>2181</v>
      </c>
      <c r="K94" s="2" t="s">
        <v>237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2269</v>
      </c>
      <c r="B95" s="1" t="s">
        <v>2257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2180</v>
      </c>
      <c r="H95" s="1" t="s">
        <v>769</v>
      </c>
      <c r="I95" s="1" t="s">
        <v>235</v>
      </c>
      <c r="J95" s="2" t="s">
        <v>2181</v>
      </c>
      <c r="K95" s="2" t="s">
        <v>237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2270</v>
      </c>
      <c r="B96" s="1" t="s">
        <v>2261</v>
      </c>
      <c r="C96" s="1" t="s">
        <v>765</v>
      </c>
    </row>
    <row r="97" customFormat="false" ht="12.95" hidden="false" customHeight="true" outlineLevel="3" collapsed="false">
      <c r="A97" s="1" t="s">
        <v>2271</v>
      </c>
      <c r="B97" s="1" t="s">
        <v>2261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2186</v>
      </c>
      <c r="H97" s="1" t="s">
        <v>767</v>
      </c>
      <c r="I97" s="1" t="s">
        <v>235</v>
      </c>
      <c r="J97" s="2" t="s">
        <v>2187</v>
      </c>
      <c r="K97" s="2" t="s">
        <v>237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2272</v>
      </c>
      <c r="B98" s="1" t="s">
        <v>2261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2186</v>
      </c>
      <c r="H98" s="1" t="s">
        <v>769</v>
      </c>
      <c r="I98" s="1" t="s">
        <v>235</v>
      </c>
      <c r="J98" s="2" t="s">
        <v>2187</v>
      </c>
      <c r="K98" s="2" t="s">
        <v>237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2273</v>
      </c>
      <c r="B99" s="1" t="s">
        <v>2253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2173</v>
      </c>
      <c r="H99" s="1" t="s">
        <v>665</v>
      </c>
      <c r="I99" s="1" t="s">
        <v>235</v>
      </c>
      <c r="J99" s="2" t="s">
        <v>2174</v>
      </c>
      <c r="K99" s="2" t="s">
        <v>237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2274</v>
      </c>
      <c r="B100" s="1" t="s">
        <v>2257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2180</v>
      </c>
      <c r="H100" s="1" t="s">
        <v>665</v>
      </c>
      <c r="I100" s="1" t="s">
        <v>235</v>
      </c>
      <c r="J100" s="2" t="s">
        <v>2181</v>
      </c>
      <c r="K100" s="2" t="s">
        <v>237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2275</v>
      </c>
      <c r="B101" s="1" t="s">
        <v>2261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2186</v>
      </c>
      <c r="H101" s="1" t="s">
        <v>665</v>
      </c>
      <c r="I101" s="1" t="s">
        <v>235</v>
      </c>
      <c r="J101" s="2" t="s">
        <v>2187</v>
      </c>
      <c r="K101" s="2" t="s">
        <v>237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2276</v>
      </c>
      <c r="B102" s="1" t="s">
        <v>2253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2173</v>
      </c>
      <c r="H102" s="1" t="s">
        <v>672</v>
      </c>
      <c r="I102" s="1" t="s">
        <v>235</v>
      </c>
      <c r="J102" s="2" t="s">
        <v>2174</v>
      </c>
      <c r="K102" s="2" t="s">
        <v>237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2277</v>
      </c>
      <c r="B103" s="1" t="s">
        <v>2257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2180</v>
      </c>
      <c r="H103" s="1" t="s">
        <v>672</v>
      </c>
      <c r="I103" s="1" t="s">
        <v>235</v>
      </c>
      <c r="J103" s="2" t="s">
        <v>2181</v>
      </c>
      <c r="K103" s="2" t="s">
        <v>237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2278</v>
      </c>
      <c r="B104" s="1" t="s">
        <v>2261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2186</v>
      </c>
      <c r="H104" s="1" t="s">
        <v>672</v>
      </c>
      <c r="I104" s="1" t="s">
        <v>235</v>
      </c>
      <c r="J104" s="2" t="s">
        <v>2187</v>
      </c>
      <c r="K104" s="2" t="s">
        <v>237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8"/>
    </row>
    <row r="106" customFormat="false" ht="12.95" hidden="false" customHeight="true" outlineLevel="0" collapsed="false">
      <c r="A106" s="1" t="s">
        <v>175</v>
      </c>
      <c r="B106" s="1" t="s">
        <v>2169</v>
      </c>
      <c r="C106" s="1" t="s">
        <v>676</v>
      </c>
      <c r="G106" s="13"/>
    </row>
    <row r="107" customFormat="false" ht="12.95" hidden="false" customHeight="true" outlineLevel="1" collapsed="false">
      <c r="A107" s="1" t="s">
        <v>2279</v>
      </c>
      <c r="B107" s="1" t="s">
        <v>2253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8" t="s">
        <v>2173</v>
      </c>
      <c r="H107" s="1" t="s">
        <v>439</v>
      </c>
      <c r="I107" s="1" t="s">
        <v>440</v>
      </c>
      <c r="J107" s="2" t="s">
        <v>2174</v>
      </c>
      <c r="K107" s="2" t="s">
        <v>237</v>
      </c>
      <c r="L107" s="1" t="s">
        <v>437</v>
      </c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</row>
    <row r="108" customFormat="false" ht="12.95" hidden="false" customHeight="true" outlineLevel="2" collapsed="false">
      <c r="A108" s="1" t="s">
        <v>2280</v>
      </c>
      <c r="B108" s="1" t="s">
        <v>2257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8" t="s">
        <v>2180</v>
      </c>
      <c r="H108" s="1" t="s">
        <v>439</v>
      </c>
      <c r="I108" s="1" t="s">
        <v>440</v>
      </c>
      <c r="J108" s="2" t="s">
        <v>2181</v>
      </c>
      <c r="K108" s="2" t="s">
        <v>237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2281</v>
      </c>
      <c r="B109" s="1" t="s">
        <v>2261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8" t="s">
        <v>2186</v>
      </c>
      <c r="H109" s="1" t="s">
        <v>439</v>
      </c>
      <c r="I109" s="1" t="s">
        <v>440</v>
      </c>
      <c r="J109" s="2" t="s">
        <v>2187</v>
      </c>
      <c r="K109" s="2" t="s">
        <v>237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2282</v>
      </c>
      <c r="B110" s="1" t="s">
        <v>2253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8" t="s">
        <v>2173</v>
      </c>
      <c r="H110" s="1" t="s">
        <v>449</v>
      </c>
      <c r="I110" s="1" t="s">
        <v>440</v>
      </c>
      <c r="J110" s="2" t="s">
        <v>2174</v>
      </c>
      <c r="K110" s="2" t="s">
        <v>237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2283</v>
      </c>
      <c r="B111" s="1" t="s">
        <v>2257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8" t="s">
        <v>2180</v>
      </c>
      <c r="H111" s="1" t="s">
        <v>449</v>
      </c>
      <c r="I111" s="1" t="s">
        <v>440</v>
      </c>
      <c r="J111" s="2" t="s">
        <v>2181</v>
      </c>
      <c r="K111" s="2" t="s">
        <v>237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2284</v>
      </c>
      <c r="B112" s="1" t="s">
        <v>2261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8" t="s">
        <v>2186</v>
      </c>
      <c r="H112" s="1" t="s">
        <v>449</v>
      </c>
      <c r="I112" s="1" t="s">
        <v>440</v>
      </c>
      <c r="J112" s="2" t="s">
        <v>2187</v>
      </c>
      <c r="K112" s="2" t="s">
        <v>237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2285</v>
      </c>
      <c r="B113" s="1" t="s">
        <v>2253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8" t="s">
        <v>2173</v>
      </c>
      <c r="H113" s="1" t="s">
        <v>681</v>
      </c>
      <c r="I113" s="1" t="s">
        <v>440</v>
      </c>
      <c r="J113" s="2" t="s">
        <v>2174</v>
      </c>
      <c r="K113" s="2" t="s">
        <v>237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22"/>
    </row>
    <row r="114" customFormat="false" ht="12.95" hidden="false" customHeight="true" outlineLevel="2" collapsed="false">
      <c r="A114" s="1" t="s">
        <v>2286</v>
      </c>
      <c r="B114" s="1" t="s">
        <v>2257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8" t="s">
        <v>2180</v>
      </c>
      <c r="H114" s="1" t="s">
        <v>681</v>
      </c>
      <c r="I114" s="1" t="s">
        <v>440</v>
      </c>
      <c r="J114" s="2" t="s">
        <v>2181</v>
      </c>
      <c r="K114" s="2" t="s">
        <v>237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2287</v>
      </c>
      <c r="B115" s="1" t="s">
        <v>2261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8" t="s">
        <v>2186</v>
      </c>
      <c r="H115" s="1" t="s">
        <v>681</v>
      </c>
      <c r="I115" s="1" t="s">
        <v>440</v>
      </c>
      <c r="J115" s="2" t="s">
        <v>2187</v>
      </c>
      <c r="K115" s="2" t="s">
        <v>237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2288</v>
      </c>
      <c r="B116" s="1" t="s">
        <v>2253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8" t="s">
        <v>2173</v>
      </c>
      <c r="H116" s="1" t="s">
        <v>684</v>
      </c>
      <c r="I116" s="1" t="s">
        <v>440</v>
      </c>
      <c r="J116" s="2" t="s">
        <v>2174</v>
      </c>
      <c r="K116" s="2" t="s">
        <v>237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2289</v>
      </c>
      <c r="B117" s="1" t="s">
        <v>2257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8" t="s">
        <v>2180</v>
      </c>
      <c r="H117" s="1" t="s">
        <v>684</v>
      </c>
      <c r="I117" s="1" t="s">
        <v>440</v>
      </c>
      <c r="J117" s="2" t="s">
        <v>2181</v>
      </c>
      <c r="K117" s="2" t="s">
        <v>237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2290</v>
      </c>
      <c r="B118" s="1" t="s">
        <v>2261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8" t="s">
        <v>2186</v>
      </c>
      <c r="H118" s="1" t="s">
        <v>684</v>
      </c>
      <c r="I118" s="1" t="s">
        <v>440</v>
      </c>
      <c r="J118" s="2" t="s">
        <v>2187</v>
      </c>
      <c r="K118" s="2" t="s">
        <v>237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2291</v>
      </c>
      <c r="B119" s="1" t="s">
        <v>2253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8" t="s">
        <v>2173</v>
      </c>
      <c r="H119" s="1" t="s">
        <v>687</v>
      </c>
      <c r="I119" s="1" t="s">
        <v>440</v>
      </c>
      <c r="J119" s="2" t="s">
        <v>2174</v>
      </c>
      <c r="K119" s="2" t="s">
        <v>237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2292</v>
      </c>
      <c r="B120" s="1" t="s">
        <v>2257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8" t="s">
        <v>2180</v>
      </c>
      <c r="H120" s="1" t="s">
        <v>687</v>
      </c>
      <c r="I120" s="1" t="s">
        <v>440</v>
      </c>
      <c r="J120" s="2" t="s">
        <v>2181</v>
      </c>
      <c r="K120" s="2" t="s">
        <v>237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2293</v>
      </c>
      <c r="B121" s="1" t="s">
        <v>2261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8" t="s">
        <v>2186</v>
      </c>
      <c r="H121" s="1" t="s">
        <v>687</v>
      </c>
      <c r="I121" s="1" t="s">
        <v>440</v>
      </c>
      <c r="J121" s="2" t="s">
        <v>2187</v>
      </c>
      <c r="K121" s="2" t="s">
        <v>237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36" activeCellId="0" sqref="F36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XET1" colorId="64" zoomScale="100" zoomScaleNormal="100" zoomScalePageLayoutView="100" workbookViewId="0">
      <selection pane="topLeft" activeCell="XFD1" activeCellId="0" sqref="XF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6.92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6</v>
      </c>
    </row>
    <row r="2" customFormat="false" ht="12.8" hidden="false" customHeight="false" outlineLevel="0" collapsed="false">
      <c r="A2" s="11" t="s">
        <v>1</v>
      </c>
      <c r="B2" s="11" t="s">
        <v>29</v>
      </c>
      <c r="C2" s="9"/>
      <c r="D2" s="9"/>
      <c r="E2" s="9"/>
      <c r="F2" s="9"/>
      <c r="G2" s="9"/>
    </row>
    <row r="3" customFormat="false" ht="34.8" hidden="false" customHeight="false" outlineLevel="0" collapsed="false">
      <c r="A3" s="4" t="s">
        <v>2294</v>
      </c>
      <c r="B3" s="4" t="s">
        <v>2295</v>
      </c>
      <c r="C3" s="4" t="s">
        <v>2296</v>
      </c>
      <c r="D3" s="4" t="s">
        <v>2297</v>
      </c>
      <c r="E3" s="4"/>
      <c r="F3" s="4"/>
      <c r="G3" s="4"/>
    </row>
    <row r="4" customFormat="false" ht="12.8" hidden="false" customHeight="false" outlineLevel="0" collapsed="false">
      <c r="A4" s="1" t="n">
        <v>0</v>
      </c>
      <c r="B4" s="3" t="n">
        <v>0</v>
      </c>
      <c r="C4" s="3" t="n">
        <v>7.25</v>
      </c>
      <c r="D4" s="3" t="n">
        <v>15080</v>
      </c>
      <c r="E4" s="3"/>
      <c r="F4" s="23"/>
      <c r="G4" s="3"/>
    </row>
    <row r="5" customFormat="false" ht="12.8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2.8" hidden="false" customHeight="false" outlineLevel="0" collapsed="false">
      <c r="A6" s="3" t="s">
        <v>31</v>
      </c>
      <c r="B6" s="3" t="s">
        <v>32</v>
      </c>
      <c r="C6" s="3"/>
      <c r="D6" s="3"/>
      <c r="E6" s="3"/>
    </row>
    <row r="7" customFormat="false" ht="12.8" hidden="false" customHeight="false" outlineLevel="0" collapsed="false">
      <c r="A7" s="3" t="s">
        <v>2294</v>
      </c>
      <c r="B7" s="3" t="s">
        <v>2295</v>
      </c>
      <c r="C7" s="3" t="s">
        <v>2296</v>
      </c>
      <c r="D7" s="3" t="s">
        <v>2298</v>
      </c>
      <c r="E7" s="3" t="s">
        <v>2299</v>
      </c>
      <c r="F7" s="3" t="s">
        <v>2300</v>
      </c>
      <c r="G7" s="3" t="s">
        <v>2297</v>
      </c>
    </row>
    <row r="8" customFormat="false" ht="12.8" hidden="false" customHeight="false" outlineLevel="0" collapsed="false">
      <c r="A8" s="1" t="n">
        <v>0</v>
      </c>
      <c r="B8" s="1" t="n">
        <v>0</v>
      </c>
      <c r="C8" s="1" t="n">
        <v>7.25</v>
      </c>
      <c r="D8" s="1" t="s">
        <v>2301</v>
      </c>
      <c r="E8" s="1" t="s">
        <v>2301</v>
      </c>
      <c r="F8" s="24" t="s">
        <v>2302</v>
      </c>
      <c r="G8" s="1" t="n">
        <v>15080</v>
      </c>
    </row>
    <row r="9" customFormat="false" ht="12.8" hidden="false" customHeight="false" outlineLevel="0" collapsed="false">
      <c r="A9" s="1" t="n">
        <v>1</v>
      </c>
      <c r="B9" s="1" t="n">
        <v>1</v>
      </c>
      <c r="C9" s="1" t="n">
        <v>7.57</v>
      </c>
      <c r="D9" s="1" t="n">
        <v>0.32</v>
      </c>
      <c r="E9" s="24" t="s">
        <v>2303</v>
      </c>
      <c r="F9" s="24" t="s">
        <v>2304</v>
      </c>
      <c r="G9" s="1" t="n">
        <v>15750</v>
      </c>
    </row>
    <row r="10" customFormat="false" ht="12.8" hidden="false" customHeight="false" outlineLevel="0" collapsed="false">
      <c r="A10" s="1" t="n">
        <v>2</v>
      </c>
      <c r="B10" s="1" t="n">
        <v>2</v>
      </c>
      <c r="C10" s="1" t="n">
        <v>7.91</v>
      </c>
      <c r="D10" s="1" t="n">
        <v>0.34</v>
      </c>
      <c r="E10" s="24" t="s">
        <v>2303</v>
      </c>
      <c r="F10" s="24" t="s">
        <v>2305</v>
      </c>
      <c r="G10" s="1" t="n">
        <v>16450</v>
      </c>
    </row>
    <row r="11" customFormat="false" ht="12.8" hidden="false" customHeight="false" outlineLevel="0" collapsed="false">
      <c r="A11" s="1" t="n">
        <v>3</v>
      </c>
      <c r="B11" s="1" t="n">
        <v>3</v>
      </c>
      <c r="C11" s="1" t="n">
        <v>8.26</v>
      </c>
      <c r="D11" s="1" t="n">
        <v>0.35</v>
      </c>
      <c r="E11" s="24" t="s">
        <v>2303</v>
      </c>
      <c r="F11" s="24" t="s">
        <v>2306</v>
      </c>
      <c r="G11" s="1" t="n">
        <v>17181</v>
      </c>
    </row>
    <row r="12" customFormat="false" ht="12.8" hidden="false" customHeight="false" outlineLevel="0" collapsed="false">
      <c r="A12" s="1" t="n">
        <v>4</v>
      </c>
      <c r="B12" s="1" t="n">
        <v>4</v>
      </c>
      <c r="C12" s="1" t="n">
        <v>8.63</v>
      </c>
      <c r="D12" s="1" t="n">
        <v>0.37</v>
      </c>
      <c r="E12" s="24" t="s">
        <v>2303</v>
      </c>
      <c r="F12" s="24" t="s">
        <v>2307</v>
      </c>
      <c r="G12" s="1" t="n">
        <v>17945</v>
      </c>
    </row>
    <row r="13" customFormat="false" ht="12.8" hidden="false" customHeight="false" outlineLevel="0" collapsed="false">
      <c r="A13" s="1" t="n">
        <v>5</v>
      </c>
      <c r="B13" s="1" t="n">
        <v>5</v>
      </c>
      <c r="C13" s="1" t="n">
        <v>9.01</v>
      </c>
      <c r="D13" s="1" t="n">
        <v>0.38</v>
      </c>
      <c r="E13" s="24" t="s">
        <v>2303</v>
      </c>
      <c r="F13" s="24" t="s">
        <v>2308</v>
      </c>
      <c r="G13" s="1" t="n">
        <v>18743</v>
      </c>
    </row>
    <row r="14" customFormat="false" ht="12.8" hidden="false" customHeight="false" outlineLevel="0" collapsed="false">
      <c r="A14" s="1" t="n">
        <v>6</v>
      </c>
      <c r="B14" s="1" t="n">
        <v>6</v>
      </c>
      <c r="C14" s="1" t="n">
        <v>9.41</v>
      </c>
      <c r="D14" s="1" t="n">
        <v>0.4</v>
      </c>
      <c r="E14" s="24" t="s">
        <v>2303</v>
      </c>
      <c r="F14" s="24" t="s">
        <v>2309</v>
      </c>
      <c r="G14" s="1" t="n">
        <v>19576</v>
      </c>
    </row>
    <row r="15" customFormat="false" ht="12.8" hidden="false" customHeight="false" outlineLevel="0" collapsed="false">
      <c r="A15" s="1" t="n">
        <v>7</v>
      </c>
      <c r="B15" s="1" t="n">
        <v>7</v>
      </c>
      <c r="C15" s="1" t="n">
        <v>9.83</v>
      </c>
      <c r="D15" s="1" t="n">
        <v>0.42</v>
      </c>
      <c r="E15" s="24" t="s">
        <v>2303</v>
      </c>
      <c r="F15" s="24" t="s">
        <v>2310</v>
      </c>
      <c r="G15" s="1" t="n">
        <v>20446</v>
      </c>
    </row>
    <row r="16" customFormat="false" ht="12.8" hidden="false" customHeight="false" outlineLevel="0" collapsed="false">
      <c r="A16" s="1" t="n">
        <v>8</v>
      </c>
      <c r="B16" s="1" t="n">
        <v>8</v>
      </c>
      <c r="C16" s="1" t="n">
        <v>10.27</v>
      </c>
      <c r="D16" s="1" t="n">
        <v>0.44</v>
      </c>
      <c r="E16" s="24" t="s">
        <v>2303</v>
      </c>
      <c r="F16" s="24" t="s">
        <v>2311</v>
      </c>
      <c r="G16" s="1" t="n">
        <v>21354</v>
      </c>
    </row>
    <row r="17" customFormat="false" ht="12.8" hidden="false" customHeight="false" outlineLevel="0" collapsed="false">
      <c r="A17" s="1" t="n">
        <v>9</v>
      </c>
      <c r="B17" s="1" t="n">
        <v>9</v>
      </c>
      <c r="C17" s="1" t="n">
        <v>10.72</v>
      </c>
      <c r="D17" s="1" t="n">
        <v>0.46</v>
      </c>
      <c r="E17" s="24" t="s">
        <v>2303</v>
      </c>
      <c r="F17" s="24" t="s">
        <v>2312</v>
      </c>
      <c r="G17" s="1" t="n">
        <v>22303</v>
      </c>
    </row>
    <row r="18" customFormat="false" ht="12.8" hidden="false" customHeight="false" outlineLevel="0" collapsed="false">
      <c r="A18" s="1" t="n">
        <v>10</v>
      </c>
      <c r="B18" s="1" t="n">
        <v>10</v>
      </c>
      <c r="C18" s="1" t="n">
        <v>11.2</v>
      </c>
      <c r="D18" s="1" t="n">
        <v>0.48</v>
      </c>
      <c r="E18" s="24" t="s">
        <v>2303</v>
      </c>
      <c r="F18" s="24" t="s">
        <v>2313</v>
      </c>
      <c r="G18" s="1" t="n">
        <v>23295</v>
      </c>
    </row>
    <row r="19" customFormat="false" ht="12.8" hidden="false" customHeight="false" outlineLevel="0" collapsed="false">
      <c r="A19" s="1" t="n">
        <v>11</v>
      </c>
      <c r="B19" s="1" t="n">
        <v>11</v>
      </c>
      <c r="C19" s="1" t="n">
        <v>11.7</v>
      </c>
      <c r="D19" s="1" t="n">
        <v>0.5</v>
      </c>
      <c r="E19" s="24" t="s">
        <v>2303</v>
      </c>
      <c r="F19" s="24" t="s">
        <v>2314</v>
      </c>
      <c r="G19" s="1" t="n">
        <v>24330</v>
      </c>
    </row>
    <row r="20" customFormat="false" ht="12.8" hidden="false" customHeight="false" outlineLevel="0" collapsed="false">
      <c r="A20" s="1" t="n">
        <v>12</v>
      </c>
      <c r="B20" s="1" t="n">
        <v>12</v>
      </c>
      <c r="C20" s="1" t="n">
        <v>12.22</v>
      </c>
      <c r="D20" s="1" t="n">
        <v>0.52</v>
      </c>
      <c r="E20" s="24" t="s">
        <v>2303</v>
      </c>
      <c r="F20" s="24" t="s">
        <v>2315</v>
      </c>
      <c r="G20" s="1" t="n">
        <v>25411</v>
      </c>
    </row>
    <row r="21" customFormat="false" ht="12.8" hidden="false" customHeight="false" outlineLevel="0" collapsed="false">
      <c r="A21" s="1" t="n">
        <v>13</v>
      </c>
      <c r="B21" s="1" t="n">
        <v>13</v>
      </c>
      <c r="C21" s="1" t="n">
        <v>12.76</v>
      </c>
      <c r="D21" s="1" t="n">
        <v>0.54</v>
      </c>
      <c r="E21" s="24" t="s">
        <v>2303</v>
      </c>
      <c r="F21" s="24" t="s">
        <v>2316</v>
      </c>
      <c r="G21" s="1" t="n">
        <v>26541</v>
      </c>
    </row>
    <row r="22" customFormat="false" ht="12.8" hidden="false" customHeight="false" outlineLevel="0" collapsed="false">
      <c r="A22" s="1" t="n">
        <v>14</v>
      </c>
      <c r="B22" s="1" t="n">
        <v>14</v>
      </c>
      <c r="C22" s="1" t="n">
        <v>13.33</v>
      </c>
      <c r="D22" s="1" t="n">
        <v>0.57</v>
      </c>
      <c r="E22" s="24" t="s">
        <v>2303</v>
      </c>
      <c r="F22" s="24" t="s">
        <v>2317</v>
      </c>
      <c r="G22" s="1" t="n">
        <v>27720</v>
      </c>
    </row>
    <row r="23" customFormat="false" ht="12.8" hidden="false" customHeight="false" outlineLevel="0" collapsed="false">
      <c r="A23" s="1" t="n">
        <v>15</v>
      </c>
      <c r="B23" s="1" t="n">
        <v>15</v>
      </c>
      <c r="C23" s="1" t="n">
        <v>13.92</v>
      </c>
      <c r="D23" s="1" t="n">
        <v>0.59</v>
      </c>
      <c r="E23" s="24" t="s">
        <v>2303</v>
      </c>
      <c r="F23" s="24" t="s">
        <v>2318</v>
      </c>
      <c r="G23" s="1" t="n">
        <v>28952</v>
      </c>
    </row>
    <row r="24" customFormat="false" ht="12.8" hidden="false" customHeight="false" outlineLevel="0" collapsed="false">
      <c r="A24" s="1" t="n">
        <v>16</v>
      </c>
      <c r="B24" s="1" t="n">
        <v>16</v>
      </c>
      <c r="C24" s="1" t="n">
        <v>14.54</v>
      </c>
      <c r="D24" s="1" t="n">
        <v>0.62</v>
      </c>
      <c r="E24" s="24" t="s">
        <v>2303</v>
      </c>
      <c r="F24" s="24" t="s">
        <v>2319</v>
      </c>
      <c r="G24" s="1" t="n">
        <v>30239</v>
      </c>
    </row>
    <row r="25" customFormat="false" ht="12.8" hidden="false" customHeight="false" outlineLevel="0" collapsed="false">
      <c r="A25" s="1" t="n">
        <v>17</v>
      </c>
      <c r="B25" s="1" t="n">
        <v>17</v>
      </c>
      <c r="C25" s="1" t="n">
        <v>15.18</v>
      </c>
      <c r="D25" s="1" t="n">
        <v>0.65</v>
      </c>
      <c r="E25" s="24" t="s">
        <v>2303</v>
      </c>
      <c r="F25" s="24" t="s">
        <v>2320</v>
      </c>
      <c r="G25" s="1" t="n">
        <v>31583</v>
      </c>
    </row>
    <row r="26" customFormat="false" ht="12.8" hidden="false" customHeight="false" outlineLevel="0" collapsed="false">
      <c r="A26" s="1" t="n">
        <v>18</v>
      </c>
      <c r="B26" s="1" t="n">
        <v>18</v>
      </c>
      <c r="C26" s="1" t="n">
        <v>15.86</v>
      </c>
      <c r="D26" s="1" t="n">
        <v>0.67</v>
      </c>
      <c r="E26" s="25" t="n">
        <v>0.0444</v>
      </c>
      <c r="F26" s="25" t="n">
        <v>1.187</v>
      </c>
      <c r="G26" s="1" t="n">
        <v>32987</v>
      </c>
    </row>
    <row r="27" customFormat="false" ht="12.8" hidden="false" customHeight="false" outlineLevel="0" collapsed="false">
      <c r="A27" s="1" t="n">
        <v>19</v>
      </c>
      <c r="B27" s="1" t="n">
        <v>19</v>
      </c>
      <c r="C27" s="1" t="n">
        <v>16.56</v>
      </c>
      <c r="D27" s="1" t="n">
        <v>0.7</v>
      </c>
      <c r="E27" s="25" t="n">
        <v>0.0444</v>
      </c>
      <c r="F27" s="25" t="n">
        <v>1.285</v>
      </c>
      <c r="G27" s="1" t="n">
        <v>34453</v>
      </c>
    </row>
    <row r="28" customFormat="false" ht="12.8" hidden="false" customHeight="false" outlineLevel="0" collapsed="false">
      <c r="A28" s="1" t="n">
        <v>20</v>
      </c>
      <c r="B28" s="1" t="n">
        <v>20</v>
      </c>
      <c r="C28" s="1" t="n">
        <v>17.3</v>
      </c>
      <c r="D28" s="1" t="n">
        <v>0.74</v>
      </c>
      <c r="E28" s="25" t="n">
        <v>0.0444</v>
      </c>
      <c r="F28" s="25" t="n">
        <v>1.386</v>
      </c>
      <c r="G28" s="1" t="n">
        <v>35984</v>
      </c>
    </row>
    <row r="30" customFormat="false" ht="12.8" hidden="false" customHeight="false" outlineLevel="0" collapsed="false">
      <c r="A30" s="3" t="s">
        <v>34</v>
      </c>
      <c r="B30" s="3" t="s">
        <v>2321</v>
      </c>
      <c r="H30" s="9"/>
      <c r="I30" s="9"/>
      <c r="J30" s="9"/>
      <c r="K30" s="9"/>
      <c r="L30" s="9"/>
    </row>
    <row r="31" customFormat="false" ht="12.8" hidden="false" customHeight="false" outlineLevel="0" collapsed="false">
      <c r="A31" s="1" t="s">
        <v>2294</v>
      </c>
      <c r="B31" s="1" t="s">
        <v>2295</v>
      </c>
      <c r="C31" s="1" t="s">
        <v>2296</v>
      </c>
      <c r="D31" s="1" t="s">
        <v>2298</v>
      </c>
      <c r="E31" s="1" t="s">
        <v>2299</v>
      </c>
      <c r="F31" s="1" t="s">
        <v>2300</v>
      </c>
      <c r="G31" s="1" t="s">
        <v>2297</v>
      </c>
      <c r="H31" s="9"/>
      <c r="I31" s="9"/>
      <c r="J31" s="9"/>
      <c r="K31" s="9"/>
      <c r="L31" s="9"/>
    </row>
    <row r="32" customFormat="false" ht="12.8" hidden="false" customHeight="false" outlineLevel="0" collapsed="false">
      <c r="A32" s="1" t="n">
        <v>0</v>
      </c>
      <c r="B32" s="1" t="n">
        <v>0</v>
      </c>
      <c r="C32" s="1" t="n">
        <v>7.25</v>
      </c>
      <c r="D32" s="1" t="s">
        <v>2301</v>
      </c>
      <c r="E32" s="1" t="s">
        <v>2301</v>
      </c>
      <c r="F32" s="26" t="n">
        <v>0</v>
      </c>
      <c r="G32" s="1" t="n">
        <v>15080</v>
      </c>
      <c r="H32" s="9"/>
      <c r="I32" s="9"/>
      <c r="J32" s="9"/>
      <c r="K32" s="9"/>
      <c r="L32" s="9"/>
    </row>
    <row r="33" customFormat="false" ht="12.8" hidden="false" customHeight="false" outlineLevel="0" collapsed="false">
      <c r="A33" s="1" t="n">
        <v>1</v>
      </c>
      <c r="B33" s="1" t="n">
        <v>1</v>
      </c>
      <c r="C33" s="1" t="n">
        <v>7.49</v>
      </c>
      <c r="D33" s="1" t="n">
        <v>0.24</v>
      </c>
      <c r="E33" s="26" t="n">
        <v>0.0333</v>
      </c>
      <c r="F33" s="26" t="n">
        <v>0.033</v>
      </c>
      <c r="G33" s="1" t="n">
        <v>15582</v>
      </c>
      <c r="H33" s="9"/>
      <c r="I33" s="9"/>
      <c r="J33" s="9"/>
      <c r="K33" s="9"/>
      <c r="L33" s="9"/>
    </row>
    <row r="34" customFormat="false" ht="12.8" hidden="false" customHeight="false" outlineLevel="0" collapsed="false">
      <c r="A34" s="1" t="n">
        <v>2</v>
      </c>
      <c r="B34" s="1" t="n">
        <v>2</v>
      </c>
      <c r="C34" s="1" t="n">
        <v>7.74</v>
      </c>
      <c r="D34" s="1" t="n">
        <v>0.25</v>
      </c>
      <c r="E34" s="26" t="n">
        <v>0.0333</v>
      </c>
      <c r="F34" s="26" t="n">
        <v>0.068</v>
      </c>
      <c r="G34" s="1" t="n">
        <v>16101</v>
      </c>
      <c r="H34" s="9"/>
      <c r="I34" s="9"/>
      <c r="J34" s="9"/>
      <c r="K34" s="9"/>
      <c r="L34" s="9"/>
    </row>
    <row r="35" customFormat="false" ht="12.8" hidden="false" customHeight="false" outlineLevel="0" collapsed="false">
      <c r="A35" s="1" t="n">
        <v>3</v>
      </c>
      <c r="B35" s="1" t="n">
        <v>3</v>
      </c>
      <c r="C35" s="1" t="n">
        <v>8</v>
      </c>
      <c r="D35" s="1" t="n">
        <v>0.26</v>
      </c>
      <c r="E35" s="26" t="n">
        <v>0.0333</v>
      </c>
      <c r="F35" s="26" t="n">
        <v>0.103</v>
      </c>
      <c r="G35" s="1" t="n">
        <v>16637</v>
      </c>
      <c r="H35" s="9"/>
      <c r="I35" s="9"/>
      <c r="J35" s="9"/>
      <c r="K35" s="9"/>
      <c r="L35" s="9"/>
    </row>
    <row r="36" customFormat="false" ht="12.8" hidden="false" customHeight="false" outlineLevel="0" collapsed="false">
      <c r="A36" s="1" t="n">
        <v>4</v>
      </c>
      <c r="B36" s="1" t="n">
        <v>4</v>
      </c>
      <c r="C36" s="1" t="n">
        <v>8.27</v>
      </c>
      <c r="D36" s="1" t="n">
        <v>0.27</v>
      </c>
      <c r="E36" s="26" t="n">
        <v>0.0333</v>
      </c>
      <c r="F36" s="26" t="n">
        <v>0.14</v>
      </c>
      <c r="G36" s="1" t="n">
        <v>17192</v>
      </c>
      <c r="H36" s="9"/>
      <c r="I36" s="9"/>
      <c r="J36" s="9"/>
      <c r="K36" s="9"/>
      <c r="L36" s="9"/>
    </row>
    <row r="37" customFormat="false" ht="12.8" hidden="false" customHeight="false" outlineLevel="0" collapsed="false">
      <c r="A37" s="1" t="n">
        <v>5</v>
      </c>
      <c r="B37" s="1" t="n">
        <v>5</v>
      </c>
      <c r="C37" s="1" t="n">
        <v>8.54</v>
      </c>
      <c r="D37" s="1" t="n">
        <v>0.28</v>
      </c>
      <c r="E37" s="26" t="n">
        <v>0.0333</v>
      </c>
      <c r="F37" s="26" t="n">
        <v>0.178</v>
      </c>
      <c r="G37" s="1" t="n">
        <v>17766</v>
      </c>
      <c r="H37" s="9"/>
      <c r="I37" s="9"/>
      <c r="J37" s="9"/>
      <c r="K37" s="9"/>
      <c r="L37" s="9"/>
    </row>
    <row r="38" customFormat="false" ht="12.8" hidden="false" customHeight="false" outlineLevel="0" collapsed="false">
      <c r="A38" s="1" t="n">
        <v>6</v>
      </c>
      <c r="B38" s="1" t="n">
        <v>6</v>
      </c>
      <c r="C38" s="1" t="n">
        <v>8.83</v>
      </c>
      <c r="D38" s="1" t="n">
        <v>0.29</v>
      </c>
      <c r="E38" s="26" t="n">
        <v>0.0333</v>
      </c>
      <c r="F38" s="26" t="n">
        <v>0.218</v>
      </c>
      <c r="G38" s="1" t="n">
        <v>18361</v>
      </c>
      <c r="H38" s="9"/>
      <c r="I38" s="9"/>
      <c r="J38" s="9"/>
      <c r="K38" s="9"/>
      <c r="L38" s="9"/>
    </row>
    <row r="39" customFormat="false" ht="12.8" hidden="false" customHeight="false" outlineLevel="0" collapsed="false">
      <c r="A39" s="1" t="n">
        <v>7</v>
      </c>
      <c r="B39" s="1" t="n">
        <v>7</v>
      </c>
      <c r="C39" s="1" t="n">
        <v>9.12</v>
      </c>
      <c r="D39" s="1" t="n">
        <v>0.29</v>
      </c>
      <c r="E39" s="26" t="n">
        <v>0.0333</v>
      </c>
      <c r="F39" s="26" t="n">
        <v>0.258</v>
      </c>
      <c r="G39" s="1" t="n">
        <v>18978</v>
      </c>
      <c r="H39" s="9"/>
      <c r="I39" s="9"/>
      <c r="J39" s="9"/>
      <c r="K39" s="9"/>
      <c r="L39" s="9"/>
    </row>
    <row r="40" customFormat="false" ht="12.8" hidden="false" customHeight="false" outlineLevel="0" collapsed="false">
      <c r="A40" s="1" t="n">
        <v>8</v>
      </c>
      <c r="B40" s="1" t="n">
        <v>8</v>
      </c>
      <c r="C40" s="1" t="n">
        <v>9.43</v>
      </c>
      <c r="D40" s="1" t="n">
        <v>0.3</v>
      </c>
      <c r="E40" s="26" t="n">
        <v>0.0333</v>
      </c>
      <c r="F40" s="26" t="n">
        <v>0.301</v>
      </c>
      <c r="G40" s="1" t="n">
        <v>19619</v>
      </c>
      <c r="H40" s="9"/>
      <c r="I40" s="9"/>
      <c r="J40" s="9"/>
      <c r="K40" s="9"/>
      <c r="L40" s="9"/>
    </row>
    <row r="41" customFormat="false" ht="12.8" hidden="false" customHeight="false" outlineLevel="0" collapsed="false">
      <c r="A41" s="1" t="n">
        <v>9</v>
      </c>
      <c r="B41" s="1" t="n">
        <v>9</v>
      </c>
      <c r="C41" s="1" t="n">
        <v>9.74</v>
      </c>
      <c r="D41" s="1" t="n">
        <v>0.31</v>
      </c>
      <c r="E41" s="26" t="n">
        <v>0.0333</v>
      </c>
      <c r="F41" s="26" t="n">
        <v>0.344</v>
      </c>
      <c r="G41" s="1" t="n">
        <v>20285</v>
      </c>
      <c r="H41" s="9"/>
      <c r="I41" s="9"/>
      <c r="J41" s="9"/>
      <c r="K41" s="9"/>
      <c r="L41" s="9"/>
    </row>
    <row r="42" customFormat="false" ht="12.8" hidden="false" customHeight="false" outlineLevel="0" collapsed="false">
      <c r="A42" s="1" t="n">
        <v>10</v>
      </c>
      <c r="B42" s="1" t="n">
        <v>10</v>
      </c>
      <c r="C42" s="1" t="n">
        <v>10.06</v>
      </c>
      <c r="D42" s="1" t="n">
        <v>0.32</v>
      </c>
      <c r="E42" s="26" t="n">
        <v>0.0333</v>
      </c>
      <c r="F42" s="26" t="n">
        <v>0.388</v>
      </c>
      <c r="G42" s="1" t="n">
        <v>20976</v>
      </c>
      <c r="H42" s="9"/>
      <c r="I42" s="9"/>
      <c r="J42" s="9"/>
      <c r="K42" s="9"/>
      <c r="L42" s="9"/>
    </row>
    <row r="43" customFormat="false" ht="12.8" hidden="false" customHeight="false" outlineLevel="0" collapsed="false">
      <c r="A43" s="1" t="n">
        <v>11</v>
      </c>
      <c r="B43" s="1" t="n">
        <v>11</v>
      </c>
      <c r="C43" s="1" t="n">
        <v>10.4</v>
      </c>
      <c r="D43" s="1" t="n">
        <v>0.34</v>
      </c>
      <c r="E43" s="26" t="n">
        <v>0.0333</v>
      </c>
      <c r="F43" s="26" t="n">
        <v>0.435</v>
      </c>
      <c r="G43" s="1" t="n">
        <v>21694</v>
      </c>
      <c r="H43" s="9"/>
      <c r="I43" s="9"/>
      <c r="J43" s="9"/>
      <c r="K43" s="9"/>
      <c r="L43" s="9"/>
    </row>
    <row r="44" customFormat="false" ht="12.8" hidden="false" customHeight="false" outlineLevel="0" collapsed="false">
      <c r="A44" s="1" t="n">
        <v>12</v>
      </c>
      <c r="B44" s="1" t="n">
        <v>12</v>
      </c>
      <c r="C44" s="1" t="n">
        <v>10.74</v>
      </c>
      <c r="D44" s="1" t="n">
        <v>0.35</v>
      </c>
      <c r="E44" s="26" t="n">
        <v>0.0333</v>
      </c>
      <c r="F44" s="26" t="n">
        <v>0.482</v>
      </c>
      <c r="G44" s="1" t="n">
        <v>22440</v>
      </c>
      <c r="H44" s="9"/>
      <c r="I44" s="9"/>
      <c r="J44" s="9"/>
      <c r="K44" s="9"/>
      <c r="L44" s="9"/>
    </row>
    <row r="45" customFormat="false" ht="12.8" hidden="false" customHeight="false" outlineLevel="0" collapsed="false">
      <c r="A45" s="1" t="n">
        <v>13</v>
      </c>
      <c r="B45" s="1" t="n">
        <v>13</v>
      </c>
      <c r="C45" s="1" t="n">
        <v>11.1</v>
      </c>
      <c r="D45" s="1" t="n">
        <v>0.36</v>
      </c>
      <c r="E45" s="26" t="n">
        <v>0.0333</v>
      </c>
      <c r="F45" s="26" t="n">
        <v>0.532</v>
      </c>
      <c r="G45" s="1" t="n">
        <v>23215</v>
      </c>
      <c r="H45" s="9"/>
      <c r="I45" s="9"/>
      <c r="J45" s="9"/>
      <c r="K45" s="9"/>
      <c r="L45" s="9"/>
    </row>
    <row r="46" customFormat="false" ht="12.8" hidden="false" customHeight="false" outlineLevel="0" collapsed="false">
      <c r="A46" s="1" t="n">
        <v>14</v>
      </c>
      <c r="B46" s="1" t="n">
        <v>14</v>
      </c>
      <c r="C46" s="1" t="n">
        <v>11.47</v>
      </c>
      <c r="D46" s="1" t="n">
        <v>0.37</v>
      </c>
      <c r="E46" s="26" t="n">
        <v>0.0333</v>
      </c>
      <c r="F46" s="26" t="n">
        <v>0.582</v>
      </c>
      <c r="G46" s="1" t="n">
        <v>24020</v>
      </c>
      <c r="H46" s="9"/>
      <c r="I46" s="9"/>
      <c r="J46" s="9"/>
      <c r="K46" s="9"/>
      <c r="L46" s="9"/>
    </row>
    <row r="47" customFormat="false" ht="12.8" hidden="false" customHeight="false" outlineLevel="0" collapsed="false">
      <c r="A47" s="1" t="n">
        <v>15</v>
      </c>
      <c r="B47" s="1" t="n">
        <v>15</v>
      </c>
      <c r="C47" s="1" t="n">
        <v>11.85</v>
      </c>
      <c r="D47" s="1" t="n">
        <v>0.38</v>
      </c>
      <c r="E47" s="26" t="n">
        <v>0.0333</v>
      </c>
      <c r="F47" s="26" t="n">
        <v>0.634</v>
      </c>
      <c r="G47" s="1" t="n">
        <v>24857</v>
      </c>
      <c r="H47" s="9"/>
      <c r="I47" s="9"/>
      <c r="J47" s="9"/>
      <c r="K47" s="9"/>
      <c r="L47" s="9"/>
    </row>
    <row r="48" customFormat="false" ht="12.8" hidden="false" customHeight="false" outlineLevel="0" collapsed="false">
      <c r="A48" s="1" t="n">
        <v>16</v>
      </c>
      <c r="B48" s="1" t="n">
        <v>16</v>
      </c>
      <c r="C48" s="1" t="n">
        <v>12.25</v>
      </c>
      <c r="D48" s="1" t="n">
        <v>0.4</v>
      </c>
      <c r="E48" s="26" t="n">
        <v>0.0333</v>
      </c>
      <c r="F48" s="26" t="n">
        <v>0.69</v>
      </c>
      <c r="G48" s="1" t="n">
        <v>25726</v>
      </c>
      <c r="H48" s="9"/>
      <c r="I48" s="9"/>
      <c r="J48" s="9"/>
      <c r="K48" s="9"/>
      <c r="L48" s="9"/>
    </row>
    <row r="49" customFormat="false" ht="12.8" hidden="false" customHeight="false" outlineLevel="0" collapsed="false">
      <c r="A49" s="1" t="n">
        <v>17</v>
      </c>
      <c r="B49" s="1" t="n">
        <v>17</v>
      </c>
      <c r="C49" s="1" t="n">
        <v>12.65</v>
      </c>
      <c r="D49" s="1" t="n">
        <v>0.41</v>
      </c>
      <c r="E49" s="26" t="n">
        <v>0.0333</v>
      </c>
      <c r="F49" s="26" t="n">
        <v>0.745</v>
      </c>
      <c r="G49" s="1" t="n">
        <v>26318</v>
      </c>
      <c r="H49" s="9"/>
      <c r="I49" s="9"/>
      <c r="J49" s="9"/>
      <c r="K49" s="9"/>
      <c r="L49" s="9"/>
    </row>
    <row r="50" customFormat="false" ht="12.8" hidden="false" customHeight="false" outlineLevel="0" collapsed="false">
      <c r="A50" s="1" t="n">
        <v>18</v>
      </c>
      <c r="B50" s="1" t="n">
        <v>18</v>
      </c>
      <c r="C50" s="1" t="n">
        <v>13.07</v>
      </c>
      <c r="D50" s="1" t="n">
        <v>0.42</v>
      </c>
      <c r="E50" s="26" t="n">
        <v>0.0333</v>
      </c>
      <c r="F50" s="26" t="n">
        <v>0.803</v>
      </c>
      <c r="G50" s="1" t="n">
        <v>27194</v>
      </c>
    </row>
    <row r="51" customFormat="false" ht="12.8" hidden="false" customHeight="false" outlineLevel="0" collapsed="false">
      <c r="A51" s="1" t="n">
        <v>19</v>
      </c>
      <c r="B51" s="1" t="n">
        <v>19</v>
      </c>
      <c r="C51" s="1" t="n">
        <v>13.51</v>
      </c>
      <c r="D51" s="1" t="n">
        <v>0.44</v>
      </c>
      <c r="E51" s="26" t="n">
        <v>0.0333</v>
      </c>
      <c r="F51" s="26" t="n">
        <v>0.863</v>
      </c>
      <c r="G51" s="1" t="n">
        <v>28100</v>
      </c>
    </row>
    <row r="52" customFormat="false" ht="12.8" hidden="false" customHeight="false" outlineLevel="0" collapsed="false">
      <c r="A52" s="1" t="n">
        <v>20</v>
      </c>
      <c r="B52" s="1" t="n">
        <v>20</v>
      </c>
      <c r="C52" s="1" t="n">
        <v>13.96</v>
      </c>
      <c r="D52" s="1" t="n">
        <v>0.45</v>
      </c>
      <c r="E52" s="26" t="n">
        <v>0.0333</v>
      </c>
      <c r="F52" s="26" t="n">
        <v>0.925</v>
      </c>
      <c r="G52" s="1" t="n">
        <v>29036</v>
      </c>
    </row>
    <row r="54" customFormat="false" ht="12.8" hidden="false" customHeight="false" outlineLevel="0" collapsed="false">
      <c r="A54" s="3" t="s">
        <v>37</v>
      </c>
      <c r="B54" s="3" t="s">
        <v>2322</v>
      </c>
    </row>
    <row r="55" customFormat="false" ht="12.8" hidden="false" customHeight="false" outlineLevel="0" collapsed="false">
      <c r="A55" s="1" t="s">
        <v>2294</v>
      </c>
      <c r="B55" s="1" t="s">
        <v>2295</v>
      </c>
      <c r="C55" s="1" t="s">
        <v>2296</v>
      </c>
      <c r="D55" s="1" t="s">
        <v>2298</v>
      </c>
      <c r="E55" s="1" t="s">
        <v>2299</v>
      </c>
      <c r="F55" s="26" t="s">
        <v>2300</v>
      </c>
      <c r="G55" s="1" t="s">
        <v>2297</v>
      </c>
    </row>
    <row r="56" customFormat="false" ht="12.8" hidden="false" customHeight="false" outlineLevel="0" collapsed="false">
      <c r="A56" s="1" t="n">
        <v>0</v>
      </c>
      <c r="B56" s="1" t="n">
        <v>0</v>
      </c>
      <c r="C56" s="1" t="n">
        <v>7.25</v>
      </c>
      <c r="D56" s="1" t="s">
        <v>2301</v>
      </c>
      <c r="E56" s="26" t="s">
        <v>2301</v>
      </c>
      <c r="F56" s="26" t="n">
        <v>0</v>
      </c>
      <c r="G56" s="1" t="n">
        <v>15080</v>
      </c>
    </row>
    <row r="57" customFormat="false" ht="12.8" hidden="false" customHeight="false" outlineLevel="0" collapsed="false">
      <c r="A57" s="1" t="n">
        <v>1</v>
      </c>
      <c r="B57" s="1" t="n">
        <v>1</v>
      </c>
      <c r="C57" s="1" t="n">
        <v>7.41</v>
      </c>
      <c r="D57" s="1" t="n">
        <v>0.16</v>
      </c>
      <c r="E57" s="26" t="n">
        <v>0.0222</v>
      </c>
      <c r="F57" s="26" t="n">
        <v>0.0221</v>
      </c>
      <c r="G57" s="1" t="n">
        <v>15413</v>
      </c>
    </row>
    <row r="58" customFormat="false" ht="12.8" hidden="false" customHeight="false" outlineLevel="0" collapsed="false">
      <c r="A58" s="1" t="n">
        <v>2</v>
      </c>
      <c r="B58" s="1" t="n">
        <v>2</v>
      </c>
      <c r="C58" s="1" t="n">
        <v>7.58</v>
      </c>
      <c r="D58" s="1" t="n">
        <v>0.17</v>
      </c>
      <c r="E58" s="26" t="n">
        <v>0.0222</v>
      </c>
      <c r="F58" s="26" t="n">
        <v>0.0455</v>
      </c>
      <c r="G58" s="1" t="n">
        <v>15766</v>
      </c>
    </row>
    <row r="59" customFormat="false" ht="12.8" hidden="false" customHeight="false" outlineLevel="0" collapsed="false">
      <c r="A59" s="1" t="n">
        <v>3</v>
      </c>
      <c r="B59" s="1" t="n">
        <v>3</v>
      </c>
      <c r="C59" s="1" t="n">
        <v>7.74</v>
      </c>
      <c r="D59" s="1" t="n">
        <v>0.16</v>
      </c>
      <c r="E59" s="26" t="n">
        <v>0.0222</v>
      </c>
      <c r="F59" s="26" t="n">
        <v>0.0676</v>
      </c>
      <c r="G59" s="1" t="n">
        <v>16099</v>
      </c>
    </row>
    <row r="60" customFormat="false" ht="12.8" hidden="false" customHeight="false" outlineLevel="0" collapsed="false">
      <c r="A60" s="1" t="n">
        <v>4</v>
      </c>
      <c r="B60" s="1" t="n">
        <v>4</v>
      </c>
      <c r="C60" s="1" t="n">
        <v>7.92</v>
      </c>
      <c r="D60" s="1" t="n">
        <v>0.18</v>
      </c>
      <c r="E60" s="26" t="n">
        <v>0.0222</v>
      </c>
      <c r="F60" s="26" t="n">
        <v>0.0924</v>
      </c>
      <c r="G60" s="1" t="n">
        <v>16474</v>
      </c>
    </row>
    <row r="61" customFormat="false" ht="12.8" hidden="false" customHeight="false" outlineLevel="0" collapsed="false">
      <c r="A61" s="1" t="n">
        <v>5</v>
      </c>
      <c r="B61" s="1" t="n">
        <v>5</v>
      </c>
      <c r="C61" s="1" t="n">
        <v>8.09</v>
      </c>
      <c r="D61" s="1" t="n">
        <v>0.17</v>
      </c>
      <c r="E61" s="26" t="n">
        <v>0.0222</v>
      </c>
      <c r="F61" s="26" t="n">
        <v>0.1159</v>
      </c>
      <c r="G61" s="1" t="n">
        <v>16827</v>
      </c>
    </row>
    <row r="62" customFormat="false" ht="12.8" hidden="false" customHeight="false" outlineLevel="0" collapsed="false">
      <c r="A62" s="1" t="n">
        <v>6</v>
      </c>
      <c r="B62" s="1" t="n">
        <v>6</v>
      </c>
      <c r="C62" s="1" t="n">
        <v>8.27</v>
      </c>
      <c r="D62" s="1" t="n">
        <v>0.18</v>
      </c>
      <c r="E62" s="26" t="n">
        <v>0.0222</v>
      </c>
      <c r="F62" s="26" t="n">
        <v>0.1407</v>
      </c>
      <c r="G62" s="1" t="n">
        <v>17202</v>
      </c>
    </row>
    <row r="63" customFormat="false" ht="12.8" hidden="false" customHeight="false" outlineLevel="0" collapsed="false">
      <c r="A63" s="1" t="n">
        <v>7</v>
      </c>
      <c r="B63" s="1" t="n">
        <v>7</v>
      </c>
      <c r="C63" s="1" t="n">
        <v>8.45</v>
      </c>
      <c r="D63" s="1" t="n">
        <v>0.18</v>
      </c>
      <c r="E63" s="26" t="n">
        <v>0.0222</v>
      </c>
      <c r="F63" s="26" t="n">
        <v>0.1655</v>
      </c>
      <c r="G63" s="1" t="n">
        <v>17576</v>
      </c>
    </row>
    <row r="64" customFormat="false" ht="12.8" hidden="false" customHeight="false" outlineLevel="0" collapsed="false">
      <c r="A64" s="1" t="n">
        <v>8</v>
      </c>
      <c r="B64" s="1" t="n">
        <v>8</v>
      </c>
      <c r="C64" s="1" t="n">
        <v>8.64</v>
      </c>
      <c r="D64" s="1" t="n">
        <v>0.19</v>
      </c>
      <c r="E64" s="26" t="n">
        <v>0.0222</v>
      </c>
      <c r="F64" s="26" t="n">
        <v>0.1917</v>
      </c>
      <c r="G64" s="1" t="n">
        <v>17971</v>
      </c>
    </row>
    <row r="65" customFormat="false" ht="12.8" hidden="false" customHeight="false" outlineLevel="0" collapsed="false">
      <c r="A65" s="1" t="n">
        <v>9</v>
      </c>
      <c r="B65" s="1" t="n">
        <v>9</v>
      </c>
      <c r="C65" s="1" t="n">
        <v>8.83</v>
      </c>
      <c r="D65" s="1" t="n">
        <v>0.19</v>
      </c>
      <c r="E65" s="26" t="n">
        <v>0.0222</v>
      </c>
      <c r="F65" s="26" t="n">
        <v>0.2179</v>
      </c>
      <c r="G65" s="1" t="n">
        <v>18366</v>
      </c>
    </row>
    <row r="66" customFormat="false" ht="12.8" hidden="false" customHeight="false" outlineLevel="0" collapsed="false">
      <c r="A66" s="1" t="n">
        <v>10</v>
      </c>
      <c r="B66" s="1" t="n">
        <v>10</v>
      </c>
      <c r="C66" s="1" t="n">
        <v>9.03</v>
      </c>
      <c r="D66" s="1" t="n">
        <v>0.2</v>
      </c>
      <c r="E66" s="26" t="n">
        <v>0.0222</v>
      </c>
      <c r="F66" s="26" t="n">
        <v>0.2455</v>
      </c>
      <c r="G66" s="1" t="n">
        <v>18782</v>
      </c>
    </row>
    <row r="67" customFormat="false" ht="12.8" hidden="false" customHeight="false" outlineLevel="0" collapsed="false">
      <c r="A67" s="1" t="n">
        <v>11</v>
      </c>
      <c r="B67" s="1" t="n">
        <v>11</v>
      </c>
      <c r="C67" s="1" t="n">
        <v>9.23</v>
      </c>
      <c r="D67" s="1" t="n">
        <v>0.2</v>
      </c>
      <c r="E67" s="26" t="n">
        <v>0.0222</v>
      </c>
      <c r="F67" s="26" t="n">
        <v>0.2731</v>
      </c>
      <c r="G67" s="1" t="n">
        <v>19198</v>
      </c>
    </row>
    <row r="68" customFormat="false" ht="12.8" hidden="false" customHeight="false" outlineLevel="0" collapsed="false">
      <c r="A68" s="1" t="n">
        <v>12</v>
      </c>
      <c r="B68" s="1" t="n">
        <v>12</v>
      </c>
      <c r="C68" s="1" t="n">
        <v>9.44</v>
      </c>
      <c r="D68" s="1" t="n">
        <v>0.21</v>
      </c>
      <c r="E68" s="26" t="n">
        <v>0.0222</v>
      </c>
      <c r="F68" s="26" t="n">
        <v>0.3021</v>
      </c>
      <c r="G68" s="1" t="n">
        <v>19635</v>
      </c>
    </row>
    <row r="69" customFormat="false" ht="12.8" hidden="false" customHeight="false" outlineLevel="0" collapsed="false">
      <c r="A69" s="1" t="n">
        <v>13</v>
      </c>
      <c r="B69" s="1" t="n">
        <v>13</v>
      </c>
      <c r="C69" s="1" t="n">
        <v>9.65</v>
      </c>
      <c r="D69" s="1" t="n">
        <v>0.21</v>
      </c>
      <c r="E69" s="26" t="n">
        <v>0.0222</v>
      </c>
      <c r="F69" s="26" t="n">
        <v>0.331</v>
      </c>
      <c r="G69" s="1" t="n">
        <v>20072</v>
      </c>
    </row>
    <row r="70" customFormat="false" ht="12.8" hidden="false" customHeight="false" outlineLevel="0" collapsed="false">
      <c r="A70" s="1" t="n">
        <v>14</v>
      </c>
      <c r="B70" s="1" t="n">
        <v>14</v>
      </c>
      <c r="C70" s="1" t="n">
        <v>9.86</v>
      </c>
      <c r="D70" s="1" t="n">
        <v>0.21</v>
      </c>
      <c r="E70" s="26" t="n">
        <v>0.0222</v>
      </c>
      <c r="F70" s="26" t="n">
        <v>0.36</v>
      </c>
      <c r="G70" s="1" t="n">
        <v>20509</v>
      </c>
    </row>
    <row r="71" customFormat="false" ht="12.8" hidden="false" customHeight="false" outlineLevel="0" collapsed="false">
      <c r="A71" s="1" t="n">
        <v>15</v>
      </c>
      <c r="B71" s="1" t="n">
        <v>15</v>
      </c>
      <c r="C71" s="1" t="n">
        <v>10.08</v>
      </c>
      <c r="D71" s="1" t="n">
        <v>0.22</v>
      </c>
      <c r="E71" s="26" t="n">
        <v>0.0222</v>
      </c>
      <c r="F71" s="26" t="n">
        <v>0.3903</v>
      </c>
      <c r="G71" s="1" t="n">
        <v>20966</v>
      </c>
    </row>
    <row r="72" customFormat="false" ht="12.8" hidden="false" customHeight="false" outlineLevel="0" collapsed="false">
      <c r="A72" s="1" t="n">
        <v>16</v>
      </c>
      <c r="B72" s="1" t="n">
        <v>16</v>
      </c>
      <c r="C72" s="1" t="n">
        <v>10.3</v>
      </c>
      <c r="D72" s="1" t="n">
        <v>0.22</v>
      </c>
      <c r="E72" s="26" t="n">
        <v>0.0222</v>
      </c>
      <c r="F72" s="26" t="n">
        <v>0.4207</v>
      </c>
      <c r="G72" s="1" t="n">
        <v>21424</v>
      </c>
    </row>
    <row r="73" customFormat="false" ht="12.8" hidden="false" customHeight="false" outlineLevel="0" collapsed="false">
      <c r="A73" s="1" t="n">
        <v>17</v>
      </c>
      <c r="B73" s="1" t="n">
        <v>17</v>
      </c>
      <c r="C73" s="1" t="n">
        <v>10.53</v>
      </c>
      <c r="D73" s="1" t="n">
        <v>0.23</v>
      </c>
      <c r="E73" s="26" t="n">
        <v>0.0222</v>
      </c>
      <c r="F73" s="26" t="n">
        <v>0.4524</v>
      </c>
      <c r="G73" s="1" t="n">
        <v>21902</v>
      </c>
    </row>
    <row r="74" customFormat="false" ht="12.8" hidden="false" customHeight="false" outlineLevel="0" collapsed="false">
      <c r="A74" s="1" t="n">
        <v>18</v>
      </c>
      <c r="B74" s="1" t="n">
        <v>18</v>
      </c>
      <c r="C74" s="1" t="n">
        <v>10.76</v>
      </c>
      <c r="D74" s="1" t="n">
        <v>0.23</v>
      </c>
      <c r="E74" s="26" t="n">
        <v>0.0222</v>
      </c>
      <c r="F74" s="26" t="n">
        <v>0.4841</v>
      </c>
      <c r="G74" s="1" t="n">
        <v>22381</v>
      </c>
    </row>
    <row r="75" customFormat="false" ht="12.8" hidden="false" customHeight="false" outlineLevel="0" collapsed="false">
      <c r="A75" s="1" t="n">
        <v>19</v>
      </c>
      <c r="B75" s="1" t="n">
        <v>19</v>
      </c>
      <c r="C75" s="1" t="n">
        <v>11</v>
      </c>
      <c r="D75" s="1" t="n">
        <v>0.24</v>
      </c>
      <c r="E75" s="26" t="n">
        <v>0.0222</v>
      </c>
      <c r="F75" s="26" t="n">
        <v>0.5172</v>
      </c>
      <c r="G75" s="1" t="n">
        <v>22880</v>
      </c>
    </row>
    <row r="76" customFormat="false" ht="12.8" hidden="false" customHeight="false" outlineLevel="0" collapsed="false">
      <c r="A76" s="1" t="n">
        <v>20</v>
      </c>
      <c r="B76" s="1" t="n">
        <v>20</v>
      </c>
      <c r="C76" s="1" t="n">
        <v>11.25</v>
      </c>
      <c r="D76" s="1" t="n">
        <v>0.25</v>
      </c>
      <c r="E76" s="26" t="n">
        <v>0.0222</v>
      </c>
      <c r="F76" s="26" t="n">
        <v>0.5517</v>
      </c>
      <c r="G76" s="1" t="n">
        <v>23400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3.07"/>
    <col collapsed="false" customWidth="true" hidden="false" outlineLevel="0" max="3" min="3" style="13" width="41.51"/>
    <col collapsed="false" customWidth="false" hidden="false" outlineLevel="0" max="9" min="4" style="13" width="11.53"/>
    <col collapsed="false" customWidth="true" hidden="false" outlineLevel="0" max="10" min="10" style="13" width="18.45"/>
    <col collapsed="false" customWidth="true" hidden="false" outlineLevel="0" max="11" min="11" style="13" width="16.14"/>
    <col collapsed="false" customWidth="true" hidden="false" outlineLevel="0" max="12" min="12" style="13" width="18.45"/>
    <col collapsed="false" customWidth="false" hidden="false" outlineLevel="0" max="13" min="13" style="13" width="11.53"/>
    <col collapsed="false" customWidth="true" hidden="false" outlineLevel="0" max="14" min="14" style="13" width="13.84"/>
    <col collapsed="false" customWidth="true" hidden="false" outlineLevel="0" max="16" min="15" style="13" width="20.76"/>
    <col collapsed="false" customWidth="true" hidden="false" outlineLevel="0" max="17" min="17" style="13" width="16.14"/>
    <col collapsed="false" customWidth="true" hidden="false" outlineLevel="0" max="18" min="18" style="13" width="13.84"/>
    <col collapsed="false" customWidth="true" hidden="false" outlineLevel="0" max="19" min="19" style="13" width="18.45"/>
    <col collapsed="false" customWidth="true" hidden="false" outlineLevel="0" max="20" min="20" style="13" width="13.84"/>
    <col collapsed="false" customWidth="true" hidden="false" outlineLevel="0" max="21" min="21" style="13" width="18.45"/>
    <col collapsed="false" customWidth="false" hidden="false" outlineLevel="0" max="16384" min="22" style="13" width="11.53"/>
  </cols>
  <sheetData>
    <row r="1" customFormat="false" ht="12.8" hidden="false" customHeight="false" outlineLevel="0" collapsed="false">
      <c r="A1" s="3" t="s">
        <v>10</v>
      </c>
      <c r="B1" s="1"/>
    </row>
    <row r="2" customFormat="false" ht="12.8" hidden="false" customHeight="false" outlineLevel="0" collapsed="false">
      <c r="A2" s="16" t="n">
        <v>1</v>
      </c>
      <c r="B2" s="16" t="s">
        <v>40</v>
      </c>
    </row>
    <row r="3" customFormat="false" ht="12.8" hidden="false" customHeight="false" outlineLevel="0" collapsed="false">
      <c r="A3" s="3" t="s">
        <v>2323</v>
      </c>
      <c r="B3" s="3" t="s">
        <v>2324</v>
      </c>
      <c r="C3" s="3" t="s">
        <v>2325</v>
      </c>
      <c r="D3" s="3" t="s">
        <v>2326</v>
      </c>
      <c r="E3" s="3" t="s">
        <v>2327</v>
      </c>
      <c r="F3" s="3" t="s">
        <v>2328</v>
      </c>
      <c r="G3" s="3" t="s">
        <v>2329</v>
      </c>
      <c r="H3" s="3" t="s">
        <v>2330</v>
      </c>
      <c r="I3" s="3" t="s">
        <v>2331</v>
      </c>
      <c r="J3" s="3" t="s">
        <v>2332</v>
      </c>
      <c r="K3" s="3" t="s">
        <v>2333</v>
      </c>
      <c r="L3" s="3" t="s">
        <v>2334</v>
      </c>
      <c r="M3" s="3" t="s">
        <v>2335</v>
      </c>
      <c r="N3" s="3" t="s">
        <v>2336</v>
      </c>
      <c r="O3" s="3" t="s">
        <v>2337</v>
      </c>
      <c r="P3" s="3" t="s">
        <v>2338</v>
      </c>
      <c r="Q3" s="3" t="s">
        <v>2339</v>
      </c>
      <c r="R3" s="3" t="s">
        <v>2340</v>
      </c>
      <c r="S3" s="3" t="s">
        <v>2341</v>
      </c>
      <c r="T3" s="3" t="s">
        <v>2342</v>
      </c>
      <c r="U3" s="3" t="s">
        <v>2343</v>
      </c>
      <c r="V3" s="3" t="s">
        <v>2344</v>
      </c>
      <c r="W3" s="3" t="s">
        <v>2345</v>
      </c>
      <c r="X3" s="3" t="s">
        <v>2346</v>
      </c>
      <c r="Y3" s="3" t="s">
        <v>2347</v>
      </c>
      <c r="Z3" s="3" t="s">
        <v>2348</v>
      </c>
      <c r="AA3" s="3" t="s">
        <v>2349</v>
      </c>
      <c r="AB3" s="3" t="s">
        <v>2350</v>
      </c>
      <c r="AC3" s="3" t="s">
        <v>2351</v>
      </c>
      <c r="AD3" s="3" t="s">
        <v>2352</v>
      </c>
    </row>
    <row r="4" customFormat="false" ht="12.8" hidden="false" customHeight="false" outlineLevel="0" collapsed="false">
      <c r="A4" s="1" t="n">
        <v>0</v>
      </c>
      <c r="B4" s="1" t="n">
        <v>1</v>
      </c>
      <c r="C4" s="1" t="n">
        <v>0.1</v>
      </c>
      <c r="D4" s="1" t="n">
        <v>0</v>
      </c>
      <c r="E4" s="1" t="n">
        <v>11925</v>
      </c>
      <c r="F4" s="1" t="n">
        <v>0</v>
      </c>
      <c r="G4" s="1" t="n">
        <v>23850</v>
      </c>
      <c r="H4" s="1" t="n">
        <v>0</v>
      </c>
      <c r="I4" s="1" t="n">
        <v>17000</v>
      </c>
      <c r="J4" s="1" t="n">
        <v>59</v>
      </c>
      <c r="K4" s="1" t="n">
        <v>18000</v>
      </c>
      <c r="L4" s="1" t="n">
        <v>105</v>
      </c>
      <c r="M4" s="1" t="n">
        <v>18</v>
      </c>
      <c r="N4" s="1" t="n">
        <v>22</v>
      </c>
      <c r="O4" s="1" t="n">
        <v>3</v>
      </c>
      <c r="P4" s="1" t="n">
        <v>3</v>
      </c>
      <c r="Q4" s="1" t="n">
        <v>8</v>
      </c>
      <c r="R4" s="1" t="n">
        <v>1</v>
      </c>
      <c r="S4" s="1" t="n">
        <v>2.5</v>
      </c>
      <c r="T4" s="1" t="n">
        <v>2.5</v>
      </c>
      <c r="U4" s="1" t="n">
        <v>0.8</v>
      </c>
      <c r="V4" s="1" t="n">
        <v>0.7</v>
      </c>
      <c r="W4" s="1" t="n">
        <v>0.5</v>
      </c>
      <c r="X4" s="1" t="n">
        <v>62</v>
      </c>
      <c r="Y4" s="1" t="n">
        <v>0.02</v>
      </c>
      <c r="Z4" s="1" t="n">
        <v>-5</v>
      </c>
      <c r="AA4" s="1" t="n">
        <v>45</v>
      </c>
      <c r="AB4" s="1" t="n">
        <v>0.02</v>
      </c>
      <c r="AC4" s="1" t="s">
        <v>2353</v>
      </c>
      <c r="AD4" s="1" t="s">
        <v>2354</v>
      </c>
    </row>
    <row r="5" customFormat="false" ht="12.8" hidden="false" customHeight="false" outlineLevel="0" collapsed="false">
      <c r="A5" s="1" t="n">
        <v>1</v>
      </c>
      <c r="B5" s="1" t="n">
        <v>2</v>
      </c>
      <c r="C5" s="1" t="n">
        <v>0.12</v>
      </c>
      <c r="D5" s="1" t="n">
        <v>11926</v>
      </c>
      <c r="E5" s="1" t="n">
        <v>48475</v>
      </c>
      <c r="F5" s="1" t="n">
        <v>23851</v>
      </c>
      <c r="G5" s="1" t="n">
        <v>96950</v>
      </c>
      <c r="H5" s="1" t="n">
        <v>17001</v>
      </c>
      <c r="I5" s="1" t="n">
        <v>64850</v>
      </c>
      <c r="J5" s="1" t="n">
        <v>54</v>
      </c>
      <c r="K5" s="1" t="n">
        <v>45000</v>
      </c>
      <c r="L5" s="1" t="n">
        <v>175</v>
      </c>
      <c r="M5" s="1" t="n">
        <v>10</v>
      </c>
      <c r="N5" s="1" t="n">
        <v>25</v>
      </c>
      <c r="O5" s="1" t="n">
        <v>5</v>
      </c>
      <c r="P5" s="1" t="n">
        <v>10</v>
      </c>
      <c r="Q5" s="1" t="n">
        <v>12</v>
      </c>
      <c r="R5" s="1" t="n">
        <v>3</v>
      </c>
      <c r="S5" s="1" t="n">
        <v>4</v>
      </c>
      <c r="T5" s="1" t="n">
        <v>4</v>
      </c>
      <c r="U5" s="1" t="n">
        <v>2</v>
      </c>
      <c r="V5" s="1" t="n">
        <v>3</v>
      </c>
      <c r="W5" s="1" t="n">
        <v>2</v>
      </c>
      <c r="X5" s="1" t="n">
        <v>80</v>
      </c>
      <c r="Y5" s="1" t="n">
        <v>0.06</v>
      </c>
      <c r="Z5" s="1" t="n">
        <v>-5</v>
      </c>
      <c r="AA5" s="1" t="n">
        <v>90</v>
      </c>
      <c r="AB5" s="1" t="n">
        <v>0.04</v>
      </c>
      <c r="AC5" s="1" t="s">
        <v>2355</v>
      </c>
      <c r="AD5" s="1" t="s">
        <v>2356</v>
      </c>
    </row>
    <row r="6" customFormat="false" ht="12.8" hidden="false" customHeight="false" outlineLevel="0" collapsed="false">
      <c r="A6" s="1" t="n">
        <v>2</v>
      </c>
      <c r="B6" s="1" t="n">
        <v>3</v>
      </c>
      <c r="C6" s="1" t="n">
        <v>0.22</v>
      </c>
      <c r="D6" s="1" t="n">
        <v>48476</v>
      </c>
      <c r="E6" s="1" t="n">
        <v>103350</v>
      </c>
      <c r="F6" s="1" t="n">
        <v>96951</v>
      </c>
      <c r="G6" s="1" t="n">
        <v>206700</v>
      </c>
      <c r="H6" s="1" t="n">
        <v>64851</v>
      </c>
      <c r="I6" s="1" t="n">
        <v>103350</v>
      </c>
      <c r="J6" s="1" t="n">
        <v>28</v>
      </c>
      <c r="K6" s="1" t="n">
        <v>85000</v>
      </c>
      <c r="L6" s="1" t="n">
        <v>310</v>
      </c>
      <c r="M6" s="1" t="n">
        <v>5</v>
      </c>
      <c r="N6" s="1" t="n">
        <v>20</v>
      </c>
      <c r="O6" s="1" t="n">
        <v>10</v>
      </c>
      <c r="P6" s="1" t="n">
        <v>20</v>
      </c>
      <c r="Q6" s="1" t="n">
        <v>30</v>
      </c>
      <c r="R6" s="1" t="n">
        <v>5</v>
      </c>
      <c r="S6" s="1" t="n">
        <v>4.5</v>
      </c>
      <c r="T6" s="1" t="n">
        <v>4.5</v>
      </c>
      <c r="U6" s="1" t="n">
        <v>2.5</v>
      </c>
      <c r="V6" s="1" t="n">
        <v>4</v>
      </c>
      <c r="W6" s="1" t="n">
        <v>4.5</v>
      </c>
      <c r="X6" s="1" t="n">
        <v>110</v>
      </c>
      <c r="Y6" s="1" t="n">
        <v>0.18</v>
      </c>
      <c r="Z6" s="1" t="n">
        <v>-10</v>
      </c>
      <c r="AA6" s="1" t="n">
        <v>280</v>
      </c>
      <c r="AB6" s="1" t="n">
        <v>0.125</v>
      </c>
      <c r="AC6" s="1" t="s">
        <v>2357</v>
      </c>
      <c r="AD6" s="1" t="s">
        <v>2358</v>
      </c>
    </row>
    <row r="7" customFormat="false" ht="12.8" hidden="false" customHeight="false" outlineLevel="0" collapsed="false">
      <c r="A7" s="1" t="n">
        <v>3</v>
      </c>
      <c r="B7" s="1" t="n">
        <v>4</v>
      </c>
      <c r="C7" s="1" t="n">
        <v>0.24</v>
      </c>
      <c r="D7" s="1" t="n">
        <v>103351</v>
      </c>
      <c r="E7" s="1" t="n">
        <v>197300</v>
      </c>
      <c r="F7" s="1" t="n">
        <v>206701</v>
      </c>
      <c r="G7" s="1" t="n">
        <v>394600</v>
      </c>
      <c r="H7" s="1" t="n">
        <v>103351</v>
      </c>
      <c r="I7" s="1" t="n">
        <v>197300</v>
      </c>
      <c r="J7" s="1" t="n">
        <v>13</v>
      </c>
      <c r="K7" s="1" t="n">
        <v>150000</v>
      </c>
      <c r="L7" s="1" t="n">
        <v>360</v>
      </c>
      <c r="M7" s="1" t="n">
        <v>3</v>
      </c>
      <c r="N7" s="1" t="n">
        <v>15</v>
      </c>
      <c r="O7" s="1" t="n">
        <v>15</v>
      </c>
      <c r="P7" s="1" t="n">
        <v>30</v>
      </c>
      <c r="Q7" s="1" t="n">
        <v>50</v>
      </c>
      <c r="R7" s="1" t="n">
        <v>8</v>
      </c>
      <c r="S7" s="1" t="n">
        <v>5.5</v>
      </c>
      <c r="T7" s="1" t="n">
        <v>4.5</v>
      </c>
      <c r="U7" s="1" t="n">
        <v>4</v>
      </c>
      <c r="V7" s="1" t="n">
        <v>6</v>
      </c>
      <c r="W7" s="1" t="n">
        <v>5</v>
      </c>
      <c r="X7" s="1" t="n">
        <v>146</v>
      </c>
      <c r="Y7" s="1" t="n">
        <v>0.21</v>
      </c>
      <c r="Z7" s="1" t="n">
        <v>-15</v>
      </c>
      <c r="AA7" s="1" t="n">
        <v>344</v>
      </c>
      <c r="AB7" s="1" t="n">
        <v>0.155</v>
      </c>
      <c r="AC7" s="1" t="s">
        <v>2359</v>
      </c>
      <c r="AD7" s="1" t="s">
        <v>2360</v>
      </c>
    </row>
    <row r="8" customFormat="false" ht="12.8" hidden="false" customHeight="false" outlineLevel="0" collapsed="false">
      <c r="A8" s="1" t="n">
        <v>4</v>
      </c>
      <c r="B8" s="1" t="n">
        <v>5</v>
      </c>
      <c r="C8" s="1" t="n">
        <v>0.32</v>
      </c>
      <c r="D8" s="1" t="n">
        <v>197301</v>
      </c>
      <c r="E8" s="1" t="n">
        <v>250525</v>
      </c>
      <c r="F8" s="1" t="n">
        <v>394601</v>
      </c>
      <c r="G8" s="1" t="n">
        <v>501050</v>
      </c>
      <c r="H8" s="1" t="n">
        <v>197301</v>
      </c>
      <c r="I8" s="1" t="n">
        <v>250525</v>
      </c>
      <c r="J8" s="1" t="n">
        <v>4.6</v>
      </c>
      <c r="K8" s="1" t="n">
        <v>220000</v>
      </c>
      <c r="L8" s="1" t="n">
        <v>190</v>
      </c>
      <c r="M8" s="1" t="n">
        <v>1</v>
      </c>
      <c r="N8" s="1" t="n">
        <v>5</v>
      </c>
      <c r="O8" s="1" t="n">
        <v>20</v>
      </c>
      <c r="P8" s="1" t="n">
        <v>25</v>
      </c>
      <c r="Q8" s="1" t="n">
        <v>40</v>
      </c>
      <c r="R8" s="1" t="n">
        <v>10</v>
      </c>
      <c r="S8" s="1" t="n">
        <v>6</v>
      </c>
      <c r="T8" s="1" t="n">
        <v>3</v>
      </c>
      <c r="U8" s="1" t="n">
        <v>5</v>
      </c>
      <c r="V8" s="1" t="n">
        <v>9</v>
      </c>
      <c r="W8" s="1" t="n">
        <v>7</v>
      </c>
      <c r="X8" s="1" t="n">
        <v>131</v>
      </c>
      <c r="Y8" s="1" t="n">
        <v>0.28</v>
      </c>
      <c r="Z8" s="1" t="n">
        <v>-10</v>
      </c>
      <c r="AA8" s="1" t="n">
        <v>180</v>
      </c>
      <c r="AB8" s="1" t="n">
        <v>0.081</v>
      </c>
      <c r="AC8" s="1" t="s">
        <v>2361</v>
      </c>
      <c r="AD8" s="1" t="s">
        <v>2362</v>
      </c>
    </row>
    <row r="9" customFormat="false" ht="12.8" hidden="false" customHeight="false" outlineLevel="0" collapsed="false">
      <c r="A9" s="1" t="n">
        <v>5</v>
      </c>
      <c r="B9" s="1" t="n">
        <v>6</v>
      </c>
      <c r="C9" s="1" t="n">
        <v>0.35</v>
      </c>
      <c r="D9" s="1" t="n">
        <v>250526</v>
      </c>
      <c r="E9" s="1" t="n">
        <v>626350</v>
      </c>
      <c r="F9" s="1" t="n">
        <v>501051</v>
      </c>
      <c r="G9" s="1" t="n">
        <v>751600</v>
      </c>
      <c r="H9" s="1" t="n">
        <v>250526</v>
      </c>
      <c r="I9" s="1" t="n">
        <v>626350</v>
      </c>
      <c r="J9" s="1" t="n">
        <v>4.1</v>
      </c>
      <c r="K9" s="1" t="n">
        <v>420000</v>
      </c>
      <c r="L9" s="1" t="n">
        <v>360</v>
      </c>
      <c r="M9" s="1" t="n">
        <v>0</v>
      </c>
      <c r="N9" s="1" t="n">
        <v>0</v>
      </c>
      <c r="O9" s="1" t="n">
        <v>25</v>
      </c>
      <c r="P9" s="1" t="n">
        <v>30</v>
      </c>
      <c r="Q9" s="1" t="n">
        <v>60</v>
      </c>
      <c r="R9" s="1" t="n">
        <v>12</v>
      </c>
      <c r="S9" s="1" t="n">
        <v>7</v>
      </c>
      <c r="T9" s="1" t="n">
        <v>3</v>
      </c>
      <c r="U9" s="1" t="n">
        <v>6</v>
      </c>
      <c r="V9" s="1" t="n">
        <v>11</v>
      </c>
      <c r="W9" s="1" t="n">
        <v>8</v>
      </c>
      <c r="X9" s="1" t="n">
        <v>162</v>
      </c>
      <c r="Y9" s="1" t="n">
        <v>0.31</v>
      </c>
      <c r="Z9" s="1" t="n">
        <v>-20</v>
      </c>
      <c r="AA9" s="1" t="n">
        <v>340</v>
      </c>
      <c r="AB9" s="1" t="n">
        <v>0.153</v>
      </c>
      <c r="AC9" s="1" t="s">
        <v>2363</v>
      </c>
      <c r="AD9" s="1" t="s">
        <v>2364</v>
      </c>
    </row>
    <row r="10" customFormat="false" ht="12.8" hidden="false" customHeight="false" outlineLevel="0" collapsed="false">
      <c r="A10" s="1" t="n">
        <v>6</v>
      </c>
      <c r="B10" s="1" t="n">
        <v>7</v>
      </c>
      <c r="C10" s="1" t="n">
        <v>0.37</v>
      </c>
      <c r="D10" s="1" t="n">
        <v>626351</v>
      </c>
      <c r="E10" s="1" t="s">
        <v>2365</v>
      </c>
      <c r="F10" s="1" t="n">
        <v>751601</v>
      </c>
      <c r="G10" s="1" t="s">
        <v>2365</v>
      </c>
      <c r="H10" s="1" t="n">
        <v>626351</v>
      </c>
      <c r="I10" s="1" t="s">
        <v>2365</v>
      </c>
      <c r="J10" s="1" t="n">
        <v>2.1</v>
      </c>
      <c r="K10" s="1" t="n">
        <v>2100000</v>
      </c>
      <c r="L10" s="1" t="n">
        <v>800</v>
      </c>
      <c r="M10" s="1" t="n">
        <v>0</v>
      </c>
      <c r="N10" s="1" t="n">
        <v>0</v>
      </c>
      <c r="O10" s="1" t="n">
        <v>30</v>
      </c>
      <c r="P10" s="1" t="n">
        <v>35</v>
      </c>
      <c r="Q10" s="1" t="n">
        <v>90</v>
      </c>
      <c r="R10" s="1" t="n">
        <v>15</v>
      </c>
      <c r="S10" s="1" t="n">
        <v>8</v>
      </c>
      <c r="T10" s="1" t="n">
        <v>3</v>
      </c>
      <c r="U10" s="1" t="n">
        <v>10</v>
      </c>
      <c r="V10" s="1" t="n">
        <v>15</v>
      </c>
      <c r="W10" s="1" t="n">
        <v>14</v>
      </c>
      <c r="X10" s="1" t="n">
        <v>220</v>
      </c>
      <c r="Y10" s="1" t="n">
        <v>0.34</v>
      </c>
      <c r="Z10" s="1" t="n">
        <v>-50</v>
      </c>
      <c r="AA10" s="1" t="n">
        <v>650</v>
      </c>
      <c r="AB10" s="1" t="n">
        <v>0.207</v>
      </c>
      <c r="AC10" s="1" t="s">
        <v>2366</v>
      </c>
      <c r="AD10" s="1" t="s">
        <v>2367</v>
      </c>
    </row>
    <row r="11" customFormat="false" ht="12.8" hidden="false" customHeight="false" outlineLevel="0" collapsed="false">
      <c r="A11" s="1" t="s">
        <v>2301</v>
      </c>
      <c r="B11" s="1" t="s">
        <v>2301</v>
      </c>
      <c r="C11" s="1" t="s">
        <v>2368</v>
      </c>
      <c r="D11" s="1" t="s">
        <v>2301</v>
      </c>
      <c r="E11" s="1" t="s">
        <v>2301</v>
      </c>
      <c r="F11" s="1" t="s">
        <v>2301</v>
      </c>
      <c r="G11" s="1" t="s">
        <v>2301</v>
      </c>
      <c r="H11" s="1" t="s">
        <v>2301</v>
      </c>
      <c r="I11" s="1" t="s">
        <v>2301</v>
      </c>
      <c r="J11" s="1" t="n">
        <v>164.8</v>
      </c>
      <c r="K11" s="1" t="s">
        <v>2301</v>
      </c>
      <c r="L11" s="1" t="n">
        <v>2300</v>
      </c>
      <c r="M11" s="1" t="n">
        <v>37</v>
      </c>
      <c r="N11" s="1" t="n">
        <v>87</v>
      </c>
      <c r="O11" s="1" t="n">
        <v>108</v>
      </c>
      <c r="P11" s="1" t="n">
        <v>153</v>
      </c>
      <c r="Q11" s="1" t="n">
        <v>290</v>
      </c>
      <c r="R11" s="1" t="n">
        <v>54</v>
      </c>
      <c r="S11" s="1" t="n">
        <v>37.5</v>
      </c>
      <c r="T11" s="1" t="n">
        <v>24.5</v>
      </c>
      <c r="U11" s="1" t="n">
        <v>30.3</v>
      </c>
      <c r="V11" s="1" t="n">
        <v>48.7</v>
      </c>
      <c r="W11" s="1" t="n">
        <v>41</v>
      </c>
      <c r="X11" s="1" t="s">
        <v>2369</v>
      </c>
      <c r="Y11" s="1" t="s">
        <v>2301</v>
      </c>
      <c r="Z11" s="1" t="n">
        <v>-115</v>
      </c>
      <c r="AA11" s="1" t="n">
        <v>1985</v>
      </c>
      <c r="AB11" s="1" t="n">
        <v>1</v>
      </c>
      <c r="AC11" s="1" t="s">
        <v>2301</v>
      </c>
      <c r="AD11" s="1" t="s">
        <v>2301</v>
      </c>
    </row>
    <row r="12" customFormat="false" ht="12.8" hidden="false" customHeight="false" outlineLevel="0" collapsed="false">
      <c r="B12" s="16"/>
      <c r="D12" s="27"/>
      <c r="E12" s="16"/>
      <c r="G12" s="16"/>
      <c r="H12" s="16"/>
      <c r="I12" s="2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2.8" hidden="false" customHeight="false" outlineLevel="0" collapsed="false">
      <c r="A13" s="16" t="s">
        <v>31</v>
      </c>
      <c r="B13" s="16" t="s">
        <v>2370</v>
      </c>
      <c r="D13" s="27"/>
      <c r="E13" s="16"/>
      <c r="G13" s="16"/>
      <c r="H13" s="16"/>
      <c r="I13" s="2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2.8" hidden="false" customHeight="false" outlineLevel="0" collapsed="false">
      <c r="A14" s="3" t="s">
        <v>2323</v>
      </c>
      <c r="B14" s="3" t="s">
        <v>2324</v>
      </c>
      <c r="C14" s="3" t="s">
        <v>2325</v>
      </c>
      <c r="D14" s="3" t="s">
        <v>2326</v>
      </c>
      <c r="E14" s="3" t="s">
        <v>2327</v>
      </c>
      <c r="F14" s="3" t="s">
        <v>2328</v>
      </c>
      <c r="G14" s="3" t="s">
        <v>2329</v>
      </c>
      <c r="H14" s="3" t="s">
        <v>2330</v>
      </c>
      <c r="I14" s="3" t="s">
        <v>2331</v>
      </c>
      <c r="J14" s="3" t="s">
        <v>2332</v>
      </c>
      <c r="K14" s="3" t="s">
        <v>2333</v>
      </c>
      <c r="L14" s="3" t="s">
        <v>2334</v>
      </c>
      <c r="M14" s="3" t="s">
        <v>2335</v>
      </c>
      <c r="N14" s="3" t="s">
        <v>2336</v>
      </c>
      <c r="O14" s="3" t="s">
        <v>2337</v>
      </c>
      <c r="P14" s="3" t="s">
        <v>2338</v>
      </c>
      <c r="Q14" s="3" t="s">
        <v>2339</v>
      </c>
      <c r="R14" s="3" t="s">
        <v>2340</v>
      </c>
      <c r="S14" s="3" t="s">
        <v>2341</v>
      </c>
      <c r="T14" s="3" t="s">
        <v>2342</v>
      </c>
      <c r="U14" s="3" t="s">
        <v>2343</v>
      </c>
      <c r="V14" s="3" t="s">
        <v>2344</v>
      </c>
      <c r="W14" s="3" t="s">
        <v>2345</v>
      </c>
      <c r="X14" s="3" t="s">
        <v>2346</v>
      </c>
      <c r="Y14" s="3" t="s">
        <v>2347</v>
      </c>
      <c r="Z14" s="3" t="s">
        <v>2348</v>
      </c>
      <c r="AA14" s="3" t="s">
        <v>2349</v>
      </c>
      <c r="AB14" s="3" t="s">
        <v>2350</v>
      </c>
      <c r="AC14" s="3" t="s">
        <v>2351</v>
      </c>
      <c r="AD14" s="3" t="s">
        <v>2352</v>
      </c>
    </row>
    <row r="15" customFormat="false" ht="12.8" hidden="false" customHeight="false" outlineLevel="0" collapsed="false">
      <c r="A15" s="1" t="n">
        <v>0</v>
      </c>
      <c r="B15" s="1" t="n">
        <v>1</v>
      </c>
      <c r="C15" s="1" t="n">
        <v>0</v>
      </c>
      <c r="D15" s="1" t="n">
        <v>0</v>
      </c>
      <c r="E15" s="1" t="n">
        <v>32000</v>
      </c>
      <c r="F15" s="1" t="n">
        <v>0</v>
      </c>
      <c r="G15" s="1" t="n">
        <v>64000</v>
      </c>
      <c r="H15" s="1" t="n">
        <v>0</v>
      </c>
      <c r="I15" s="1" t="n">
        <v>48000</v>
      </c>
      <c r="J15" s="1" t="n">
        <v>84</v>
      </c>
      <c r="K15" s="1" t="n">
        <v>23800</v>
      </c>
      <c r="L15" s="1" t="n">
        <v>0</v>
      </c>
      <c r="M15" s="1" t="n">
        <v>16</v>
      </c>
      <c r="N15" s="1" t="n">
        <v>22</v>
      </c>
      <c r="O15" s="1" t="n">
        <v>5</v>
      </c>
      <c r="P15" s="1" t="n">
        <v>3</v>
      </c>
      <c r="Q15" s="1" t="n">
        <v>10</v>
      </c>
      <c r="R15" s="1" t="n">
        <v>2</v>
      </c>
      <c r="S15" s="1" t="n">
        <v>1.5</v>
      </c>
      <c r="T15" s="1" t="n">
        <v>2</v>
      </c>
      <c r="U15" s="1" t="n">
        <v>0.5</v>
      </c>
      <c r="V15" s="1" t="n">
        <v>0.5</v>
      </c>
      <c r="W15" s="1" t="n">
        <v>0.5</v>
      </c>
      <c r="X15" s="1" t="n">
        <v>63</v>
      </c>
      <c r="Y15" s="1" t="n">
        <v>0</v>
      </c>
      <c r="Z15" s="1" t="n">
        <v>-5</v>
      </c>
      <c r="AA15" s="1" t="n">
        <v>-5</v>
      </c>
      <c r="AB15" s="1" t="n">
        <v>0</v>
      </c>
      <c r="AC15" s="1" t="s">
        <v>2371</v>
      </c>
      <c r="AD15" s="1" t="s">
        <v>2354</v>
      </c>
    </row>
    <row r="16" customFormat="false" ht="12.8" hidden="false" customHeight="false" outlineLevel="0" collapsed="false">
      <c r="A16" s="1" t="n">
        <v>1</v>
      </c>
      <c r="B16" s="1" t="n">
        <v>2</v>
      </c>
      <c r="C16" s="1" t="n">
        <v>0.11</v>
      </c>
      <c r="D16" s="1" t="n">
        <v>32001</v>
      </c>
      <c r="E16" s="1" t="n">
        <v>85000</v>
      </c>
      <c r="F16" s="1" t="n">
        <v>64001</v>
      </c>
      <c r="G16" s="1" t="n">
        <v>170000</v>
      </c>
      <c r="H16" s="1" t="n">
        <v>48001</v>
      </c>
      <c r="I16" s="1" t="n">
        <v>127500</v>
      </c>
      <c r="J16" s="1" t="n">
        <v>46</v>
      </c>
      <c r="K16" s="1" t="n">
        <v>58000</v>
      </c>
      <c r="L16" s="1" t="n">
        <v>325</v>
      </c>
      <c r="M16" s="1" t="n">
        <v>12</v>
      </c>
      <c r="N16" s="1" t="n">
        <v>18</v>
      </c>
      <c r="O16" s="1" t="n">
        <v>5</v>
      </c>
      <c r="P16" s="1" t="n">
        <v>4</v>
      </c>
      <c r="Q16" s="1" t="n">
        <v>6</v>
      </c>
      <c r="R16" s="1" t="n">
        <v>1</v>
      </c>
      <c r="S16" s="1" t="n">
        <v>0.6</v>
      </c>
      <c r="T16" s="1" t="n">
        <v>0.6</v>
      </c>
      <c r="U16" s="1" t="n">
        <v>0.3</v>
      </c>
      <c r="V16" s="1" t="n">
        <v>0.3</v>
      </c>
      <c r="W16" s="1" t="n">
        <v>0.2</v>
      </c>
      <c r="X16" s="1" t="n">
        <v>48</v>
      </c>
      <c r="Y16" s="1" t="n">
        <v>0.07</v>
      </c>
      <c r="Z16" s="1" t="n">
        <v>-10</v>
      </c>
      <c r="AA16" s="1" t="n">
        <v>317</v>
      </c>
      <c r="AB16" s="1" t="n">
        <v>0.103</v>
      </c>
      <c r="AC16" s="1" t="s">
        <v>2355</v>
      </c>
      <c r="AD16" s="1" t="s">
        <v>2356</v>
      </c>
    </row>
    <row r="17" customFormat="false" ht="12.8" hidden="false" customHeight="false" outlineLevel="0" collapsed="false">
      <c r="A17" s="1" t="n">
        <v>2</v>
      </c>
      <c r="B17" s="1" t="n">
        <v>3</v>
      </c>
      <c r="C17" s="1" t="n">
        <v>0.195</v>
      </c>
      <c r="D17" s="1" t="n">
        <v>85001</v>
      </c>
      <c r="E17" s="1" t="n">
        <v>240000</v>
      </c>
      <c r="F17" s="1" t="n">
        <v>170001</v>
      </c>
      <c r="G17" s="1" t="n">
        <v>480000</v>
      </c>
      <c r="H17" s="1" t="n">
        <v>127501</v>
      </c>
      <c r="I17" s="1" t="n">
        <v>360000</v>
      </c>
      <c r="J17" s="1" t="n">
        <v>25</v>
      </c>
      <c r="K17" s="1" t="n">
        <v>135000</v>
      </c>
      <c r="L17" s="1" t="n">
        <v>635</v>
      </c>
      <c r="M17" s="1" t="n">
        <v>5</v>
      </c>
      <c r="N17" s="1" t="n">
        <v>10</v>
      </c>
      <c r="O17" s="1" t="n">
        <v>10</v>
      </c>
      <c r="P17" s="1" t="n">
        <v>12</v>
      </c>
      <c r="Q17" s="1" t="n">
        <v>15</v>
      </c>
      <c r="R17" s="1" t="n">
        <v>3</v>
      </c>
      <c r="S17" s="1" t="n">
        <v>1.5</v>
      </c>
      <c r="T17" s="1" t="n">
        <v>1</v>
      </c>
      <c r="U17" s="1" t="n">
        <v>0.8</v>
      </c>
      <c r="V17" s="1" t="n">
        <v>1</v>
      </c>
      <c r="W17" s="1" t="n">
        <v>0.7</v>
      </c>
      <c r="X17" s="1" t="n">
        <v>60</v>
      </c>
      <c r="Y17" s="1" t="n">
        <v>0.17</v>
      </c>
      <c r="Z17" s="1" t="n">
        <v>-25</v>
      </c>
      <c r="AA17" s="1" t="n">
        <v>610</v>
      </c>
      <c r="AB17" s="1" t="n">
        <v>0.199</v>
      </c>
      <c r="AC17" s="1" t="s">
        <v>2372</v>
      </c>
      <c r="AD17" s="1" t="s">
        <v>2358</v>
      </c>
    </row>
    <row r="18" customFormat="false" ht="12.8" hidden="false" customHeight="false" outlineLevel="0" collapsed="false">
      <c r="A18" s="1" t="n">
        <v>3</v>
      </c>
      <c r="B18" s="1" t="n">
        <v>4</v>
      </c>
      <c r="C18" s="1" t="n">
        <v>0.275</v>
      </c>
      <c r="D18" s="1" t="n">
        <v>240001</v>
      </c>
      <c r="E18" s="1" t="n">
        <v>580000</v>
      </c>
      <c r="F18" s="1" t="n">
        <v>480001</v>
      </c>
      <c r="G18" s="1" t="n">
        <v>1160000</v>
      </c>
      <c r="H18" s="1" t="n">
        <v>360001</v>
      </c>
      <c r="I18" s="1" t="n">
        <v>870000</v>
      </c>
      <c r="J18" s="1" t="n">
        <v>7</v>
      </c>
      <c r="K18" s="1" t="n">
        <v>380000</v>
      </c>
      <c r="L18" s="1" t="n">
        <v>800</v>
      </c>
      <c r="M18" s="1" t="n">
        <v>0</v>
      </c>
      <c r="N18" s="1" t="n">
        <v>5</v>
      </c>
      <c r="O18" s="1" t="n">
        <v>15</v>
      </c>
      <c r="P18" s="1" t="n">
        <v>20</v>
      </c>
      <c r="Q18" s="1" t="n">
        <v>25</v>
      </c>
      <c r="R18" s="1" t="n">
        <v>5</v>
      </c>
      <c r="S18" s="1" t="n">
        <v>2.5</v>
      </c>
      <c r="T18" s="1" t="n">
        <v>1</v>
      </c>
      <c r="U18" s="1" t="n">
        <v>1.5</v>
      </c>
      <c r="V18" s="1" t="n">
        <v>3</v>
      </c>
      <c r="W18" s="1" t="n">
        <v>2</v>
      </c>
      <c r="X18" s="1" t="n">
        <v>80</v>
      </c>
      <c r="Y18" s="1" t="n">
        <v>0.22</v>
      </c>
      <c r="Z18" s="1" t="n">
        <v>-35</v>
      </c>
      <c r="AA18" s="1" t="n">
        <v>765</v>
      </c>
      <c r="AB18" s="1" t="n">
        <v>0.249</v>
      </c>
      <c r="AC18" s="1" t="s">
        <v>2373</v>
      </c>
      <c r="AD18" s="1" t="s">
        <v>2374</v>
      </c>
    </row>
    <row r="19" customFormat="false" ht="12.8" hidden="false" customHeight="false" outlineLevel="0" collapsed="false">
      <c r="A19" s="1" t="n">
        <v>4</v>
      </c>
      <c r="B19" s="1" t="n">
        <v>5</v>
      </c>
      <c r="C19" s="1" t="n">
        <v>0.335</v>
      </c>
      <c r="D19" s="1" t="n">
        <v>580001</v>
      </c>
      <c r="E19" s="1" t="n">
        <v>1300000</v>
      </c>
      <c r="F19" s="1" t="n">
        <v>1160001</v>
      </c>
      <c r="G19" s="1" t="n">
        <v>2600000</v>
      </c>
      <c r="H19" s="1" t="n">
        <v>870001</v>
      </c>
      <c r="I19" s="1" t="n">
        <v>1950000</v>
      </c>
      <c r="J19" s="1" t="n">
        <v>1.2</v>
      </c>
      <c r="K19" s="1" t="n">
        <v>850000</v>
      </c>
      <c r="L19" s="1" t="n">
        <v>580</v>
      </c>
      <c r="M19" s="1" t="n">
        <v>0</v>
      </c>
      <c r="N19" s="1" t="n">
        <v>0</v>
      </c>
      <c r="O19" s="1" t="n">
        <v>20</v>
      </c>
      <c r="P19" s="1" t="n">
        <v>25</v>
      </c>
      <c r="Q19" s="1" t="n">
        <v>30</v>
      </c>
      <c r="R19" s="1" t="n">
        <v>10</v>
      </c>
      <c r="S19" s="1" t="n">
        <v>2</v>
      </c>
      <c r="T19" s="1" t="n">
        <v>0.5</v>
      </c>
      <c r="U19" s="1" t="n">
        <v>2</v>
      </c>
      <c r="V19" s="1" t="n">
        <v>3</v>
      </c>
      <c r="W19" s="1" t="n">
        <v>2.5</v>
      </c>
      <c r="X19" s="1" t="n">
        <v>95</v>
      </c>
      <c r="Y19" s="1" t="n">
        <v>0.3</v>
      </c>
      <c r="Z19" s="1" t="n">
        <v>-30</v>
      </c>
      <c r="AA19" s="1" t="n">
        <v>555</v>
      </c>
      <c r="AB19" s="1" t="n">
        <v>0.18</v>
      </c>
      <c r="AC19" s="1" t="s">
        <v>2361</v>
      </c>
      <c r="AD19" s="1" t="s">
        <v>2362</v>
      </c>
    </row>
    <row r="20" customFormat="false" ht="12.8" hidden="false" customHeight="false" outlineLevel="0" collapsed="false">
      <c r="A20" s="1" t="n">
        <v>5</v>
      </c>
      <c r="B20" s="1" t="n">
        <v>6</v>
      </c>
      <c r="C20" s="1" t="n">
        <v>0.37</v>
      </c>
      <c r="D20" s="1" t="n">
        <v>1300001</v>
      </c>
      <c r="E20" s="1" t="s">
        <v>2365</v>
      </c>
      <c r="F20" s="1" t="n">
        <v>2600001</v>
      </c>
      <c r="G20" s="1" t="s">
        <v>2365</v>
      </c>
      <c r="H20" s="1" t="n">
        <v>1950001</v>
      </c>
      <c r="I20" s="1" t="s">
        <v>2365</v>
      </c>
      <c r="J20" s="1" t="n">
        <v>0.8</v>
      </c>
      <c r="K20" s="1" t="n">
        <v>3400000</v>
      </c>
      <c r="L20" s="1" t="n">
        <v>965</v>
      </c>
      <c r="M20" s="1" t="n">
        <v>0</v>
      </c>
      <c r="N20" s="1" t="n">
        <v>0</v>
      </c>
      <c r="O20" s="1" t="n">
        <v>25</v>
      </c>
      <c r="P20" s="1" t="n">
        <v>30</v>
      </c>
      <c r="Q20" s="1" t="n">
        <v>35</v>
      </c>
      <c r="R20" s="1" t="n">
        <v>10</v>
      </c>
      <c r="S20" s="1" t="n">
        <v>1</v>
      </c>
      <c r="T20" s="1" t="n">
        <v>0</v>
      </c>
      <c r="U20" s="1" t="n">
        <v>3</v>
      </c>
      <c r="V20" s="1" t="n">
        <v>4</v>
      </c>
      <c r="W20" s="1" t="n">
        <v>2</v>
      </c>
      <c r="X20" s="1" t="n">
        <v>110</v>
      </c>
      <c r="Y20" s="1" t="n">
        <v>0.32</v>
      </c>
      <c r="Z20" s="1" t="n">
        <v>-60</v>
      </c>
      <c r="AA20" s="1" t="n">
        <v>895</v>
      </c>
      <c r="AB20" s="1" t="n">
        <v>0.295</v>
      </c>
      <c r="AC20" s="1" t="s">
        <v>2363</v>
      </c>
      <c r="AD20" s="1" t="s">
        <v>2364</v>
      </c>
    </row>
    <row r="21" customFormat="false" ht="12.8" hidden="false" customHeight="false" outlineLevel="0" collapsed="false">
      <c r="A21" s="1" t="s">
        <v>2301</v>
      </c>
      <c r="B21" s="1" t="s">
        <v>2301</v>
      </c>
      <c r="C21" s="1" t="s">
        <v>2368</v>
      </c>
      <c r="D21" s="1" t="s">
        <v>2301</v>
      </c>
      <c r="E21" s="1" t="s">
        <v>2301</v>
      </c>
      <c r="F21" s="1" t="s">
        <v>2301</v>
      </c>
      <c r="G21" s="1" t="s">
        <v>2301</v>
      </c>
      <c r="H21" s="1" t="s">
        <v>2301</v>
      </c>
      <c r="I21" s="1" t="s">
        <v>2301</v>
      </c>
      <c r="J21" s="1" t="n">
        <v>164</v>
      </c>
      <c r="K21" s="1" t="s">
        <v>2301</v>
      </c>
      <c r="L21" s="1" t="n">
        <v>3305</v>
      </c>
      <c r="M21" s="1" t="n">
        <v>33</v>
      </c>
      <c r="N21" s="1" t="n">
        <v>55</v>
      </c>
      <c r="O21" s="1" t="n">
        <v>80</v>
      </c>
      <c r="P21" s="1" t="n">
        <v>94</v>
      </c>
      <c r="Q21" s="1" t="n">
        <v>121</v>
      </c>
      <c r="R21" s="1" t="n">
        <v>31</v>
      </c>
      <c r="S21" s="1" t="n">
        <v>9.1</v>
      </c>
      <c r="T21" s="1" t="n">
        <v>6.1</v>
      </c>
      <c r="U21" s="1" t="n">
        <v>8.1</v>
      </c>
      <c r="V21" s="1" t="n">
        <v>11.8</v>
      </c>
      <c r="W21" s="1" t="n">
        <v>9.9</v>
      </c>
      <c r="X21" s="1" t="n">
        <v>456</v>
      </c>
      <c r="Y21" s="1" t="s">
        <v>2301</v>
      </c>
      <c r="Z21" s="1" t="n">
        <v>-165</v>
      </c>
      <c r="AA21" s="1" t="n">
        <v>3146</v>
      </c>
      <c r="AB21" s="1" t="n">
        <v>1</v>
      </c>
      <c r="AC21" s="1" t="s">
        <v>2301</v>
      </c>
      <c r="AD21" s="1" t="s">
        <v>2301</v>
      </c>
    </row>
    <row r="22" customFormat="false" ht="12.8" hidden="false" customHeight="false" outlineLevel="0" collapsed="false">
      <c r="B22" s="16"/>
      <c r="D22" s="27"/>
      <c r="E22" s="16"/>
      <c r="G22" s="16"/>
      <c r="H22" s="16"/>
      <c r="I22" s="2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2.8" hidden="false" customHeight="false" outlineLevel="0" collapsed="false">
      <c r="A23" s="16" t="s">
        <v>34</v>
      </c>
      <c r="B23" s="16" t="s">
        <v>44</v>
      </c>
      <c r="D23" s="27"/>
      <c r="E23" s="16"/>
      <c r="G23" s="16"/>
      <c r="H23" s="16"/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2.8" hidden="false" customHeight="false" outlineLevel="0" collapsed="false">
      <c r="A24" s="1" t="s">
        <v>2323</v>
      </c>
      <c r="B24" s="1" t="s">
        <v>2324</v>
      </c>
      <c r="C24" s="1" t="s">
        <v>2325</v>
      </c>
      <c r="D24" s="1" t="s">
        <v>2326</v>
      </c>
      <c r="E24" s="1" t="s">
        <v>2327</v>
      </c>
      <c r="F24" s="1" t="s">
        <v>2328</v>
      </c>
      <c r="G24" s="1" t="s">
        <v>2329</v>
      </c>
      <c r="H24" s="1" t="s">
        <v>2330</v>
      </c>
      <c r="I24" s="1" t="s">
        <v>2331</v>
      </c>
      <c r="J24" s="1" t="s">
        <v>2332</v>
      </c>
      <c r="K24" s="1" t="s">
        <v>2333</v>
      </c>
      <c r="L24" s="1" t="s">
        <v>2334</v>
      </c>
      <c r="M24" s="1" t="s">
        <v>2335</v>
      </c>
      <c r="N24" s="1" t="s">
        <v>2336</v>
      </c>
      <c r="O24" s="1" t="s">
        <v>2337</v>
      </c>
      <c r="P24" s="1" t="s">
        <v>2338</v>
      </c>
      <c r="Q24" s="1" t="s">
        <v>2339</v>
      </c>
      <c r="R24" s="1" t="s">
        <v>2340</v>
      </c>
      <c r="S24" s="1" t="s">
        <v>2341</v>
      </c>
      <c r="T24" s="1" t="s">
        <v>2342</v>
      </c>
      <c r="U24" s="1" t="s">
        <v>2343</v>
      </c>
      <c r="V24" s="1" t="s">
        <v>2344</v>
      </c>
      <c r="W24" s="1" t="s">
        <v>2345</v>
      </c>
      <c r="X24" s="1" t="s">
        <v>2346</v>
      </c>
      <c r="Y24" s="1" t="s">
        <v>2347</v>
      </c>
      <c r="Z24" s="1" t="s">
        <v>2348</v>
      </c>
      <c r="AA24" s="1" t="s">
        <v>2349</v>
      </c>
      <c r="AB24" s="1" t="s">
        <v>2350</v>
      </c>
      <c r="AC24" s="1" t="s">
        <v>2351</v>
      </c>
      <c r="AD24" s="1" t="s">
        <v>2352</v>
      </c>
    </row>
    <row r="25" customFormat="false" ht="12.8" hidden="false" customHeight="false" outlineLevel="0" collapsed="false">
      <c r="A25" s="1" t="n">
        <v>0</v>
      </c>
      <c r="B25" s="1" t="n">
        <v>1</v>
      </c>
      <c r="C25" s="25" t="n">
        <v>0</v>
      </c>
      <c r="D25" s="1" t="n">
        <v>0</v>
      </c>
      <c r="E25" s="1" t="n">
        <v>32000</v>
      </c>
      <c r="F25" s="1" t="n">
        <v>0</v>
      </c>
      <c r="G25" s="1" t="n">
        <v>64000</v>
      </c>
      <c r="H25" s="1" t="n">
        <v>0</v>
      </c>
      <c r="I25" s="1" t="n">
        <v>48000</v>
      </c>
      <c r="J25" s="1" t="n">
        <v>84</v>
      </c>
      <c r="K25" s="1" t="n">
        <v>23800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3</v>
      </c>
      <c r="Q25" s="1" t="n">
        <v>10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0.5</v>
      </c>
      <c r="W25" s="1" t="n">
        <v>0</v>
      </c>
      <c r="X25" s="1" t="n">
        <v>13.5</v>
      </c>
      <c r="Y25" s="1" t="n">
        <v>0</v>
      </c>
      <c r="Z25" s="1" t="n">
        <v>-5</v>
      </c>
      <c r="AA25" s="1" t="n">
        <v>44.5</v>
      </c>
      <c r="AB25" s="25" t="n">
        <v>0.0132</v>
      </c>
      <c r="AC25" s="1" t="s">
        <v>2371</v>
      </c>
      <c r="AD25" s="1" t="s">
        <v>2354</v>
      </c>
    </row>
    <row r="26" customFormat="false" ht="12.8" hidden="false" customHeight="false" outlineLevel="0" collapsed="false">
      <c r="A26" s="1" t="n">
        <v>1</v>
      </c>
      <c r="B26" s="1" t="n">
        <v>2</v>
      </c>
      <c r="C26" s="25" t="n">
        <v>0.11</v>
      </c>
      <c r="D26" s="1" t="n">
        <v>32001</v>
      </c>
      <c r="E26" s="1" t="n">
        <v>85000</v>
      </c>
      <c r="F26" s="1" t="n">
        <v>64001</v>
      </c>
      <c r="G26" s="1" t="n">
        <v>170000</v>
      </c>
      <c r="H26" s="1" t="n">
        <v>48001</v>
      </c>
      <c r="I26" s="1" t="n">
        <v>127500</v>
      </c>
      <c r="J26" s="1" t="n">
        <v>46</v>
      </c>
      <c r="K26" s="1" t="n">
        <v>58000</v>
      </c>
      <c r="L26" s="1" t="n">
        <v>325</v>
      </c>
      <c r="M26" s="1" t="n">
        <v>0</v>
      </c>
      <c r="N26" s="1" t="n">
        <v>0</v>
      </c>
      <c r="O26" s="1" t="n">
        <v>0</v>
      </c>
      <c r="P26" s="1" t="n">
        <v>4</v>
      </c>
      <c r="Q26" s="1" t="n">
        <v>6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0.3</v>
      </c>
      <c r="W26" s="1" t="n">
        <v>0</v>
      </c>
      <c r="X26" s="1" t="n">
        <v>10.3</v>
      </c>
      <c r="Y26" s="1" t="n">
        <v>0.07</v>
      </c>
      <c r="Z26" s="1" t="n">
        <v>-10</v>
      </c>
      <c r="AA26" s="1" t="n">
        <v>354.7</v>
      </c>
      <c r="AB26" s="25" t="n">
        <v>0.1054</v>
      </c>
      <c r="AC26" s="1" t="s">
        <v>2355</v>
      </c>
      <c r="AD26" s="1" t="s">
        <v>2356</v>
      </c>
    </row>
    <row r="27" customFormat="false" ht="12.8" hidden="false" customHeight="false" outlineLevel="0" collapsed="false">
      <c r="A27" s="1" t="n">
        <v>2</v>
      </c>
      <c r="B27" s="1" t="n">
        <v>3</v>
      </c>
      <c r="C27" s="25" t="n">
        <v>0.195</v>
      </c>
      <c r="D27" s="1" t="n">
        <v>85001</v>
      </c>
      <c r="E27" s="1" t="n">
        <v>240000</v>
      </c>
      <c r="F27" s="1" t="n">
        <v>170001</v>
      </c>
      <c r="G27" s="1" t="n">
        <v>480000</v>
      </c>
      <c r="H27" s="1" t="n">
        <v>127501</v>
      </c>
      <c r="I27" s="1" t="n">
        <v>360000</v>
      </c>
      <c r="J27" s="1" t="n">
        <v>25</v>
      </c>
      <c r="K27" s="1" t="n">
        <v>135000</v>
      </c>
      <c r="L27" s="1" t="n">
        <v>635</v>
      </c>
      <c r="M27" s="1" t="n">
        <v>0</v>
      </c>
      <c r="N27" s="1" t="n">
        <v>0</v>
      </c>
      <c r="O27" s="1" t="n">
        <v>0</v>
      </c>
      <c r="P27" s="1" t="n">
        <v>12</v>
      </c>
      <c r="Q27" s="1" t="n">
        <v>15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1</v>
      </c>
      <c r="W27" s="1" t="n">
        <v>0</v>
      </c>
      <c r="X27" s="1" t="n">
        <v>28</v>
      </c>
      <c r="Y27" s="1" t="n">
        <v>0.17</v>
      </c>
      <c r="Z27" s="1" t="n">
        <v>-25</v>
      </c>
      <c r="AA27" s="1" t="n">
        <v>642</v>
      </c>
      <c r="AB27" s="25" t="n">
        <v>0.1907</v>
      </c>
      <c r="AC27" s="1" t="s">
        <v>2372</v>
      </c>
      <c r="AD27" s="1" t="s">
        <v>2358</v>
      </c>
    </row>
    <row r="28" customFormat="false" ht="12.8" hidden="false" customHeight="false" outlineLevel="0" collapsed="false">
      <c r="A28" s="1" t="n">
        <v>3</v>
      </c>
      <c r="B28" s="1" t="n">
        <v>4</v>
      </c>
      <c r="C28" s="25" t="n">
        <v>0.275</v>
      </c>
      <c r="D28" s="1" t="n">
        <v>240001</v>
      </c>
      <c r="E28" s="1" t="n">
        <v>580000</v>
      </c>
      <c r="F28" s="1" t="n">
        <v>480001</v>
      </c>
      <c r="G28" s="1" t="n">
        <v>1160000</v>
      </c>
      <c r="H28" s="1" t="n">
        <v>360001</v>
      </c>
      <c r="I28" s="1" t="n">
        <v>870000</v>
      </c>
      <c r="J28" s="1" t="n">
        <v>7</v>
      </c>
      <c r="K28" s="1" t="n">
        <v>380000</v>
      </c>
      <c r="L28" s="1" t="n">
        <v>800</v>
      </c>
      <c r="M28" s="1" t="n">
        <v>0</v>
      </c>
      <c r="N28" s="1" t="n">
        <v>0</v>
      </c>
      <c r="O28" s="1" t="n">
        <v>0</v>
      </c>
      <c r="P28" s="1" t="n">
        <v>20</v>
      </c>
      <c r="Q28" s="1" t="n">
        <v>25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3</v>
      </c>
      <c r="W28" s="1" t="n">
        <v>0</v>
      </c>
      <c r="X28" s="1" t="n">
        <v>48</v>
      </c>
      <c r="Y28" s="1" t="n">
        <v>0.22</v>
      </c>
      <c r="Z28" s="1" t="n">
        <v>-35</v>
      </c>
      <c r="AA28" s="1" t="n">
        <v>797</v>
      </c>
      <c r="AB28" s="25" t="n">
        <v>0.2367</v>
      </c>
      <c r="AC28" s="1" t="s">
        <v>2373</v>
      </c>
      <c r="AD28" s="1" t="s">
        <v>2374</v>
      </c>
    </row>
    <row r="29" customFormat="false" ht="12.8" hidden="false" customHeight="false" outlineLevel="0" collapsed="false">
      <c r="A29" s="1" t="n">
        <v>4</v>
      </c>
      <c r="B29" s="1" t="n">
        <v>5</v>
      </c>
      <c r="C29" s="25" t="n">
        <v>0.335</v>
      </c>
      <c r="D29" s="1" t="n">
        <v>580001</v>
      </c>
      <c r="E29" s="1" t="n">
        <v>1300000</v>
      </c>
      <c r="F29" s="1" t="n">
        <v>1160001</v>
      </c>
      <c r="G29" s="1" t="n">
        <v>2600000</v>
      </c>
      <c r="H29" s="1" t="n">
        <v>870001</v>
      </c>
      <c r="I29" s="1" t="n">
        <v>1950000</v>
      </c>
      <c r="J29" s="1" t="n">
        <v>1.2</v>
      </c>
      <c r="K29" s="1" t="n">
        <v>850000</v>
      </c>
      <c r="L29" s="1" t="n">
        <v>580</v>
      </c>
      <c r="M29" s="1" t="n">
        <v>0</v>
      </c>
      <c r="N29" s="1" t="n">
        <v>0</v>
      </c>
      <c r="O29" s="1" t="n">
        <v>0</v>
      </c>
      <c r="P29" s="1" t="n">
        <v>25</v>
      </c>
      <c r="Q29" s="1" t="n">
        <v>30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3</v>
      </c>
      <c r="W29" s="1" t="n">
        <v>0</v>
      </c>
      <c r="X29" s="1" t="n">
        <v>58</v>
      </c>
      <c r="Y29" s="1" t="n">
        <v>0.3</v>
      </c>
      <c r="Z29" s="1" t="n">
        <v>-30</v>
      </c>
      <c r="AA29" s="1" t="n">
        <v>592</v>
      </c>
      <c r="AB29" s="25" t="n">
        <v>0.1759</v>
      </c>
      <c r="AC29" s="1" t="s">
        <v>2361</v>
      </c>
      <c r="AD29" s="1" t="s">
        <v>2362</v>
      </c>
    </row>
    <row r="30" customFormat="false" ht="12.8" hidden="false" customHeight="false" outlineLevel="0" collapsed="false">
      <c r="A30" s="1" t="n">
        <v>5</v>
      </c>
      <c r="B30" s="1" t="n">
        <v>6</v>
      </c>
      <c r="C30" s="25" t="n">
        <v>0.37</v>
      </c>
      <c r="D30" s="1" t="n">
        <v>1300001</v>
      </c>
      <c r="E30" s="1" t="s">
        <v>2365</v>
      </c>
      <c r="F30" s="1" t="n">
        <v>2600001</v>
      </c>
      <c r="G30" s="1" t="s">
        <v>2365</v>
      </c>
      <c r="H30" s="1" t="n">
        <v>1950001</v>
      </c>
      <c r="I30" s="1" t="s">
        <v>2365</v>
      </c>
      <c r="J30" s="1" t="n">
        <v>0.8</v>
      </c>
      <c r="K30" s="1" t="n">
        <v>3400000</v>
      </c>
      <c r="L30" s="1" t="n">
        <v>965</v>
      </c>
      <c r="M30" s="1" t="n">
        <v>0</v>
      </c>
      <c r="N30" s="1" t="n">
        <v>0</v>
      </c>
      <c r="O30" s="1" t="n">
        <v>0</v>
      </c>
      <c r="P30" s="1" t="n">
        <v>30</v>
      </c>
      <c r="Q30" s="1" t="n">
        <v>35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4</v>
      </c>
      <c r="W30" s="1" t="n">
        <v>0</v>
      </c>
      <c r="X30" s="1" t="n">
        <v>69</v>
      </c>
      <c r="Y30" s="1" t="n">
        <v>0.32</v>
      </c>
      <c r="Z30" s="1" t="n">
        <v>-60</v>
      </c>
      <c r="AA30" s="1" t="n">
        <v>936</v>
      </c>
      <c r="AB30" s="25" t="n">
        <v>0.2781</v>
      </c>
      <c r="AC30" s="1" t="s">
        <v>2363</v>
      </c>
      <c r="AD30" s="1" t="s">
        <v>2364</v>
      </c>
    </row>
    <row r="31" customFormat="false" ht="12.8" hidden="false" customHeight="false" outlineLevel="0" collapsed="false">
      <c r="A31" s="1" t="s">
        <v>2301</v>
      </c>
      <c r="B31" s="1" t="s">
        <v>2301</v>
      </c>
      <c r="C31" s="1" t="s">
        <v>2368</v>
      </c>
      <c r="D31" s="1" t="s">
        <v>2301</v>
      </c>
      <c r="E31" s="1" t="s">
        <v>2301</v>
      </c>
      <c r="F31" s="1" t="s">
        <v>2301</v>
      </c>
      <c r="G31" s="1" t="s">
        <v>2301</v>
      </c>
      <c r="H31" s="1" t="s">
        <v>2301</v>
      </c>
      <c r="I31" s="1" t="s">
        <v>2301</v>
      </c>
      <c r="J31" s="1" t="n">
        <v>164</v>
      </c>
      <c r="K31" s="1" t="s">
        <v>2301</v>
      </c>
      <c r="L31" s="1" t="n">
        <v>3305</v>
      </c>
      <c r="M31" s="1" t="n">
        <v>0</v>
      </c>
      <c r="N31" s="1" t="n">
        <v>0</v>
      </c>
      <c r="O31" s="1" t="n">
        <v>0</v>
      </c>
      <c r="P31" s="1" t="n">
        <v>94</v>
      </c>
      <c r="Q31" s="1" t="n">
        <v>121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11.8</v>
      </c>
      <c r="W31" s="1" t="n">
        <v>0</v>
      </c>
      <c r="X31" s="1" t="n">
        <v>226.8</v>
      </c>
      <c r="Y31" s="1" t="s">
        <v>2301</v>
      </c>
      <c r="Z31" s="1" t="n">
        <v>-165</v>
      </c>
      <c r="AA31" s="1" t="n">
        <v>3366.2</v>
      </c>
      <c r="AB31" s="25" t="n">
        <v>1</v>
      </c>
      <c r="AC31" s="1" t="s">
        <v>2301</v>
      </c>
      <c r="AD31" s="1" t="s">
        <v>2301</v>
      </c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2.8" hidden="false" customHeight="false" outlineLevel="0" collapsed="false">
      <c r="A33" s="3" t="s">
        <v>46</v>
      </c>
      <c r="B33" s="3" t="s">
        <v>47</v>
      </c>
      <c r="C33" s="1"/>
      <c r="D33" s="1"/>
      <c r="E33" s="1"/>
      <c r="F33" s="1"/>
      <c r="G33" s="1"/>
      <c r="H33" s="1"/>
      <c r="I33" s="1"/>
      <c r="J33" s="1"/>
    </row>
    <row r="34" customFormat="false" ht="12.8" hidden="false" customHeight="false" outlineLevel="0" collapsed="false">
      <c r="A34" s="1" t="s">
        <v>2323</v>
      </c>
      <c r="B34" s="1" t="s">
        <v>2324</v>
      </c>
      <c r="C34" s="1" t="s">
        <v>2325</v>
      </c>
      <c r="D34" s="1" t="s">
        <v>2326</v>
      </c>
      <c r="E34" s="1" t="s">
        <v>2327</v>
      </c>
      <c r="F34" s="1" t="s">
        <v>2328</v>
      </c>
      <c r="G34" s="1" t="s">
        <v>2329</v>
      </c>
      <c r="H34" s="1" t="s">
        <v>2330</v>
      </c>
      <c r="I34" s="1" t="s">
        <v>2331</v>
      </c>
      <c r="J34" s="1" t="s">
        <v>2332</v>
      </c>
      <c r="K34" s="13" t="s">
        <v>2333</v>
      </c>
      <c r="L34" s="13" t="s">
        <v>2334</v>
      </c>
      <c r="M34" s="13" t="s">
        <v>2335</v>
      </c>
      <c r="N34" s="13" t="s">
        <v>2336</v>
      </c>
      <c r="O34" s="13" t="s">
        <v>2337</v>
      </c>
      <c r="P34" s="13" t="s">
        <v>2338</v>
      </c>
      <c r="Q34" s="13" t="s">
        <v>2339</v>
      </c>
      <c r="R34" s="13" t="s">
        <v>2340</v>
      </c>
      <c r="S34" s="13" t="s">
        <v>2341</v>
      </c>
      <c r="T34" s="13" t="s">
        <v>2342</v>
      </c>
      <c r="U34" s="13" t="s">
        <v>2343</v>
      </c>
      <c r="V34" s="13" t="s">
        <v>2344</v>
      </c>
      <c r="W34" s="13" t="s">
        <v>2345</v>
      </c>
      <c r="X34" s="13" t="s">
        <v>2346</v>
      </c>
      <c r="Y34" s="13" t="s">
        <v>2347</v>
      </c>
      <c r="Z34" s="13" t="s">
        <v>2348</v>
      </c>
      <c r="AA34" s="13" t="s">
        <v>2349</v>
      </c>
      <c r="AB34" s="13" t="s">
        <v>2350</v>
      </c>
      <c r="AC34" s="13" t="s">
        <v>2351</v>
      </c>
      <c r="AD34" s="13" t="s">
        <v>2352</v>
      </c>
    </row>
    <row r="35" customFormat="false" ht="12.8" hidden="false" customHeight="false" outlineLevel="0" collapsed="false">
      <c r="A35" s="1" t="n">
        <v>0</v>
      </c>
      <c r="B35" s="1" t="n">
        <v>1</v>
      </c>
      <c r="C35" s="26" t="n">
        <v>0</v>
      </c>
      <c r="D35" s="1" t="n">
        <v>0</v>
      </c>
      <c r="E35" s="1" t="n">
        <v>32000</v>
      </c>
      <c r="F35" s="1" t="n">
        <v>0</v>
      </c>
      <c r="G35" s="1" t="n">
        <v>64000</v>
      </c>
      <c r="H35" s="1" t="n">
        <v>0</v>
      </c>
      <c r="I35" s="1" t="n">
        <v>48000</v>
      </c>
      <c r="J35" s="1" t="n">
        <v>84</v>
      </c>
      <c r="K35" s="13" t="n">
        <v>23800</v>
      </c>
      <c r="L35" s="13" t="n">
        <v>0</v>
      </c>
      <c r="M35" s="13" t="n">
        <v>16</v>
      </c>
      <c r="N35" s="13" t="n">
        <v>22</v>
      </c>
      <c r="O35" s="13" t="n">
        <v>5</v>
      </c>
      <c r="P35" s="13" t="n">
        <v>3</v>
      </c>
      <c r="Q35" s="13" t="n">
        <v>10</v>
      </c>
      <c r="R35" s="13" t="n">
        <v>2</v>
      </c>
      <c r="S35" s="13" t="n">
        <v>1.5</v>
      </c>
      <c r="T35" s="13" t="n">
        <v>2</v>
      </c>
      <c r="U35" s="13" t="n">
        <v>0.5</v>
      </c>
      <c r="V35" s="13" t="n">
        <v>0.5</v>
      </c>
      <c r="W35" s="13" t="n">
        <v>0.5</v>
      </c>
      <c r="X35" s="13" t="n">
        <v>63</v>
      </c>
      <c r="Y35" s="13" t="s">
        <v>2301</v>
      </c>
      <c r="Z35" s="13" t="n">
        <v>-5</v>
      </c>
      <c r="AA35" s="13" t="n">
        <v>-5</v>
      </c>
      <c r="AB35" s="13" t="s">
        <v>2301</v>
      </c>
      <c r="AC35" s="13" t="s">
        <v>2371</v>
      </c>
      <c r="AD35" s="13" t="s">
        <v>2354</v>
      </c>
    </row>
    <row r="36" customFormat="false" ht="12.8" hidden="false" customHeight="false" outlineLevel="0" collapsed="false">
      <c r="A36" s="1" t="n">
        <v>1</v>
      </c>
      <c r="B36" s="1" t="n">
        <v>2</v>
      </c>
      <c r="C36" s="26" t="n">
        <v>0</v>
      </c>
      <c r="D36" s="1" t="n">
        <v>32001</v>
      </c>
      <c r="E36" s="1" t="n">
        <v>85000</v>
      </c>
      <c r="F36" s="1" t="n">
        <v>64001</v>
      </c>
      <c r="G36" s="1" t="n">
        <v>170000</v>
      </c>
      <c r="H36" s="1" t="n">
        <v>48001</v>
      </c>
      <c r="I36" s="1" t="n">
        <v>127500</v>
      </c>
      <c r="J36" s="1" t="n">
        <v>46</v>
      </c>
      <c r="K36" s="13" t="n">
        <v>58000</v>
      </c>
      <c r="L36" s="13" t="n">
        <v>0</v>
      </c>
      <c r="M36" s="13" t="n">
        <v>12</v>
      </c>
      <c r="N36" s="13" t="n">
        <v>18</v>
      </c>
      <c r="O36" s="13" t="n">
        <v>5</v>
      </c>
      <c r="P36" s="13" t="n">
        <v>4</v>
      </c>
      <c r="Q36" s="13" t="n">
        <v>6</v>
      </c>
      <c r="R36" s="13" t="n">
        <v>1</v>
      </c>
      <c r="S36" s="13" t="n">
        <v>0.6</v>
      </c>
      <c r="T36" s="13" t="n">
        <v>0.6</v>
      </c>
      <c r="U36" s="13" t="n">
        <v>0.3</v>
      </c>
      <c r="V36" s="13" t="n">
        <v>0.3</v>
      </c>
      <c r="W36" s="13" t="n">
        <v>0.2</v>
      </c>
      <c r="X36" s="13" t="n">
        <v>48</v>
      </c>
      <c r="Y36" s="13" t="s">
        <v>2301</v>
      </c>
      <c r="Z36" s="13" t="n">
        <v>-10</v>
      </c>
      <c r="AA36" s="13" t="n">
        <v>-10</v>
      </c>
      <c r="AB36" s="13" t="s">
        <v>2301</v>
      </c>
      <c r="AC36" s="13" t="s">
        <v>2355</v>
      </c>
      <c r="AD36" s="13" t="s">
        <v>2356</v>
      </c>
    </row>
    <row r="37" customFormat="false" ht="12.8" hidden="false" customHeight="false" outlineLevel="0" collapsed="false">
      <c r="A37" s="1" t="n">
        <v>2</v>
      </c>
      <c r="B37" s="1" t="n">
        <v>3</v>
      </c>
      <c r="C37" s="26" t="n">
        <v>0.15</v>
      </c>
      <c r="D37" s="1" t="n">
        <v>85001</v>
      </c>
      <c r="E37" s="1" t="n">
        <v>240000</v>
      </c>
      <c r="F37" s="1" t="n">
        <v>170001</v>
      </c>
      <c r="G37" s="1" t="n">
        <v>480000</v>
      </c>
      <c r="H37" s="1" t="n">
        <v>127501</v>
      </c>
      <c r="I37" s="1" t="n">
        <v>360000</v>
      </c>
      <c r="J37" s="1" t="n">
        <v>25</v>
      </c>
      <c r="K37" s="13" t="n">
        <v>135000</v>
      </c>
      <c r="L37" s="13" t="n">
        <v>488</v>
      </c>
      <c r="M37" s="13" t="n">
        <v>5</v>
      </c>
      <c r="N37" s="13" t="n">
        <v>10</v>
      </c>
      <c r="O37" s="13" t="n">
        <v>10</v>
      </c>
      <c r="P37" s="13" t="n">
        <v>12</v>
      </c>
      <c r="Q37" s="13" t="n">
        <v>15</v>
      </c>
      <c r="R37" s="13" t="n">
        <v>3</v>
      </c>
      <c r="S37" s="13" t="n">
        <v>1.5</v>
      </c>
      <c r="T37" s="13" t="n">
        <v>1</v>
      </c>
      <c r="U37" s="13" t="n">
        <v>0.8</v>
      </c>
      <c r="V37" s="13" t="n">
        <v>1</v>
      </c>
      <c r="W37" s="13" t="n">
        <v>0.7</v>
      </c>
      <c r="X37" s="13" t="n">
        <v>60</v>
      </c>
      <c r="Y37" s="13" t="s">
        <v>2301</v>
      </c>
      <c r="Z37" s="13" t="n">
        <v>-25</v>
      </c>
      <c r="AA37" s="13" t="n">
        <v>428</v>
      </c>
      <c r="AB37" s="28" t="n">
        <v>0.139</v>
      </c>
      <c r="AC37" s="13" t="s">
        <v>2372</v>
      </c>
      <c r="AD37" s="13" t="s">
        <v>2358</v>
      </c>
    </row>
    <row r="38" customFormat="false" ht="12.8" hidden="false" customHeight="false" outlineLevel="0" collapsed="false">
      <c r="A38" s="1" t="n">
        <v>3</v>
      </c>
      <c r="B38" s="1" t="n">
        <v>4</v>
      </c>
      <c r="C38" s="26" t="n">
        <v>0.212</v>
      </c>
      <c r="D38" s="1" t="n">
        <v>240001</v>
      </c>
      <c r="E38" s="1" t="n">
        <v>580000</v>
      </c>
      <c r="F38" s="1" t="n">
        <v>480001</v>
      </c>
      <c r="G38" s="1" t="n">
        <v>1160000</v>
      </c>
      <c r="H38" s="1" t="n">
        <v>360001</v>
      </c>
      <c r="I38" s="1" t="n">
        <v>870000</v>
      </c>
      <c r="J38" s="1" t="n">
        <v>7</v>
      </c>
      <c r="K38" s="13" t="n">
        <v>380000</v>
      </c>
      <c r="L38" s="13" t="n">
        <v>616</v>
      </c>
      <c r="M38" s="13" t="n">
        <v>0</v>
      </c>
      <c r="N38" s="13" t="n">
        <v>5</v>
      </c>
      <c r="O38" s="13" t="n">
        <v>15</v>
      </c>
      <c r="P38" s="13" t="n">
        <v>20</v>
      </c>
      <c r="Q38" s="13" t="n">
        <v>25</v>
      </c>
      <c r="R38" s="13" t="n">
        <v>5</v>
      </c>
      <c r="S38" s="13" t="n">
        <v>2.5</v>
      </c>
      <c r="T38" s="13" t="n">
        <v>1</v>
      </c>
      <c r="U38" s="13" t="n">
        <v>1.5</v>
      </c>
      <c r="V38" s="13" t="n">
        <v>3</v>
      </c>
      <c r="W38" s="13" t="n">
        <v>2</v>
      </c>
      <c r="X38" s="13" t="n">
        <v>80</v>
      </c>
      <c r="Y38" s="13" t="s">
        <v>2301</v>
      </c>
      <c r="Z38" s="13" t="n">
        <v>-35</v>
      </c>
      <c r="AA38" s="13" t="n">
        <v>581</v>
      </c>
      <c r="AB38" s="28" t="n">
        <v>0.189</v>
      </c>
      <c r="AC38" s="13" t="s">
        <v>2373</v>
      </c>
      <c r="AD38" s="13" t="s">
        <v>2374</v>
      </c>
    </row>
    <row r="39" customFormat="false" ht="12.8" hidden="false" customHeight="false" outlineLevel="0" collapsed="false">
      <c r="A39" s="1" t="n">
        <v>4</v>
      </c>
      <c r="B39" s="1" t="n">
        <v>5</v>
      </c>
      <c r="C39" s="26" t="n">
        <v>0.258</v>
      </c>
      <c r="D39" s="1" t="n">
        <v>580001</v>
      </c>
      <c r="E39" s="1" t="n">
        <v>1300000</v>
      </c>
      <c r="F39" s="1" t="n">
        <v>1160001</v>
      </c>
      <c r="G39" s="1" t="n">
        <v>2600000</v>
      </c>
      <c r="H39" s="1" t="n">
        <v>870001</v>
      </c>
      <c r="I39" s="1" t="n">
        <v>1950000</v>
      </c>
      <c r="J39" s="1" t="n">
        <v>1.2</v>
      </c>
      <c r="K39" s="13" t="n">
        <v>850000</v>
      </c>
      <c r="L39" s="13" t="n">
        <v>446</v>
      </c>
      <c r="M39" s="13" t="n">
        <v>0</v>
      </c>
      <c r="N39" s="13" t="n">
        <v>0</v>
      </c>
      <c r="O39" s="13" t="n">
        <v>20</v>
      </c>
      <c r="P39" s="13" t="n">
        <v>25</v>
      </c>
      <c r="Q39" s="13" t="n">
        <v>30</v>
      </c>
      <c r="R39" s="13" t="n">
        <v>10</v>
      </c>
      <c r="S39" s="13" t="n">
        <v>2</v>
      </c>
      <c r="T39" s="13" t="n">
        <v>0.5</v>
      </c>
      <c r="U39" s="13" t="n">
        <v>2</v>
      </c>
      <c r="V39" s="13" t="n">
        <v>3</v>
      </c>
      <c r="W39" s="13" t="n">
        <v>2.5</v>
      </c>
      <c r="X39" s="13" t="n">
        <v>95</v>
      </c>
      <c r="Y39" s="13" t="s">
        <v>2301</v>
      </c>
      <c r="Z39" s="13" t="n">
        <v>-30</v>
      </c>
      <c r="AA39" s="13" t="n">
        <v>421</v>
      </c>
      <c r="AB39" s="28" t="n">
        <v>0.137</v>
      </c>
      <c r="AC39" s="13" t="s">
        <v>2361</v>
      </c>
      <c r="AD39" s="13" t="s">
        <v>2362</v>
      </c>
    </row>
    <row r="40" customFormat="false" ht="12.8" hidden="false" customHeight="false" outlineLevel="0" collapsed="false">
      <c r="A40" s="13" t="n">
        <v>5</v>
      </c>
      <c r="B40" s="13" t="n">
        <v>6</v>
      </c>
      <c r="C40" s="28" t="n">
        <v>0.37</v>
      </c>
      <c r="D40" s="13" t="n">
        <v>1300001</v>
      </c>
      <c r="E40" s="13" t="s">
        <v>2365</v>
      </c>
      <c r="F40" s="13" t="n">
        <v>2600001</v>
      </c>
      <c r="G40" s="13" t="s">
        <v>2365</v>
      </c>
      <c r="H40" s="13" t="n">
        <v>1950001</v>
      </c>
      <c r="I40" s="13" t="s">
        <v>2365</v>
      </c>
      <c r="J40" s="13" t="n">
        <v>0.8</v>
      </c>
      <c r="K40" s="13" t="n">
        <v>3400000</v>
      </c>
      <c r="L40" s="13" t="n">
        <v>965</v>
      </c>
      <c r="M40" s="13" t="n">
        <v>0</v>
      </c>
      <c r="N40" s="13" t="n">
        <v>0</v>
      </c>
      <c r="O40" s="13" t="n">
        <v>25</v>
      </c>
      <c r="P40" s="13" t="n">
        <v>30</v>
      </c>
      <c r="Q40" s="13" t="n">
        <v>35</v>
      </c>
      <c r="R40" s="13" t="n">
        <v>10</v>
      </c>
      <c r="S40" s="13" t="n">
        <v>1</v>
      </c>
      <c r="T40" s="13" t="n">
        <v>0</v>
      </c>
      <c r="U40" s="13" t="n">
        <v>3</v>
      </c>
      <c r="V40" s="13" t="n">
        <v>4</v>
      </c>
      <c r="W40" s="13" t="n">
        <v>2</v>
      </c>
      <c r="X40" s="13" t="n">
        <v>110</v>
      </c>
      <c r="Y40" s="13" t="s">
        <v>2301</v>
      </c>
      <c r="Z40" s="13" t="n">
        <v>-60</v>
      </c>
      <c r="AA40" s="13" t="n">
        <v>895</v>
      </c>
      <c r="AB40" s="28" t="n">
        <v>0.291</v>
      </c>
      <c r="AC40" s="13" t="s">
        <v>2363</v>
      </c>
      <c r="AD40" s="13" t="s">
        <v>2364</v>
      </c>
    </row>
    <row r="41" customFormat="false" ht="12.8" hidden="false" customHeight="false" outlineLevel="0" collapsed="false">
      <c r="A41" s="13" t="s">
        <v>2301</v>
      </c>
      <c r="B41" s="13" t="s">
        <v>2301</v>
      </c>
      <c r="C41" s="13" t="s">
        <v>2368</v>
      </c>
      <c r="D41" s="13" t="s">
        <v>2301</v>
      </c>
      <c r="E41" s="13" t="s">
        <v>2301</v>
      </c>
      <c r="F41" s="13" t="s">
        <v>2301</v>
      </c>
      <c r="G41" s="13" t="s">
        <v>2301</v>
      </c>
      <c r="H41" s="13" t="s">
        <v>2301</v>
      </c>
      <c r="I41" s="13" t="s">
        <v>2301</v>
      </c>
      <c r="J41" s="13" t="n">
        <v>164</v>
      </c>
      <c r="K41" s="13" t="s">
        <v>2301</v>
      </c>
      <c r="L41" s="13" t="n">
        <v>2515</v>
      </c>
      <c r="M41" s="13" t="n">
        <v>33</v>
      </c>
      <c r="N41" s="13" t="n">
        <v>55</v>
      </c>
      <c r="O41" s="13" t="n">
        <v>80</v>
      </c>
      <c r="P41" s="13" t="n">
        <v>94</v>
      </c>
      <c r="Q41" s="13" t="n">
        <v>121</v>
      </c>
      <c r="R41" s="13" t="n">
        <v>31</v>
      </c>
      <c r="S41" s="13" t="n">
        <v>9.1</v>
      </c>
      <c r="T41" s="13" t="n">
        <v>6.1</v>
      </c>
      <c r="U41" s="13" t="n">
        <v>8.1</v>
      </c>
      <c r="V41" s="13" t="n">
        <v>11.8</v>
      </c>
      <c r="W41" s="13" t="n">
        <v>9.9</v>
      </c>
      <c r="X41" s="13" t="n">
        <v>456</v>
      </c>
      <c r="Y41" s="13" t="s">
        <v>2301</v>
      </c>
      <c r="Z41" s="13" t="n">
        <v>-165</v>
      </c>
      <c r="AA41" s="13" t="n">
        <v>2894</v>
      </c>
      <c r="AB41" s="28" t="n">
        <v>1</v>
      </c>
      <c r="AC41" s="13" t="s">
        <v>2301</v>
      </c>
      <c r="AD41" s="13" t="s">
        <v>2301</v>
      </c>
    </row>
    <row r="43" customFormat="false" ht="12.8" hidden="false" customHeight="false" outlineLevel="0" collapsed="false">
      <c r="A43" s="10" t="s">
        <v>49</v>
      </c>
      <c r="B43" s="16" t="s">
        <v>50</v>
      </c>
    </row>
    <row r="44" customFormat="false" ht="12.8" hidden="false" customHeight="false" outlineLevel="0" collapsed="false">
      <c r="A44" s="13" t="s">
        <v>2323</v>
      </c>
      <c r="B44" s="13" t="s">
        <v>2324</v>
      </c>
      <c r="C44" s="13" t="s">
        <v>2325</v>
      </c>
      <c r="D44" s="13" t="s">
        <v>2326</v>
      </c>
      <c r="E44" s="13" t="s">
        <v>2327</v>
      </c>
      <c r="F44" s="13" t="s">
        <v>2328</v>
      </c>
      <c r="G44" s="13" t="s">
        <v>2329</v>
      </c>
      <c r="H44" s="13" t="s">
        <v>2330</v>
      </c>
      <c r="I44" s="13" t="s">
        <v>2331</v>
      </c>
      <c r="J44" s="13" t="s">
        <v>2332</v>
      </c>
      <c r="K44" s="13" t="s">
        <v>2333</v>
      </c>
      <c r="L44" s="13" t="s">
        <v>2334</v>
      </c>
      <c r="M44" s="13" t="s">
        <v>2335</v>
      </c>
      <c r="N44" s="13" t="s">
        <v>2336</v>
      </c>
      <c r="O44" s="13" t="s">
        <v>2337</v>
      </c>
      <c r="P44" s="13" t="s">
        <v>2338</v>
      </c>
      <c r="Q44" s="13" t="s">
        <v>2339</v>
      </c>
      <c r="R44" s="13" t="s">
        <v>2340</v>
      </c>
      <c r="S44" s="13" t="s">
        <v>2341</v>
      </c>
      <c r="T44" s="13" t="s">
        <v>2342</v>
      </c>
      <c r="U44" s="13" t="s">
        <v>2343</v>
      </c>
      <c r="V44" s="13" t="s">
        <v>2344</v>
      </c>
      <c r="W44" s="13" t="s">
        <v>2345</v>
      </c>
      <c r="X44" s="13" t="s">
        <v>2346</v>
      </c>
      <c r="Y44" s="13" t="s">
        <v>2347</v>
      </c>
      <c r="Z44" s="13" t="s">
        <v>2348</v>
      </c>
      <c r="AA44" s="13" t="s">
        <v>2349</v>
      </c>
      <c r="AB44" s="13" t="s">
        <v>2350</v>
      </c>
      <c r="AC44" s="13" t="s">
        <v>2351</v>
      </c>
      <c r="AD44" s="13" t="s">
        <v>2352</v>
      </c>
    </row>
    <row r="45" customFormat="false" ht="12.8" hidden="false" customHeight="false" outlineLevel="0" collapsed="false">
      <c r="A45" s="13" t="n">
        <v>0</v>
      </c>
      <c r="B45" s="13" t="n">
        <v>1</v>
      </c>
      <c r="C45" s="28" t="n">
        <v>0</v>
      </c>
      <c r="D45" s="13" t="n">
        <v>0</v>
      </c>
      <c r="E45" s="13" t="n">
        <v>32000</v>
      </c>
      <c r="F45" s="13" t="n">
        <v>0</v>
      </c>
      <c r="G45" s="13" t="n">
        <v>64000</v>
      </c>
      <c r="H45" s="13" t="n">
        <v>0</v>
      </c>
      <c r="I45" s="13" t="n">
        <v>48000</v>
      </c>
      <c r="J45" s="13" t="n">
        <v>84</v>
      </c>
      <c r="K45" s="13" t="n">
        <v>23800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3</v>
      </c>
      <c r="Q45" s="13" t="n">
        <v>10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0.5</v>
      </c>
      <c r="W45" s="13" t="n">
        <v>0</v>
      </c>
      <c r="X45" s="13" t="n">
        <v>13.5</v>
      </c>
      <c r="Y45" s="13" t="s">
        <v>2301</v>
      </c>
      <c r="Z45" s="13" t="n">
        <v>-5</v>
      </c>
      <c r="AA45" s="13" t="n">
        <v>-5</v>
      </c>
      <c r="AB45" s="13" t="s">
        <v>2301</v>
      </c>
      <c r="AC45" s="13" t="s">
        <v>2371</v>
      </c>
      <c r="AD45" s="13" t="s">
        <v>2354</v>
      </c>
    </row>
    <row r="46" customFormat="false" ht="12.8" hidden="false" customHeight="false" outlineLevel="0" collapsed="false">
      <c r="A46" s="13" t="n">
        <v>1</v>
      </c>
      <c r="B46" s="13" t="n">
        <v>2</v>
      </c>
      <c r="C46" s="28" t="n">
        <v>0</v>
      </c>
      <c r="D46" s="13" t="n">
        <v>32001</v>
      </c>
      <c r="E46" s="13" t="n">
        <v>85000</v>
      </c>
      <c r="F46" s="13" t="n">
        <v>64001</v>
      </c>
      <c r="G46" s="13" t="n">
        <v>170000</v>
      </c>
      <c r="H46" s="13" t="n">
        <v>48001</v>
      </c>
      <c r="I46" s="13" t="n">
        <v>127500</v>
      </c>
      <c r="J46" s="13" t="n">
        <v>46</v>
      </c>
      <c r="K46" s="13" t="n">
        <v>58000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4</v>
      </c>
      <c r="Q46" s="13" t="n">
        <v>6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0.3</v>
      </c>
      <c r="W46" s="13" t="n">
        <v>0</v>
      </c>
      <c r="X46" s="13" t="n">
        <v>10.3</v>
      </c>
      <c r="Y46" s="13" t="s">
        <v>2301</v>
      </c>
      <c r="Z46" s="13" t="n">
        <v>-10</v>
      </c>
      <c r="AA46" s="13" t="n">
        <v>-10</v>
      </c>
      <c r="AB46" s="13" t="s">
        <v>2301</v>
      </c>
      <c r="AC46" s="13" t="s">
        <v>2355</v>
      </c>
      <c r="AD46" s="13" t="s">
        <v>2356</v>
      </c>
    </row>
    <row r="47" customFormat="false" ht="12.8" hidden="false" customHeight="false" outlineLevel="0" collapsed="false">
      <c r="A47" s="13" t="n">
        <v>2</v>
      </c>
      <c r="B47" s="13" t="n">
        <v>3</v>
      </c>
      <c r="C47" s="28" t="n">
        <v>0.15</v>
      </c>
      <c r="D47" s="13" t="n">
        <v>85001</v>
      </c>
      <c r="E47" s="13" t="n">
        <v>240000</v>
      </c>
      <c r="F47" s="13" t="n">
        <v>170001</v>
      </c>
      <c r="G47" s="13" t="n">
        <v>480000</v>
      </c>
      <c r="H47" s="13" t="n">
        <v>127501</v>
      </c>
      <c r="I47" s="13" t="n">
        <v>360000</v>
      </c>
      <c r="J47" s="13" t="n">
        <v>25</v>
      </c>
      <c r="K47" s="13" t="n">
        <v>135000</v>
      </c>
      <c r="L47" s="13" t="n">
        <v>488</v>
      </c>
      <c r="M47" s="13" t="n">
        <v>0</v>
      </c>
      <c r="N47" s="13" t="n">
        <v>0</v>
      </c>
      <c r="O47" s="13" t="n">
        <v>0</v>
      </c>
      <c r="P47" s="13" t="n">
        <v>12</v>
      </c>
      <c r="Q47" s="13" t="n">
        <v>15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1</v>
      </c>
      <c r="W47" s="13" t="n">
        <v>0</v>
      </c>
      <c r="X47" s="13" t="n">
        <v>28</v>
      </c>
      <c r="Y47" s="13" t="s">
        <v>2301</v>
      </c>
      <c r="Z47" s="13" t="n">
        <v>-25</v>
      </c>
      <c r="AA47" s="13" t="n">
        <v>463</v>
      </c>
      <c r="AB47" s="28" t="n">
        <v>0.146</v>
      </c>
      <c r="AC47" s="13" t="s">
        <v>2372</v>
      </c>
      <c r="AD47" s="13" t="s">
        <v>2358</v>
      </c>
    </row>
    <row r="48" customFormat="false" ht="12.8" hidden="false" customHeight="false" outlineLevel="0" collapsed="false">
      <c r="A48" s="13" t="n">
        <v>3</v>
      </c>
      <c r="B48" s="13" t="n">
        <v>4</v>
      </c>
      <c r="C48" s="28" t="n">
        <v>0.212</v>
      </c>
      <c r="D48" s="13" t="n">
        <v>240001</v>
      </c>
      <c r="E48" s="13" t="n">
        <v>580000</v>
      </c>
      <c r="F48" s="13" t="n">
        <v>480001</v>
      </c>
      <c r="G48" s="13" t="n">
        <v>1160000</v>
      </c>
      <c r="H48" s="13" t="n">
        <v>360001</v>
      </c>
      <c r="I48" s="13" t="n">
        <v>870000</v>
      </c>
      <c r="J48" s="13" t="n">
        <v>7</v>
      </c>
      <c r="K48" s="13" t="n">
        <v>380000</v>
      </c>
      <c r="L48" s="13" t="n">
        <v>616</v>
      </c>
      <c r="M48" s="13" t="n">
        <v>0</v>
      </c>
      <c r="N48" s="13" t="n">
        <v>0</v>
      </c>
      <c r="O48" s="13" t="n">
        <v>0</v>
      </c>
      <c r="P48" s="13" t="n">
        <v>20</v>
      </c>
      <c r="Q48" s="13" t="n">
        <v>25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3</v>
      </c>
      <c r="W48" s="13" t="n">
        <v>0</v>
      </c>
      <c r="X48" s="13" t="n">
        <v>48</v>
      </c>
      <c r="Y48" s="13" t="s">
        <v>2301</v>
      </c>
      <c r="Z48" s="13" t="n">
        <v>-35</v>
      </c>
      <c r="AA48" s="13" t="n">
        <v>568</v>
      </c>
      <c r="AB48" s="28" t="n">
        <v>0.179</v>
      </c>
      <c r="AC48" s="13" t="s">
        <v>2373</v>
      </c>
      <c r="AD48" s="13" t="s">
        <v>2374</v>
      </c>
    </row>
    <row r="49" customFormat="false" ht="12.8" hidden="false" customHeight="false" outlineLevel="0" collapsed="false">
      <c r="A49" s="13" t="n">
        <v>4</v>
      </c>
      <c r="B49" s="13" t="n">
        <v>5</v>
      </c>
      <c r="C49" s="28" t="n">
        <v>0.258</v>
      </c>
      <c r="D49" s="13" t="n">
        <v>580001</v>
      </c>
      <c r="E49" s="13" t="n">
        <v>1300000</v>
      </c>
      <c r="F49" s="13" t="n">
        <v>1160001</v>
      </c>
      <c r="G49" s="13" t="n">
        <v>2600000</v>
      </c>
      <c r="H49" s="13" t="n">
        <v>870001</v>
      </c>
      <c r="I49" s="13" t="n">
        <v>1950000</v>
      </c>
      <c r="J49" s="13" t="n">
        <v>1.2</v>
      </c>
      <c r="K49" s="13" t="n">
        <v>850000</v>
      </c>
      <c r="L49" s="13" t="n">
        <v>446</v>
      </c>
      <c r="M49" s="13" t="n">
        <v>0</v>
      </c>
      <c r="N49" s="13" t="n">
        <v>0</v>
      </c>
      <c r="O49" s="13" t="n">
        <v>0</v>
      </c>
      <c r="P49" s="13" t="n">
        <v>25</v>
      </c>
      <c r="Q49" s="13" t="n">
        <v>30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3</v>
      </c>
      <c r="W49" s="13" t="n">
        <v>0</v>
      </c>
      <c r="X49" s="13" t="n">
        <v>58</v>
      </c>
      <c r="Y49" s="13" t="s">
        <v>2301</v>
      </c>
      <c r="Z49" s="13" t="n">
        <v>-30</v>
      </c>
      <c r="AA49" s="13" t="n">
        <v>416</v>
      </c>
      <c r="AB49" s="28" t="n">
        <v>0.131</v>
      </c>
      <c r="AC49" s="13" t="s">
        <v>2361</v>
      </c>
      <c r="AD49" s="13" t="s">
        <v>2362</v>
      </c>
    </row>
    <row r="50" customFormat="false" ht="12.8" hidden="false" customHeight="false" outlineLevel="0" collapsed="false">
      <c r="A50" s="13" t="n">
        <v>5</v>
      </c>
      <c r="B50" s="13" t="n">
        <v>6</v>
      </c>
      <c r="C50" s="28" t="n">
        <v>0.37</v>
      </c>
      <c r="D50" s="13" t="n">
        <v>1300001</v>
      </c>
      <c r="E50" s="13" t="s">
        <v>2365</v>
      </c>
      <c r="F50" s="13" t="n">
        <v>2600001</v>
      </c>
      <c r="G50" s="13" t="s">
        <v>2365</v>
      </c>
      <c r="H50" s="13" t="n">
        <v>1950001</v>
      </c>
      <c r="I50" s="13" t="s">
        <v>2365</v>
      </c>
      <c r="J50" s="13" t="n">
        <v>0.8</v>
      </c>
      <c r="K50" s="13" t="n">
        <v>3400000</v>
      </c>
      <c r="L50" s="13" t="n">
        <v>965</v>
      </c>
      <c r="M50" s="13" t="n">
        <v>0</v>
      </c>
      <c r="N50" s="13" t="n">
        <v>0</v>
      </c>
      <c r="O50" s="13" t="n">
        <v>0</v>
      </c>
      <c r="P50" s="13" t="n">
        <v>30</v>
      </c>
      <c r="Q50" s="13" t="n">
        <v>35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4</v>
      </c>
      <c r="W50" s="13" t="n">
        <v>0</v>
      </c>
      <c r="X50" s="13" t="n">
        <v>69</v>
      </c>
      <c r="Y50" s="13" t="s">
        <v>2301</v>
      </c>
      <c r="Z50" s="13" t="n">
        <v>-60</v>
      </c>
      <c r="AA50" s="13" t="n">
        <v>896</v>
      </c>
      <c r="AB50" s="28" t="n">
        <v>0.282</v>
      </c>
      <c r="AC50" s="13" t="s">
        <v>2363</v>
      </c>
      <c r="AD50" s="13" t="s">
        <v>2364</v>
      </c>
    </row>
    <row r="51" customFormat="false" ht="12.8" hidden="false" customHeight="false" outlineLevel="0" collapsed="false">
      <c r="A51" s="13" t="s">
        <v>2301</v>
      </c>
      <c r="B51" s="13" t="s">
        <v>2301</v>
      </c>
      <c r="C51" s="13" t="s">
        <v>2368</v>
      </c>
      <c r="D51" s="13" t="s">
        <v>2301</v>
      </c>
      <c r="E51" s="13" t="s">
        <v>2301</v>
      </c>
      <c r="F51" s="13" t="s">
        <v>2301</v>
      </c>
      <c r="G51" s="13" t="s">
        <v>2301</v>
      </c>
      <c r="H51" s="13" t="s">
        <v>2301</v>
      </c>
      <c r="I51" s="13" t="s">
        <v>2301</v>
      </c>
      <c r="J51" s="13" t="n">
        <v>164</v>
      </c>
      <c r="K51" s="13" t="s">
        <v>2301</v>
      </c>
      <c r="L51" s="13" t="n">
        <v>2515</v>
      </c>
      <c r="M51" s="13" t="n">
        <v>0</v>
      </c>
      <c r="N51" s="13" t="n">
        <v>0</v>
      </c>
      <c r="O51" s="13" t="n">
        <v>0</v>
      </c>
      <c r="P51" s="13" t="n">
        <v>94</v>
      </c>
      <c r="Q51" s="13" t="n">
        <v>121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11.8</v>
      </c>
      <c r="W51" s="13" t="n">
        <v>0</v>
      </c>
      <c r="X51" s="13" t="n">
        <v>226.8</v>
      </c>
      <c r="Y51" s="13" t="s">
        <v>2301</v>
      </c>
      <c r="Z51" s="13" t="n">
        <v>-165</v>
      </c>
      <c r="AA51" s="13" t="n">
        <v>3173</v>
      </c>
      <c r="AB51" s="28" t="n">
        <v>1</v>
      </c>
      <c r="AC51" s="13" t="s">
        <v>2301</v>
      </c>
      <c r="AD51" s="13" t="s">
        <v>2301</v>
      </c>
    </row>
    <row r="53" customFormat="false" ht="57.45" hidden="false" customHeight="false" outlineLevel="0" collapsed="false">
      <c r="A53" s="13" t="s">
        <v>134</v>
      </c>
      <c r="B53" s="18" t="s">
        <v>2375</v>
      </c>
    </row>
    <row r="54" customFormat="false" ht="12.8" hidden="false" customHeight="false" outlineLevel="0" collapsed="false">
      <c r="A54" s="6" t="s">
        <v>2376</v>
      </c>
      <c r="B54" s="12" t="s">
        <v>2377</v>
      </c>
      <c r="C54" s="13" t="s">
        <v>2378</v>
      </c>
      <c r="D54" s="13" t="s">
        <v>2379</v>
      </c>
      <c r="E54" s="13" t="s">
        <v>2380</v>
      </c>
      <c r="F54" s="13" t="s">
        <v>2381</v>
      </c>
      <c r="G54" s="13" t="s">
        <v>2382</v>
      </c>
      <c r="H54" s="13" t="s">
        <v>2383</v>
      </c>
      <c r="I54" s="13" t="s">
        <v>2384</v>
      </c>
      <c r="J54" s="13" t="s">
        <v>2385</v>
      </c>
      <c r="K54" s="13" t="s">
        <v>2386</v>
      </c>
    </row>
    <row r="55" customFormat="false" ht="23.85" hidden="false" customHeight="false" outlineLevel="0" collapsed="false">
      <c r="A55" s="13" t="s">
        <v>52</v>
      </c>
      <c r="B55" s="6" t="s">
        <v>2387</v>
      </c>
      <c r="C55" s="13" t="s">
        <v>2388</v>
      </c>
      <c r="D55" s="13" t="n">
        <v>5</v>
      </c>
      <c r="E55" s="13" t="s">
        <v>2389</v>
      </c>
      <c r="F55" s="13" t="s">
        <v>2390</v>
      </c>
      <c r="G55" s="13" t="s">
        <v>2391</v>
      </c>
      <c r="H55" s="13" t="s">
        <v>2392</v>
      </c>
      <c r="I55" s="18" t="s">
        <v>2393</v>
      </c>
    </row>
    <row r="56" customFormat="false" ht="23.85" hidden="false" customHeight="false" outlineLevel="0" collapsed="false">
      <c r="A56" s="13" t="s">
        <v>54</v>
      </c>
      <c r="B56" s="6" t="s">
        <v>2394</v>
      </c>
      <c r="C56" s="13" t="s">
        <v>2395</v>
      </c>
      <c r="D56" s="13" t="n">
        <v>5</v>
      </c>
      <c r="E56" s="13" t="s">
        <v>2396</v>
      </c>
      <c r="F56" s="13" t="s">
        <v>2397</v>
      </c>
      <c r="G56" s="13" t="s">
        <v>2398</v>
      </c>
      <c r="H56" s="13" t="s">
        <v>2399</v>
      </c>
      <c r="I56" s="18" t="s">
        <v>2400</v>
      </c>
    </row>
    <row r="57" customFormat="false" ht="46.25" hidden="false" customHeight="false" outlineLevel="0" collapsed="false">
      <c r="A57" s="13" t="s">
        <v>56</v>
      </c>
      <c r="B57" s="6" t="s">
        <v>2401</v>
      </c>
      <c r="C57" s="13" t="s">
        <v>2402</v>
      </c>
      <c r="D57" s="13" t="n">
        <v>7</v>
      </c>
      <c r="E57" s="13" t="s">
        <v>2389</v>
      </c>
      <c r="F57" s="13" t="s">
        <v>2390</v>
      </c>
      <c r="G57" s="18" t="s">
        <v>2391</v>
      </c>
      <c r="H57" s="18" t="s">
        <v>2403</v>
      </c>
      <c r="I57" s="18" t="s">
        <v>2404</v>
      </c>
      <c r="J57" s="13" t="s">
        <v>2399</v>
      </c>
      <c r="K57" s="13" t="s">
        <v>2405</v>
      </c>
    </row>
    <row r="58" customFormat="false" ht="35.05" hidden="false" customHeight="false" outlineLevel="0" collapsed="false">
      <c r="A58" s="13" t="s">
        <v>59</v>
      </c>
      <c r="B58" s="6" t="s">
        <v>2406</v>
      </c>
      <c r="C58" s="13" t="s">
        <v>2407</v>
      </c>
      <c r="D58" s="13" t="n">
        <v>5</v>
      </c>
      <c r="E58" s="13" t="s">
        <v>2408</v>
      </c>
      <c r="F58" s="13" t="s">
        <v>2409</v>
      </c>
      <c r="G58" s="13" t="s">
        <v>2410</v>
      </c>
      <c r="H58" s="13" t="s">
        <v>2411</v>
      </c>
      <c r="I58" s="18" t="s">
        <v>2412</v>
      </c>
    </row>
    <row r="59" customFormat="false" ht="35.05" hidden="false" customHeight="false" outlineLevel="0" collapsed="false">
      <c r="A59" s="13" t="s">
        <v>61</v>
      </c>
      <c r="B59" s="6" t="s">
        <v>2413</v>
      </c>
      <c r="C59" s="13" t="s">
        <v>2414</v>
      </c>
      <c r="D59" s="13" t="n">
        <v>5</v>
      </c>
      <c r="E59" s="13" t="s">
        <v>2415</v>
      </c>
      <c r="F59" s="13" t="s">
        <v>2416</v>
      </c>
      <c r="G59" s="13" t="s">
        <v>2417</v>
      </c>
      <c r="H59" s="13" t="s">
        <v>2418</v>
      </c>
      <c r="I59" s="18" t="s">
        <v>2419</v>
      </c>
    </row>
    <row r="60" customFormat="false" ht="46.25" hidden="false" customHeight="false" outlineLevel="0" collapsed="false">
      <c r="A60" s="13" t="s">
        <v>63</v>
      </c>
      <c r="B60" s="6" t="s">
        <v>2420</v>
      </c>
      <c r="C60" s="13" t="s">
        <v>2421</v>
      </c>
      <c r="D60" s="13" t="n">
        <v>7</v>
      </c>
      <c r="E60" s="13" t="s">
        <v>2408</v>
      </c>
      <c r="F60" s="13" t="s">
        <v>2409</v>
      </c>
      <c r="G60" s="18" t="s">
        <v>2410</v>
      </c>
      <c r="H60" s="18" t="s">
        <v>2422</v>
      </c>
      <c r="I60" s="18" t="s">
        <v>2423</v>
      </c>
      <c r="J60" s="13" t="s">
        <v>2418</v>
      </c>
      <c r="K60" s="13" t="s">
        <v>2424</v>
      </c>
    </row>
    <row r="61" customFormat="false" ht="12.8" hidden="false" customHeight="false" outlineLevel="0" collapsed="false">
      <c r="C61" s="6"/>
    </row>
    <row r="62" customFormat="false" ht="12.8" hidden="false" customHeight="false" outlineLevel="0" collapsed="false">
      <c r="C6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5.7"/>
    <col collapsed="false" customWidth="true" hidden="false" outlineLevel="0" max="3" min="3" style="13" width="16.14"/>
    <col collapsed="false" customWidth="true" hidden="false" outlineLevel="0" max="5" min="4" style="13" width="20.76"/>
    <col collapsed="false" customWidth="true" hidden="false" outlineLevel="0" max="7" min="6" style="13" width="18.45"/>
    <col collapsed="false" customWidth="false" hidden="false" outlineLevel="0" max="9" min="8" style="13" width="11.53"/>
    <col collapsed="false" customWidth="true" hidden="false" outlineLevel="0" max="10" min="10" style="13" width="18.45"/>
    <col collapsed="false" customWidth="true" hidden="false" outlineLevel="0" max="11" min="11" style="13" width="16.14"/>
    <col collapsed="false" customWidth="true" hidden="false" outlineLevel="0" max="12" min="12" style="13" width="18.45"/>
    <col collapsed="false" customWidth="false" hidden="false" outlineLevel="0" max="13" min="13" style="13" width="11.53"/>
    <col collapsed="false" customWidth="true" hidden="false" outlineLevel="0" max="14" min="14" style="13" width="13.84"/>
    <col collapsed="false" customWidth="true" hidden="false" outlineLevel="0" max="16" min="15" style="13" width="20.76"/>
    <col collapsed="false" customWidth="true" hidden="false" outlineLevel="0" max="17" min="17" style="13" width="16.14"/>
    <col collapsed="false" customWidth="true" hidden="false" outlineLevel="0" max="18" min="18" style="13" width="13.84"/>
    <col collapsed="false" customWidth="true" hidden="false" outlineLevel="0" max="19" min="19" style="13" width="18.45"/>
    <col collapsed="false" customWidth="true" hidden="false" outlineLevel="0" max="20" min="20" style="13" width="13.84"/>
    <col collapsed="false" customWidth="true" hidden="false" outlineLevel="0" max="21" min="21" style="13" width="18.45"/>
    <col collapsed="false" customWidth="false" hidden="false" outlineLevel="0" max="29" min="22" style="13" width="11.53"/>
  </cols>
  <sheetData>
    <row r="1" customFormat="false" ht="12.8" hidden="false" customHeight="false" outlineLevel="0" collapsed="false">
      <c r="A1" s="9" t="s">
        <v>12</v>
      </c>
      <c r="B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16" t="s">
        <v>1</v>
      </c>
      <c r="B2" s="16" t="s">
        <v>2425</v>
      </c>
      <c r="E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23.85" hidden="false" customHeight="false" outlineLevel="0" collapsed="false">
      <c r="A3" s="5" t="s">
        <v>2426</v>
      </c>
      <c r="B3" s="5" t="s">
        <v>2427</v>
      </c>
      <c r="C3" s="5" t="s">
        <v>2428</v>
      </c>
      <c r="D3" s="5" t="s">
        <v>2429</v>
      </c>
      <c r="E3" s="5" t="s">
        <v>462</v>
      </c>
      <c r="F3" s="5" t="s">
        <v>2430</v>
      </c>
      <c r="G3" s="5" t="s">
        <v>2431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2.9" hidden="false" customHeight="false" outlineLevel="0" collapsed="false">
      <c r="A4" s="6" t="n">
        <v>0</v>
      </c>
      <c r="B4" s="6" t="s">
        <v>2432</v>
      </c>
      <c r="C4" s="6" t="s">
        <v>2433</v>
      </c>
      <c r="D4" s="6" t="s">
        <v>2434</v>
      </c>
      <c r="E4" s="6" t="s">
        <v>2435</v>
      </c>
      <c r="F4" s="6" t="s">
        <v>2436</v>
      </c>
      <c r="G4" s="6" t="s">
        <v>2437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23.85" hidden="false" customHeight="false" outlineLevel="0" collapsed="false">
      <c r="A5" s="6" t="n">
        <v>1</v>
      </c>
      <c r="B5" s="6" t="s">
        <v>2438</v>
      </c>
      <c r="C5" s="29" t="s">
        <v>2439</v>
      </c>
      <c r="D5" s="6" t="s">
        <v>2440</v>
      </c>
      <c r="E5" s="6" t="s">
        <v>2441</v>
      </c>
      <c r="F5" s="6" t="s">
        <v>2442</v>
      </c>
      <c r="G5" s="6" t="s">
        <v>2443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12.9" hidden="false" customHeight="false" outlineLevel="0" collapsed="false">
      <c r="A6" s="6" t="n">
        <v>2</v>
      </c>
      <c r="B6" s="6" t="s">
        <v>2444</v>
      </c>
      <c r="C6" s="29" t="s">
        <v>2445</v>
      </c>
      <c r="D6" s="6" t="s">
        <v>2446</v>
      </c>
      <c r="E6" s="6" t="s">
        <v>2447</v>
      </c>
      <c r="F6" s="6" t="s">
        <v>2448</v>
      </c>
      <c r="G6" s="6" t="s">
        <v>2449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12.9" hidden="false" customHeight="false" outlineLevel="0" collapsed="false">
      <c r="A7" s="6" t="n">
        <v>3</v>
      </c>
      <c r="B7" s="6" t="s">
        <v>2450</v>
      </c>
      <c r="C7" s="29" t="s">
        <v>2451</v>
      </c>
      <c r="D7" s="6" t="s">
        <v>2452</v>
      </c>
      <c r="E7" s="6" t="s">
        <v>2453</v>
      </c>
      <c r="F7" s="6" t="s">
        <v>2448</v>
      </c>
      <c r="G7" s="6" t="s">
        <v>2454</v>
      </c>
    </row>
    <row r="8" customFormat="false" ht="23.85" hidden="false" customHeight="false" outlineLevel="0" collapsed="false">
      <c r="A8" s="6" t="n">
        <v>4</v>
      </c>
      <c r="B8" s="6" t="s">
        <v>2455</v>
      </c>
      <c r="C8" s="29" t="s">
        <v>2456</v>
      </c>
      <c r="D8" s="6" t="s">
        <v>2457</v>
      </c>
      <c r="E8" s="6" t="s">
        <v>2458</v>
      </c>
      <c r="F8" s="6" t="s">
        <v>2459</v>
      </c>
      <c r="G8" s="6" t="s">
        <v>2460</v>
      </c>
    </row>
    <row r="9" customFormat="false" ht="12.8" hidden="false" customHeight="false" outlineLevel="0" collapsed="false">
      <c r="E9" s="16"/>
    </row>
    <row r="10" customFormat="false" ht="12.8" hidden="false" customHeight="false" outlineLevel="0" collapsed="false">
      <c r="A10" s="16" t="s">
        <v>31</v>
      </c>
      <c r="B10" s="16" t="s">
        <v>2461</v>
      </c>
      <c r="E10" s="16"/>
    </row>
    <row r="11" customFormat="false" ht="23.85" hidden="false" customHeight="false" outlineLevel="0" collapsed="false">
      <c r="A11" s="5" t="s">
        <v>2426</v>
      </c>
      <c r="B11" s="5" t="s">
        <v>2427</v>
      </c>
      <c r="C11" s="5" t="s">
        <v>2428</v>
      </c>
      <c r="D11" s="5" t="s">
        <v>2429</v>
      </c>
      <c r="E11" s="5" t="s">
        <v>462</v>
      </c>
      <c r="F11" s="5" t="s">
        <v>2430</v>
      </c>
      <c r="G11" s="5" t="s">
        <v>2431</v>
      </c>
    </row>
    <row r="12" customFormat="false" ht="12.8" hidden="false" customHeight="false" outlineLevel="0" collapsed="false">
      <c r="A12" s="6" t="n">
        <v>0</v>
      </c>
      <c r="B12" s="6" t="s">
        <v>2432</v>
      </c>
      <c r="C12" s="6" t="s">
        <v>2462</v>
      </c>
      <c r="D12" s="6" t="s">
        <v>2434</v>
      </c>
      <c r="E12" s="6" t="s">
        <v>2463</v>
      </c>
      <c r="F12" s="6" t="s">
        <v>2436</v>
      </c>
      <c r="G12" s="6" t="s">
        <v>2464</v>
      </c>
    </row>
    <row r="13" customFormat="false" ht="12.9" hidden="false" customHeight="false" outlineLevel="0" collapsed="false">
      <c r="A13" s="6" t="n">
        <v>2</v>
      </c>
      <c r="B13" s="6" t="s">
        <v>2444</v>
      </c>
      <c r="C13" s="29" t="s">
        <v>2445</v>
      </c>
      <c r="D13" s="6" t="s">
        <v>2446</v>
      </c>
      <c r="E13" s="6" t="s">
        <v>2447</v>
      </c>
      <c r="F13" s="6" t="s">
        <v>2448</v>
      </c>
      <c r="G13" s="6" t="s">
        <v>2449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2.9" hidden="false" customHeight="false" outlineLevel="0" collapsed="false">
      <c r="A14" s="6" t="n">
        <v>3</v>
      </c>
      <c r="B14" s="6" t="s">
        <v>2450</v>
      </c>
      <c r="C14" s="29" t="s">
        <v>2451</v>
      </c>
      <c r="D14" s="6" t="s">
        <v>2452</v>
      </c>
      <c r="E14" s="6" t="s">
        <v>2453</v>
      </c>
      <c r="F14" s="6" t="s">
        <v>2448</v>
      </c>
      <c r="G14" s="6" t="s">
        <v>2454</v>
      </c>
    </row>
    <row r="15" customFormat="false" ht="23.85" hidden="false" customHeight="false" outlineLevel="0" collapsed="false">
      <c r="A15" s="6" t="n">
        <v>4</v>
      </c>
      <c r="B15" s="6" t="s">
        <v>2455</v>
      </c>
      <c r="C15" s="29" t="s">
        <v>2456</v>
      </c>
      <c r="D15" s="6" t="s">
        <v>2457</v>
      </c>
      <c r="E15" s="6" t="s">
        <v>2458</v>
      </c>
      <c r="F15" s="6" t="s">
        <v>2459</v>
      </c>
      <c r="G15" s="6" t="s">
        <v>2460</v>
      </c>
    </row>
    <row r="16" customFormat="false" ht="12.8" hidden="false" customHeight="false" outlineLevel="0" collapsed="false">
      <c r="E16" s="16"/>
    </row>
    <row r="17" customFormat="false" ht="12.8" hidden="false" customHeight="false" outlineLevel="0" collapsed="false">
      <c r="A17" s="16" t="s">
        <v>34</v>
      </c>
      <c r="B17" s="16" t="s">
        <v>2465</v>
      </c>
      <c r="E17" s="16"/>
    </row>
    <row r="18" customFormat="false" ht="23.85" hidden="false" customHeight="false" outlineLevel="0" collapsed="false">
      <c r="A18" s="5" t="s">
        <v>2426</v>
      </c>
      <c r="B18" s="5" t="s">
        <v>2427</v>
      </c>
      <c r="C18" s="5" t="s">
        <v>2428</v>
      </c>
      <c r="D18" s="5" t="s">
        <v>2429</v>
      </c>
      <c r="E18" s="5" t="s">
        <v>462</v>
      </c>
      <c r="F18" s="5" t="s">
        <v>2430</v>
      </c>
      <c r="G18" s="5" t="s">
        <v>2431</v>
      </c>
    </row>
    <row r="19" customFormat="false" ht="12.8" hidden="false" customHeight="false" outlineLevel="0" collapsed="false">
      <c r="A19" s="6" t="n">
        <v>0</v>
      </c>
      <c r="B19" s="6" t="s">
        <v>2432</v>
      </c>
      <c r="C19" s="6" t="s">
        <v>2462</v>
      </c>
      <c r="D19" s="6" t="s">
        <v>2434</v>
      </c>
      <c r="E19" s="6" t="s">
        <v>2463</v>
      </c>
      <c r="F19" s="6" t="s">
        <v>2436</v>
      </c>
      <c r="G19" s="6" t="s">
        <v>2464</v>
      </c>
    </row>
    <row r="20" customFormat="false" ht="12.8" hidden="false" customHeight="false" outlineLevel="0" collapsed="false">
      <c r="A20" s="6" t="n">
        <v>1</v>
      </c>
      <c r="B20" s="6" t="s">
        <v>2466</v>
      </c>
      <c r="C20" s="29" t="s">
        <v>2467</v>
      </c>
      <c r="D20" s="6" t="s">
        <v>2468</v>
      </c>
      <c r="E20" s="6" t="s">
        <v>2469</v>
      </c>
      <c r="F20" s="6" t="s">
        <v>2470</v>
      </c>
      <c r="G20" s="6" t="s">
        <v>2471</v>
      </c>
    </row>
    <row r="21" customFormat="false" ht="12.8" hidden="false" customHeight="false" outlineLevel="0" collapsed="false">
      <c r="A21" s="6" t="n">
        <v>2</v>
      </c>
      <c r="B21" s="6" t="s">
        <v>2466</v>
      </c>
      <c r="C21" s="29" t="s">
        <v>2472</v>
      </c>
      <c r="D21" s="6" t="s">
        <v>2473</v>
      </c>
      <c r="E21" s="6" t="s">
        <v>2474</v>
      </c>
      <c r="F21" s="6" t="s">
        <v>2475</v>
      </c>
      <c r="G21" s="6" t="s">
        <v>2476</v>
      </c>
    </row>
    <row r="22" customFormat="false" ht="12.8" hidden="false" customHeight="false" outlineLevel="0" collapsed="false">
      <c r="A22" s="6" t="n">
        <v>3</v>
      </c>
      <c r="B22" s="6" t="s">
        <v>2466</v>
      </c>
      <c r="C22" s="29" t="s">
        <v>2477</v>
      </c>
      <c r="D22" s="6" t="s">
        <v>2478</v>
      </c>
      <c r="E22" s="6" t="s">
        <v>2479</v>
      </c>
      <c r="F22" s="6" t="s">
        <v>2480</v>
      </c>
      <c r="G22" s="6" t="s">
        <v>2481</v>
      </c>
    </row>
    <row r="23" customFormat="false" ht="23.85" hidden="false" customHeight="false" outlineLevel="0" collapsed="false">
      <c r="A23" s="6" t="n">
        <v>4</v>
      </c>
      <c r="B23" s="6" t="s">
        <v>2482</v>
      </c>
      <c r="C23" s="6" t="s">
        <v>2483</v>
      </c>
      <c r="D23" s="6" t="s">
        <v>2484</v>
      </c>
      <c r="E23" s="6" t="s">
        <v>2485</v>
      </c>
      <c r="F23" s="6" t="s">
        <v>2486</v>
      </c>
      <c r="G23" s="6" t="s">
        <v>2487</v>
      </c>
    </row>
    <row r="24" customFormat="false" ht="23.85" hidden="false" customHeight="false" outlineLevel="0" collapsed="false">
      <c r="A24" s="6" t="n">
        <v>5</v>
      </c>
      <c r="B24" s="6" t="s">
        <v>2488</v>
      </c>
      <c r="C24" s="6" t="s">
        <v>2489</v>
      </c>
      <c r="D24" s="6" t="s">
        <v>2490</v>
      </c>
      <c r="E24" s="6" t="s">
        <v>2491</v>
      </c>
      <c r="F24" s="6" t="s">
        <v>2492</v>
      </c>
      <c r="G24" s="6" t="s">
        <v>2493</v>
      </c>
    </row>
    <row r="25" customFormat="false" ht="23.85" hidden="false" customHeight="false" outlineLevel="0" collapsed="false">
      <c r="A25" s="6" t="n">
        <v>6</v>
      </c>
      <c r="B25" s="6" t="s">
        <v>2494</v>
      </c>
      <c r="C25" s="6" t="s">
        <v>2495</v>
      </c>
      <c r="D25" s="6" t="s">
        <v>2496</v>
      </c>
      <c r="E25" s="6" t="s">
        <v>2497</v>
      </c>
      <c r="F25" s="6" t="s">
        <v>2498</v>
      </c>
      <c r="G25" s="6" t="s">
        <v>2499</v>
      </c>
    </row>
    <row r="26" customFormat="false" ht="35.05" hidden="false" customHeight="false" outlineLevel="0" collapsed="false">
      <c r="A26" s="6" t="n">
        <v>7</v>
      </c>
      <c r="B26" s="6" t="s">
        <v>2500</v>
      </c>
      <c r="C26" s="6" t="s">
        <v>2501</v>
      </c>
      <c r="D26" s="6" t="s">
        <v>2502</v>
      </c>
      <c r="E26" s="6" t="s">
        <v>2503</v>
      </c>
      <c r="F26" s="6" t="s">
        <v>2486</v>
      </c>
      <c r="G26" s="6" t="s">
        <v>2487</v>
      </c>
    </row>
    <row r="27" customFormat="false" ht="23.85" hidden="false" customHeight="false" outlineLevel="0" collapsed="false">
      <c r="A27" s="6" t="n">
        <v>8</v>
      </c>
      <c r="B27" s="6" t="s">
        <v>2504</v>
      </c>
      <c r="C27" s="6" t="s">
        <v>2505</v>
      </c>
      <c r="D27" s="6" t="s">
        <v>2502</v>
      </c>
      <c r="E27" s="6" t="s">
        <v>2506</v>
      </c>
      <c r="F27" s="6" t="s">
        <v>2507</v>
      </c>
      <c r="G27" s="6" t="s">
        <v>2508</v>
      </c>
    </row>
    <row r="28" customFormat="false" ht="12.8" hidden="false" customHeight="false" outlineLevel="0" collapsed="false">
      <c r="C28" s="30"/>
    </row>
    <row r="29" customFormat="false" ht="12.8" hidden="false" customHeight="false" outlineLevel="0" collapsed="false">
      <c r="A29" s="9" t="n">
        <v>3</v>
      </c>
      <c r="B29" s="13" t="s">
        <v>2509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customFormat="false" ht="12.8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customFormat="false" ht="12.8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customFormat="false" ht="12.8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customFormat="false" ht="12.8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customFormat="false" ht="12.8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50.74"/>
    <col collapsed="false" customWidth="true" hidden="false" outlineLevel="0" max="3" min="3" style="1" width="23.07"/>
    <col collapsed="false" customWidth="true" hidden="false" outlineLevel="0" max="4" min="4" style="1" width="46.13"/>
    <col collapsed="false" customWidth="false" hidden="false" outlineLevel="0" max="5" min="5" style="1" width="11.53"/>
    <col collapsed="false" customWidth="true" hidden="false" outlineLevel="0" max="6" min="6" style="1" width="25.37"/>
    <col collapsed="false" customWidth="true" hidden="false" outlineLevel="0" max="7" min="7" style="1" width="76.11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3" t="s">
        <v>14</v>
      </c>
    </row>
    <row r="2" customFormat="false" ht="12.8" hidden="false" customHeight="false" outlineLevel="0" collapsed="false">
      <c r="A2" s="3" t="s">
        <v>1</v>
      </c>
      <c r="B2" s="3" t="s">
        <v>2510</v>
      </c>
    </row>
    <row r="3" customFormat="false" ht="35.05" hidden="false" customHeight="false" outlineLevel="0" collapsed="false">
      <c r="A3" s="5" t="s">
        <v>2511</v>
      </c>
      <c r="B3" s="5" t="s">
        <v>2512</v>
      </c>
      <c r="C3" s="5" t="s">
        <v>2513</v>
      </c>
      <c r="D3" s="5" t="s">
        <v>2514</v>
      </c>
      <c r="E3" s="5" t="s">
        <v>2515</v>
      </c>
      <c r="F3" s="9"/>
      <c r="G3" s="9"/>
    </row>
    <row r="4" customFormat="false" ht="23.85" hidden="false" customHeight="false" outlineLevel="0" collapsed="false">
      <c r="A4" s="6" t="n">
        <v>1</v>
      </c>
      <c r="B4" s="6" t="s">
        <v>2516</v>
      </c>
      <c r="C4" s="6" t="s">
        <v>2517</v>
      </c>
      <c r="D4" s="6" t="s">
        <v>2518</v>
      </c>
      <c r="E4" s="6" t="s">
        <v>2519</v>
      </c>
      <c r="F4" s="9"/>
      <c r="G4" s="9"/>
    </row>
    <row r="5" customFormat="false" ht="12.8" hidden="false" customHeight="false" outlineLevel="0" collapsed="false">
      <c r="A5" s="6" t="n">
        <v>2</v>
      </c>
      <c r="B5" s="6" t="s">
        <v>2520</v>
      </c>
      <c r="C5" s="6" t="s">
        <v>2521</v>
      </c>
      <c r="D5" s="6" t="s">
        <v>2522</v>
      </c>
      <c r="E5" s="6" t="s">
        <v>2523</v>
      </c>
      <c r="F5" s="9"/>
      <c r="G5" s="9"/>
    </row>
    <row r="6" customFormat="false" ht="12.8" hidden="false" customHeight="false" outlineLevel="0" collapsed="false">
      <c r="A6" s="6" t="n">
        <v>3</v>
      </c>
      <c r="B6" s="6" t="s">
        <v>2524</v>
      </c>
      <c r="C6" s="6" t="s">
        <v>2525</v>
      </c>
      <c r="D6" s="6" t="s">
        <v>2526</v>
      </c>
      <c r="E6" s="6" t="s">
        <v>2527</v>
      </c>
      <c r="F6" s="9"/>
      <c r="G6" s="9"/>
    </row>
    <row r="7" customFormat="false" ht="23.85" hidden="false" customHeight="false" outlineLevel="0" collapsed="false">
      <c r="A7" s="6" t="n">
        <v>4</v>
      </c>
      <c r="B7" s="6" t="s">
        <v>2528</v>
      </c>
      <c r="C7" s="6" t="s">
        <v>2525</v>
      </c>
      <c r="D7" s="6" t="s">
        <v>2529</v>
      </c>
      <c r="E7" s="6" t="s">
        <v>2530</v>
      </c>
      <c r="F7" s="9"/>
      <c r="G7" s="9"/>
    </row>
    <row r="8" customFormat="false" ht="12.8" hidden="false" customHeight="false" outlineLevel="0" collapsed="false">
      <c r="A8" s="6" t="n">
        <v>5</v>
      </c>
      <c r="B8" s="6" t="s">
        <v>2531</v>
      </c>
      <c r="C8" s="6" t="s">
        <v>2521</v>
      </c>
      <c r="D8" s="6" t="s">
        <v>2532</v>
      </c>
      <c r="E8" s="6" t="s">
        <v>2533</v>
      </c>
      <c r="F8" s="9"/>
      <c r="G8" s="9"/>
    </row>
    <row r="9" customFormat="false" ht="12.8" hidden="false" customHeight="false" outlineLevel="0" collapsed="false">
      <c r="A9" s="6" t="n">
        <v>6</v>
      </c>
      <c r="B9" s="6" t="s">
        <v>2534</v>
      </c>
      <c r="C9" s="6" t="s">
        <v>2525</v>
      </c>
      <c r="D9" s="6" t="s">
        <v>2535</v>
      </c>
      <c r="E9" s="6" t="s">
        <v>2536</v>
      </c>
      <c r="F9" s="9"/>
      <c r="G9" s="9"/>
    </row>
    <row r="10" customFormat="false" ht="12.8" hidden="false" customHeight="false" outlineLevel="0" collapsed="false">
      <c r="A10" s="6" t="n">
        <v>7</v>
      </c>
      <c r="B10" s="6" t="s">
        <v>2537</v>
      </c>
      <c r="C10" s="6" t="s">
        <v>2517</v>
      </c>
      <c r="D10" s="6" t="s">
        <v>2538</v>
      </c>
      <c r="E10" s="6" t="s">
        <v>2539</v>
      </c>
      <c r="F10" s="9"/>
      <c r="G10" s="9"/>
    </row>
    <row r="11" customFormat="false" ht="12.8" hidden="false" customHeight="false" outlineLevel="0" collapsed="false">
      <c r="A11" s="6" t="n">
        <v>8</v>
      </c>
      <c r="B11" s="6" t="s">
        <v>2540</v>
      </c>
      <c r="C11" s="6" t="s">
        <v>2525</v>
      </c>
      <c r="D11" s="6" t="s">
        <v>2541</v>
      </c>
      <c r="E11" s="6" t="s">
        <v>2542</v>
      </c>
      <c r="F11" s="9"/>
      <c r="G11" s="9"/>
    </row>
    <row r="12" customFormat="false" ht="12.8" hidden="false" customHeight="false" outlineLevel="0" collapsed="false">
      <c r="A12" s="6" t="n">
        <v>9</v>
      </c>
      <c r="B12" s="6" t="s">
        <v>2543</v>
      </c>
      <c r="C12" s="6" t="s">
        <v>2525</v>
      </c>
      <c r="D12" s="6" t="s">
        <v>2544</v>
      </c>
      <c r="E12" s="6" t="s">
        <v>2545</v>
      </c>
      <c r="F12" s="9"/>
      <c r="G12" s="9"/>
    </row>
    <row r="13" customFormat="false" ht="12.8" hidden="false" customHeight="false" outlineLevel="0" collapsed="false">
      <c r="A13" s="6" t="n">
        <v>10</v>
      </c>
      <c r="B13" s="6" t="s">
        <v>2546</v>
      </c>
      <c r="C13" s="6" t="s">
        <v>2525</v>
      </c>
      <c r="D13" s="6" t="s">
        <v>2547</v>
      </c>
      <c r="E13" s="6" t="s">
        <v>2548</v>
      </c>
      <c r="F13" s="9"/>
      <c r="G13" s="9"/>
    </row>
    <row r="14" customFormat="false" ht="12.8" hidden="false" customHeight="false" outlineLevel="0" collapsed="false">
      <c r="A14" s="6" t="n">
        <v>11</v>
      </c>
      <c r="B14" s="6" t="s">
        <v>2549</v>
      </c>
      <c r="C14" s="6" t="s">
        <v>2525</v>
      </c>
      <c r="D14" s="6" t="s">
        <v>2550</v>
      </c>
      <c r="E14" s="6" t="s">
        <v>2551</v>
      </c>
      <c r="F14" s="9"/>
      <c r="G14" s="9"/>
    </row>
    <row r="15" customFormat="false" ht="12.8" hidden="false" customHeight="false" outlineLevel="0" collapsed="false">
      <c r="A15" s="6" t="n">
        <v>12</v>
      </c>
      <c r="B15" s="6" t="s">
        <v>2552</v>
      </c>
      <c r="C15" s="6" t="s">
        <v>2525</v>
      </c>
      <c r="D15" s="6" t="s">
        <v>2553</v>
      </c>
      <c r="E15" s="6" t="s">
        <v>2554</v>
      </c>
      <c r="F15" s="9"/>
      <c r="G15" s="9"/>
    </row>
    <row r="16" customFormat="false" ht="12.8" hidden="false" customHeight="false" outlineLevel="0" collapsed="false">
      <c r="A16" s="6" t="s">
        <v>2301</v>
      </c>
      <c r="B16" s="6" t="s">
        <v>2301</v>
      </c>
      <c r="C16" s="6" t="s">
        <v>2301</v>
      </c>
      <c r="D16" s="6" t="s">
        <v>2301</v>
      </c>
      <c r="E16" s="6" t="s">
        <v>2301</v>
      </c>
      <c r="F16" s="9"/>
      <c r="G16" s="9"/>
    </row>
    <row r="17" customFormat="false" ht="12.8" hidden="false" customHeight="false" outlineLevel="0" collapsed="false">
      <c r="A17" s="6" t="s">
        <v>2301</v>
      </c>
      <c r="B17" s="6" t="s">
        <v>2555</v>
      </c>
      <c r="C17" s="6" t="s">
        <v>2301</v>
      </c>
      <c r="D17" s="6" t="s">
        <v>2301</v>
      </c>
      <c r="E17" s="6" t="s">
        <v>2556</v>
      </c>
      <c r="F17" s="9"/>
      <c r="G17" s="9"/>
    </row>
    <row r="19" customFormat="false" ht="12.8" hidden="false" customHeight="false" outlineLevel="0" collapsed="false">
      <c r="A19" s="3" t="s">
        <v>31</v>
      </c>
      <c r="B19" s="3" t="s">
        <v>2557</v>
      </c>
    </row>
    <row r="20" customFormat="false" ht="12.8" hidden="false" customHeight="false" outlineLevel="0" collapsed="false">
      <c r="A20" s="3" t="s">
        <v>2511</v>
      </c>
      <c r="B20" s="3" t="s">
        <v>2512</v>
      </c>
      <c r="C20" s="3" t="s">
        <v>2513</v>
      </c>
      <c r="D20" s="3" t="s">
        <v>2514</v>
      </c>
      <c r="E20" s="3" t="s">
        <v>2558</v>
      </c>
      <c r="F20" s="3" t="s">
        <v>2559</v>
      </c>
      <c r="G20" s="3" t="s">
        <v>2560</v>
      </c>
      <c r="H20" s="3" t="s">
        <v>2561</v>
      </c>
      <c r="I20" s="3" t="s">
        <v>462</v>
      </c>
    </row>
    <row r="21" customFormat="false" ht="12.8" hidden="false" customHeight="false" outlineLevel="0" collapsed="false">
      <c r="A21" s="1" t="n">
        <v>1</v>
      </c>
      <c r="B21" s="1" t="s">
        <v>2516</v>
      </c>
      <c r="C21" s="1" t="s">
        <v>2517</v>
      </c>
      <c r="D21" s="1" t="s">
        <v>2518</v>
      </c>
      <c r="E21" s="1" t="s">
        <v>2519</v>
      </c>
      <c r="F21" s="1" t="s">
        <v>2562</v>
      </c>
      <c r="G21" s="1" t="s">
        <v>2563</v>
      </c>
      <c r="H21" s="1" t="n">
        <v>33</v>
      </c>
      <c r="I21" s="1" t="s">
        <v>2564</v>
      </c>
    </row>
    <row r="22" customFormat="false" ht="12.8" hidden="false" customHeight="false" outlineLevel="0" collapsed="false">
      <c r="A22" s="1" t="n">
        <v>2</v>
      </c>
      <c r="B22" s="1" t="s">
        <v>2520</v>
      </c>
      <c r="C22" s="1" t="s">
        <v>2521</v>
      </c>
      <c r="D22" s="1" t="s">
        <v>2522</v>
      </c>
      <c r="E22" s="1" t="s">
        <v>2523</v>
      </c>
      <c r="F22" s="1" t="s">
        <v>2562</v>
      </c>
      <c r="G22" s="1" t="s">
        <v>2563</v>
      </c>
      <c r="H22" s="1" t="n">
        <v>55</v>
      </c>
      <c r="I22" s="1" t="s">
        <v>2565</v>
      </c>
    </row>
    <row r="23" customFormat="false" ht="12.8" hidden="false" customHeight="false" outlineLevel="0" collapsed="false">
      <c r="A23" s="1" t="n">
        <v>3</v>
      </c>
      <c r="B23" s="1" t="s">
        <v>2524</v>
      </c>
      <c r="C23" s="1" t="s">
        <v>2525</v>
      </c>
      <c r="D23" s="1" t="s">
        <v>2526</v>
      </c>
      <c r="E23" s="1" t="s">
        <v>2527</v>
      </c>
      <c r="F23" s="1" t="s">
        <v>2562</v>
      </c>
      <c r="G23" s="1" t="s">
        <v>2563</v>
      </c>
      <c r="H23" s="1" t="n">
        <v>9.1</v>
      </c>
      <c r="I23" s="1" t="s">
        <v>2566</v>
      </c>
    </row>
    <row r="24" customFormat="false" ht="12.8" hidden="false" customHeight="false" outlineLevel="0" collapsed="false">
      <c r="A24" s="1" t="n">
        <v>4</v>
      </c>
      <c r="B24" s="1" t="s">
        <v>2528</v>
      </c>
      <c r="C24" s="1" t="s">
        <v>2525</v>
      </c>
      <c r="D24" s="1" t="s">
        <v>2529</v>
      </c>
      <c r="E24" s="1" t="s">
        <v>2567</v>
      </c>
      <c r="F24" s="1" t="s">
        <v>2562</v>
      </c>
      <c r="G24" s="1" t="s">
        <v>2563</v>
      </c>
      <c r="H24" s="1" t="s">
        <v>2568</v>
      </c>
      <c r="I24" s="1" t="s">
        <v>2569</v>
      </c>
    </row>
    <row r="25" customFormat="false" ht="12.8" hidden="false" customHeight="false" outlineLevel="0" collapsed="false">
      <c r="A25" s="1" t="n">
        <v>5</v>
      </c>
      <c r="B25" s="1" t="s">
        <v>2531</v>
      </c>
      <c r="C25" s="1" t="s">
        <v>2521</v>
      </c>
      <c r="D25" s="1" t="s">
        <v>2532</v>
      </c>
      <c r="E25" s="1" t="s">
        <v>2533</v>
      </c>
      <c r="F25" s="1" t="s">
        <v>2562</v>
      </c>
      <c r="G25" s="1" t="s">
        <v>2563</v>
      </c>
      <c r="H25" s="1" t="s">
        <v>2568</v>
      </c>
      <c r="I25" s="1" t="s">
        <v>2569</v>
      </c>
    </row>
    <row r="26" customFormat="false" ht="12.8" hidden="false" customHeight="false" outlineLevel="0" collapsed="false">
      <c r="A26" s="1" t="n">
        <v>6</v>
      </c>
      <c r="B26" s="1" t="s">
        <v>2534</v>
      </c>
      <c r="C26" s="1" t="s">
        <v>2525</v>
      </c>
      <c r="D26" s="1" t="s">
        <v>2535</v>
      </c>
      <c r="E26" s="1" t="s">
        <v>2536</v>
      </c>
      <c r="F26" s="1" t="s">
        <v>2570</v>
      </c>
      <c r="G26" s="1" t="s">
        <v>2571</v>
      </c>
      <c r="H26" s="1" t="n">
        <v>80</v>
      </c>
      <c r="I26" s="1" t="s">
        <v>2572</v>
      </c>
    </row>
    <row r="27" customFormat="false" ht="12.8" hidden="false" customHeight="false" outlineLevel="0" collapsed="false">
      <c r="A27" s="1" t="n">
        <v>7</v>
      </c>
      <c r="B27" s="1" t="s">
        <v>2537</v>
      </c>
      <c r="C27" s="1" t="s">
        <v>2517</v>
      </c>
      <c r="D27" s="1" t="s">
        <v>2538</v>
      </c>
      <c r="E27" s="1" t="s">
        <v>2539</v>
      </c>
      <c r="F27" s="1" t="s">
        <v>2562</v>
      </c>
      <c r="G27" s="1" t="s">
        <v>2563</v>
      </c>
      <c r="H27" s="1" t="n">
        <v>6.1</v>
      </c>
      <c r="I27" s="1" t="s">
        <v>2573</v>
      </c>
    </row>
    <row r="28" customFormat="false" ht="12.8" hidden="false" customHeight="false" outlineLevel="0" collapsed="false">
      <c r="A28" s="1" t="n">
        <v>8</v>
      </c>
      <c r="B28" s="1" t="s">
        <v>2540</v>
      </c>
      <c r="C28" s="1" t="s">
        <v>2525</v>
      </c>
      <c r="D28" s="1" t="s">
        <v>2541</v>
      </c>
      <c r="E28" s="1" t="s">
        <v>2542</v>
      </c>
      <c r="F28" s="1" t="s">
        <v>2570</v>
      </c>
      <c r="G28" s="1" t="s">
        <v>2571</v>
      </c>
      <c r="H28" s="1" t="n">
        <v>9.9</v>
      </c>
      <c r="I28" s="1" t="s">
        <v>2574</v>
      </c>
    </row>
    <row r="29" customFormat="false" ht="12.8" hidden="false" customHeight="false" outlineLevel="0" collapsed="false">
      <c r="A29" s="1" t="n">
        <v>9</v>
      </c>
      <c r="B29" s="1" t="s">
        <v>2543</v>
      </c>
      <c r="C29" s="1" t="s">
        <v>2525</v>
      </c>
      <c r="D29" s="1" t="s">
        <v>2544</v>
      </c>
      <c r="E29" s="1" t="s">
        <v>2545</v>
      </c>
      <c r="F29" s="1" t="s">
        <v>2570</v>
      </c>
      <c r="G29" s="1" t="s">
        <v>2571</v>
      </c>
      <c r="H29" s="1" t="n">
        <v>8.1</v>
      </c>
      <c r="I29" s="1" t="s">
        <v>2575</v>
      </c>
    </row>
    <row r="30" customFormat="false" ht="12.8" hidden="false" customHeight="false" outlineLevel="0" collapsed="false">
      <c r="A30" s="1" t="n">
        <v>10</v>
      </c>
      <c r="B30" s="1" t="s">
        <v>2546</v>
      </c>
      <c r="C30" s="1" t="s">
        <v>2525</v>
      </c>
      <c r="D30" s="1" t="s">
        <v>2547</v>
      </c>
      <c r="E30" s="1" t="s">
        <v>2548</v>
      </c>
      <c r="F30" s="1" t="s">
        <v>2576</v>
      </c>
      <c r="G30" s="1" t="s">
        <v>2576</v>
      </c>
      <c r="H30" s="1" t="s">
        <v>2577</v>
      </c>
      <c r="I30" s="1" t="s">
        <v>2578</v>
      </c>
    </row>
    <row r="31" customFormat="false" ht="12.8" hidden="false" customHeight="false" outlineLevel="0" collapsed="false">
      <c r="A31" s="1" t="n">
        <v>11</v>
      </c>
      <c r="B31" s="1" t="s">
        <v>2549</v>
      </c>
      <c r="C31" s="1" t="s">
        <v>2525</v>
      </c>
      <c r="D31" s="1" t="s">
        <v>2550</v>
      </c>
      <c r="E31" s="1" t="s">
        <v>2551</v>
      </c>
      <c r="F31" s="1" t="s">
        <v>2579</v>
      </c>
      <c r="G31" s="1" t="s">
        <v>2580</v>
      </c>
      <c r="H31" s="1" t="n">
        <v>0</v>
      </c>
      <c r="I31" s="1" t="s">
        <v>2581</v>
      </c>
    </row>
    <row r="32" customFormat="false" ht="12.8" hidden="false" customHeight="false" outlineLevel="0" collapsed="false">
      <c r="A32" s="1" t="n">
        <v>12</v>
      </c>
      <c r="B32" s="1" t="s">
        <v>2582</v>
      </c>
      <c r="C32" s="1" t="s">
        <v>2583</v>
      </c>
      <c r="D32" s="1" t="s">
        <v>2584</v>
      </c>
      <c r="E32" s="1" t="s">
        <v>2585</v>
      </c>
      <c r="F32" s="1" t="s">
        <v>2571</v>
      </c>
      <c r="G32" s="1" t="s">
        <v>2576</v>
      </c>
      <c r="H32" s="1" t="n">
        <v>94</v>
      </c>
      <c r="I32" s="1" t="s">
        <v>2586</v>
      </c>
    </row>
    <row r="33" customFormat="false" ht="12.8" hidden="false" customHeight="false" outlineLevel="0" collapsed="false">
      <c r="A33" s="1" t="n">
        <v>13</v>
      </c>
      <c r="B33" s="1" t="s">
        <v>2587</v>
      </c>
      <c r="C33" s="1" t="s">
        <v>2583</v>
      </c>
      <c r="D33" s="1" t="s">
        <v>2588</v>
      </c>
      <c r="E33" s="1" t="s">
        <v>2585</v>
      </c>
      <c r="F33" s="1" t="s">
        <v>2571</v>
      </c>
      <c r="G33" s="1" t="s">
        <v>2576</v>
      </c>
      <c r="H33" s="1" t="n">
        <v>121</v>
      </c>
      <c r="I33" s="1" t="s">
        <v>2589</v>
      </c>
    </row>
    <row r="34" customFormat="false" ht="12.8" hidden="false" customHeight="false" outlineLevel="0" collapsed="false">
      <c r="A34" s="1" t="n">
        <v>14</v>
      </c>
      <c r="B34" s="1" t="s">
        <v>2590</v>
      </c>
      <c r="C34" s="1" t="s">
        <v>2583</v>
      </c>
      <c r="D34" s="1" t="s">
        <v>2591</v>
      </c>
      <c r="E34" s="1" t="s">
        <v>2585</v>
      </c>
      <c r="F34" s="1" t="s">
        <v>2571</v>
      </c>
      <c r="G34" s="1" t="s">
        <v>2576</v>
      </c>
      <c r="H34" s="1" t="n">
        <v>11.8</v>
      </c>
      <c r="I34" s="1" t="s">
        <v>2592</v>
      </c>
    </row>
    <row r="35" customFormat="false" ht="12.8" hidden="false" customHeight="false" outlineLevel="0" collapsed="false">
      <c r="A35" s="1" t="n">
        <v>15</v>
      </c>
      <c r="B35" s="1" t="s">
        <v>2552</v>
      </c>
      <c r="C35" s="1" t="s">
        <v>2525</v>
      </c>
      <c r="D35" s="1" t="s">
        <v>2553</v>
      </c>
      <c r="E35" s="1" t="s">
        <v>2554</v>
      </c>
      <c r="F35" s="1" t="s">
        <v>2593</v>
      </c>
      <c r="G35" s="1" t="s">
        <v>2576</v>
      </c>
      <c r="H35" s="1" t="s">
        <v>2594</v>
      </c>
      <c r="I35" s="1" t="s">
        <v>2595</v>
      </c>
    </row>
    <row r="36" customFormat="false" ht="12.8" hidden="false" customHeight="false" outlineLevel="0" collapsed="false">
      <c r="A36" s="1" t="s">
        <v>2301</v>
      </c>
      <c r="B36" s="1" t="s">
        <v>2301</v>
      </c>
      <c r="C36" s="1" t="s">
        <v>2301</v>
      </c>
      <c r="D36" s="1" t="s">
        <v>2301</v>
      </c>
      <c r="E36" s="1" t="s">
        <v>2301</v>
      </c>
      <c r="F36" s="1" t="s">
        <v>2301</v>
      </c>
      <c r="G36" s="1" t="s">
        <v>2301</v>
      </c>
      <c r="H36" s="1" t="s">
        <v>2301</v>
      </c>
      <c r="I36" s="1" t="s">
        <v>2301</v>
      </c>
    </row>
    <row r="37" customFormat="false" ht="12.8" hidden="false" customHeight="false" outlineLevel="0" collapsed="false">
      <c r="A37" s="1" t="s">
        <v>2301</v>
      </c>
      <c r="B37" s="1" t="s">
        <v>2596</v>
      </c>
      <c r="C37" s="1" t="s">
        <v>2301</v>
      </c>
      <c r="D37" s="1" t="s">
        <v>2301</v>
      </c>
      <c r="E37" s="1" t="s">
        <v>2597</v>
      </c>
      <c r="F37" s="1" t="s">
        <v>2598</v>
      </c>
      <c r="G37" s="1" t="s">
        <v>2301</v>
      </c>
      <c r="H37" s="1" t="n">
        <v>456</v>
      </c>
      <c r="I37" s="1" t="s">
        <v>2599</v>
      </c>
    </row>
    <row r="39" customFormat="false" ht="12.8" hidden="false" customHeight="false" outlineLevel="0" collapsed="false">
      <c r="A39" s="3" t="s">
        <v>34</v>
      </c>
      <c r="B39" s="3" t="s">
        <v>2600</v>
      </c>
    </row>
    <row r="40" customFormat="false" ht="12.8" hidden="false" customHeight="false" outlineLevel="0" collapsed="false">
      <c r="A40" s="3" t="s">
        <v>2511</v>
      </c>
      <c r="B40" s="3" t="s">
        <v>2512</v>
      </c>
      <c r="C40" s="3" t="s">
        <v>2513</v>
      </c>
      <c r="D40" s="3" t="s">
        <v>2514</v>
      </c>
      <c r="E40" s="3" t="s">
        <v>2558</v>
      </c>
      <c r="F40" s="3" t="s">
        <v>2601</v>
      </c>
      <c r="G40" s="3" t="s">
        <v>2560</v>
      </c>
      <c r="H40" s="3" t="s">
        <v>2561</v>
      </c>
      <c r="I40" s="3" t="s">
        <v>2602</v>
      </c>
      <c r="J40" s="3" t="s">
        <v>462</v>
      </c>
      <c r="K40" s="9"/>
      <c r="L40" s="9"/>
    </row>
    <row r="41" customFormat="false" ht="12.8" hidden="false" customHeight="false" outlineLevel="0" collapsed="false">
      <c r="A41" s="1" t="n">
        <v>1</v>
      </c>
      <c r="B41" s="1" t="s">
        <v>2516</v>
      </c>
      <c r="C41" s="1" t="s">
        <v>2517</v>
      </c>
      <c r="D41" s="1" t="s">
        <v>2518</v>
      </c>
      <c r="E41" s="1" t="s">
        <v>2519</v>
      </c>
      <c r="F41" s="1" t="s">
        <v>2603</v>
      </c>
      <c r="G41" s="1" t="s">
        <v>2580</v>
      </c>
      <c r="H41" s="1" t="n">
        <v>0</v>
      </c>
      <c r="I41" s="1" t="s">
        <v>2604</v>
      </c>
      <c r="J41" s="1" t="s">
        <v>2605</v>
      </c>
      <c r="K41" s="9"/>
      <c r="L41" s="9"/>
    </row>
    <row r="42" customFormat="false" ht="12.8" hidden="false" customHeight="false" outlineLevel="0" collapsed="false">
      <c r="A42" s="1" t="n">
        <v>2</v>
      </c>
      <c r="B42" s="1" t="s">
        <v>2520</v>
      </c>
      <c r="C42" s="1" t="s">
        <v>2521</v>
      </c>
      <c r="D42" s="1" t="s">
        <v>2522</v>
      </c>
      <c r="E42" s="1" t="s">
        <v>2523</v>
      </c>
      <c r="F42" s="1" t="s">
        <v>2603</v>
      </c>
      <c r="G42" s="1" t="s">
        <v>2580</v>
      </c>
      <c r="H42" s="1" t="n">
        <v>0</v>
      </c>
      <c r="I42" s="1" t="s">
        <v>2606</v>
      </c>
      <c r="J42" s="1" t="s">
        <v>2607</v>
      </c>
      <c r="K42" s="9"/>
      <c r="L42" s="9"/>
    </row>
    <row r="43" customFormat="false" ht="12.8" hidden="false" customHeight="false" outlineLevel="0" collapsed="false">
      <c r="A43" s="1" t="n">
        <v>3</v>
      </c>
      <c r="B43" s="1" t="s">
        <v>2524</v>
      </c>
      <c r="C43" s="1" t="s">
        <v>2525</v>
      </c>
      <c r="D43" s="1" t="s">
        <v>2526</v>
      </c>
      <c r="E43" s="1" t="s">
        <v>2527</v>
      </c>
      <c r="F43" s="1" t="s">
        <v>2603</v>
      </c>
      <c r="G43" s="1" t="s">
        <v>2580</v>
      </c>
      <c r="H43" s="1" t="n">
        <v>0</v>
      </c>
      <c r="I43" s="1" t="s">
        <v>2608</v>
      </c>
      <c r="J43" s="1" t="s">
        <v>2609</v>
      </c>
      <c r="K43" s="9"/>
      <c r="L43" s="9"/>
    </row>
    <row r="44" customFormat="false" ht="12.8" hidden="false" customHeight="false" outlineLevel="0" collapsed="false">
      <c r="A44" s="1" t="n">
        <v>4</v>
      </c>
      <c r="B44" s="1" t="s">
        <v>2528</v>
      </c>
      <c r="C44" s="1" t="s">
        <v>2525</v>
      </c>
      <c r="D44" s="1" t="s">
        <v>2529</v>
      </c>
      <c r="E44" s="1" t="s">
        <v>2567</v>
      </c>
      <c r="F44" s="1" t="s">
        <v>2603</v>
      </c>
      <c r="G44" s="1" t="s">
        <v>2580</v>
      </c>
      <c r="H44" s="1" t="n">
        <v>0</v>
      </c>
      <c r="I44" s="1" t="s">
        <v>2610</v>
      </c>
      <c r="J44" s="1" t="s">
        <v>2611</v>
      </c>
      <c r="K44" s="9"/>
      <c r="L44" s="9"/>
    </row>
    <row r="45" customFormat="false" ht="12.8" hidden="false" customHeight="false" outlineLevel="0" collapsed="false">
      <c r="A45" s="1" t="n">
        <v>5</v>
      </c>
      <c r="B45" s="1" t="s">
        <v>2531</v>
      </c>
      <c r="C45" s="1" t="s">
        <v>2521</v>
      </c>
      <c r="D45" s="1" t="s">
        <v>2532</v>
      </c>
      <c r="E45" s="1" t="s">
        <v>2533</v>
      </c>
      <c r="F45" s="1" t="s">
        <v>2603</v>
      </c>
      <c r="G45" s="1" t="s">
        <v>2580</v>
      </c>
      <c r="H45" s="1" t="n">
        <v>0</v>
      </c>
      <c r="I45" s="1" t="s">
        <v>2610</v>
      </c>
      <c r="J45" s="1" t="s">
        <v>2612</v>
      </c>
      <c r="K45" s="9"/>
      <c r="L45" s="9"/>
    </row>
    <row r="46" customFormat="false" ht="12.8" hidden="false" customHeight="false" outlineLevel="0" collapsed="false">
      <c r="A46" s="1" t="n">
        <v>6</v>
      </c>
      <c r="B46" s="1" t="s">
        <v>2534</v>
      </c>
      <c r="C46" s="1" t="s">
        <v>2525</v>
      </c>
      <c r="D46" s="1" t="s">
        <v>2535</v>
      </c>
      <c r="E46" s="1" t="s">
        <v>2536</v>
      </c>
      <c r="F46" s="1" t="s">
        <v>2603</v>
      </c>
      <c r="G46" s="1" t="s">
        <v>2580</v>
      </c>
      <c r="H46" s="1" t="n">
        <v>0</v>
      </c>
      <c r="I46" s="1" t="s">
        <v>2613</v>
      </c>
      <c r="J46" s="1" t="s">
        <v>2614</v>
      </c>
      <c r="K46" s="9"/>
      <c r="L46" s="9"/>
    </row>
    <row r="47" customFormat="false" ht="12.8" hidden="false" customHeight="false" outlineLevel="0" collapsed="false">
      <c r="A47" s="1" t="n">
        <v>7</v>
      </c>
      <c r="B47" s="1" t="s">
        <v>2537</v>
      </c>
      <c r="C47" s="1" t="s">
        <v>2517</v>
      </c>
      <c r="D47" s="1" t="s">
        <v>2538</v>
      </c>
      <c r="E47" s="1" t="s">
        <v>2539</v>
      </c>
      <c r="F47" s="1" t="s">
        <v>2603</v>
      </c>
      <c r="G47" s="1" t="s">
        <v>2580</v>
      </c>
      <c r="H47" s="1" t="n">
        <v>0</v>
      </c>
      <c r="I47" s="1" t="s">
        <v>2615</v>
      </c>
      <c r="J47" s="1" t="s">
        <v>2616</v>
      </c>
      <c r="K47" s="9"/>
      <c r="L47" s="9"/>
    </row>
    <row r="48" customFormat="false" ht="12.8" hidden="false" customHeight="false" outlineLevel="0" collapsed="false">
      <c r="A48" s="1" t="n">
        <v>8</v>
      </c>
      <c r="B48" s="1" t="s">
        <v>2540</v>
      </c>
      <c r="C48" s="1" t="s">
        <v>2525</v>
      </c>
      <c r="D48" s="1" t="s">
        <v>2541</v>
      </c>
      <c r="E48" s="1" t="s">
        <v>2542</v>
      </c>
      <c r="F48" s="1" t="s">
        <v>2603</v>
      </c>
      <c r="G48" s="1" t="s">
        <v>2580</v>
      </c>
      <c r="H48" s="1" t="n">
        <v>0</v>
      </c>
      <c r="I48" s="1" t="s">
        <v>2617</v>
      </c>
      <c r="J48" s="1" t="s">
        <v>2618</v>
      </c>
      <c r="K48" s="9"/>
      <c r="L48" s="9"/>
    </row>
    <row r="49" customFormat="false" ht="12.8" hidden="false" customHeight="false" outlineLevel="0" collapsed="false">
      <c r="A49" s="1" t="n">
        <v>9</v>
      </c>
      <c r="B49" s="1" t="s">
        <v>2543</v>
      </c>
      <c r="C49" s="1" t="s">
        <v>2525</v>
      </c>
      <c r="D49" s="1" t="s">
        <v>2544</v>
      </c>
      <c r="E49" s="1" t="s">
        <v>2545</v>
      </c>
      <c r="F49" s="1" t="s">
        <v>2603</v>
      </c>
      <c r="G49" s="1" t="s">
        <v>2580</v>
      </c>
      <c r="H49" s="1" t="n">
        <v>0</v>
      </c>
      <c r="I49" s="1" t="s">
        <v>2619</v>
      </c>
      <c r="J49" s="1" t="s">
        <v>2620</v>
      </c>
      <c r="K49" s="9"/>
      <c r="L49" s="9"/>
    </row>
    <row r="50" customFormat="false" ht="12.8" hidden="false" customHeight="false" outlineLevel="0" collapsed="false">
      <c r="A50" s="1" t="n">
        <v>10</v>
      </c>
      <c r="B50" s="1" t="s">
        <v>2546</v>
      </c>
      <c r="C50" s="1" t="s">
        <v>2525</v>
      </c>
      <c r="D50" s="1" t="s">
        <v>2547</v>
      </c>
      <c r="E50" s="1" t="s">
        <v>2548</v>
      </c>
      <c r="F50" s="1" t="s">
        <v>2603</v>
      </c>
      <c r="G50" s="1" t="s">
        <v>2580</v>
      </c>
      <c r="H50" s="1" t="n">
        <v>0</v>
      </c>
      <c r="I50" s="1" t="s">
        <v>2621</v>
      </c>
      <c r="J50" s="1" t="s">
        <v>2622</v>
      </c>
      <c r="K50" s="9"/>
      <c r="L50" s="9"/>
    </row>
    <row r="51" customFormat="false" ht="12.8" hidden="false" customHeight="false" outlineLevel="0" collapsed="false">
      <c r="A51" s="1" t="n">
        <v>11</v>
      </c>
      <c r="B51" s="1" t="s">
        <v>2549</v>
      </c>
      <c r="C51" s="1" t="s">
        <v>2525</v>
      </c>
      <c r="D51" s="1" t="s">
        <v>2550</v>
      </c>
      <c r="E51" s="1" t="s">
        <v>2551</v>
      </c>
      <c r="F51" s="1" t="s">
        <v>2603</v>
      </c>
      <c r="G51" s="1" t="s">
        <v>2580</v>
      </c>
      <c r="H51" s="1" t="n">
        <v>0</v>
      </c>
      <c r="I51" s="1" t="s">
        <v>2623</v>
      </c>
      <c r="J51" s="1" t="s">
        <v>2624</v>
      </c>
      <c r="K51" s="9"/>
      <c r="L51" s="9"/>
    </row>
    <row r="52" customFormat="false" ht="12.8" hidden="false" customHeight="false" outlineLevel="0" collapsed="false">
      <c r="A52" s="1" t="n">
        <v>12</v>
      </c>
      <c r="B52" s="1" t="s">
        <v>2552</v>
      </c>
      <c r="C52" s="1" t="s">
        <v>2525</v>
      </c>
      <c r="D52" s="1" t="s">
        <v>2553</v>
      </c>
      <c r="E52" s="1" t="s">
        <v>2554</v>
      </c>
      <c r="F52" s="1" t="s">
        <v>2593</v>
      </c>
      <c r="G52" s="1" t="s">
        <v>2576</v>
      </c>
      <c r="H52" s="1" t="s">
        <v>2625</v>
      </c>
      <c r="I52" s="1" t="s">
        <v>2301</v>
      </c>
      <c r="J52" s="1" t="s">
        <v>2626</v>
      </c>
      <c r="K52" s="9"/>
      <c r="L52" s="9"/>
    </row>
    <row r="53" customFormat="false" ht="12.8" hidden="false" customHeight="false" outlineLevel="0" collapsed="false">
      <c r="A53" s="1" t="n">
        <v>13</v>
      </c>
      <c r="B53" s="1" t="s">
        <v>2582</v>
      </c>
      <c r="C53" s="1" t="s">
        <v>2583</v>
      </c>
      <c r="D53" s="1" t="s">
        <v>2584</v>
      </c>
      <c r="E53" s="1" t="s">
        <v>2627</v>
      </c>
      <c r="F53" s="1" t="s">
        <v>2571</v>
      </c>
      <c r="G53" s="1" t="s">
        <v>2576</v>
      </c>
      <c r="H53" s="1" t="n">
        <v>94</v>
      </c>
      <c r="I53" s="1" t="s">
        <v>2301</v>
      </c>
      <c r="J53" s="1" t="s">
        <v>2628</v>
      </c>
      <c r="K53" s="9"/>
      <c r="L53" s="9"/>
    </row>
    <row r="54" customFormat="false" ht="12.8" hidden="false" customHeight="false" outlineLevel="0" collapsed="false">
      <c r="A54" s="1" t="n">
        <v>14</v>
      </c>
      <c r="B54" s="1" t="s">
        <v>2587</v>
      </c>
      <c r="C54" s="1" t="s">
        <v>2583</v>
      </c>
      <c r="D54" s="1" t="s">
        <v>2588</v>
      </c>
      <c r="E54" s="1" t="s">
        <v>2627</v>
      </c>
      <c r="F54" s="1" t="s">
        <v>2571</v>
      </c>
      <c r="G54" s="1" t="s">
        <v>2576</v>
      </c>
      <c r="H54" s="1" t="n">
        <v>121</v>
      </c>
      <c r="I54" s="1" t="s">
        <v>2301</v>
      </c>
      <c r="J54" s="1" t="s">
        <v>2629</v>
      </c>
      <c r="K54" s="9"/>
      <c r="L54" s="9"/>
    </row>
    <row r="55" customFormat="false" ht="12.8" hidden="false" customHeight="false" outlineLevel="0" collapsed="false">
      <c r="A55" s="1" t="n">
        <v>15</v>
      </c>
      <c r="B55" s="1" t="s">
        <v>2590</v>
      </c>
      <c r="C55" s="1" t="s">
        <v>2583</v>
      </c>
      <c r="D55" s="1" t="s">
        <v>2591</v>
      </c>
      <c r="E55" s="1" t="s">
        <v>2627</v>
      </c>
      <c r="F55" s="1" t="s">
        <v>2571</v>
      </c>
      <c r="G55" s="1" t="s">
        <v>2576</v>
      </c>
      <c r="H55" s="1" t="n">
        <v>11.8</v>
      </c>
      <c r="I55" s="1" t="s">
        <v>2301</v>
      </c>
      <c r="J55" s="1" t="s">
        <v>2630</v>
      </c>
    </row>
    <row r="56" customFormat="false" ht="12.8" hidden="false" customHeight="false" outlineLevel="0" collapsed="false">
      <c r="A56" s="1" t="s">
        <v>2301</v>
      </c>
      <c r="B56" s="1" t="s">
        <v>2301</v>
      </c>
      <c r="C56" s="1" t="s">
        <v>2301</v>
      </c>
      <c r="D56" s="1" t="s">
        <v>2301</v>
      </c>
      <c r="E56" s="1" t="s">
        <v>2301</v>
      </c>
      <c r="F56" s="1" t="s">
        <v>2301</v>
      </c>
      <c r="G56" s="1" t="s">
        <v>2301</v>
      </c>
      <c r="H56" s="1" t="s">
        <v>2301</v>
      </c>
      <c r="I56" s="1" t="s">
        <v>2301</v>
      </c>
      <c r="J56" s="1" t="s">
        <v>2301</v>
      </c>
    </row>
    <row r="57" customFormat="false" ht="12.8" hidden="false" customHeight="false" outlineLevel="0" collapsed="false">
      <c r="A57" s="1" t="s">
        <v>2301</v>
      </c>
      <c r="B57" s="1" t="s">
        <v>2631</v>
      </c>
      <c r="C57" s="1" t="s">
        <v>2301</v>
      </c>
      <c r="D57" s="1" t="s">
        <v>2301</v>
      </c>
      <c r="E57" s="1" t="s">
        <v>2632</v>
      </c>
      <c r="F57" s="1" t="s">
        <v>2633</v>
      </c>
      <c r="G57" s="1" t="s">
        <v>2301</v>
      </c>
      <c r="H57" s="1" t="n">
        <v>226.8</v>
      </c>
      <c r="I57" s="1" t="s">
        <v>2634</v>
      </c>
      <c r="J57" s="1" t="s">
        <v>2635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2.3"/>
    <col collapsed="false" customWidth="true" hidden="false" outlineLevel="0" max="3" min="3" style="1" width="23.07"/>
    <col collapsed="false" customWidth="true" hidden="false" outlineLevel="0" max="4" min="4" style="1" width="25.37"/>
    <col collapsed="false" customWidth="true" hidden="false" outlineLevel="0" max="5" min="5" style="1" width="32.28"/>
    <col collapsed="false" customWidth="true" hidden="false" outlineLevel="0" max="6" min="6" style="1" width="27.68"/>
    <col collapsed="false" customWidth="true" hidden="false" outlineLevel="0" max="7" min="7" style="1" width="20.76"/>
    <col collapsed="false" customWidth="true" hidden="false" outlineLevel="0" max="9" min="8" style="1" width="27.68"/>
    <col collapsed="false" customWidth="true" hidden="false" outlineLevel="0" max="11" min="10" style="1" width="23.07"/>
    <col collapsed="false" customWidth="true" hidden="false" outlineLevel="0" max="12" min="12" style="1" width="27.68"/>
    <col collapsed="false" customWidth="true" hidden="false" outlineLevel="0" max="13" min="13" style="1" width="29.98"/>
    <col collapsed="false" customWidth="true" hidden="false" outlineLevel="0" max="14" min="14" style="1" width="20.76"/>
    <col collapsed="false" customWidth="true" hidden="false" outlineLevel="0" max="15" min="15" style="1" width="18.45"/>
    <col collapsed="false" customWidth="true" hidden="false" outlineLevel="0" max="16" min="16" style="1" width="23.07"/>
    <col collapsed="false" customWidth="true" hidden="false" outlineLevel="0" max="17" min="17" style="1" width="20.76"/>
    <col collapsed="false" customWidth="true" hidden="false" outlineLevel="0" max="18" min="18" style="1" width="27.68"/>
    <col collapsed="false" customWidth="false" hidden="false" outlineLevel="0" max="16384" min="19" style="1" width="11.53"/>
  </cols>
  <sheetData>
    <row r="1" customFormat="false" ht="12.8" hidden="false" customHeight="false" outlineLevel="0" collapsed="false">
      <c r="A1" s="11" t="s">
        <v>16</v>
      </c>
    </row>
    <row r="2" customFormat="false" ht="12.8" hidden="false" customHeight="false" outlineLevel="0" collapsed="false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customFormat="false" ht="12.8" hidden="false" customHeight="false" outlineLevel="0" collapsed="false">
      <c r="A3" s="9" t="n">
        <v>1</v>
      </c>
      <c r="B3" s="9" t="s">
        <v>66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customFormat="false" ht="12.8" hidden="false" customHeight="false" outlineLevel="0" collapsed="false">
      <c r="A4" s="9" t="s">
        <v>2323</v>
      </c>
      <c r="B4" s="9" t="s">
        <v>2636</v>
      </c>
      <c r="C4" s="9" t="s">
        <v>2637</v>
      </c>
      <c r="D4" s="9" t="s">
        <v>2638</v>
      </c>
      <c r="E4" s="9" t="s">
        <v>2639</v>
      </c>
      <c r="F4" s="9" t="s">
        <v>2640</v>
      </c>
      <c r="G4" s="9" t="s">
        <v>2641</v>
      </c>
      <c r="H4" s="9" t="s">
        <v>2642</v>
      </c>
      <c r="I4" s="9" t="s">
        <v>2643</v>
      </c>
      <c r="J4" s="9" t="s">
        <v>2644</v>
      </c>
      <c r="K4" s="9" t="s">
        <v>2645</v>
      </c>
      <c r="L4" s="9" t="s">
        <v>2646</v>
      </c>
      <c r="M4" s="9" t="s">
        <v>2647</v>
      </c>
      <c r="N4" s="9" t="s">
        <v>2648</v>
      </c>
      <c r="O4" s="9" t="s">
        <v>2349</v>
      </c>
      <c r="P4" s="9" t="s">
        <v>2649</v>
      </c>
      <c r="Q4" s="9" t="s">
        <v>2650</v>
      </c>
      <c r="R4" s="9" t="s">
        <v>2651</v>
      </c>
      <c r="S4" s="9"/>
    </row>
    <row r="5" customFormat="false" ht="12.8" hidden="false" customHeight="false" outlineLevel="0" collapsed="false">
      <c r="A5" s="9" t="n">
        <v>0</v>
      </c>
      <c r="B5" s="9" t="n">
        <v>1</v>
      </c>
      <c r="C5" s="9" t="s">
        <v>2652</v>
      </c>
      <c r="D5" s="9" t="s">
        <v>2653</v>
      </c>
      <c r="E5" s="9" t="n">
        <v>0.02</v>
      </c>
      <c r="F5" s="9" t="s">
        <v>2654</v>
      </c>
      <c r="G5" s="9" t="n">
        <v>0.21</v>
      </c>
      <c r="H5" s="9" t="n">
        <v>0</v>
      </c>
      <c r="I5" s="9" t="n">
        <v>1</v>
      </c>
      <c r="J5" s="9" t="n">
        <v>0</v>
      </c>
      <c r="K5" s="9" t="n">
        <v>3</v>
      </c>
      <c r="L5" s="9" t="n">
        <v>0</v>
      </c>
      <c r="M5" s="9" t="n">
        <v>0</v>
      </c>
      <c r="N5" s="9" t="n">
        <v>4</v>
      </c>
      <c r="O5" s="9" t="s">
        <v>2655</v>
      </c>
      <c r="P5" s="9" t="s">
        <v>2656</v>
      </c>
      <c r="Q5" s="9" t="s">
        <v>2657</v>
      </c>
      <c r="R5" s="9" t="s">
        <v>2658</v>
      </c>
      <c r="S5" s="9"/>
    </row>
    <row r="6" customFormat="false" ht="12.8" hidden="false" customHeight="false" outlineLevel="0" collapsed="false">
      <c r="A6" s="9" t="n">
        <v>1</v>
      </c>
      <c r="B6" s="9" t="n">
        <v>2</v>
      </c>
      <c r="C6" s="9" t="s">
        <v>2659</v>
      </c>
      <c r="D6" s="9" t="s">
        <v>2660</v>
      </c>
      <c r="E6" s="9" t="n">
        <v>0.5</v>
      </c>
      <c r="F6" s="9" t="s">
        <v>2661</v>
      </c>
      <c r="G6" s="9" t="n">
        <v>0.21</v>
      </c>
      <c r="H6" s="9" t="n">
        <v>6</v>
      </c>
      <c r="I6" s="9" t="n">
        <v>7</v>
      </c>
      <c r="J6" s="9" t="n">
        <v>3</v>
      </c>
      <c r="K6" s="9" t="n">
        <v>6</v>
      </c>
      <c r="L6" s="9" t="n">
        <v>0</v>
      </c>
      <c r="M6" s="9" t="n">
        <v>2</v>
      </c>
      <c r="N6" s="9" t="n">
        <v>24</v>
      </c>
      <c r="O6" s="9" t="s">
        <v>2662</v>
      </c>
      <c r="P6" s="9" t="s">
        <v>2663</v>
      </c>
      <c r="Q6" s="9" t="s">
        <v>2664</v>
      </c>
      <c r="R6" s="9" t="s">
        <v>2665</v>
      </c>
      <c r="S6" s="9"/>
    </row>
    <row r="7" customFormat="false" ht="12.8" hidden="false" customHeight="false" outlineLevel="0" collapsed="false">
      <c r="A7" s="9" t="n">
        <v>2</v>
      </c>
      <c r="B7" s="9" t="n">
        <v>3</v>
      </c>
      <c r="C7" s="9" t="s">
        <v>2666</v>
      </c>
      <c r="D7" s="9" t="s">
        <v>2667</v>
      </c>
      <c r="E7" s="9" t="n">
        <v>4.5</v>
      </c>
      <c r="F7" s="9" t="s">
        <v>2668</v>
      </c>
      <c r="G7" s="9" t="n">
        <v>0.21</v>
      </c>
      <c r="H7" s="9" t="n">
        <v>22</v>
      </c>
      <c r="I7" s="9" t="n">
        <v>26</v>
      </c>
      <c r="J7" s="9" t="n">
        <v>10</v>
      </c>
      <c r="K7" s="9" t="n">
        <v>18</v>
      </c>
      <c r="L7" s="9" t="n">
        <v>0</v>
      </c>
      <c r="M7" s="9" t="n">
        <v>6</v>
      </c>
      <c r="N7" s="9" t="n">
        <v>82</v>
      </c>
      <c r="O7" s="9" t="s">
        <v>2669</v>
      </c>
      <c r="P7" s="9" t="s">
        <v>2670</v>
      </c>
      <c r="Q7" s="9" t="s">
        <v>2671</v>
      </c>
      <c r="R7" s="9" t="s">
        <v>2672</v>
      </c>
      <c r="S7" s="9"/>
    </row>
    <row r="8" customFormat="false" ht="12.8" hidden="false" customHeight="false" outlineLevel="0" collapsed="false">
      <c r="A8" s="9" t="n">
        <v>3</v>
      </c>
      <c r="B8" s="9" t="n">
        <v>4</v>
      </c>
      <c r="C8" s="9" t="s">
        <v>2673</v>
      </c>
      <c r="D8" s="9" t="s">
        <v>2674</v>
      </c>
      <c r="E8" s="9" t="n">
        <v>35</v>
      </c>
      <c r="F8" s="9" t="s">
        <v>2675</v>
      </c>
      <c r="G8" s="9" t="n">
        <v>0.21</v>
      </c>
      <c r="H8" s="9" t="n">
        <v>30</v>
      </c>
      <c r="I8" s="9" t="n">
        <v>38</v>
      </c>
      <c r="J8" s="9" t="n">
        <v>22</v>
      </c>
      <c r="K8" s="9" t="n">
        <v>18</v>
      </c>
      <c r="L8" s="9" t="n">
        <v>12</v>
      </c>
      <c r="M8" s="9" t="n">
        <v>10</v>
      </c>
      <c r="N8" s="9" t="n">
        <v>130</v>
      </c>
      <c r="O8" s="9" t="s">
        <v>2676</v>
      </c>
      <c r="P8" s="9" t="s">
        <v>2670</v>
      </c>
      <c r="Q8" s="9" t="s">
        <v>2677</v>
      </c>
      <c r="R8" s="9" t="s">
        <v>2678</v>
      </c>
      <c r="S8" s="9"/>
    </row>
    <row r="9" customFormat="false" ht="12.8" hidden="false" customHeight="false" outlineLevel="0" collapsed="false">
      <c r="A9" s="9" t="n">
        <v>4</v>
      </c>
      <c r="B9" s="9" t="n">
        <v>5</v>
      </c>
      <c r="C9" s="9" t="n">
        <v>100</v>
      </c>
      <c r="D9" s="9" t="s">
        <v>2679</v>
      </c>
      <c r="E9" s="9" t="n">
        <v>250</v>
      </c>
      <c r="F9" s="9" t="s">
        <v>2680</v>
      </c>
      <c r="G9" s="9" t="n">
        <v>0.21</v>
      </c>
      <c r="H9" s="9" t="n">
        <v>18</v>
      </c>
      <c r="I9" s="9" t="n">
        <v>22</v>
      </c>
      <c r="J9" s="9" t="n">
        <v>20</v>
      </c>
      <c r="K9" s="9" t="n">
        <v>10</v>
      </c>
      <c r="L9" s="9" t="n">
        <v>55</v>
      </c>
      <c r="M9" s="9" t="n">
        <v>15</v>
      </c>
      <c r="N9" s="9" t="n">
        <v>140</v>
      </c>
      <c r="O9" s="9" t="s">
        <v>2681</v>
      </c>
      <c r="P9" s="9" t="s">
        <v>2656</v>
      </c>
      <c r="Q9" s="9" t="s">
        <v>2682</v>
      </c>
      <c r="R9" s="9" t="s">
        <v>2683</v>
      </c>
      <c r="S9" s="9"/>
    </row>
    <row r="10" customFormat="false" ht="12.8" hidden="false" customHeight="false" outlineLevel="0" collapsed="false">
      <c r="A10" s="9" t="s">
        <v>2301</v>
      </c>
      <c r="B10" s="9" t="s">
        <v>2301</v>
      </c>
      <c r="C10" s="9" t="s">
        <v>2684</v>
      </c>
      <c r="D10" s="9" t="s">
        <v>2685</v>
      </c>
      <c r="E10" s="9" t="s">
        <v>2301</v>
      </c>
      <c r="F10" s="9" t="s">
        <v>2686</v>
      </c>
      <c r="G10" s="9" t="n">
        <v>0.21</v>
      </c>
      <c r="H10" s="9" t="n">
        <v>76</v>
      </c>
      <c r="I10" s="9" t="n">
        <v>94</v>
      </c>
      <c r="J10" s="9" t="n">
        <v>55</v>
      </c>
      <c r="K10" s="9" t="n">
        <v>55</v>
      </c>
      <c r="L10" s="9" t="n">
        <v>67</v>
      </c>
      <c r="M10" s="9" t="n">
        <v>33</v>
      </c>
      <c r="N10" s="9" t="s">
        <v>2687</v>
      </c>
      <c r="O10" s="9" t="s">
        <v>2688</v>
      </c>
      <c r="P10" s="9" t="s">
        <v>2689</v>
      </c>
      <c r="Q10" s="9" t="n">
        <v>1</v>
      </c>
      <c r="R10" s="9" t="s">
        <v>2690</v>
      </c>
      <c r="S10" s="9"/>
    </row>
    <row r="11" customFormat="false" ht="12.8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customFormat="false" ht="12.8" hidden="false" customHeight="false" outlineLevel="0" collapsed="false">
      <c r="A12" s="31" t="s">
        <v>31</v>
      </c>
      <c r="B12" s="9" t="s">
        <v>68</v>
      </c>
      <c r="C12" s="31"/>
      <c r="D12" s="31"/>
      <c r="E12" s="31"/>
      <c r="F12" s="31"/>
      <c r="G12" s="31"/>
      <c r="H12" s="31"/>
    </row>
    <row r="13" customFormat="false" ht="12.8" hidden="false" customHeight="false" outlineLevel="0" collapsed="false">
      <c r="A13" s="9" t="s">
        <v>2323</v>
      </c>
      <c r="B13" s="9" t="s">
        <v>2636</v>
      </c>
      <c r="C13" s="9" t="s">
        <v>2637</v>
      </c>
      <c r="D13" s="9" t="s">
        <v>2638</v>
      </c>
      <c r="E13" s="9" t="s">
        <v>2639</v>
      </c>
      <c r="F13" s="9" t="s">
        <v>2640</v>
      </c>
      <c r="G13" s="9" t="s">
        <v>2641</v>
      </c>
      <c r="H13" s="9" t="s">
        <v>2642</v>
      </c>
      <c r="I13" s="9" t="s">
        <v>2643</v>
      </c>
      <c r="J13" s="9" t="s">
        <v>2644</v>
      </c>
      <c r="K13" s="9" t="s">
        <v>2645</v>
      </c>
      <c r="L13" s="9" t="s">
        <v>2646</v>
      </c>
      <c r="M13" s="9" t="s">
        <v>2647</v>
      </c>
      <c r="N13" s="9" t="s">
        <v>2648</v>
      </c>
      <c r="O13" s="9" t="s">
        <v>2349</v>
      </c>
      <c r="P13" s="9" t="s">
        <v>2649</v>
      </c>
      <c r="Q13" s="9" t="s">
        <v>2650</v>
      </c>
      <c r="R13" s="9" t="s">
        <v>2651</v>
      </c>
      <c r="S13" s="9"/>
    </row>
    <row r="14" customFormat="false" ht="12.8" hidden="false" customHeight="false" outlineLevel="0" collapsed="false">
      <c r="A14" s="9" t="n">
        <v>0</v>
      </c>
      <c r="B14" s="9" t="n">
        <v>1</v>
      </c>
      <c r="C14" s="9" t="s">
        <v>2652</v>
      </c>
      <c r="D14" s="9" t="s">
        <v>2653</v>
      </c>
      <c r="E14" s="9" t="n">
        <v>0.02</v>
      </c>
      <c r="F14" s="9" t="s">
        <v>2691</v>
      </c>
      <c r="G14" s="9" t="n">
        <v>0.05</v>
      </c>
      <c r="H14" s="9" t="n">
        <v>0</v>
      </c>
      <c r="I14" s="9" t="n">
        <v>1</v>
      </c>
      <c r="J14" s="9" t="n">
        <v>0</v>
      </c>
      <c r="K14" s="9" t="n">
        <v>3</v>
      </c>
      <c r="L14" s="9" t="n">
        <v>0</v>
      </c>
      <c r="M14" s="9" t="n">
        <v>0</v>
      </c>
      <c r="N14" s="9" t="n">
        <v>4</v>
      </c>
      <c r="O14" s="9" t="s">
        <v>2692</v>
      </c>
      <c r="P14" s="9" t="s">
        <v>2693</v>
      </c>
      <c r="Q14" s="9" t="s">
        <v>2694</v>
      </c>
      <c r="R14" s="9" t="s">
        <v>2695</v>
      </c>
      <c r="S14" s="9"/>
    </row>
    <row r="15" customFormat="false" ht="12.8" hidden="false" customHeight="false" outlineLevel="0" collapsed="false">
      <c r="A15" s="9" t="n">
        <v>1</v>
      </c>
      <c r="B15" s="9" t="n">
        <v>2</v>
      </c>
      <c r="C15" s="9" t="s">
        <v>2659</v>
      </c>
      <c r="D15" s="9" t="s">
        <v>2660</v>
      </c>
      <c r="E15" s="9" t="n">
        <v>0.5</v>
      </c>
      <c r="F15" s="9" t="s">
        <v>2696</v>
      </c>
      <c r="G15" s="32" t="n">
        <v>0.16</v>
      </c>
      <c r="H15" s="9" t="n">
        <v>6</v>
      </c>
      <c r="I15" s="9" t="n">
        <v>7</v>
      </c>
      <c r="J15" s="9" t="n">
        <v>3</v>
      </c>
      <c r="K15" s="9" t="n">
        <v>6</v>
      </c>
      <c r="L15" s="9" t="n">
        <v>0</v>
      </c>
      <c r="M15" s="9" t="n">
        <v>2</v>
      </c>
      <c r="N15" s="9" t="n">
        <v>24</v>
      </c>
      <c r="O15" s="9" t="s">
        <v>2697</v>
      </c>
      <c r="P15" s="9" t="s">
        <v>2698</v>
      </c>
      <c r="Q15" s="9" t="s">
        <v>2699</v>
      </c>
      <c r="R15" s="9" t="s">
        <v>2665</v>
      </c>
      <c r="S15" s="9"/>
    </row>
    <row r="16" customFormat="false" ht="12.8" hidden="false" customHeight="false" outlineLevel="0" collapsed="false">
      <c r="A16" s="9" t="n">
        <v>2</v>
      </c>
      <c r="B16" s="9" t="n">
        <v>3</v>
      </c>
      <c r="C16" s="9" t="s">
        <v>2666</v>
      </c>
      <c r="D16" s="9" t="s">
        <v>2667</v>
      </c>
      <c r="E16" s="9" t="n">
        <v>4.5</v>
      </c>
      <c r="F16" s="9" t="s">
        <v>2700</v>
      </c>
      <c r="G16" s="32" t="n">
        <v>0.21</v>
      </c>
      <c r="H16" s="9" t="n">
        <v>22</v>
      </c>
      <c r="I16" s="9" t="n">
        <v>26</v>
      </c>
      <c r="J16" s="9" t="n">
        <v>10</v>
      </c>
      <c r="K16" s="9" t="n">
        <v>18</v>
      </c>
      <c r="L16" s="9" t="n">
        <v>0</v>
      </c>
      <c r="M16" s="9" t="n">
        <v>6</v>
      </c>
      <c r="N16" s="9" t="n">
        <v>82</v>
      </c>
      <c r="O16" s="9" t="s">
        <v>2701</v>
      </c>
      <c r="P16" s="9" t="s">
        <v>2670</v>
      </c>
      <c r="Q16" s="9" t="s">
        <v>2702</v>
      </c>
      <c r="R16" s="9" t="s">
        <v>2672</v>
      </c>
      <c r="S16" s="9"/>
    </row>
    <row r="17" customFormat="false" ht="12.8" hidden="false" customHeight="false" outlineLevel="0" collapsed="false">
      <c r="A17" s="9" t="n">
        <v>3</v>
      </c>
      <c r="B17" s="9" t="n">
        <v>4</v>
      </c>
      <c r="C17" s="9" t="s">
        <v>2673</v>
      </c>
      <c r="D17" s="9" t="s">
        <v>2674</v>
      </c>
      <c r="E17" s="9" t="n">
        <v>35</v>
      </c>
      <c r="F17" s="9" t="s">
        <v>2703</v>
      </c>
      <c r="G17" s="32" t="n">
        <v>0.24</v>
      </c>
      <c r="H17" s="9" t="n">
        <v>30</v>
      </c>
      <c r="I17" s="9" t="n">
        <v>38</v>
      </c>
      <c r="J17" s="9" t="n">
        <v>22</v>
      </c>
      <c r="K17" s="9" t="n">
        <v>18</v>
      </c>
      <c r="L17" s="9" t="n">
        <v>12</v>
      </c>
      <c r="M17" s="9" t="n">
        <v>10</v>
      </c>
      <c r="N17" s="9" t="n">
        <v>130</v>
      </c>
      <c r="O17" s="9" t="s">
        <v>2704</v>
      </c>
      <c r="P17" s="9" t="s">
        <v>2705</v>
      </c>
      <c r="Q17" s="9" t="s">
        <v>2706</v>
      </c>
      <c r="R17" s="9" t="s">
        <v>2678</v>
      </c>
      <c r="S17" s="9"/>
    </row>
    <row r="18" customFormat="false" ht="12.8" hidden="false" customHeight="false" outlineLevel="0" collapsed="false">
      <c r="A18" s="9" t="n">
        <v>4</v>
      </c>
      <c r="B18" s="9" t="n">
        <v>5</v>
      </c>
      <c r="C18" s="9" t="n">
        <v>100</v>
      </c>
      <c r="D18" s="9" t="s">
        <v>2679</v>
      </c>
      <c r="E18" s="9" t="n">
        <v>250</v>
      </c>
      <c r="F18" s="9" t="s">
        <v>2707</v>
      </c>
      <c r="G18" s="32" t="n">
        <v>0.27</v>
      </c>
      <c r="H18" s="9" t="n">
        <v>18</v>
      </c>
      <c r="I18" s="9" t="n">
        <v>22</v>
      </c>
      <c r="J18" s="9" t="n">
        <v>20</v>
      </c>
      <c r="K18" s="9" t="n">
        <v>10</v>
      </c>
      <c r="L18" s="9" t="n">
        <v>55</v>
      </c>
      <c r="M18" s="9" t="n">
        <v>15</v>
      </c>
      <c r="N18" s="9" t="n">
        <v>140</v>
      </c>
      <c r="O18" s="9" t="s">
        <v>2708</v>
      </c>
      <c r="P18" s="9" t="s">
        <v>2709</v>
      </c>
      <c r="Q18" s="9" t="s">
        <v>2710</v>
      </c>
      <c r="R18" s="9" t="s">
        <v>2711</v>
      </c>
      <c r="S18" s="9"/>
    </row>
    <row r="19" customFormat="false" ht="12.8" hidden="false" customHeight="false" outlineLevel="0" collapsed="false">
      <c r="A19" s="9" t="s">
        <v>2301</v>
      </c>
      <c r="B19" s="9" t="s">
        <v>2301</v>
      </c>
      <c r="C19" s="9" t="s">
        <v>2684</v>
      </c>
      <c r="D19" s="9" t="s">
        <v>2685</v>
      </c>
      <c r="E19" s="9" t="s">
        <v>2301</v>
      </c>
      <c r="F19" s="9" t="s">
        <v>2712</v>
      </c>
      <c r="G19" s="9" t="s">
        <v>2301</v>
      </c>
      <c r="H19" s="9" t="n">
        <v>76</v>
      </c>
      <c r="I19" s="9" t="n">
        <v>94</v>
      </c>
      <c r="J19" s="9" t="n">
        <v>55</v>
      </c>
      <c r="K19" s="9" t="n">
        <v>55</v>
      </c>
      <c r="L19" s="9" t="n">
        <v>67</v>
      </c>
      <c r="M19" s="9" t="n">
        <v>33</v>
      </c>
      <c r="N19" s="9" t="s">
        <v>2687</v>
      </c>
      <c r="O19" s="9" t="s">
        <v>2713</v>
      </c>
      <c r="P19" s="9" t="s">
        <v>2714</v>
      </c>
      <c r="Q19" s="32" t="n">
        <v>1</v>
      </c>
      <c r="R19" s="9" t="s">
        <v>2715</v>
      </c>
      <c r="S19" s="9"/>
    </row>
    <row r="20" customFormat="false" ht="12.8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customFormat="false" ht="12.8" hidden="false" customHeight="false" outlineLevel="0" collapsed="false">
      <c r="A21" s="9" t="s">
        <v>34</v>
      </c>
      <c r="B21" s="9" t="s">
        <v>70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customFormat="false" ht="12.8" hidden="false" customHeight="false" outlineLevel="0" collapsed="false">
      <c r="A22" s="1" t="s">
        <v>2323</v>
      </c>
      <c r="B22" s="1" t="s">
        <v>2636</v>
      </c>
      <c r="C22" s="1" t="s">
        <v>2637</v>
      </c>
      <c r="D22" s="1" t="s">
        <v>2638</v>
      </c>
      <c r="E22" s="1" t="s">
        <v>2639</v>
      </c>
      <c r="F22" s="1" t="s">
        <v>2640</v>
      </c>
      <c r="G22" s="1" t="s">
        <v>2641</v>
      </c>
      <c r="H22" s="1" t="s">
        <v>2642</v>
      </c>
      <c r="I22" s="1" t="s">
        <v>2643</v>
      </c>
      <c r="J22" s="1" t="s">
        <v>2644</v>
      </c>
      <c r="K22" s="1" t="s">
        <v>2645</v>
      </c>
      <c r="L22" s="1" t="s">
        <v>2646</v>
      </c>
      <c r="M22" s="1" t="s">
        <v>2647</v>
      </c>
      <c r="N22" s="1" t="s">
        <v>2648</v>
      </c>
      <c r="O22" s="1" t="s">
        <v>2349</v>
      </c>
      <c r="P22" s="1" t="s">
        <v>2649</v>
      </c>
      <c r="Q22" s="1" t="s">
        <v>2650</v>
      </c>
      <c r="R22" s="1" t="s">
        <v>2651</v>
      </c>
    </row>
    <row r="23" customFormat="false" ht="12.8" hidden="false" customHeight="false" outlineLevel="0" collapsed="false">
      <c r="A23" s="1" t="n">
        <v>0</v>
      </c>
      <c r="B23" s="1" t="n">
        <v>1</v>
      </c>
      <c r="C23" s="1" t="s">
        <v>2652</v>
      </c>
      <c r="D23" s="1" t="s">
        <v>2653</v>
      </c>
      <c r="E23" s="1" t="n">
        <v>0.02</v>
      </c>
      <c r="F23" s="1" t="s">
        <v>2691</v>
      </c>
      <c r="G23" s="1" t="n">
        <v>0.05</v>
      </c>
      <c r="H23" s="1" t="n">
        <v>0</v>
      </c>
      <c r="I23" s="1" t="n">
        <v>1</v>
      </c>
      <c r="J23" s="1" t="n">
        <v>0</v>
      </c>
      <c r="K23" s="1" t="n">
        <v>3</v>
      </c>
      <c r="L23" s="1" t="n">
        <v>0</v>
      </c>
      <c r="M23" s="1" t="n">
        <v>0</v>
      </c>
      <c r="N23" s="1" t="n">
        <v>4</v>
      </c>
      <c r="O23" s="1" t="s">
        <v>2692</v>
      </c>
      <c r="P23" s="1" t="s">
        <v>2693</v>
      </c>
      <c r="Q23" s="1" t="s">
        <v>2694</v>
      </c>
      <c r="R23" s="1" t="s">
        <v>2695</v>
      </c>
    </row>
    <row r="24" customFormat="false" ht="12.8" hidden="false" customHeight="false" outlineLevel="0" collapsed="false">
      <c r="A24" s="1" t="n">
        <v>1</v>
      </c>
      <c r="B24" s="1" t="n">
        <v>2</v>
      </c>
      <c r="C24" s="1" t="s">
        <v>2659</v>
      </c>
      <c r="D24" s="1" t="s">
        <v>2660</v>
      </c>
      <c r="E24" s="1" t="n">
        <v>0.5</v>
      </c>
      <c r="F24" s="1" t="s">
        <v>2696</v>
      </c>
      <c r="G24" s="25" t="n">
        <v>0.16</v>
      </c>
      <c r="H24" s="1" t="n">
        <v>0</v>
      </c>
      <c r="I24" s="1" t="n">
        <v>7</v>
      </c>
      <c r="J24" s="1" t="n">
        <v>3</v>
      </c>
      <c r="K24" s="1" t="n">
        <v>6</v>
      </c>
      <c r="L24" s="1" t="n">
        <v>0</v>
      </c>
      <c r="M24" s="1" t="n">
        <v>0</v>
      </c>
      <c r="N24" s="1" t="n">
        <v>16</v>
      </c>
      <c r="O24" s="1" t="s">
        <v>2716</v>
      </c>
      <c r="P24" s="1" t="s">
        <v>2717</v>
      </c>
      <c r="Q24" s="1" t="s">
        <v>2718</v>
      </c>
      <c r="R24" s="1" t="s">
        <v>2719</v>
      </c>
    </row>
    <row r="25" customFormat="false" ht="12.8" hidden="false" customHeight="false" outlineLevel="0" collapsed="false">
      <c r="A25" s="1" t="n">
        <v>2</v>
      </c>
      <c r="B25" s="1" t="n">
        <v>3</v>
      </c>
      <c r="C25" s="1" t="s">
        <v>2666</v>
      </c>
      <c r="D25" s="1" t="s">
        <v>2667</v>
      </c>
      <c r="E25" s="1" t="n">
        <v>4.5</v>
      </c>
      <c r="F25" s="1" t="s">
        <v>2700</v>
      </c>
      <c r="G25" s="25" t="n">
        <v>0.21</v>
      </c>
      <c r="H25" s="1" t="n">
        <v>0</v>
      </c>
      <c r="I25" s="1" t="n">
        <v>26</v>
      </c>
      <c r="J25" s="1" t="n">
        <v>10</v>
      </c>
      <c r="K25" s="1" t="n">
        <v>18</v>
      </c>
      <c r="L25" s="1" t="n">
        <v>0</v>
      </c>
      <c r="M25" s="1" t="n">
        <v>0</v>
      </c>
      <c r="N25" s="1" t="n">
        <v>54</v>
      </c>
      <c r="O25" s="1" t="s">
        <v>2720</v>
      </c>
      <c r="P25" s="1" t="s">
        <v>2721</v>
      </c>
      <c r="Q25" s="1" t="s">
        <v>2722</v>
      </c>
      <c r="R25" s="1" t="s">
        <v>2723</v>
      </c>
    </row>
    <row r="26" customFormat="false" ht="12.8" hidden="false" customHeight="false" outlineLevel="0" collapsed="false">
      <c r="A26" s="1" t="n">
        <v>3</v>
      </c>
      <c r="B26" s="1" t="n">
        <v>4</v>
      </c>
      <c r="C26" s="1" t="s">
        <v>2673</v>
      </c>
      <c r="D26" s="1" t="s">
        <v>2674</v>
      </c>
      <c r="E26" s="1" t="n">
        <v>35</v>
      </c>
      <c r="F26" s="1" t="s">
        <v>2703</v>
      </c>
      <c r="G26" s="25" t="n">
        <v>0.24</v>
      </c>
      <c r="H26" s="1" t="n">
        <v>0</v>
      </c>
      <c r="I26" s="1" t="n">
        <v>38</v>
      </c>
      <c r="J26" s="1" t="n">
        <v>22</v>
      </c>
      <c r="K26" s="1" t="n">
        <v>18</v>
      </c>
      <c r="L26" s="1" t="n">
        <v>12</v>
      </c>
      <c r="M26" s="1" t="n">
        <v>0</v>
      </c>
      <c r="N26" s="1" t="n">
        <v>90</v>
      </c>
      <c r="O26" s="1" t="s">
        <v>2707</v>
      </c>
      <c r="P26" s="1" t="s">
        <v>2671</v>
      </c>
      <c r="Q26" s="1" t="s">
        <v>2724</v>
      </c>
      <c r="R26" s="1" t="s">
        <v>2725</v>
      </c>
    </row>
    <row r="27" customFormat="false" ht="12.8" hidden="false" customHeight="false" outlineLevel="0" collapsed="false">
      <c r="A27" s="1" t="n">
        <v>4</v>
      </c>
      <c r="B27" s="1" t="n">
        <v>5</v>
      </c>
      <c r="C27" s="1" t="n">
        <v>100</v>
      </c>
      <c r="D27" s="1" t="s">
        <v>2679</v>
      </c>
      <c r="E27" s="1" t="n">
        <v>250</v>
      </c>
      <c r="F27" s="1" t="s">
        <v>2707</v>
      </c>
      <c r="G27" s="25" t="n">
        <v>0.27</v>
      </c>
      <c r="H27" s="1" t="n">
        <v>0</v>
      </c>
      <c r="I27" s="1" t="n">
        <v>22</v>
      </c>
      <c r="J27" s="1" t="n">
        <v>20</v>
      </c>
      <c r="K27" s="1" t="n">
        <v>10</v>
      </c>
      <c r="L27" s="1" t="n">
        <v>55</v>
      </c>
      <c r="M27" s="1" t="n">
        <v>0</v>
      </c>
      <c r="N27" s="1" t="n">
        <v>107</v>
      </c>
      <c r="O27" s="1" t="s">
        <v>2726</v>
      </c>
      <c r="P27" s="1" t="s">
        <v>2727</v>
      </c>
      <c r="Q27" s="1" t="s">
        <v>2728</v>
      </c>
      <c r="R27" s="1" t="s">
        <v>2729</v>
      </c>
    </row>
    <row r="28" customFormat="false" ht="12.8" hidden="false" customHeight="false" outlineLevel="0" collapsed="false">
      <c r="A28" s="1" t="s">
        <v>2301</v>
      </c>
      <c r="B28" s="1" t="s">
        <v>2301</v>
      </c>
      <c r="C28" s="1" t="s">
        <v>2684</v>
      </c>
      <c r="D28" s="1" t="s">
        <v>2685</v>
      </c>
      <c r="E28" s="1" t="s">
        <v>2301</v>
      </c>
      <c r="F28" s="1" t="s">
        <v>2712</v>
      </c>
      <c r="G28" s="1" t="s">
        <v>2301</v>
      </c>
      <c r="H28" s="1" t="n">
        <v>0</v>
      </c>
      <c r="I28" s="1" t="n">
        <v>94</v>
      </c>
      <c r="J28" s="1" t="n">
        <v>55</v>
      </c>
      <c r="K28" s="1" t="n">
        <v>55</v>
      </c>
      <c r="L28" s="1" t="n">
        <v>67</v>
      </c>
      <c r="M28" s="1" t="n">
        <v>0</v>
      </c>
      <c r="N28" s="1" t="s">
        <v>2730</v>
      </c>
      <c r="O28" s="1" t="s">
        <v>2731</v>
      </c>
      <c r="P28" s="1" t="s">
        <v>2709</v>
      </c>
      <c r="Q28" s="25" t="n">
        <v>1</v>
      </c>
      <c r="R28" s="1" t="s">
        <v>2732</v>
      </c>
    </row>
    <row r="32" customFormat="false" ht="57.45" hidden="false" customHeight="false" outlineLevel="0" collapsed="false">
      <c r="A32" s="13" t="s">
        <v>134</v>
      </c>
      <c r="B32" s="18" t="s">
        <v>2733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customFormat="false" ht="12.9" hidden="false" customHeight="false" outlineLevel="0" collapsed="false">
      <c r="A33" s="6" t="s">
        <v>2376</v>
      </c>
      <c r="B33" s="12" t="s">
        <v>2377</v>
      </c>
      <c r="C33" s="13" t="s">
        <v>2734</v>
      </c>
      <c r="D33" s="13" t="s">
        <v>2379</v>
      </c>
      <c r="E33" s="13" t="s">
        <v>2380</v>
      </c>
      <c r="F33" s="13" t="s">
        <v>2381</v>
      </c>
      <c r="G33" s="13" t="s">
        <v>2382</v>
      </c>
      <c r="H33" s="13" t="s">
        <v>2383</v>
      </c>
      <c r="I33" s="13" t="s">
        <v>2384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customFormat="false" ht="12.9" hidden="false" customHeight="false" outlineLevel="0" collapsed="false">
      <c r="A34" s="13" t="s">
        <v>52</v>
      </c>
      <c r="B34" s="12" t="s">
        <v>68</v>
      </c>
      <c r="C34" s="13" t="s">
        <v>2388</v>
      </c>
      <c r="D34" s="13" t="n">
        <v>5</v>
      </c>
      <c r="E34" s="13" t="s">
        <v>2389</v>
      </c>
      <c r="F34" s="13" t="s">
        <v>2390</v>
      </c>
      <c r="G34" s="13" t="s">
        <v>2391</v>
      </c>
      <c r="H34" s="13" t="s">
        <v>2392</v>
      </c>
      <c r="I34" s="18" t="s">
        <v>2735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customFormat="false" ht="12.9" hidden="false" customHeight="false" outlineLevel="0" collapsed="false">
      <c r="A35" s="13" t="s">
        <v>54</v>
      </c>
      <c r="B35" s="12" t="s">
        <v>70</v>
      </c>
      <c r="C35" s="13" t="s">
        <v>2407</v>
      </c>
      <c r="D35" s="13" t="n">
        <v>5</v>
      </c>
      <c r="E35" s="13" t="s">
        <v>2408</v>
      </c>
      <c r="F35" s="13" t="s">
        <v>2409</v>
      </c>
      <c r="G35" s="13" t="s">
        <v>2410</v>
      </c>
      <c r="H35" s="13" t="s">
        <v>2411</v>
      </c>
      <c r="I35" s="18" t="s">
        <v>2736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customFormat="false" ht="12.8" hidden="false" customHeight="false" outlineLevel="0" collapsed="false">
      <c r="C36" s="12"/>
    </row>
    <row r="37" customFormat="false" ht="12.8" hidden="false" customHeight="false" outlineLevel="0" collapsed="false">
      <c r="C37" s="12"/>
    </row>
    <row r="38" customFormat="false" ht="12.8" hidden="false" customHeight="false" outlineLevel="0" collapsed="false">
      <c r="C38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9" width="4.61"/>
    <col collapsed="false" customWidth="true" hidden="false" outlineLevel="0" max="3" min="3" style="9" width="32.29"/>
    <col collapsed="false" customWidth="true" hidden="false" outlineLevel="0" max="4" min="4" style="9" width="34.59"/>
    <col collapsed="false" customWidth="true" hidden="false" outlineLevel="0" max="5" min="5" style="9" width="18.45"/>
    <col collapsed="false" customWidth="true" hidden="false" outlineLevel="0" max="7" min="6" style="9" width="25.37"/>
    <col collapsed="false" customWidth="true" hidden="false" outlineLevel="0" max="8" min="8" style="9" width="13.84"/>
    <col collapsed="false" customWidth="false" hidden="false" outlineLevel="0" max="16384" min="9" style="9" width="11.53"/>
  </cols>
  <sheetData>
    <row r="1" customFormat="false" ht="12.8" hidden="false" customHeight="false" outlineLevel="0" collapsed="false">
      <c r="A1" s="3" t="s">
        <v>18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3" t="s">
        <v>18</v>
      </c>
      <c r="B2" s="1"/>
      <c r="C2" s="1"/>
      <c r="D2" s="1"/>
      <c r="E2" s="1"/>
      <c r="F2" s="1"/>
      <c r="G2" s="1"/>
    </row>
    <row r="3" customFormat="false" ht="12.8" hidden="false" customHeight="false" outlineLevel="0" collapsed="false">
      <c r="A3" s="1" t="n">
        <v>1</v>
      </c>
      <c r="B3" s="1" t="s">
        <v>2737</v>
      </c>
      <c r="C3" s="1"/>
      <c r="D3" s="1"/>
      <c r="E3" s="1"/>
      <c r="F3" s="1"/>
      <c r="G3" s="1"/>
    </row>
    <row r="4" customFormat="false" ht="12.8" hidden="false" customHeight="false" outlineLevel="0" collapsed="false">
      <c r="A4" s="1" t="s">
        <v>2426</v>
      </c>
      <c r="B4" s="1" t="s">
        <v>2738</v>
      </c>
      <c r="C4" s="1" t="s">
        <v>2427</v>
      </c>
      <c r="D4" s="1" t="s">
        <v>2428</v>
      </c>
      <c r="E4" s="1" t="s">
        <v>2739</v>
      </c>
      <c r="F4" s="1" t="s">
        <v>2430</v>
      </c>
      <c r="G4" s="1" t="s">
        <v>2431</v>
      </c>
    </row>
    <row r="5" customFormat="false" ht="12.8" hidden="false" customHeight="false" outlineLevel="0" collapsed="false">
      <c r="A5" s="1" t="n">
        <v>0</v>
      </c>
      <c r="B5" s="1" t="n">
        <v>1</v>
      </c>
      <c r="C5" s="1" t="s">
        <v>2432</v>
      </c>
      <c r="D5" s="24" t="s">
        <v>2740</v>
      </c>
      <c r="E5" s="1" t="s">
        <v>2434</v>
      </c>
      <c r="F5" s="1" t="s">
        <v>2741</v>
      </c>
      <c r="G5" s="1" t="s">
        <v>2742</v>
      </c>
    </row>
    <row r="6" customFormat="false" ht="12.8" hidden="false" customHeight="false" outlineLevel="0" collapsed="false">
      <c r="A6" s="1" t="n">
        <v>1</v>
      </c>
      <c r="B6" s="1" t="n">
        <v>2</v>
      </c>
      <c r="C6" s="1" t="s">
        <v>2444</v>
      </c>
      <c r="D6" s="24" t="s">
        <v>2445</v>
      </c>
      <c r="E6" s="1" t="s">
        <v>2446</v>
      </c>
      <c r="F6" s="1" t="s">
        <v>2743</v>
      </c>
      <c r="G6" s="1" t="s">
        <v>2449</v>
      </c>
    </row>
    <row r="7" customFormat="false" ht="12.8" hidden="false" customHeight="false" outlineLevel="0" collapsed="false">
      <c r="A7" s="1" t="n">
        <v>2</v>
      </c>
      <c r="B7" s="1" t="n">
        <v>3</v>
      </c>
      <c r="C7" s="1" t="s">
        <v>2450</v>
      </c>
      <c r="D7" s="24" t="s">
        <v>2451</v>
      </c>
      <c r="E7" s="1" t="s">
        <v>2452</v>
      </c>
      <c r="F7" s="1" t="s">
        <v>2743</v>
      </c>
      <c r="G7" s="1" t="s">
        <v>2454</v>
      </c>
    </row>
    <row r="8" customFormat="false" ht="12.8" hidden="false" customHeight="false" outlineLevel="0" collapsed="false">
      <c r="A8" s="1" t="n">
        <v>3</v>
      </c>
      <c r="B8" s="1" t="n">
        <v>4</v>
      </c>
      <c r="C8" s="1" t="s">
        <v>2744</v>
      </c>
      <c r="D8" s="1" t="s">
        <v>2745</v>
      </c>
      <c r="E8" s="1" t="s">
        <v>2746</v>
      </c>
      <c r="F8" s="1" t="s">
        <v>2747</v>
      </c>
      <c r="G8" s="1" t="s">
        <v>2748</v>
      </c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2.8" hidden="false" customHeight="false" outlineLevel="0" collapsed="false">
      <c r="A10" s="1" t="s">
        <v>31</v>
      </c>
      <c r="B10" s="1" t="s">
        <v>2749</v>
      </c>
      <c r="C10" s="1"/>
      <c r="D10" s="1"/>
      <c r="E10" s="1"/>
      <c r="F10" s="1"/>
      <c r="G10" s="1"/>
    </row>
    <row r="11" customFormat="false" ht="12.8" hidden="false" customHeight="false" outlineLevel="0" collapsed="false">
      <c r="A11" s="1" t="s">
        <v>2426</v>
      </c>
      <c r="B11" s="1" t="s">
        <v>2738</v>
      </c>
      <c r="C11" s="1" t="s">
        <v>2427</v>
      </c>
      <c r="D11" s="1" t="s">
        <v>2428</v>
      </c>
      <c r="E11" s="1" t="s">
        <v>2739</v>
      </c>
      <c r="F11" s="1" t="s">
        <v>462</v>
      </c>
      <c r="G11" s="1" t="s">
        <v>2430</v>
      </c>
    </row>
    <row r="12" customFormat="false" ht="12.8" hidden="false" customHeight="false" outlineLevel="0" collapsed="false">
      <c r="A12" s="1" t="n">
        <v>0</v>
      </c>
      <c r="B12" s="1" t="n">
        <v>1</v>
      </c>
      <c r="C12" s="1" t="s">
        <v>2432</v>
      </c>
      <c r="D12" s="1" t="s">
        <v>2750</v>
      </c>
      <c r="E12" s="1" t="s">
        <v>2434</v>
      </c>
      <c r="F12" s="1" t="s">
        <v>2751</v>
      </c>
      <c r="G12" s="1" t="s">
        <v>2741</v>
      </c>
    </row>
    <row r="13" customFormat="false" ht="12.8" hidden="false" customHeight="false" outlineLevel="0" collapsed="false">
      <c r="A13" s="1" t="n">
        <v>1</v>
      </c>
      <c r="B13" s="1" t="n">
        <v>2</v>
      </c>
      <c r="C13" s="1" t="s">
        <v>2444</v>
      </c>
      <c r="D13" s="24" t="s">
        <v>2445</v>
      </c>
      <c r="E13" s="1" t="s">
        <v>2446</v>
      </c>
      <c r="F13" s="1" t="s">
        <v>2752</v>
      </c>
      <c r="G13" s="1" t="s">
        <v>2743</v>
      </c>
    </row>
    <row r="14" customFormat="false" ht="12.8" hidden="false" customHeight="false" outlineLevel="0" collapsed="false">
      <c r="A14" s="1" t="n">
        <v>2</v>
      </c>
      <c r="B14" s="1" t="n">
        <v>3</v>
      </c>
      <c r="C14" s="1" t="s">
        <v>2450</v>
      </c>
      <c r="D14" s="24" t="s">
        <v>2451</v>
      </c>
      <c r="E14" s="1" t="s">
        <v>2452</v>
      </c>
      <c r="F14" s="1" t="s">
        <v>2753</v>
      </c>
      <c r="G14" s="1" t="s">
        <v>2743</v>
      </c>
    </row>
    <row r="15" customFormat="false" ht="12.8" hidden="false" customHeight="false" outlineLevel="0" collapsed="false">
      <c r="A15" s="1" t="n">
        <v>3</v>
      </c>
      <c r="B15" s="1" t="n">
        <v>4</v>
      </c>
      <c r="C15" s="1" t="s">
        <v>2744</v>
      </c>
      <c r="D15" s="1" t="s">
        <v>2745</v>
      </c>
      <c r="E15" s="1" t="s">
        <v>2746</v>
      </c>
      <c r="F15" s="1" t="s">
        <v>2754</v>
      </c>
      <c r="G15" s="1" t="s">
        <v>2755</v>
      </c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2.8" hidden="false" customHeight="false" outlineLevel="0" collapsed="false">
      <c r="A17" s="1" t="s">
        <v>34</v>
      </c>
      <c r="B17" s="1" t="s">
        <v>2756</v>
      </c>
      <c r="C17" s="1"/>
      <c r="D17" s="1"/>
      <c r="E17" s="1"/>
      <c r="F17" s="1"/>
      <c r="G17" s="1"/>
    </row>
    <row r="18" customFormat="false" ht="12.8" hidden="false" customHeight="false" outlineLevel="0" collapsed="false">
      <c r="A18" s="1" t="s">
        <v>2426</v>
      </c>
      <c r="B18" s="1" t="s">
        <v>2738</v>
      </c>
      <c r="C18" s="1" t="s">
        <v>2427</v>
      </c>
      <c r="D18" s="1" t="s">
        <v>2428</v>
      </c>
      <c r="E18" s="1" t="s">
        <v>2739</v>
      </c>
      <c r="F18" s="1" t="s">
        <v>462</v>
      </c>
      <c r="G18" s="1" t="s">
        <v>2430</v>
      </c>
    </row>
    <row r="19" customFormat="false" ht="12.8" hidden="false" customHeight="false" outlineLevel="0" collapsed="false">
      <c r="A19" s="1" t="n">
        <v>0</v>
      </c>
      <c r="B19" s="1" t="n">
        <v>1</v>
      </c>
      <c r="C19" s="1" t="s">
        <v>2432</v>
      </c>
      <c r="D19" s="1" t="s">
        <v>2750</v>
      </c>
      <c r="E19" s="1" t="s">
        <v>2434</v>
      </c>
      <c r="F19" s="1" t="s">
        <v>2751</v>
      </c>
      <c r="G19" s="1" t="s">
        <v>2741</v>
      </c>
    </row>
    <row r="20" customFormat="false" ht="12.8" hidden="false" customHeight="false" outlineLevel="0" collapsed="false">
      <c r="A20" s="1" t="n">
        <v>1</v>
      </c>
      <c r="B20" s="1" t="n">
        <v>2</v>
      </c>
      <c r="C20" s="1" t="s">
        <v>2757</v>
      </c>
      <c r="D20" s="24" t="s">
        <v>2758</v>
      </c>
      <c r="E20" s="1" t="s">
        <v>2759</v>
      </c>
      <c r="F20" s="1" t="s">
        <v>2760</v>
      </c>
      <c r="G20" s="1" t="s">
        <v>2743</v>
      </c>
    </row>
    <row r="21" customFormat="false" ht="12.8" hidden="false" customHeight="false" outlineLevel="0" collapsed="false">
      <c r="A21" s="1" t="n">
        <v>2</v>
      </c>
      <c r="B21" s="1" t="n">
        <v>3</v>
      </c>
      <c r="C21" s="1" t="s">
        <v>2761</v>
      </c>
      <c r="D21" s="1" t="s">
        <v>2762</v>
      </c>
      <c r="E21" s="1" t="s">
        <v>2763</v>
      </c>
      <c r="F21" s="1" t="s">
        <v>2764</v>
      </c>
      <c r="G21" s="1" t="s">
        <v>2765</v>
      </c>
    </row>
    <row r="22" customFormat="false" ht="12.8" hidden="false" customHeight="false" outlineLevel="0" collapsed="false">
      <c r="A22" s="1" t="n">
        <v>3</v>
      </c>
      <c r="B22" s="1" t="n">
        <v>4</v>
      </c>
      <c r="C22" s="1" t="s">
        <v>2766</v>
      </c>
      <c r="D22" s="1" t="s">
        <v>2767</v>
      </c>
      <c r="E22" s="1" t="s">
        <v>2768</v>
      </c>
      <c r="F22" s="1" t="s">
        <v>2769</v>
      </c>
      <c r="G22" s="1" t="s">
        <v>2770</v>
      </c>
    </row>
    <row r="23" customFormat="false" ht="12.8" hidden="false" customHeight="false" outlineLevel="0" collapsed="false">
      <c r="A23" s="1" t="n">
        <v>4</v>
      </c>
      <c r="B23" s="1" t="n">
        <v>5</v>
      </c>
      <c r="C23" s="1" t="s">
        <v>2771</v>
      </c>
      <c r="D23" s="1" t="s">
        <v>2772</v>
      </c>
      <c r="E23" s="1" t="s">
        <v>2773</v>
      </c>
      <c r="F23" s="1" t="s">
        <v>2774</v>
      </c>
      <c r="G23" s="1" t="s">
        <v>2775</v>
      </c>
    </row>
    <row r="24" customFormat="false" ht="12.8" hidden="false" customHeight="false" outlineLevel="0" collapsed="false">
      <c r="A24" s="1" t="n">
        <v>5</v>
      </c>
      <c r="B24" s="1" t="n">
        <v>6</v>
      </c>
      <c r="C24" s="1" t="s">
        <v>2776</v>
      </c>
      <c r="D24" s="1" t="s">
        <v>2777</v>
      </c>
      <c r="E24" s="1" t="s">
        <v>2778</v>
      </c>
      <c r="F24" s="1" t="s">
        <v>2779</v>
      </c>
      <c r="G24" s="1" t="s">
        <v>2765</v>
      </c>
    </row>
    <row r="25" customFormat="false" ht="12.8" hidden="false" customHeight="false" outlineLevel="0" collapsed="false">
      <c r="A25" s="1" t="n">
        <v>6</v>
      </c>
      <c r="B25" s="1" t="n">
        <v>7</v>
      </c>
      <c r="C25" s="1" t="s">
        <v>2780</v>
      </c>
      <c r="D25" s="1" t="s">
        <v>2781</v>
      </c>
      <c r="E25" s="1" t="s">
        <v>2782</v>
      </c>
      <c r="F25" s="1" t="s">
        <v>2783</v>
      </c>
      <c r="G25" s="1" t="s">
        <v>2784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9" width="4.61"/>
    <col collapsed="false" customWidth="true" hidden="false" outlineLevel="0" max="3" min="3" style="9" width="27.68"/>
    <col collapsed="false" customWidth="true" hidden="false" outlineLevel="0" max="5" min="4" style="9" width="39.2"/>
    <col collapsed="false" customWidth="true" hidden="false" outlineLevel="0" max="6" min="6" style="9" width="36.9"/>
  </cols>
  <sheetData>
    <row r="1" customFormat="false" ht="12.8" hidden="false" customHeight="false" outlineLevel="0" collapsed="false">
      <c r="A1" s="3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6" t="n">
        <v>1</v>
      </c>
      <c r="B2" s="16" t="s">
        <v>2785</v>
      </c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2.8" hidden="false" customHeight="false" outlineLevel="0" collapsed="false">
      <c r="A3" s="3" t="s">
        <v>2511</v>
      </c>
      <c r="B3" s="3" t="s">
        <v>2786</v>
      </c>
      <c r="C3" s="3" t="s">
        <v>2787</v>
      </c>
      <c r="D3" s="3" t="s">
        <v>2788</v>
      </c>
      <c r="E3" s="3" t="s">
        <v>2789</v>
      </c>
      <c r="F3" s="3" t="s">
        <v>2515</v>
      </c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2.8" hidden="false" customHeight="false" outlineLevel="0" collapsed="false">
      <c r="A4" s="1" t="n">
        <v>0</v>
      </c>
      <c r="B4" s="1" t="n">
        <v>1</v>
      </c>
      <c r="C4" s="1" t="s">
        <v>2790</v>
      </c>
      <c r="D4" s="1" t="s">
        <v>2791</v>
      </c>
      <c r="E4" s="1" t="s">
        <v>2792</v>
      </c>
      <c r="F4" s="1" t="s">
        <v>2793</v>
      </c>
      <c r="G4" s="13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2.8" hidden="false" customHeight="false" outlineLevel="0" collapsed="false">
      <c r="A5" s="1" t="n">
        <v>1</v>
      </c>
      <c r="B5" s="1" t="n">
        <v>2</v>
      </c>
      <c r="C5" s="1" t="s">
        <v>2794</v>
      </c>
      <c r="D5" s="1" t="s">
        <v>2795</v>
      </c>
      <c r="E5" s="1" t="s">
        <v>2796</v>
      </c>
      <c r="F5" s="1" t="s">
        <v>2797</v>
      </c>
      <c r="G5" s="13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2.8" hidden="false" customHeight="false" outlineLevel="0" collapsed="false">
      <c r="A6" s="1" t="n">
        <v>2</v>
      </c>
      <c r="B6" s="1" t="n">
        <v>3</v>
      </c>
      <c r="C6" s="1" t="s">
        <v>2798</v>
      </c>
      <c r="D6" s="1" t="s">
        <v>2799</v>
      </c>
      <c r="E6" s="1" t="s">
        <v>2800</v>
      </c>
      <c r="F6" s="1" t="s">
        <v>2801</v>
      </c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2.8" hidden="false" customHeight="false" outlineLevel="0" collapsed="false">
      <c r="A7" s="1" t="n">
        <v>3</v>
      </c>
      <c r="B7" s="1" t="n">
        <v>4</v>
      </c>
      <c r="C7" s="1" t="s">
        <v>2802</v>
      </c>
      <c r="D7" s="1" t="s">
        <v>2803</v>
      </c>
      <c r="E7" s="1" t="s">
        <v>2804</v>
      </c>
      <c r="F7" s="1" t="s">
        <v>2542</v>
      </c>
      <c r="G7" s="13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2.8" hidden="false" customHeight="false" outlineLevel="0" collapsed="false">
      <c r="A8" s="1" t="n">
        <v>4</v>
      </c>
      <c r="B8" s="1" t="n">
        <v>5</v>
      </c>
      <c r="C8" s="1" t="s">
        <v>2805</v>
      </c>
      <c r="D8" s="1" t="s">
        <v>2806</v>
      </c>
      <c r="E8" s="1" t="s">
        <v>2807</v>
      </c>
      <c r="F8" s="1" t="s">
        <v>2533</v>
      </c>
      <c r="G8" s="13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2.8" hidden="false" customHeight="false" outlineLevel="0" collapsed="false">
      <c r="A9" s="1" t="n">
        <v>5</v>
      </c>
      <c r="B9" s="1" t="n">
        <v>6</v>
      </c>
      <c r="C9" s="1" t="s">
        <v>2808</v>
      </c>
      <c r="D9" s="1" t="s">
        <v>2809</v>
      </c>
      <c r="E9" s="1" t="s">
        <v>2810</v>
      </c>
      <c r="F9" s="1" t="s">
        <v>2811</v>
      </c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A10" s="1" t="n">
        <v>6</v>
      </c>
      <c r="B10" s="1" t="n">
        <v>7</v>
      </c>
      <c r="C10" s="1" t="s">
        <v>2812</v>
      </c>
      <c r="D10" s="1" t="s">
        <v>2813</v>
      </c>
      <c r="E10" s="1" t="s">
        <v>2814</v>
      </c>
      <c r="F10" s="1" t="s">
        <v>2815</v>
      </c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A11" s="1" t="s">
        <v>2301</v>
      </c>
      <c r="B11" s="1" t="s">
        <v>2301</v>
      </c>
      <c r="C11" s="1" t="s">
        <v>2301</v>
      </c>
      <c r="D11" s="1" t="s">
        <v>2301</v>
      </c>
      <c r="E11" s="1" t="s">
        <v>2301</v>
      </c>
      <c r="F11" s="1" t="s">
        <v>2816</v>
      </c>
      <c r="G11" s="1"/>
      <c r="H11" s="1"/>
      <c r="I11" s="1"/>
      <c r="J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 t="s">
        <v>2817</v>
      </c>
      <c r="G12" s="1"/>
      <c r="H12" s="1"/>
      <c r="I12" s="1"/>
      <c r="J12" s="1"/>
    </row>
    <row r="13" customFormat="false" ht="12.8" hidden="false" customHeight="false" outlineLevel="0" collapsed="false">
      <c r="A13" s="3" t="s">
        <v>31</v>
      </c>
      <c r="B13" s="3" t="s">
        <v>2557</v>
      </c>
      <c r="C13" s="1"/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A14" s="3" t="s">
        <v>2511</v>
      </c>
      <c r="B14" s="3" t="s">
        <v>2786</v>
      </c>
      <c r="C14" s="3" t="s">
        <v>2787</v>
      </c>
      <c r="D14" s="3" t="s">
        <v>2788</v>
      </c>
      <c r="E14" s="3" t="s">
        <v>2818</v>
      </c>
      <c r="F14" s="3" t="s">
        <v>2560</v>
      </c>
      <c r="G14" s="3" t="s">
        <v>2561</v>
      </c>
      <c r="H14" s="3" t="s">
        <v>462</v>
      </c>
      <c r="I14" s="3" t="s">
        <v>462</v>
      </c>
      <c r="J14" s="1"/>
    </row>
    <row r="15" customFormat="false" ht="12.8" hidden="false" customHeight="false" outlineLevel="0" collapsed="false">
      <c r="A15" s="1" t="n">
        <v>0</v>
      </c>
      <c r="B15" s="1" t="n">
        <v>1</v>
      </c>
      <c r="C15" s="1" t="s">
        <v>2790</v>
      </c>
      <c r="D15" s="1" t="s">
        <v>2791</v>
      </c>
      <c r="E15" s="1" t="s">
        <v>2819</v>
      </c>
      <c r="F15" s="1" t="s">
        <v>2820</v>
      </c>
      <c r="G15" s="1" t="s">
        <v>2542</v>
      </c>
      <c r="H15" s="1" t="s">
        <v>2821</v>
      </c>
      <c r="I15" s="1"/>
      <c r="J15" s="1"/>
    </row>
    <row r="16" customFormat="false" ht="12.8" hidden="false" customHeight="false" outlineLevel="0" collapsed="false">
      <c r="A16" s="1" t="n">
        <v>1</v>
      </c>
      <c r="B16" s="1" t="n">
        <v>2</v>
      </c>
      <c r="C16" s="1" t="s">
        <v>2794</v>
      </c>
      <c r="D16" s="1" t="s">
        <v>2795</v>
      </c>
      <c r="E16" s="1" t="s">
        <v>2822</v>
      </c>
      <c r="F16" s="1" t="s">
        <v>2820</v>
      </c>
      <c r="G16" s="1" t="s">
        <v>2823</v>
      </c>
      <c r="H16" s="1" t="s">
        <v>2824</v>
      </c>
      <c r="I16" s="1"/>
      <c r="J16" s="1"/>
    </row>
    <row r="17" customFormat="false" ht="12.8" hidden="false" customHeight="false" outlineLevel="0" collapsed="false">
      <c r="A17" s="1" t="n">
        <v>2</v>
      </c>
      <c r="B17" s="1" t="n">
        <v>3</v>
      </c>
      <c r="C17" s="1" t="s">
        <v>2798</v>
      </c>
      <c r="D17" s="1" t="s">
        <v>2799</v>
      </c>
      <c r="E17" s="1" t="s">
        <v>2825</v>
      </c>
      <c r="F17" s="1" t="s">
        <v>2820</v>
      </c>
      <c r="G17" s="1" t="s">
        <v>2826</v>
      </c>
      <c r="H17" s="1" t="s">
        <v>2827</v>
      </c>
      <c r="I17" s="1"/>
      <c r="J17" s="1"/>
    </row>
    <row r="18" customFormat="false" ht="12.8" hidden="false" customHeight="false" outlineLevel="0" collapsed="false">
      <c r="A18" s="1" t="n">
        <v>3</v>
      </c>
      <c r="B18" s="1" t="n">
        <v>4</v>
      </c>
      <c r="C18" s="1" t="s">
        <v>2802</v>
      </c>
      <c r="D18" s="1" t="s">
        <v>2803</v>
      </c>
      <c r="E18" s="1" t="s">
        <v>2828</v>
      </c>
      <c r="F18" s="1" t="s">
        <v>2820</v>
      </c>
      <c r="G18" s="1" t="s">
        <v>2829</v>
      </c>
      <c r="H18" s="1" t="s">
        <v>2830</v>
      </c>
      <c r="I18" s="1"/>
      <c r="J18" s="1"/>
    </row>
    <row r="19" customFormat="false" ht="12.8" hidden="false" customHeight="false" outlineLevel="0" collapsed="false">
      <c r="A19" s="1" t="n">
        <v>4</v>
      </c>
      <c r="B19" s="1" t="n">
        <v>5</v>
      </c>
      <c r="C19" s="1" t="s">
        <v>2805</v>
      </c>
      <c r="D19" s="1" t="s">
        <v>2806</v>
      </c>
      <c r="E19" s="1" t="s">
        <v>2831</v>
      </c>
      <c r="F19" s="1" t="s">
        <v>2820</v>
      </c>
      <c r="G19" s="1" t="s">
        <v>2832</v>
      </c>
      <c r="H19" s="1" t="s">
        <v>2833</v>
      </c>
      <c r="I19" s="3" t="s">
        <v>2602</v>
      </c>
      <c r="J19" s="3" t="s">
        <v>462</v>
      </c>
    </row>
    <row r="20" customFormat="false" ht="12.8" hidden="false" customHeight="false" outlineLevel="0" collapsed="false">
      <c r="A20" s="1" t="n">
        <v>5</v>
      </c>
      <c r="B20" s="1" t="n">
        <v>6</v>
      </c>
      <c r="C20" s="1" t="s">
        <v>2808</v>
      </c>
      <c r="D20" s="1" t="s">
        <v>2809</v>
      </c>
      <c r="E20" s="1" t="s">
        <v>2834</v>
      </c>
      <c r="F20" s="1" t="s">
        <v>2835</v>
      </c>
      <c r="G20" s="1" t="s">
        <v>2811</v>
      </c>
      <c r="H20" s="1" t="s">
        <v>2836</v>
      </c>
      <c r="I20" s="1"/>
      <c r="J20" s="1"/>
    </row>
    <row r="21" customFormat="false" ht="12.8" hidden="false" customHeight="false" outlineLevel="0" collapsed="false">
      <c r="A21" s="1" t="n">
        <v>6</v>
      </c>
      <c r="B21" s="1" t="n">
        <v>7</v>
      </c>
      <c r="C21" s="1" t="s">
        <v>2812</v>
      </c>
      <c r="D21" s="1" t="s">
        <v>2813</v>
      </c>
      <c r="E21" s="1" t="s">
        <v>2837</v>
      </c>
      <c r="F21" s="1" t="s">
        <v>2820</v>
      </c>
      <c r="G21" s="1" t="s">
        <v>2554</v>
      </c>
      <c r="H21" s="1" t="s">
        <v>2838</v>
      </c>
      <c r="I21" s="1"/>
      <c r="J21" s="1"/>
    </row>
    <row r="22" customFormat="false" ht="12.8" hidden="false" customHeight="false" outlineLevel="0" collapsed="false">
      <c r="A22" s="1" t="s">
        <v>2301</v>
      </c>
      <c r="B22" s="1" t="s">
        <v>2301</v>
      </c>
      <c r="C22" s="1" t="s">
        <v>2301</v>
      </c>
      <c r="D22" s="1" t="s">
        <v>2301</v>
      </c>
      <c r="E22" s="1" t="s">
        <v>2839</v>
      </c>
      <c r="F22" s="1" t="s">
        <v>2301</v>
      </c>
      <c r="G22" s="1" t="s">
        <v>2840</v>
      </c>
      <c r="H22" s="1" t="s">
        <v>2841</v>
      </c>
      <c r="I22" s="1"/>
      <c r="J22" s="1"/>
    </row>
    <row r="24" customFormat="false" ht="12.8" hidden="false" customHeight="false" outlineLevel="0" collapsed="false">
      <c r="A24" s="3" t="s">
        <v>31</v>
      </c>
      <c r="B24" s="3" t="s">
        <v>2600</v>
      </c>
      <c r="C24" s="1"/>
      <c r="D24" s="1"/>
      <c r="E24" s="1"/>
      <c r="F24" s="1"/>
      <c r="G24" s="1"/>
      <c r="H24" s="1"/>
      <c r="I24" s="1"/>
    </row>
    <row r="25" customFormat="false" ht="12.8" hidden="false" customHeight="false" outlineLevel="0" collapsed="false">
      <c r="A25" s="3" t="s">
        <v>2511</v>
      </c>
      <c r="B25" s="3" t="s">
        <v>2786</v>
      </c>
      <c r="C25" s="3" t="s">
        <v>2787</v>
      </c>
      <c r="D25" s="3" t="s">
        <v>2788</v>
      </c>
      <c r="E25" s="3" t="s">
        <v>2842</v>
      </c>
      <c r="F25" s="3" t="s">
        <v>2560</v>
      </c>
      <c r="G25" s="3" t="s">
        <v>2561</v>
      </c>
      <c r="H25" s="3" t="s">
        <v>2602</v>
      </c>
      <c r="I25" s="3" t="s">
        <v>462</v>
      </c>
    </row>
    <row r="26" customFormat="false" ht="12.8" hidden="false" customHeight="false" outlineLevel="0" collapsed="false">
      <c r="A26" s="1" t="n">
        <v>0</v>
      </c>
      <c r="B26" s="1" t="n">
        <v>1</v>
      </c>
      <c r="C26" s="1" t="s">
        <v>2790</v>
      </c>
      <c r="D26" s="1" t="s">
        <v>2791</v>
      </c>
      <c r="E26" s="1" t="s">
        <v>2843</v>
      </c>
      <c r="F26" s="1" t="s">
        <v>2580</v>
      </c>
      <c r="G26" s="1" t="n">
        <v>0</v>
      </c>
      <c r="H26" s="1" t="s">
        <v>2792</v>
      </c>
      <c r="I26" s="1" t="s">
        <v>2844</v>
      </c>
    </row>
    <row r="27" customFormat="false" ht="12.8" hidden="false" customHeight="false" outlineLevel="0" collapsed="false">
      <c r="A27" s="1" t="n">
        <v>1</v>
      </c>
      <c r="B27" s="1" t="n">
        <v>2</v>
      </c>
      <c r="C27" s="1" t="s">
        <v>2794</v>
      </c>
      <c r="D27" s="1" t="s">
        <v>2795</v>
      </c>
      <c r="E27" s="1" t="s">
        <v>2845</v>
      </c>
      <c r="F27" s="1" t="s">
        <v>2580</v>
      </c>
      <c r="G27" s="1" t="n">
        <v>0</v>
      </c>
      <c r="H27" s="1" t="s">
        <v>2796</v>
      </c>
      <c r="I27" s="1" t="s">
        <v>2846</v>
      </c>
    </row>
    <row r="28" customFormat="false" ht="12.8" hidden="false" customHeight="false" outlineLevel="0" collapsed="false">
      <c r="A28" s="1" t="n">
        <v>2</v>
      </c>
      <c r="B28" s="1" t="n">
        <v>3</v>
      </c>
      <c r="C28" s="1" t="s">
        <v>2798</v>
      </c>
      <c r="D28" s="1" t="s">
        <v>2799</v>
      </c>
      <c r="E28" s="1" t="s">
        <v>2847</v>
      </c>
      <c r="F28" s="1" t="s">
        <v>2580</v>
      </c>
      <c r="G28" s="1" t="n">
        <v>0</v>
      </c>
      <c r="H28" s="1" t="s">
        <v>2800</v>
      </c>
      <c r="I28" s="1" t="s">
        <v>2848</v>
      </c>
    </row>
    <row r="29" customFormat="false" ht="12.8" hidden="false" customHeight="false" outlineLevel="0" collapsed="false">
      <c r="A29" s="1" t="n">
        <v>3</v>
      </c>
      <c r="B29" s="1" t="n">
        <v>4</v>
      </c>
      <c r="C29" s="1" t="s">
        <v>2802</v>
      </c>
      <c r="D29" s="1" t="s">
        <v>2803</v>
      </c>
      <c r="E29" s="1" t="s">
        <v>2849</v>
      </c>
      <c r="F29" s="1" t="s">
        <v>2580</v>
      </c>
      <c r="G29" s="1" t="n">
        <v>0</v>
      </c>
      <c r="H29" s="1" t="s">
        <v>2804</v>
      </c>
      <c r="I29" s="1" t="s">
        <v>2850</v>
      </c>
    </row>
    <row r="30" customFormat="false" ht="12.8" hidden="false" customHeight="false" outlineLevel="0" collapsed="false">
      <c r="A30" s="1" t="n">
        <v>4</v>
      </c>
      <c r="B30" s="1" t="n">
        <v>5</v>
      </c>
      <c r="C30" s="1" t="s">
        <v>2805</v>
      </c>
      <c r="D30" s="1" t="s">
        <v>2806</v>
      </c>
      <c r="E30" s="1" t="s">
        <v>2851</v>
      </c>
      <c r="F30" s="1" t="s">
        <v>2580</v>
      </c>
      <c r="G30" s="1" t="n">
        <v>0</v>
      </c>
      <c r="H30" s="1" t="s">
        <v>2807</v>
      </c>
      <c r="I30" s="1" t="s">
        <v>2852</v>
      </c>
    </row>
    <row r="31" customFormat="false" ht="12.8" hidden="false" customHeight="false" outlineLevel="0" collapsed="false">
      <c r="A31" s="1" t="n">
        <v>5</v>
      </c>
      <c r="B31" s="1" t="n">
        <v>6</v>
      </c>
      <c r="C31" s="1" t="s">
        <v>2808</v>
      </c>
      <c r="D31" s="1" t="s">
        <v>2809</v>
      </c>
      <c r="E31" s="1" t="s">
        <v>2853</v>
      </c>
      <c r="F31" s="1" t="s">
        <v>2835</v>
      </c>
      <c r="G31" s="1" t="s">
        <v>2811</v>
      </c>
      <c r="H31" s="1" t="s">
        <v>2810</v>
      </c>
      <c r="I31" s="1" t="s">
        <v>2854</v>
      </c>
    </row>
    <row r="32" customFormat="false" ht="12.8" hidden="false" customHeight="false" outlineLevel="0" collapsed="false">
      <c r="A32" s="1" t="n">
        <v>6</v>
      </c>
      <c r="B32" s="1" t="n">
        <v>7</v>
      </c>
      <c r="C32" s="1" t="s">
        <v>2812</v>
      </c>
      <c r="D32" s="1" t="s">
        <v>2813</v>
      </c>
      <c r="E32" s="1" t="s">
        <v>2855</v>
      </c>
      <c r="F32" s="1" t="s">
        <v>2580</v>
      </c>
      <c r="G32" s="1" t="n">
        <v>0</v>
      </c>
      <c r="H32" s="1" t="s">
        <v>2814</v>
      </c>
      <c r="I32" s="1" t="s">
        <v>2856</v>
      </c>
    </row>
    <row r="33" customFormat="false" ht="12.8" hidden="false" customHeight="false" outlineLevel="0" collapsed="false">
      <c r="A33" s="1" t="s">
        <v>2301</v>
      </c>
      <c r="B33" s="1" t="s">
        <v>2301</v>
      </c>
      <c r="C33" s="1" t="s">
        <v>2301</v>
      </c>
      <c r="D33" s="1" t="s">
        <v>2301</v>
      </c>
      <c r="E33" s="1" t="s">
        <v>2857</v>
      </c>
      <c r="F33" s="1" t="s">
        <v>2301</v>
      </c>
      <c r="G33" s="1" t="s">
        <v>2858</v>
      </c>
      <c r="H33" s="1" t="s">
        <v>2859</v>
      </c>
      <c r="I33" s="1" t="s">
        <v>2860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9" width="6.92"/>
    <col collapsed="false" customWidth="true" hidden="false" outlineLevel="0" max="2" min="2" style="9" width="18.45"/>
    <col collapsed="false" customWidth="true" hidden="false" outlineLevel="0" max="3" min="3" style="9" width="16.14"/>
    <col collapsed="false" customWidth="true" hidden="false" outlineLevel="0" max="4" min="4" style="9" width="27.68"/>
  </cols>
  <sheetData>
    <row r="1" customFormat="false" ht="12.8" hidden="false" customHeight="false" outlineLevel="0" collapsed="false">
      <c r="A1" s="11" t="s">
        <v>2861</v>
      </c>
    </row>
    <row r="2" customFormat="false" ht="12.8" hidden="false" customHeight="false" outlineLevel="0" collapsed="false">
      <c r="A2" s="11" t="n">
        <v>1</v>
      </c>
      <c r="B2" s="11" t="s">
        <v>2862</v>
      </c>
    </row>
    <row r="3" customFormat="false" ht="12.8" hidden="false" customHeight="false" outlineLevel="0" collapsed="false">
      <c r="A3" s="5" t="s">
        <v>2863</v>
      </c>
      <c r="B3" s="5" t="s">
        <v>2864</v>
      </c>
      <c r="C3" s="5" t="s">
        <v>2865</v>
      </c>
    </row>
    <row r="4" customFormat="false" ht="12.8" hidden="false" customHeight="false" outlineLevel="0" collapsed="false">
      <c r="A4" s="6" t="n">
        <v>0</v>
      </c>
      <c r="B4" s="6" t="n">
        <v>1</v>
      </c>
      <c r="C4" s="6" t="n">
        <v>15650</v>
      </c>
    </row>
    <row r="5" customFormat="false" ht="12.8" hidden="false" customHeight="false" outlineLevel="0" collapsed="false">
      <c r="A5" s="6" t="n">
        <v>1</v>
      </c>
      <c r="B5" s="6" t="n">
        <v>2</v>
      </c>
      <c r="C5" s="6" t="n">
        <v>21150</v>
      </c>
    </row>
    <row r="6" customFormat="false" ht="12.8" hidden="false" customHeight="false" outlineLevel="0" collapsed="false">
      <c r="A6" s="6" t="n">
        <v>2</v>
      </c>
      <c r="B6" s="6" t="n">
        <v>3</v>
      </c>
      <c r="C6" s="6" t="n">
        <v>26650</v>
      </c>
    </row>
    <row r="7" customFormat="false" ht="12.8" hidden="false" customHeight="false" outlineLevel="0" collapsed="false">
      <c r="A7" s="6" t="n">
        <v>3</v>
      </c>
      <c r="B7" s="6" t="n">
        <v>4</v>
      </c>
      <c r="C7" s="6" t="n">
        <v>32150</v>
      </c>
    </row>
    <row r="8" customFormat="false" ht="12.8" hidden="false" customHeight="false" outlineLevel="0" collapsed="false">
      <c r="A8" s="6" t="n">
        <v>4</v>
      </c>
      <c r="B8" s="6" t="n">
        <v>5</v>
      </c>
      <c r="C8" s="6" t="n">
        <v>37650</v>
      </c>
    </row>
    <row r="9" customFormat="false" ht="12.8" hidden="false" customHeight="false" outlineLevel="0" collapsed="false">
      <c r="A9" s="6" t="n">
        <v>5</v>
      </c>
      <c r="B9" s="6" t="n">
        <v>6</v>
      </c>
      <c r="C9" s="6" t="n">
        <v>43150</v>
      </c>
    </row>
    <row r="10" customFormat="false" ht="12.8" hidden="false" customHeight="false" outlineLevel="0" collapsed="false">
      <c r="A10" s="6" t="n">
        <v>6</v>
      </c>
      <c r="B10" s="6" t="n">
        <v>7</v>
      </c>
      <c r="C10" s="6" t="n">
        <v>48650</v>
      </c>
    </row>
    <row r="11" customFormat="false" ht="12.8" hidden="false" customHeight="false" outlineLevel="0" collapsed="false">
      <c r="A11" s="6" t="n">
        <v>7</v>
      </c>
      <c r="B11" s="6" t="n">
        <v>8</v>
      </c>
      <c r="C11" s="6" t="n">
        <v>54150</v>
      </c>
    </row>
    <row r="12" customFormat="false" ht="12.8" hidden="false" customHeight="false" outlineLevel="0" collapsed="false">
      <c r="A12" s="6" t="n">
        <v>8</v>
      </c>
      <c r="B12" s="6" t="s">
        <v>2866</v>
      </c>
      <c r="C12" s="6" t="n">
        <v>5500</v>
      </c>
    </row>
    <row r="14" customFormat="false" ht="12.8" hidden="false" customHeight="false" outlineLevel="0" collapsed="false">
      <c r="A14" s="11" t="n">
        <v>2</v>
      </c>
      <c r="B14" s="11" t="s">
        <v>2867</v>
      </c>
      <c r="E14" s="9"/>
      <c r="F14" s="9"/>
      <c r="G14" s="9"/>
      <c r="H14" s="9"/>
    </row>
    <row r="15" customFormat="false" ht="12.8" hidden="false" customHeight="false" outlineLevel="0" collapsed="false">
      <c r="A15" s="5" t="s">
        <v>2863</v>
      </c>
      <c r="B15" s="5" t="s">
        <v>2864</v>
      </c>
      <c r="C15" s="5" t="s">
        <v>2865</v>
      </c>
      <c r="D15" s="11"/>
      <c r="E15" s="9"/>
      <c r="F15" s="9"/>
      <c r="G15" s="9"/>
    </row>
    <row r="16" customFormat="false" ht="12.8" hidden="false" customHeight="false" outlineLevel="0" collapsed="false">
      <c r="A16" s="6" t="n">
        <v>0</v>
      </c>
      <c r="B16" s="6" t="n">
        <v>1</v>
      </c>
      <c r="C16" s="6" t="n">
        <v>16010</v>
      </c>
      <c r="E16" s="9"/>
      <c r="F16" s="9"/>
      <c r="G16" s="9"/>
    </row>
    <row r="17" customFormat="false" ht="12.8" hidden="false" customHeight="false" outlineLevel="0" collapsed="false">
      <c r="A17" s="6" t="n">
        <v>1</v>
      </c>
      <c r="B17" s="6" t="n">
        <v>2</v>
      </c>
      <c r="C17" s="6" t="n">
        <v>21630</v>
      </c>
      <c r="E17" s="9"/>
      <c r="F17" s="9"/>
      <c r="G17" s="9"/>
    </row>
    <row r="18" customFormat="false" ht="12.8" hidden="false" customHeight="false" outlineLevel="0" collapsed="false">
      <c r="A18" s="6" t="n">
        <v>2</v>
      </c>
      <c r="B18" s="6" t="n">
        <v>3</v>
      </c>
      <c r="C18" s="6" t="n">
        <v>27250</v>
      </c>
      <c r="E18" s="9"/>
      <c r="F18" s="9"/>
      <c r="G18" s="9"/>
    </row>
    <row r="19" customFormat="false" ht="12.8" hidden="false" customHeight="false" outlineLevel="0" collapsed="false">
      <c r="A19" s="6" t="n">
        <v>3</v>
      </c>
      <c r="B19" s="6" t="n">
        <v>4</v>
      </c>
      <c r="C19" s="6" t="n">
        <v>32870</v>
      </c>
      <c r="E19" s="9"/>
      <c r="F19" s="9"/>
      <c r="G19" s="9"/>
    </row>
    <row r="20" customFormat="false" ht="12.8" hidden="false" customHeight="false" outlineLevel="0" collapsed="false">
      <c r="A20" s="6" t="n">
        <v>4</v>
      </c>
      <c r="B20" s="6" t="n">
        <v>5</v>
      </c>
      <c r="C20" s="6" t="n">
        <v>38490</v>
      </c>
      <c r="E20" s="9"/>
      <c r="F20" s="9"/>
      <c r="G20" s="9"/>
    </row>
    <row r="21" customFormat="false" ht="12.8" hidden="false" customHeight="false" outlineLevel="0" collapsed="false">
      <c r="A21" s="6" t="n">
        <v>5</v>
      </c>
      <c r="B21" s="6" t="n">
        <v>6</v>
      </c>
      <c r="C21" s="6" t="n">
        <v>44110</v>
      </c>
      <c r="E21" s="9"/>
      <c r="F21" s="9"/>
      <c r="G21" s="9"/>
    </row>
    <row r="22" customFormat="false" ht="12.8" hidden="false" customHeight="false" outlineLevel="0" collapsed="false">
      <c r="A22" s="6" t="n">
        <v>6</v>
      </c>
      <c r="B22" s="6" t="n">
        <v>7</v>
      </c>
      <c r="C22" s="6" t="n">
        <v>49730</v>
      </c>
      <c r="E22" s="9"/>
      <c r="F22" s="9"/>
      <c r="G22" s="9"/>
    </row>
    <row r="23" customFormat="false" ht="12.8" hidden="false" customHeight="false" outlineLevel="0" collapsed="false">
      <c r="A23" s="6" t="n">
        <v>7</v>
      </c>
      <c r="B23" s="6" t="n">
        <v>8</v>
      </c>
      <c r="C23" s="6" t="n">
        <v>55350</v>
      </c>
      <c r="E23" s="9"/>
      <c r="F23" s="9"/>
      <c r="G23" s="9"/>
    </row>
    <row r="24" customFormat="false" ht="12.8" hidden="false" customHeight="false" outlineLevel="0" collapsed="false">
      <c r="A24" s="6" t="n">
        <v>8</v>
      </c>
      <c r="B24" s="6" t="s">
        <v>2866</v>
      </c>
      <c r="C24" s="6" t="n">
        <v>5620</v>
      </c>
      <c r="E24" s="9"/>
      <c r="F24" s="9"/>
      <c r="G2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4989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2026-01-22T14:39:26Z</dcterms:modified>
  <cp:revision>675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