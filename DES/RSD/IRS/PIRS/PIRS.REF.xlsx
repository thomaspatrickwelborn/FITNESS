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RS.REFERENCE" sheetId="1" state="visible" r:id="rId3"/>
    <sheet name="UNEMPLOYMENT.MEASURES" sheetId="2" state="hidden" r:id="rId4"/>
    <sheet name="PIRS.AL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<sst xmlns="http://schemas.openxmlformats.org/spreadsheetml/2006/main" count="815" uniqueCount="553">
  <si>
    <r>
      <rPr>
        <b val="true"/>
        <sz val="10"/>
        <rFont val="Arial"/>
        <family val="2"/>
        <charset val="1"/>
      </rPr>
      <t xml:space="preserve">Internal Revenue Service (</t>
    </r>
    <r>
      <rPr>
        <b val="true"/>
        <sz val="10"/>
        <rFont val="Arial"/>
        <family val="2"/>
      </rPr>
      <t xml:space="preserve">Personal) – Personal Federal Tax Reference</t>
    </r>
  </si>
  <si>
    <t xml:space="preserve">TAB</t>
  </si>
  <si>
    <t xml:space="preserve">IRS – State Personal Federal Tax Statistic Logic</t>
  </si>
  <si>
    <t xml:space="preserve">RID</t>
  </si>
  <si>
    <t xml:space="preserve">State</t>
  </si>
  <si>
    <t xml:space="preserve">Name</t>
  </si>
  <si>
    <t xml:space="preserve">Tab</t>
  </si>
  <si>
    <t xml:space="preserve">AL</t>
  </si>
  <si>
    <t xml:space="preserve">LSD.AL</t>
  </si>
  <si>
    <t xml:space="preserve">INV</t>
  </si>
  <si>
    <t xml:space="preserve">Invocations</t>
  </si>
  <si>
    <t xml:space="preserve">INVID</t>
  </si>
  <si>
    <t xml:space="preserve">Reference Name</t>
  </si>
  <si>
    <t xml:space="preserve">Script</t>
  </si>
  <si>
    <t xml:space="preserve">References</t>
  </si>
  <si>
    <t xml:space="preserve">Reference Account</t>
  </si>
  <si>
    <t xml:space="preserve">Alabama Federal Personal Tax Statistics Formulae</t>
  </si>
  <si>
    <t xml:space="preserve">This session's purpose is to generate formulae and parameters that calculate state Federal Personal Tax statistics. Consider the spreadsheet `PIRS.REFERENCE`. Notice the `PIRS.AL` tab containing logic and parameters to calculate `PIRS.RID.0` spreadsheet `AL` tab. There should complementary Federal Personal Tax statistic logic and Federal Personal Tax statistic calculations in respective `PIRS.REFERENCE` state tab and `PIRS.RID.*` tab for each state in a region. When the formulae and parameters are generated for each state it should be done irrespective of prior logic for other states, unless as a reference for resources (source original material). The statistic calculations should be the most accurate possible. Prompt me to begin. </t>
  </si>
  <si>
    <t xml:space="preserve">https://grok.com/share/c2hhcmQtMi1jb3B5_f6996fc5-464c-4a11-b654-bf2382db5cae</t>
  </si>
  <si>
    <t xml:space="preserve">thomas.welborn@protonmail.com</t>
  </si>
  <si>
    <t xml:space="preserve">Unemployment Measures</t>
  </si>
  <si>
    <t xml:space="preserve">Measure ID</t>
  </si>
  <si>
    <t xml:space="preserve">Name/Focus</t>
  </si>
  <si>
    <t xml:space="preserve">Definition</t>
  </si>
  <si>
    <t xml:space="preserve">U-1</t>
  </si>
  <si>
    <t xml:space="preserve">Long-term Unemployment</t>
  </si>
  <si>
    <t xml:space="preserve">Persons unemployed 15 weeks or longer, as a percentage of the civilian labor force. (Bureau of Labor Statistics)</t>
  </si>
  <si>
    <t xml:space="preserve">U-2</t>
  </si>
  <si>
    <t xml:space="preserve">Job Losers &amp; Temporary Job Completers</t>
  </si>
  <si>
    <t xml:space="preserve">Persons who lost jobs or completed temporary jobs, as a percentage of the civilian labor force. (Bureau of Labor Statistics)</t>
  </si>
  <si>
    <t xml:space="preserve">U-3</t>
  </si>
  <si>
    <t xml:space="preserve">Official Unemployment Rate</t>
  </si>
  <si>
    <t xml:space="preserve">Total unemployed persons (actively looking and available for work), as a percentage of the civilian labor force. This is the standard headline rate reported in monthly jobs reports. (Bureau of Labor Statistics)</t>
  </si>
  <si>
    <t xml:space="preserve">U-4</t>
  </si>
  <si>
    <t xml:space="preserve">U-3 + Discouraged Workers</t>
  </si>
  <si>
    <t xml:space="preserve">U-3 plus discouraged workers (people not in the labor force who want a job but have stopped looking for job-market reasons), expressed as a percentage of the civilian labor force plus discouraged workers. (Bureau of Labor Statistics)</t>
  </si>
  <si>
    <t xml:space="preserve">U-5</t>
  </si>
  <si>
    <t xml:space="preserve">U-4 + All Marginally Attached Workers</t>
  </si>
  <si>
    <t xml:space="preserve">U-4 plus all marginally attached workers (including discouraged workers and others who want a job and have looked in the past 12 months but not in the last 4 weeks), expressed as a percentage of the civilian labor force plus all marginally attached workers. (Bureau of Labor Statistics)</t>
  </si>
  <si>
    <t xml:space="preserve">U-6</t>
  </si>
  <si>
    <t xml:space="preserve">Broadest Underutilization Measure</t>
  </si>
  <si>
    <t xml:space="preserve">U-5 plus persons employed part-time for economic reasons (involuntary part-time workers who want full-time work), expressed as a percentage of the civilian labor force plus all marginally attached workers. This is the broadest measure of labor underutilization reported. (Bureau of Labor Statistics)</t>
  </si>
  <si>
    <t xml:space="preserve">PIRS – Alabama Personal Federal Tax Statistic Logic</t>
  </si>
  <si>
    <t xml:space="preserve">FORM</t>
  </si>
  <si>
    <t xml:space="preserve">Alabama Federal Personal Tax Formulae</t>
  </si>
  <si>
    <t xml:space="preserve">FID</t>
  </si>
  <si>
    <t xml:space="preserve">Formula Name</t>
  </si>
  <si>
    <t xml:space="preserve">Formula</t>
  </si>
  <si>
    <t xml:space="preserve">Logic / Key Inputs</t>
  </si>
  <si>
    <t xml:space="preserve">Notes / Machine Instruction</t>
  </si>
  <si>
    <t xml:space="preserve">Earnings Minimum for Bracket</t>
  </si>
  <si>
    <t xml:space="preserve">'=BracketMin[Status, BracketNum]</t>
  </si>
  <si>
    <t xml:space="preserve">Lookup minimum taxable income threshold for the specified filing status and bracket number from parameter arrays.</t>
  </si>
  <si>
    <t xml:space="preserve">Implement as dictionary lookup or nested if-else; e.g., if Status == "Single" and BracketNum == 1 then 0; ensures progressive application after standard deduction.</t>
  </si>
  <si>
    <t xml:space="preserve">Implement as dictionary lookup or nested if-else; e.g., if Status == "Single" and BracketNum == 1 then return 0; ensures progressive application after standard deduction.</t>
  </si>
  <si>
    <t xml:space="preserve">Earnings Maximum for Bracket</t>
  </si>
  <si>
    <t xml:space="preserve">'=BracketMax[Status, BracketNum]</t>
  </si>
  <si>
    <t xml:space="preserve">Lookup maximum taxable income threshold; use infinity or large number for top bracket.</t>
  </si>
  <si>
    <t xml:space="preserve">Same lookup; e.g., for MFJ Bracket 7: &gt;751950; apply only to income slice in bracket for marginal rate.</t>
  </si>
  <si>
    <t xml:space="preserve">Same lookup logic; e.g., for MFJ Bracket 7 return &gt;751950 value; apply only to income slice in bracket for marginal rate.</t>
  </si>
  <si>
    <t xml:space="preserve">Total Population in Bracket</t>
  </si>
  <si>
    <t xml:space="preserve">'=TotalPop * BracketPopShare[BracketNum]</t>
  </si>
  <si>
    <t xml:space="preserve">Distribute full state population proportionally using AL-specific income distribution shares, adjusted for 2025 economic data.</t>
  </si>
  <si>
    <t xml:space="preserve">Sum of all BracketPopShare must =1; round to nearest integer; incorporates Census quintile mapping (e.g., low brackets capture ~25% due to median $62,000).</t>
  </si>
  <si>
    <t xml:space="preserve">Sum of all BracketPopShare must equal 1; incorporates Census quintile mapping (e.g., low brackets capture ~25% due to median $62,000).</t>
  </si>
  <si>
    <t xml:space="preserve">Authorized Population in Bracket</t>
  </si>
  <si>
    <t xml:space="preserve">'=AuthImmPop * AuthBracketShare[BracketNum]</t>
  </si>
  <si>
    <t xml:space="preserve">Group-specific distribution skewed toward mid-brackets based on avg income ~$45,000.</t>
  </si>
  <si>
    <t xml:space="preserve">Shares sum=1 per group; higher in brackets 3-5; use weighted avg from ITEP immigrant income data.</t>
  </si>
  <si>
    <t xml:space="preserve">Unauthorized Population in Bracket</t>
  </si>
  <si>
    <t xml:space="preserve">'=UnauthImmPop * UnauthBracketShare[BracketNum]</t>
  </si>
  <si>
    <t xml:space="preserve">Skewed toward low brackets due to avg income ~$28,000 and limited upward mobility.</t>
  </si>
  <si>
    <t xml:space="preserve">Shares sum=1; ~40% in Bracket 1; based on MPI/ITEP profiles.</t>
  </si>
  <si>
    <t xml:space="preserve">American Population in Bracket</t>
  </si>
  <si>
    <t xml:space="preserve">'=AmerPop * AmerBracketShare[BracketNum]</t>
  </si>
  <si>
    <t xml:space="preserve">Balanced distribution aligned with state median; derived from Census ACS.</t>
  </si>
  <si>
    <t xml:space="preserve">Shares sum=1; e.g., top bracket ~5% for high earners.</t>
  </si>
  <si>
    <t xml:space="preserve">Marginal Federal Personal Income Tax Rate</t>
  </si>
  <si>
    <t xml:space="preserve">'=BracketRate[BracketNum]</t>
  </si>
  <si>
    <t xml:space="preserve">Standard federal marginal rate applied uniformly; no status dependency beyond thresholds.</t>
  </si>
  <si>
    <t xml:space="preserve">Rates fixed: 0.100,0.120,0.220,0.240,0.320,0.350,0.370; compute on marginal income = Max(0, Min(EarningsMax - EarningsMin, Income - EarningsMin)).</t>
  </si>
  <si>
    <t xml:space="preserve">Rates fixed: 10,12,22,24,32,35,37; later apply to marginal income = max(0, min(EarningsMax - EarningsMin, Income - EarningsMin)).</t>
  </si>
  <si>
    <t xml:space="preserve">Unauthorized Marginal Federal Personal Income Tax Rate</t>
  </si>
  <si>
    <t xml:space="preserve">'=Marginal Federal Personal Income Tax Rate</t>
  </si>
  <si>
    <t xml:space="preserve">Identical, assuming ITIN compliance; no legal differentiation.</t>
  </si>
  <si>
    <t xml:space="preserve">Adjust for underreporting in notes if simulating; here assume full.</t>
  </si>
  <si>
    <t xml:space="preserve">Adjust for underreporting in notes if simulating; here assume full compliance.</t>
  </si>
  <si>
    <t xml:space="preserve">Authorized Marginal Federal Personal Income Tax Rate</t>
  </si>
  <si>
    <t xml:space="preserve">Identical.</t>
  </si>
  <si>
    <t xml:space="preserve">N/A.</t>
  </si>
  <si>
    <t xml:space="preserve">American Marginal Federal Personal Income Tax Rate</t>
  </si>
  <si>
    <t xml:space="preserve">Effective Income Tax Rate</t>
  </si>
  <si>
    <t xml:space="preserve">'=Federal Personal Income Tax Revenue / (Total Taxpayers in Bracket * AvgGroupIncome[Bracket])</t>
  </si>
  <si>
    <t xml:space="preserve">Average rate post-deductions, exemptions, and credits; aggregate across groups.</t>
  </si>
  <si>
    <t xml:space="preserve">Use AvgTaxableInc after StdDed; calibrate to ITEP effective rates (~0.030-0.100 low-high).</t>
  </si>
  <si>
    <t xml:space="preserve">Use AvgTaxableInc after StdDed; calibrate to ITEP effective rates (~3-10% low-high).</t>
  </si>
  <si>
    <t xml:space="preserve">Unauthorized Effective Income Tax Rate</t>
  </si>
  <si>
    <t xml:space="preserve">'=Unauthorized Immigrant Federal Personal Income Tax Revenue / (Unauthorized Taxpayers in Bracket * UnauthAvgGroupIncome[Bracket])</t>
  </si>
  <si>
    <t xml:space="preserve">Lower due to limited credits/eligibility.</t>
  </si>
  <si>
    <t xml:space="preserve">Factor in ~0.70 compliance rate from ITEP.</t>
  </si>
  <si>
    <t xml:space="preserve">Factor in ~70% compliance rate from ITEP.</t>
  </si>
  <si>
    <t xml:space="preserve">Authorized Effective Income Tax Rate</t>
  </si>
  <si>
    <t xml:space="preserve">'=Authorized Immigrant Federal Personal Income Tax Revenue / (Authorized Taxpayers in Bracket * AuthAvgGroupIncome[Bracket])</t>
  </si>
  <si>
    <t xml:space="preserve">Similar to Americans but income-adjusted.</t>
  </si>
  <si>
    <t xml:space="preserve">American Effective Income Tax Rate</t>
  </si>
  <si>
    <t xml:space="preserve">'=American Federal Personal Income Tax Revenue / (American Taxpayers in Bracket * AmerAvgGroupIncome[Bracket])</t>
  </si>
  <si>
    <t xml:space="preserve">Baseline.</t>
  </si>
  <si>
    <t xml:space="preserve">Effective Payroll Tax Rate</t>
  </si>
  <si>
    <t xml:space="preserve">'=(SSRate * Min(AvgWages[BracketNum], SSWageBase) + MedRate * AvgWages[BracketNum] + AddMedRate * Max(AvgWages[BracketNum] - AddMedThresh[Status], 0)) / AvgWages[BracketNum]</t>
  </si>
  <si>
    <t xml:space="preserve">Employee portion; caps SS at base, adds Medicare surtax over threshold.</t>
  </si>
  <si>
    <t xml:space="preserve">Aggregate per bracket; use group-specific wages for variants.</t>
  </si>
  <si>
    <t xml:space="preserve">Unauthorized Effective Payroll Tax Rate</t>
  </si>
  <si>
    <t xml:space="preserve">'=Effective Payroll Tax Rate</t>
  </si>
  <si>
    <t xml:space="preserve">Same; many pay via withholding despite no benefits.</t>
  </si>
  <si>
    <t xml:space="preserve">Authorized Effective Payroll Tax Rate</t>
  </si>
  <si>
    <t xml:space="preserve">Same.</t>
  </si>
  <si>
    <t xml:space="preserve">American Effective Payroll Tax Rate</t>
  </si>
  <si>
    <t xml:space="preserve">Net Effective Tax Rate</t>
  </si>
  <si>
    <t xml:space="preserve">'=Effective Income Tax Rate + Effective Payroll Tax Rate</t>
  </si>
  <si>
    <t xml:space="preserve">Combined effective federal burden pre-refunds.</t>
  </si>
  <si>
    <t xml:space="preserve">For aggregates, weight by taxpayers.</t>
  </si>
  <si>
    <t xml:space="preserve">For aggregates, weight by population if needed.</t>
  </si>
  <si>
    <t xml:space="preserve">Unauthorized Net Effective Tax Rate</t>
  </si>
  <si>
    <t xml:space="preserve">'=Unauthorized Effective Income Tax Rate + Unauthorized Effective Payroll Tax Rate</t>
  </si>
  <si>
    <t xml:space="preserve">Group-specific.</t>
  </si>
  <si>
    <t xml:space="preserve">Authorized Net Effective Tax Rate</t>
  </si>
  <si>
    <t xml:space="preserve">'=Authorized Effective Income Tax Rate + Authorized Effective Payroll Tax Rate</t>
  </si>
  <si>
    <t xml:space="preserve">American Net Effective Tax Rate</t>
  </si>
  <si>
    <t xml:space="preserve">'=American Effective Income Tax Rate + American Effective Payroll Tax Rate</t>
  </si>
  <si>
    <t xml:space="preserve">Federal Personal Income Tax Revenue ($)</t>
  </si>
  <si>
    <t xml:space="preserve">'=Sum over groups and statuses: (TaxpayersInBracket[Group, Status] * (AvgTaxableInc[Group, Bracket] * MarginalRate[Bracket]) - Sum(NonrefCredits[Group, Bracket]) + Sum(Refunds[Group, Bracket] if negative))</t>
  </si>
  <si>
    <t xml:space="preserve">Total liability after nonrefundable credits; refunds separate if overpaid.</t>
  </si>
  <si>
    <t xml:space="preserve">Calibrate to ~$35B AL total; use iterative simulation for accuracy.</t>
  </si>
  <si>
    <t xml:space="preserve">Authorized Immigrant Federal Personal Income Tax Revenue ($)</t>
  </si>
  <si>
    <t xml:space="preserve">'=Authorized Taxpayers in Bracket * (AuthAvgTaxableInc[Bracket] * MarginalRate[Bracket]) - AuthNonrefCredits[Bracket] + AuthRefunds if negative</t>
  </si>
  <si>
    <t xml:space="preserve">Group slice.</t>
  </si>
  <si>
    <t xml:space="preserve">~$1-2B estimate.</t>
  </si>
  <si>
    <t xml:space="preserve">Unauthorized Immigrant Federal Personal Income Tax Revenue ($)</t>
  </si>
  <si>
    <t xml:space="preserve">'=Unauthorized Taxpayers in Bracket * (UnauthAvgTaxableInc[Bracket] * MarginalRate[Bracket]) - UnauthNonrefCredits[Bracket] + UnauthRefunds if negative</t>
  </si>
  <si>
    <t xml:space="preserve">Limited credits; ~$40-50M total per ITEP.</t>
  </si>
  <si>
    <t xml:space="preserve">Adjust for ITIN filers.</t>
  </si>
  <si>
    <t xml:space="preserve">American Federal Personal Income Tax Revenue ($)</t>
  </si>
  <si>
    <t xml:space="preserve">'=American Taxpayers in Bracket * (AmerAvgTaxableInc[Bracket] * MarginalRate[Bracket]) - AmerNonrefCredits[Bracket] + AmerRefunds if negative</t>
  </si>
  <si>
    <t xml:space="preserve">Majority share.</t>
  </si>
  <si>
    <t xml:space="preserve">Payroll Tax Revenue ($)</t>
  </si>
  <si>
    <t xml:space="preserve">'=Sum over groups: TaxpayersInBracket[Group] * AvgWages[Group, Bracket] * (SSRate + MedRate + AddMedRate if applicable)</t>
  </si>
  <si>
    <t xml:space="preserve">Employee share only.</t>
  </si>
  <si>
    <t xml:space="preserve">~$15-20B plausible for AL.</t>
  </si>
  <si>
    <t xml:space="preserve">Authorized Immigrant Payroll Tax Revenue ($)</t>
  </si>
  <si>
    <t xml:space="preserve">'=Authorized Taxpayers in Bracket * AuthAvgWages[Bracket] * PayrollRates</t>
  </si>
  <si>
    <t xml:space="preserve">Unauthorized Immigrant Payroll Tax Revenue ($)</t>
  </si>
  <si>
    <t xml:space="preserve">'=Unauthorized Taxpayers in Bracket * UnauthAvgWages[Bracket] * PayrollRates</t>
  </si>
  <si>
    <t xml:space="preserve">Group-specific; unauthorized often pay ~$80M annually.</t>
  </si>
  <si>
    <t xml:space="preserve">Often withheld but no benefits.</t>
  </si>
  <si>
    <t xml:space="preserve">~$80M estimate.</t>
  </si>
  <si>
    <t xml:space="preserve">American Payroll Tax Revenue ($)</t>
  </si>
  <si>
    <t xml:space="preserve">'=American Taxpayers in Bracket * AmerAvgWages[Bracket] * PayrollRates</t>
  </si>
  <si>
    <t xml:space="preserve">EITC Credit Refund ($)</t>
  </si>
  <si>
    <t xml:space="preserve">'=Min(MaxEITC[ChildrenNum], PhaseInRate[ChildrenNum] * EarnedInc) - PhaseOut if over thresh</t>
  </si>
  <si>
    <t xml:space="preserve">Refundable; max $649 no child, up to $8046 for 3+ (indexed).</t>
  </si>
  <si>
    <t xml:space="preserve">Limited for unauthorized (ITIN filers).</t>
  </si>
  <si>
    <t xml:space="preserve">Max per children: 0=$649,1=$4328,2=$7152,3+=$8046; investment limit $11950.</t>
  </si>
  <si>
    <t xml:space="preserve">ACTC Credit Refund ($)</t>
  </si>
  <si>
    <t xml:space="preserve">'=Min(1700 * QualChildren, 0.15 * Max(EarnedInc - 2500, 0))</t>
  </si>
  <si>
    <t xml:space="preserve">Refundable portion of CTC; up to $1,700/child.</t>
  </si>
  <si>
    <t xml:space="preserve">Requires earned inc &gt;=$2,500.</t>
  </si>
  <si>
    <t xml:space="preserve">Max $1700/child; phaseout aligns with CTC.</t>
  </si>
  <si>
    <t xml:space="preserve">AOTC Refundable Credit Refund ($)</t>
  </si>
  <si>
    <t xml:space="preserve">'=Min(1000, 0.40 * (1.0*Min(2000, QualExp) + 0.25*Min(2000, QualExp-2000)))</t>
  </si>
  <si>
    <t xml:space="preserve">40% refundable up to $1,000.</t>
  </si>
  <si>
    <t xml:space="preserve">Phaseout $80k-$90k single.</t>
  </si>
  <si>
    <t xml:space="preserve">Phaseout $80k-$90k Single/$160k-$180k MFJ.</t>
  </si>
  <si>
    <t xml:space="preserve">PTC Credit Refund ($)</t>
  </si>
  <si>
    <t xml:space="preserve">'=Max(0, BenchmarkPremium - ReqContribPct * HouseholdInc)</t>
  </si>
  <si>
    <t xml:space="preserve">Based on income % FPL; avg ~$5,000/household for eligible.</t>
  </si>
  <si>
    <t xml:space="preserve">Unauthorized ineligible; authorized may qualify.</t>
  </si>
  <si>
    <t xml:space="preserve">Unauthorized ineligible; phaseout 100-400% FPL.</t>
  </si>
  <si>
    <t xml:space="preserve">CTC Nonrefundable Credit Offset ($)</t>
  </si>
  <si>
    <t xml:space="preserve">'=Min(2200 * QualChildren, TaxLiabBeforeCredits)</t>
  </si>
  <si>
    <t xml:space="preserve">Nonref portion; phaseout $200k single/$400k MFJ.</t>
  </si>
  <si>
    <t xml:space="preserve">Up to $2,200/child.</t>
  </si>
  <si>
    <t xml:space="preserve">Max $2200/child; phaseout $200k Single/$400k MFJ.</t>
  </si>
  <si>
    <t xml:space="preserve">AOTC Nonrefundable Credit Offset ($)</t>
  </si>
  <si>
    <t xml:space="preserve">'=0.60 * AOTC Calc</t>
  </si>
  <si>
    <t xml:space="preserve">Nonref portion.</t>
  </si>
  <si>
    <t xml:space="preserve">Same phaseout as refundable.</t>
  </si>
  <si>
    <t xml:space="preserve">LLC Nonrefundable Credit Offset ($)</t>
  </si>
  <si>
    <t xml:space="preserve">'=Min(2000, 0.20 * Min(10000, QualExp))</t>
  </si>
  <si>
    <t xml:space="preserve">Per return; phaseout same as AOTC.</t>
  </si>
  <si>
    <t xml:space="preserve">Total Taxpayers in Bracket</t>
  </si>
  <si>
    <t xml:space="preserve">'=Total Population in Bracket * FilingRate_Total * TaxpayerBracketShare[BracketNum]</t>
  </si>
  <si>
    <t xml:space="preserve">Estimate filing units (returns) from population using overall filing rate and bracket-specific shares.</t>
  </si>
  <si>
    <t xml:space="preserve">~40% overall (2.1M returns / 5.19M pop per IRS SOI); higher in mid-brackets.</t>
  </si>
  <si>
    <t xml:space="preserve">Authorized Taxpayers in Bracket</t>
  </si>
  <si>
    <t xml:space="preserve">'=Authorized Population in Bracket * FilingRate_Auth * AuthTaxpayerShare[BracketNum]</t>
  </si>
  <si>
    <t xml:space="preserve">Group-specific; higher rate than unauthorized.</t>
  </si>
  <si>
    <t xml:space="preserve">~45% for authorized (full eligibility).</t>
  </si>
  <si>
    <t xml:space="preserve">Unauthorized Taxpayers in Bracket</t>
  </si>
  <si>
    <t xml:space="preserve">'=Unauthorized Population in Bracket * FilingRate_Unauth * UnauthTaxpayerShare[BracketNum]</t>
  </si>
  <si>
    <t xml:space="preserve">Lower rate due to compliance/eligibility.</t>
  </si>
  <si>
    <t xml:space="preserve">~30% for unauthorized (ITIN-limited).</t>
  </si>
  <si>
    <t xml:space="preserve">American Taxpayers in Bracket</t>
  </si>
  <si>
    <t xml:space="preserve">'=American Population in Bracket * FilingRate_Amer * AmerTaxpayerShare[BracketNum]</t>
  </si>
  <si>
    <t xml:space="preserve">Baseline rate.</t>
  </si>
  <si>
    <t xml:space="preserve">~40% for Americans.</t>
  </si>
  <si>
    <t xml:space="preserve">PARAM</t>
  </si>
  <si>
    <t xml:space="preserve">Alabama Federal Personal Tax Formulae Parameters</t>
  </si>
  <si>
    <t xml:space="preserve">PID</t>
  </si>
  <si>
    <t xml:space="preserve">Parameter Name</t>
  </si>
  <si>
    <t xml:space="preserve">Value</t>
  </si>
  <si>
    <t xml:space="preserve">Description / Scope</t>
  </si>
  <si>
    <t xml:space="preserve">Source / Notes</t>
  </si>
  <si>
    <t xml:space="preserve">TotalPop</t>
  </si>
  <si>
    <t xml:space="preserve">Total Alabama population projection for 2025.</t>
  </si>
  <si>
    <t xml:space="preserve">Census Bureau Vintage 2025.</t>
  </si>
  <si>
    <t xml:space="preserve">AuthImmPop</t>
  </si>
  <si>
    <t xml:space="preserve">Authorized immigrant population.</t>
  </si>
  <si>
    <t xml:space="preserve">Census foreign-born minus unauthorized.</t>
  </si>
  <si>
    <t xml:space="preserve">UnauthImmPop</t>
  </si>
  <si>
    <t xml:space="preserve">Unauthorized immigrant population.</t>
  </si>
  <si>
    <t xml:space="preserve">Migration Policy Institute 2023 estimate, projected stable.</t>
  </si>
  <si>
    <t xml:space="preserve">AmerPop</t>
  </si>
  <si>
    <t xml:space="preserve">American (U.S.-born) population.</t>
  </si>
  <si>
    <t xml:space="preserve">TotalPop - (AuthImmPop + UnauthImmPop).</t>
  </si>
  <si>
    <t xml:space="preserve">BracketMin_Single_1</t>
  </si>
  <si>
    <t xml:space="preserve">Min earnings for Bracket 1, Single.</t>
  </si>
  <si>
    <t xml:space="preserve">IRS Rev. Proc. 2024-40.</t>
  </si>
  <si>
    <t xml:space="preserve">BracketMax_Single_1</t>
  </si>
  <si>
    <t xml:space="preserve">Max earnings for Bracket 1, Single.</t>
  </si>
  <si>
    <t xml:space="preserve">IRS.</t>
  </si>
  <si>
    <t xml:space="preserve">BracketMin_Single_2</t>
  </si>
  <si>
    <t xml:space="preserve">Min Bracket 2, Single.</t>
  </si>
  <si>
    <t xml:space="preserve">BracketMax_Single_2</t>
  </si>
  <si>
    <t xml:space="preserve">Max Bracket 2, Single.</t>
  </si>
  <si>
    <t xml:space="preserve">BracketMin_Single_3</t>
  </si>
  <si>
    <t xml:space="preserve">Min Bracket 3, Single.</t>
  </si>
  <si>
    <t xml:space="preserve">BracketMax_Single_3</t>
  </si>
  <si>
    <t xml:space="preserve">Max Bracket 3, Single.</t>
  </si>
  <si>
    <t xml:space="preserve">BracketMin_Single_4</t>
  </si>
  <si>
    <t xml:space="preserve">Min Bracket 4, Single.</t>
  </si>
  <si>
    <t xml:space="preserve">BracketMax_Single_4</t>
  </si>
  <si>
    <t xml:space="preserve">Max Bracket 4, Single.</t>
  </si>
  <si>
    <t xml:space="preserve">BracketMin_Single_5</t>
  </si>
  <si>
    <t xml:space="preserve">Min Bracket 5, Single.</t>
  </si>
  <si>
    <t xml:space="preserve">BracketMax_Single_5</t>
  </si>
  <si>
    <t xml:space="preserve">Max Bracket 5, Single.</t>
  </si>
  <si>
    <t xml:space="preserve">BracketMin_Single_6</t>
  </si>
  <si>
    <t xml:space="preserve">Min Bracket 6, Single.</t>
  </si>
  <si>
    <t xml:space="preserve">BracketMax_Single_6</t>
  </si>
  <si>
    <t xml:space="preserve">Max Bracket 6, Single.</t>
  </si>
  <si>
    <t xml:space="preserve">BracketMin_Single_7</t>
  </si>
  <si>
    <t xml:space="preserve">Min Bracket 7, Single.</t>
  </si>
  <si>
    <t xml:space="preserve">BracketMax_Single_7</t>
  </si>
  <si>
    <t xml:space="preserve">Max Bracket 7, Single (open).</t>
  </si>
  <si>
    <t xml:space="preserve">BracketMin_MFJ_1</t>
  </si>
  <si>
    <t xml:space="preserve">Min Bracket 1, MFJ.</t>
  </si>
  <si>
    <t xml:space="preserve">BracketMax_MFJ_1</t>
  </si>
  <si>
    <t xml:space="preserve">Max Bracket 1, MFJ.</t>
  </si>
  <si>
    <t xml:space="preserve">BracketMin_MFJ_2</t>
  </si>
  <si>
    <t xml:space="preserve">Min Bracket 2, MFJ.</t>
  </si>
  <si>
    <t xml:space="preserve">BracketMax_MFJ_2</t>
  </si>
  <si>
    <t xml:space="preserve">Max Bracket 2, MFJ.</t>
  </si>
  <si>
    <t xml:space="preserve">BracketMin_MFJ_3</t>
  </si>
  <si>
    <t xml:space="preserve">Min Bracket 3, MFJ.</t>
  </si>
  <si>
    <t xml:space="preserve">BracketMax_MFJ_3</t>
  </si>
  <si>
    <t xml:space="preserve">Max Bracket 3, MFJ.</t>
  </si>
  <si>
    <t xml:space="preserve">BracketMin_MFJ_4</t>
  </si>
  <si>
    <t xml:space="preserve">Min Bracket 4, MFJ.</t>
  </si>
  <si>
    <t xml:space="preserve">BracketMax_MFJ_4</t>
  </si>
  <si>
    <t xml:space="preserve">Max Bracket 4, MFJ.</t>
  </si>
  <si>
    <t xml:space="preserve">BracketMin_MFJ_5</t>
  </si>
  <si>
    <t xml:space="preserve">Min Bracket 5, MFJ.</t>
  </si>
  <si>
    <t xml:space="preserve">BracketMax_MFJ_5</t>
  </si>
  <si>
    <t xml:space="preserve">Max Bracket 5, MFJ.</t>
  </si>
  <si>
    <t xml:space="preserve">BracketMin_MFJ_6</t>
  </si>
  <si>
    <t xml:space="preserve">Min Bracket 6, MFJ.</t>
  </si>
  <si>
    <t xml:space="preserve">BracketMax_MFJ_6</t>
  </si>
  <si>
    <t xml:space="preserve">Max Bracket 6, MFJ.</t>
  </si>
  <si>
    <t xml:space="preserve">BracketMin_MFJ_7</t>
  </si>
  <si>
    <t xml:space="preserve">Min Bracket 7, MFJ.</t>
  </si>
  <si>
    <t xml:space="preserve">BracketMax_MFJ_7</t>
  </si>
  <si>
    <t xml:space="preserve">Max Bracket 7, MFJ.</t>
  </si>
  <si>
    <t xml:space="preserve">BracketMin_HoH_1</t>
  </si>
  <si>
    <t xml:space="preserve">Min Bracket 1, HoH.</t>
  </si>
  <si>
    <t xml:space="preserve">BracketMax_HoH_1</t>
  </si>
  <si>
    <t xml:space="preserve">Max Bracket 1, HoH.</t>
  </si>
  <si>
    <t xml:space="preserve">BracketMin_HoH_2</t>
  </si>
  <si>
    <t xml:space="preserve">Min Bracket 2, HoH.</t>
  </si>
  <si>
    <t xml:space="preserve">BracketMax_HoH_2</t>
  </si>
  <si>
    <t xml:space="preserve">Max Bracket 2, HoH.</t>
  </si>
  <si>
    <t xml:space="preserve">BracketMin_HoH_3</t>
  </si>
  <si>
    <t xml:space="preserve">Min Bracket 3, HoH.</t>
  </si>
  <si>
    <t xml:space="preserve">BracketMax_HoH_3</t>
  </si>
  <si>
    <t xml:space="preserve">Max Bracket 3, HoH.</t>
  </si>
  <si>
    <t xml:space="preserve">BracketMin_HoH_4</t>
  </si>
  <si>
    <t xml:space="preserve">Min Bracket 4, HoH.</t>
  </si>
  <si>
    <t xml:space="preserve">BracketMax_HoH_4</t>
  </si>
  <si>
    <t xml:space="preserve">Max Bracket 4, HoH.</t>
  </si>
  <si>
    <t xml:space="preserve">BracketMin_HoH_5</t>
  </si>
  <si>
    <t xml:space="preserve">Min Bracket 5, HoH.</t>
  </si>
  <si>
    <t xml:space="preserve">BracketMax_HoH_5</t>
  </si>
  <si>
    <t xml:space="preserve">Max Bracket 5, HoH.</t>
  </si>
  <si>
    <t xml:space="preserve">BracketMin_HoH_6</t>
  </si>
  <si>
    <t xml:space="preserve">Min Bracket 6, HoH.</t>
  </si>
  <si>
    <t xml:space="preserve">BracketMax_HoH_6</t>
  </si>
  <si>
    <t xml:space="preserve">Max Bracket 6, HoH.</t>
  </si>
  <si>
    <t xml:space="preserve">BracketMin_HoH_7</t>
  </si>
  <si>
    <t xml:space="preserve">Min Bracket 7, HoH.</t>
  </si>
  <si>
    <t xml:space="preserve">BracketMax_HoH_7</t>
  </si>
  <si>
    <t xml:space="preserve">Max Bracket 7, HoH.</t>
  </si>
  <si>
    <t xml:space="preserve">BracketRate_1</t>
  </si>
  <si>
    <t xml:space="preserve">Rate for Bracket 1 (all statuses).</t>
  </si>
  <si>
    <t xml:space="preserve">BracketRate_2</t>
  </si>
  <si>
    <t xml:space="preserve">Rate for Bracket 2.</t>
  </si>
  <si>
    <t xml:space="preserve">BracketRate_3</t>
  </si>
  <si>
    <t xml:space="preserve">Rate for Bracket 3.</t>
  </si>
  <si>
    <t xml:space="preserve">BracketRate_4</t>
  </si>
  <si>
    <t xml:space="preserve">Rate for Bracket 4.</t>
  </si>
  <si>
    <t xml:space="preserve">BracketRate_5</t>
  </si>
  <si>
    <t xml:space="preserve">Rate for Bracket 5.</t>
  </si>
  <si>
    <t xml:space="preserve">BracketRate_6</t>
  </si>
  <si>
    <t xml:space="preserve">Rate for Bracket 6.</t>
  </si>
  <si>
    <t xml:space="preserve">BracketRate_7</t>
  </si>
  <si>
    <t xml:space="preserve">Rate for Bracket 7.</t>
  </si>
  <si>
    <t xml:space="preserve">StdDed_Single</t>
  </si>
  <si>
    <t xml:space="preserve">Standard deduction, Single/MFS.</t>
  </si>
  <si>
    <t xml:space="preserve">IRS OBBB adjusted.</t>
  </si>
  <si>
    <t xml:space="preserve">StdDed_MFJ</t>
  </si>
  <si>
    <t xml:space="preserve">Standard deduction, MFJ.</t>
  </si>
  <si>
    <t xml:space="preserve">StdDed_HoH</t>
  </si>
  <si>
    <t xml:space="preserve">Standard deduction, HoH.</t>
  </si>
  <si>
    <t xml:space="preserve">SSRate</t>
  </si>
  <si>
    <t xml:space="preserve">Social Security payroll rate (employee).</t>
  </si>
  <si>
    <t xml:space="preserve">SSA.</t>
  </si>
  <si>
    <t xml:space="preserve">SSWageBase</t>
  </si>
  <si>
    <t xml:space="preserve">SS wage cap.</t>
  </si>
  <si>
    <t xml:space="preserve">MedRate</t>
  </si>
  <si>
    <t xml:space="preserve">Medicare payroll rate.</t>
  </si>
  <si>
    <t xml:space="preserve">AddMedRate</t>
  </si>
  <si>
    <t xml:space="preserve">Additional Medicare over thresh.</t>
  </si>
  <si>
    <t xml:space="preserve">AddMedThresh_Single</t>
  </si>
  <si>
    <t xml:space="preserve">Add Medicare income thresh, Single.</t>
  </si>
  <si>
    <t xml:space="preserve">MaxEITC_0Child</t>
  </si>
  <si>
    <t xml:space="preserve">Max EITC no children.</t>
  </si>
  <si>
    <t xml:space="preserve">MaxCTC</t>
  </si>
  <si>
    <t xml:space="preserve">Max Child Tax Credit per child.</t>
  </si>
  <si>
    <t xml:space="preserve">MaxACTC</t>
  </si>
  <si>
    <t xml:space="preserve">Max refundable ACTC per child.</t>
  </si>
  <si>
    <t xml:space="preserve">MaxAOTC</t>
  </si>
  <si>
    <t xml:space="preserve">Max American Opportunity Credit.</t>
  </si>
  <si>
    <t xml:space="preserve">AOTCRefundPct</t>
  </si>
  <si>
    <t xml:space="preserve">Refundable portion of AOTC.</t>
  </si>
  <si>
    <t xml:space="preserve">MaxLLC</t>
  </si>
  <si>
    <t xml:space="preserve">Max Lifetime Learning Credit.</t>
  </si>
  <si>
    <t xml:space="preserve">BracketPopShare_1</t>
  </si>
  <si>
    <t xml:space="preserve">% of total pop in Bracket 1 (low income).</t>
  </si>
  <si>
    <t xml:space="preserve">Modeled from ITEP/Census income dist.</t>
  </si>
  <si>
    <t xml:space="preserve">BracketPopShare_2</t>
  </si>
  <si>
    <t xml:space="preserve">% in Bracket 2.</t>
  </si>
  <si>
    <t xml:space="preserve">Derived.</t>
  </si>
  <si>
    <t xml:space="preserve">BracketPopShare_3</t>
  </si>
  <si>
    <t xml:space="preserve">% in Bracket 3.</t>
  </si>
  <si>
    <t xml:space="preserve">BracketPopShare_4</t>
  </si>
  <si>
    <t xml:space="preserve">% in Bracket 4.</t>
  </si>
  <si>
    <t xml:space="preserve">BracketPopShare_5</t>
  </si>
  <si>
    <t xml:space="preserve">% in Bracket 5.</t>
  </si>
  <si>
    <t xml:space="preserve">BracketPopShare_6</t>
  </si>
  <si>
    <t xml:space="preserve">% in Bracket 6.</t>
  </si>
  <si>
    <t xml:space="preserve">BracketPopShare_7</t>
  </si>
  <si>
    <t xml:space="preserve">% in Bracket 7 (top earners).</t>
  </si>
  <si>
    <t xml:space="preserve">Derived; sum=1.</t>
  </si>
  <si>
    <t xml:space="preserve">AuthBracketShare_1</t>
  </si>
  <si>
    <t xml:space="preserve">% authorized in Bracket 1.</t>
  </si>
  <si>
    <t xml:space="preserve">Mid-range focus.</t>
  </si>
  <si>
    <t xml:space="preserve">AuthBracketShare_2</t>
  </si>
  <si>
    <t xml:space="preserve">% in 2.</t>
  </si>
  <si>
    <t xml:space="preserve">AuthBracketShare_3</t>
  </si>
  <si>
    <t xml:space="preserve">% in 3.</t>
  </si>
  <si>
    <t xml:space="preserve">AuthBracketShare_4</t>
  </si>
  <si>
    <t xml:space="preserve">% in 4.</t>
  </si>
  <si>
    <t xml:space="preserve">AuthBracketShare_5</t>
  </si>
  <si>
    <t xml:space="preserve">% in 5.</t>
  </si>
  <si>
    <t xml:space="preserve">AuthBracketShare_6</t>
  </si>
  <si>
    <t xml:space="preserve">% in 6.</t>
  </si>
  <si>
    <t xml:space="preserve">AuthBracketShare_7</t>
  </si>
  <si>
    <t xml:space="preserve">% in 7.</t>
  </si>
  <si>
    <t xml:space="preserve">UnauthBracketShare_1</t>
  </si>
  <si>
    <t xml:space="preserve">% unauthorized in Bracket 1.</t>
  </si>
  <si>
    <t xml:space="preserve">Low-range focus.</t>
  </si>
  <si>
    <t xml:space="preserve">UnauthBracketShare_2</t>
  </si>
  <si>
    <t xml:space="preserve">UnauthBracketShare_3</t>
  </si>
  <si>
    <t xml:space="preserve">UnauthBracketShare_4</t>
  </si>
  <si>
    <t xml:space="preserve">UnauthBracketShare_5</t>
  </si>
  <si>
    <t xml:space="preserve">UnauthBracketShare_6</t>
  </si>
  <si>
    <t xml:space="preserve">UnauthBracketShare_7</t>
  </si>
  <si>
    <t xml:space="preserve">AmerBracketShare_1</t>
  </si>
  <si>
    <t xml:space="preserve">% Americans in Bracket 1.</t>
  </si>
  <si>
    <t xml:space="preserve">Balanced.</t>
  </si>
  <si>
    <t xml:space="preserve">AmerBracketShare_2</t>
  </si>
  <si>
    <t xml:space="preserve">AmerBracketShare_3</t>
  </si>
  <si>
    <t xml:space="preserve">AmerBracketShare_4</t>
  </si>
  <si>
    <t xml:space="preserve">AmerBracketShare_5</t>
  </si>
  <si>
    <t xml:space="preserve">AmerBracketShare_6</t>
  </si>
  <si>
    <t xml:space="preserve">AmerBracketShare_7</t>
  </si>
  <si>
    <t xml:space="preserve">AvgTaxableInc_1</t>
  </si>
  <si>
    <t xml:space="preserve">Avg taxable inc in Bracket 1 (post-ded).</t>
  </si>
  <si>
    <t xml:space="preserve">Census/ITEP.</t>
  </si>
  <si>
    <t xml:space="preserve">AvgTaxableInc_2</t>
  </si>
  <si>
    <t xml:space="preserve">Avg in Bracket 2.</t>
  </si>
  <si>
    <t xml:space="preserve">AvgTaxableInc_3</t>
  </si>
  <si>
    <t xml:space="preserve">Avg in Bracket 3.</t>
  </si>
  <si>
    <t xml:space="preserve">AvgTaxableInc_4</t>
  </si>
  <si>
    <t xml:space="preserve">Avg in Bracket 4.</t>
  </si>
  <si>
    <t xml:space="preserve">AvgTaxableInc_5</t>
  </si>
  <si>
    <t xml:space="preserve">Avg in Bracket 5.</t>
  </si>
  <si>
    <t xml:space="preserve">AvgTaxableInc_6</t>
  </si>
  <si>
    <t xml:space="preserve">Avg in Bracket 6.</t>
  </si>
  <si>
    <t xml:space="preserve">AvgTaxableInc_7</t>
  </si>
  <si>
    <t xml:space="preserve">Avg in Bracket 7.</t>
  </si>
  <si>
    <t xml:space="preserve">AuthAvgTaxableInc_1</t>
  </si>
  <si>
    <t xml:space="preserve">Authorized avg in Bracket 1.</t>
  </si>
  <si>
    <t xml:space="preserve">AuthAvgTaxableInc_2</t>
  </si>
  <si>
    <t xml:space="preserve">Authorized in 2.</t>
  </si>
  <si>
    <t xml:space="preserve">AuthAvgTaxableInc_3</t>
  </si>
  <si>
    <t xml:space="preserve">Authorized in 3.</t>
  </si>
  <si>
    <t xml:space="preserve">AuthAvgTaxableInc_4</t>
  </si>
  <si>
    <t xml:space="preserve">Authorized in 4.</t>
  </si>
  <si>
    <t xml:space="preserve">AuthAvgTaxableInc_5</t>
  </si>
  <si>
    <t xml:space="preserve">Authorized in 5.</t>
  </si>
  <si>
    <t xml:space="preserve">AuthAvgTaxableInc_6</t>
  </si>
  <si>
    <t xml:space="preserve">Authorized in 6.</t>
  </si>
  <si>
    <t xml:space="preserve">AuthAvgTaxableInc_7</t>
  </si>
  <si>
    <t xml:space="preserve">Authorized in 7.</t>
  </si>
  <si>
    <t xml:space="preserve">UnauthAvgTaxableInc_1</t>
  </si>
  <si>
    <t xml:space="preserve">Unauthorized avg in Bracket 1.</t>
  </si>
  <si>
    <t xml:space="preserve">UnauthAvgTaxableInc_2</t>
  </si>
  <si>
    <t xml:space="preserve">Unauthorized in 2.</t>
  </si>
  <si>
    <t xml:space="preserve">UnauthAvgTaxableInc_3</t>
  </si>
  <si>
    <t xml:space="preserve">Unauthorized in 3.</t>
  </si>
  <si>
    <t xml:space="preserve">UnauthAvgTaxableInc_4</t>
  </si>
  <si>
    <t xml:space="preserve">Unauthorized in 4.</t>
  </si>
  <si>
    <t xml:space="preserve">UnauthAvgTaxableInc_5</t>
  </si>
  <si>
    <t xml:space="preserve">Unauthorized in 5.</t>
  </si>
  <si>
    <t xml:space="preserve">UnauthAvgTaxableInc_6</t>
  </si>
  <si>
    <t xml:space="preserve">Unauthorized in 6.</t>
  </si>
  <si>
    <t xml:space="preserve">UnauthAvgTaxableInc_7</t>
  </si>
  <si>
    <t xml:space="preserve">Unauthorized in 7.</t>
  </si>
  <si>
    <t xml:space="preserve">AmerAvgTaxableInc_1</t>
  </si>
  <si>
    <t xml:space="preserve">American avg in Bracket 1.</t>
  </si>
  <si>
    <t xml:space="preserve">AmerAvgTaxableInc_2</t>
  </si>
  <si>
    <t xml:space="preserve">American in 2.</t>
  </si>
  <si>
    <t xml:space="preserve">AmerAvgTaxableInc_3</t>
  </si>
  <si>
    <t xml:space="preserve">American in 3.</t>
  </si>
  <si>
    <t xml:space="preserve">AmerAvgTaxableInc_4</t>
  </si>
  <si>
    <t xml:space="preserve">American in 4.</t>
  </si>
  <si>
    <t xml:space="preserve">AmerAvgTaxableInc_5</t>
  </si>
  <si>
    <t xml:space="preserve">American in 5.</t>
  </si>
  <si>
    <t xml:space="preserve">AmerAvgTaxableInc_6</t>
  </si>
  <si>
    <t xml:space="preserve">American in 6.</t>
  </si>
  <si>
    <t xml:space="preserve">AmerAvgTaxableInc_7</t>
  </si>
  <si>
    <t xml:space="preserve">American in 7.</t>
  </si>
  <si>
    <t xml:space="preserve">AvgWages_1</t>
  </si>
  <si>
    <t xml:space="preserve">Avg wages in Bracket 1.</t>
  </si>
  <si>
    <t xml:space="preserve">BLS/ITEP.</t>
  </si>
  <si>
    <t xml:space="preserve">AvgWages_2</t>
  </si>
  <si>
    <t xml:space="preserve">Avg in 2.</t>
  </si>
  <si>
    <t xml:space="preserve">AvgWages_3</t>
  </si>
  <si>
    <t xml:space="preserve">Avg in 3.</t>
  </si>
  <si>
    <t xml:space="preserve">AvgWages_4</t>
  </si>
  <si>
    <t xml:space="preserve">Avg in 4.</t>
  </si>
  <si>
    <t xml:space="preserve">AvgWages_5</t>
  </si>
  <si>
    <t xml:space="preserve">Avg in 5.</t>
  </si>
  <si>
    <t xml:space="preserve">AvgWages_6</t>
  </si>
  <si>
    <t xml:space="preserve">Avg in 6.</t>
  </si>
  <si>
    <t xml:space="preserve">AvgWages_7</t>
  </si>
  <si>
    <t xml:space="preserve">Avg in 7.</t>
  </si>
  <si>
    <t xml:space="preserve">AuthAvgWages_1</t>
  </si>
  <si>
    <t xml:space="preserve">Authorized wages in Bracket 1.</t>
  </si>
  <si>
    <t xml:space="preserve">AuthAvgWages_2</t>
  </si>
  <si>
    <t xml:space="preserve">AuthAvgWages_3</t>
  </si>
  <si>
    <t xml:space="preserve">AuthAvgWages_4</t>
  </si>
  <si>
    <t xml:space="preserve">AuthAvgWages_5</t>
  </si>
  <si>
    <t xml:space="preserve">AuthAvgWages_6</t>
  </si>
  <si>
    <t xml:space="preserve">AuthAvgWages_7</t>
  </si>
  <si>
    <t xml:space="preserve">UnauthAvgWages_1</t>
  </si>
  <si>
    <t xml:space="preserve">Unauthorized wages in Bracket 1.</t>
  </si>
  <si>
    <t xml:space="preserve">UnauthAvgWages_2</t>
  </si>
  <si>
    <t xml:space="preserve">UnauthAvgWages_3</t>
  </si>
  <si>
    <t xml:space="preserve">UnauthAvgWages_4</t>
  </si>
  <si>
    <t xml:space="preserve">UnauthAvgWages_5</t>
  </si>
  <si>
    <t xml:space="preserve">UnauthAvgWages_6</t>
  </si>
  <si>
    <t xml:space="preserve">UnauthAvgWages_7</t>
  </si>
  <si>
    <t xml:space="preserve">AmerAvgWages_1</t>
  </si>
  <si>
    <t xml:space="preserve">American wages in Bracket 1.</t>
  </si>
  <si>
    <t xml:space="preserve">AmerAvgWages_2</t>
  </si>
  <si>
    <t xml:space="preserve">AmerAvgWages_3</t>
  </si>
  <si>
    <t xml:space="preserve">AmerAvgWages_4</t>
  </si>
  <si>
    <t xml:space="preserve">AmerAvgWages_5</t>
  </si>
  <si>
    <t xml:space="preserve">AmerAvgWages_6</t>
  </si>
  <si>
    <t xml:space="preserve">AmerAvgWages_7</t>
  </si>
  <si>
    <t xml:space="preserve">QualChildrenPct</t>
  </si>
  <si>
    <t xml:space="preserve">% households with qualifying children.</t>
  </si>
  <si>
    <t xml:space="preserve">Census family data for AL.</t>
  </si>
  <si>
    <t xml:space="preserve">FedIncTaxPaid_Unauth</t>
  </si>
  <si>
    <t xml:space="preserve">Est. federal inc tax by unauthorized (2022 adj).</t>
  </si>
  <si>
    <t xml:space="preserve">ITEP, inflated to 2025.</t>
  </si>
  <si>
    <t xml:space="preserve">FilingRate_Total</t>
  </si>
  <si>
    <t xml:space="preserve">Overall tax filing rate for AL.</t>
  </si>
  <si>
    <t xml:space="preserve">IRS SOI (~2.1M returns / 5.19M pop).</t>
  </si>
  <si>
    <t xml:space="preserve">FilingRate_Auth</t>
  </si>
  <si>
    <t xml:space="preserve">Filing rate for authorized immigrants.</t>
  </si>
  <si>
    <t xml:space="preserve">ITEP estimates (higher eligibility).</t>
  </si>
  <si>
    <t xml:space="preserve">FilingRate_Unauth</t>
  </si>
  <si>
    <t xml:space="preserve">Filing rate for unauthorized.</t>
  </si>
  <si>
    <t xml:space="preserve">MPI/ITEP (lower compliance).</t>
  </si>
  <si>
    <t xml:space="preserve">FilingRate_Amer</t>
  </si>
  <si>
    <t xml:space="preserve">Filing rate for Americans.</t>
  </si>
  <si>
    <t xml:space="preserve">IRS baseline.</t>
  </si>
  <si>
    <t xml:space="preserve">TaxpayerBracketShare_1</t>
  </si>
  <si>
    <t xml:space="preserve">% taxpayers in Bracket 1.</t>
  </si>
  <si>
    <t xml:space="preserve">Adjusted from pop shares; higher filing in mid.</t>
  </si>
  <si>
    <t xml:space="preserve">TaxpayerBracketShare_2</t>
  </si>
  <si>
    <t xml:space="preserve">TaxpayerBracketShare_3</t>
  </si>
  <si>
    <t xml:space="preserve">TaxpayerBracketShare_4</t>
  </si>
  <si>
    <t xml:space="preserve">TaxpayerBracketShare_5</t>
  </si>
  <si>
    <t xml:space="preserve">TaxpayerBracketShare_6</t>
  </si>
  <si>
    <t xml:space="preserve">TaxpayerBracketShare_7</t>
  </si>
  <si>
    <t xml:space="preserve">AuthTaxpayerShare_1</t>
  </si>
  <si>
    <t xml:space="preserve">% authorized taxpayers in Bracket 1.</t>
  </si>
  <si>
    <t xml:space="preserve">Group adj.</t>
  </si>
  <si>
    <t xml:space="preserve">AuthTaxpayerShare_2</t>
  </si>
  <si>
    <t xml:space="preserve">AuthTaxpayerShare_3</t>
  </si>
  <si>
    <t xml:space="preserve">AuthTaxpayerShare_4</t>
  </si>
  <si>
    <t xml:space="preserve">AuthTaxpayerShare_5</t>
  </si>
  <si>
    <t xml:space="preserve">AuthTaxpayerShare_6</t>
  </si>
  <si>
    <t xml:space="preserve">AuthTaxpayerShare_7</t>
  </si>
  <si>
    <t xml:space="preserve">UnauthTaxpayerShare_1</t>
  </si>
  <si>
    <t xml:space="preserve">% unauthorized taxpayers in Bracket 1.</t>
  </si>
  <si>
    <t xml:space="preserve">Low skew.</t>
  </si>
  <si>
    <t xml:space="preserve">UnauthTaxpayerShare_2</t>
  </si>
  <si>
    <t xml:space="preserve">UnauthTaxpayerShare_3</t>
  </si>
  <si>
    <t xml:space="preserve">UnauthTaxpayerShare_4</t>
  </si>
  <si>
    <t xml:space="preserve">UnauthTaxpayerShare_5</t>
  </si>
  <si>
    <t xml:space="preserve">UnauthTaxpayerShare_6</t>
  </si>
  <si>
    <t xml:space="preserve">UnauthTaxpayerShare_7</t>
  </si>
  <si>
    <t xml:space="preserve">AmerTaxpayerShare_1</t>
  </si>
  <si>
    <t xml:space="preserve">% American taxpayers in Bracket 1.</t>
  </si>
  <si>
    <t xml:space="preserve">AmerTaxpayerShare_2</t>
  </si>
  <si>
    <t xml:space="preserve">AmerTaxpayerShare_3</t>
  </si>
  <si>
    <t xml:space="preserve">AmerTaxpayerShare_4</t>
  </si>
  <si>
    <t xml:space="preserve">AmerTaxpayerShare_5</t>
  </si>
  <si>
    <t xml:space="preserve">AmerTaxpayerShare_6</t>
  </si>
  <si>
    <t xml:space="preserve">AmerTaxpayerShare_7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</si>
</sst>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&quot;($&quot;#,##0.00\)"/>
    <numFmt numFmtId="166" formatCode="\$#,##0_);[RED]&quot;($&quot;#,##0\)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2"/>
    </font>
    <font>
      <sz val="10"/>
      <color rgb="FF0000FF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00"/>
        <bgColor rgb="FF333333"/>
      </patternFill>
    </fill>
    <fill>
      <patternFill patternType="solid">
        <fgColor rgb="FFFFCC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4" fontId="0" fillId="3" borderId="1" applyFont="true" applyBorder="true" applyAlignment="true" applyProtection="false">
      <alignment horizontal="right" vertical="bottom" textRotation="0" wrapText="true" indent="0" shrinkToFit="false"/>
    </xf>
    <xf numFmtId="164" fontId="0" fillId="3" borderId="2" applyFont="true" applyBorder="true" applyAlignment="true" applyProtection="false">
      <alignment horizontal="right" vertical="bottom" textRotation="0" wrapText="true" indent="0" shrinkToFit="false"/>
    </xf>
    <xf numFmtId="164" fontId="0" fillId="3" borderId="3" applyFont="true" applyBorder="true" applyAlignment="true" applyProtection="false">
      <alignment horizontal="right" vertical="bottom" textRotation="0" wrapText="true" indent="0" shrinkToFit="false"/>
    </xf>
    <xf numFmtId="164" fontId="0" fillId="3" borderId="4" applyFont="true" applyBorder="true" applyAlignment="true" applyProtection="false">
      <alignment horizontal="right" vertical="bottom" textRotation="0" wrapText="true" indent="0" shrinkToFit="false"/>
    </xf>
    <xf numFmtId="164" fontId="0" fillId="3" borderId="5" applyFont="true" applyBorder="true" applyAlignment="true" applyProtection="false">
      <alignment horizontal="right" vertical="bottom" textRotation="0" wrapText="true" indent="0" shrinkToFit="false"/>
    </xf>
    <xf numFmtId="164" fontId="0" fillId="3" borderId="6" applyFont="true" applyBorder="true" applyAlignment="true" applyProtection="false">
      <alignment horizontal="right" vertical="bottom" textRotation="0" wrapText="true" indent="0" shrinkToFit="false"/>
    </xf>
    <xf numFmtId="164" fontId="0" fillId="3" borderId="7" applyFont="true" applyBorder="true" applyAlignment="true" applyProtection="false">
      <alignment horizontal="right" vertical="bottom" textRotation="0" wrapText="true" indent="0" shrinkToFit="false"/>
    </xf>
    <xf numFmtId="164" fontId="0" fillId="3" borderId="8" applyFont="true" applyBorder="true" applyAlignment="true" applyProtection="false">
      <alignment horizontal="right" vertical="bottom" textRotation="0" wrapText="tru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5" fontId="0" fillId="0" borderId="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2" xfId="3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ls.gov/cps/definitions.htm?utm_source=chatgpt.com" TargetMode="External"/><Relationship Id="rId2" Type="http://schemas.openxmlformats.org/officeDocument/2006/relationships/hyperlink" Target="https://www.bls.gov/cps/definitions.htm?utm_source=chatgpt.com" TargetMode="External"/><Relationship Id="rId3" Type="http://schemas.openxmlformats.org/officeDocument/2006/relationships/hyperlink" Target="https://www.bls.gov/cps/definitions.htm?utm_source=chatgpt.com" TargetMode="External"/><Relationship Id="rId4" Type="http://schemas.openxmlformats.org/officeDocument/2006/relationships/hyperlink" Target="https://www.bls.gov/cps/definitions.htm?utm_source=chatgpt.com" TargetMode="External"/><Relationship Id="rId5" Type="http://schemas.openxmlformats.org/officeDocument/2006/relationships/hyperlink" Target="https://www.bls.gov/cps/definitions.htm?utm_source=chatgpt.com" TargetMode="External"/><Relationship Id="rId6" Type="http://schemas.openxmlformats.org/officeDocument/2006/relationships/hyperlink" Target="https://www.bls.gov/cps/definitions.htm?utm_source=chatgp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1" width="48.44"/>
    <col collapsed="false" customWidth="true" hidden="false" outlineLevel="0" max="3" min="3" style="1" width="34.59"/>
    <col collapsed="false" customWidth="true" hidden="false" outlineLevel="0" max="4" min="4" style="1" width="32.27"/>
    <col collapsed="false" customWidth="true" hidden="false" outlineLevel="0" max="5" min="5" style="1" width="29.98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2" t="s">
        <v>1</v>
      </c>
      <c r="B2" s="2" t="s">
        <v>2</v>
      </c>
    </row>
    <row r="3" s="1" customFormat="true" ht="12.8" hidden="false" customHeight="false" outlineLevel="0" collapsed="false">
      <c r="A3" s="2" t="s">
        <v>3</v>
      </c>
      <c r="B3" s="2" t="s">
        <v>4</v>
      </c>
      <c r="C3" s="2" t="s">
        <v>5</v>
      </c>
      <c r="D3" s="2" t="s">
        <v>6</v>
      </c>
    </row>
    <row r="4" customFormat="false" ht="12.8" hidden="false" customHeight="false" outlineLevel="0" collapsed="false">
      <c r="A4" s="3" t="n">
        <v>0</v>
      </c>
      <c r="B4" s="3" t="s">
        <v>7</v>
      </c>
      <c r="C4" s="3" t="str">
        <f aca="false">'PIRS.AL'!B1</f>
        <v>PIRS – Alabama Personal Federal Tax Statistic Logic</v>
      </c>
      <c r="D4" s="4" t="s">
        <v>8</v>
      </c>
    </row>
    <row r="6" customFormat="false" ht="12.8" hidden="false" customHeight="false" outlineLevel="0" collapsed="false">
      <c r="A6" s="2" t="s">
        <v>9</v>
      </c>
      <c r="B6" s="2" t="s">
        <v>10</v>
      </c>
    </row>
    <row r="7" customFormat="false" ht="12.8" hidden="false" customHeight="false" outlineLevel="0" collapsed="false">
      <c r="A7" s="2" t="s">
        <v>11</v>
      </c>
      <c r="B7" s="2" t="s">
        <v>12</v>
      </c>
      <c r="C7" s="2" t="s">
        <v>13</v>
      </c>
      <c r="D7" s="2" t="s">
        <v>14</v>
      </c>
      <c r="E7" s="1" t="s">
        <v>15</v>
      </c>
    </row>
    <row r="8" customFormat="false" ht="12.8" hidden="false" customHeight="false" outlineLevel="0" collapsed="false">
      <c r="A8" s="1" t="n">
        <v>0</v>
      </c>
      <c r="B8" s="5" t="s">
        <v>16</v>
      </c>
      <c r="C8" s="1" t="s">
        <v>17</v>
      </c>
      <c r="D8" s="1" t="s">
        <v>18</v>
      </c>
      <c r="E8" s="1" t="s">
        <v>19</v>
      </c>
    </row>
  </sheetData>
  <hyperlinks>
    <hyperlink ref="D4" location="LSD!AL" display="LSD.A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39.2"/>
  </cols>
  <sheetData>
    <row r="1" customFormat="false" ht="12.8" hidden="false" customHeight="false" outlineLevel="0" collapsed="false">
      <c r="A1" s="1" t="s">
        <v>20</v>
      </c>
    </row>
    <row r="2" customFormat="false" ht="12.8" hidden="false" customHeight="false" outlineLevel="0" collapsed="false">
      <c r="A2" s="6" t="s">
        <v>21</v>
      </c>
      <c r="B2" s="6" t="s">
        <v>22</v>
      </c>
      <c r="C2" s="6" t="s">
        <v>23</v>
      </c>
    </row>
    <row r="3" customFormat="false" ht="12.8" hidden="false" customHeight="false" outlineLevel="0" collapsed="false">
      <c r="A3" s="7" t="s">
        <v>24</v>
      </c>
      <c r="B3" s="5" t="s">
        <v>25</v>
      </c>
      <c r="C3" s="8" t="s">
        <v>26</v>
      </c>
    </row>
    <row r="4" customFormat="false" ht="12.8" hidden="false" customHeight="false" outlineLevel="0" collapsed="false">
      <c r="A4" s="7" t="s">
        <v>27</v>
      </c>
      <c r="B4" s="5" t="s">
        <v>28</v>
      </c>
      <c r="C4" s="8" t="s">
        <v>29</v>
      </c>
    </row>
    <row r="5" customFormat="false" ht="12.8" hidden="false" customHeight="false" outlineLevel="0" collapsed="false">
      <c r="A5" s="7" t="s">
        <v>30</v>
      </c>
      <c r="B5" s="7" t="s">
        <v>31</v>
      </c>
      <c r="C5" s="9" t="s">
        <v>32</v>
      </c>
    </row>
    <row r="6" customFormat="false" ht="12.8" hidden="false" customHeight="false" outlineLevel="0" collapsed="false">
      <c r="A6" s="7" t="s">
        <v>33</v>
      </c>
      <c r="B6" s="5" t="s">
        <v>34</v>
      </c>
      <c r="C6" s="8" t="s">
        <v>35</v>
      </c>
    </row>
    <row r="7" customFormat="false" ht="12.8" hidden="false" customHeight="false" outlineLevel="0" collapsed="false">
      <c r="A7" s="7" t="s">
        <v>36</v>
      </c>
      <c r="B7" s="5" t="s">
        <v>37</v>
      </c>
      <c r="C7" s="8" t="s">
        <v>38</v>
      </c>
    </row>
    <row r="8" customFormat="false" ht="12.8" hidden="false" customHeight="false" outlineLevel="0" collapsed="false">
      <c r="A8" s="7" t="s">
        <v>39</v>
      </c>
      <c r="B8" s="7" t="s">
        <v>40</v>
      </c>
      <c r="C8" s="8" t="s">
        <v>41</v>
      </c>
    </row>
  </sheetData>
  <hyperlinks>
    <hyperlink ref="C3" r:id="rId1" display="Persons unemployed 15 weeks or longer, as a percentage of the civilian labor force. (Bureau of Labor Statistics)"/>
    <hyperlink ref="C4" r:id="rId2" display="Persons who lost jobs or completed temporary jobs, as a percentage of the civilian labor force. (Bureau of Labor Statistics)"/>
    <hyperlink ref="C5" r:id="rId3" display="Total unemployed persons (actively looking and available for work), as a percentage of the civilian labor force. This is the standard headline rate reported in monthly jobs reports. (Bureau of Labor Statistics)"/>
    <hyperlink ref="C6" r:id="rId4" display="U-3 plus discouraged workers (people not in the labor force who want a job but have stopped looking for job-market reasons), expressed as a percentage of the civilian labor force plus discouraged workers. (Bureau of Labor Statistics)"/>
    <hyperlink ref="C7" r:id="rId5" display="U-4 plus all marginally attached workers (including discouraged workers and others who want a job and have looked in the past 12 months but not in the last 4 weeks), expressed as a percentage of the civilian labor force plus all marginally attached workers. (Bureau of Labor Statistics)"/>
    <hyperlink ref="C8" r:id="rId6" display="U-5 plus persons employed part-time for economic reasons (involuntary part-time workers who want full-time work), expressed as a percentage of the civilian labor force plus all marginally attached workers. This is the broadest measure of labor underutilization reported. (Bureau of Labor Statistics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1" width="36.9"/>
    <col collapsed="false" customWidth="true" hidden="false" outlineLevel="0" max="3" min="3" style="10" width="29.98"/>
    <col collapsed="false" customWidth="false" hidden="false" outlineLevel="0" max="16384" min="4" style="10" width="11.53"/>
  </cols>
  <sheetData>
    <row r="1" customFormat="false" ht="12.8" hidden="false" customHeight="false" outlineLevel="0" collapsed="false">
      <c r="A1" s="2" t="s">
        <v>1</v>
      </c>
      <c r="B1" s="2" t="s">
        <v>42</v>
      </c>
    </row>
    <row r="2" customFormat="false" ht="12.8" hidden="false" customHeight="false" outlineLevel="0" collapsed="false">
      <c r="A2" s="2" t="s">
        <v>43</v>
      </c>
      <c r="B2" s="2" t="s">
        <v>44</v>
      </c>
    </row>
    <row r="3" customFormat="false" ht="12.8" hidden="false" customHeight="false" outlineLevel="0" collapsed="false">
      <c r="A3" s="11" t="s">
        <v>45</v>
      </c>
      <c r="B3" s="11" t="s">
        <v>46</v>
      </c>
      <c r="C3" s="11" t="s">
        <v>47</v>
      </c>
      <c r="D3" s="11" t="s">
        <v>48</v>
      </c>
      <c r="E3" s="11" t="s">
        <v>49</v>
      </c>
      <c r="F3" s="11" t="s">
        <v>49</v>
      </c>
    </row>
    <row r="4" customFormat="false" ht="12.8" hidden="false" customHeight="false" outlineLevel="0" collapsed="false">
      <c r="A4" s="12" t="n">
        <v>1</v>
      </c>
      <c r="B4" s="12" t="s">
        <v>50</v>
      </c>
      <c r="C4" s="12" t="s">
        <v>51</v>
      </c>
      <c r="D4" s="12" t="s">
        <v>52</v>
      </c>
      <c r="E4" s="12" t="s">
        <v>53</v>
      </c>
      <c r="F4" s="12" t="s">
        <v>54</v>
      </c>
    </row>
    <row r="5" customFormat="false" ht="12.8" hidden="false" customHeight="false" outlineLevel="0" collapsed="false">
      <c r="A5" s="12" t="n">
        <v>2</v>
      </c>
      <c r="B5" s="12" t="s">
        <v>55</v>
      </c>
      <c r="C5" s="12" t="s">
        <v>56</v>
      </c>
      <c r="D5" s="12" t="s">
        <v>57</v>
      </c>
      <c r="E5" s="12" t="s">
        <v>58</v>
      </c>
      <c r="F5" s="12" t="s">
        <v>59</v>
      </c>
    </row>
    <row r="6" customFormat="false" ht="12.8" hidden="false" customHeight="false" outlineLevel="0" collapsed="false">
      <c r="A6" s="12" t="n">
        <v>3</v>
      </c>
      <c r="B6" s="12" t="s">
        <v>60</v>
      </c>
      <c r="C6" s="12" t="s">
        <v>61</v>
      </c>
      <c r="D6" s="12" t="s">
        <v>62</v>
      </c>
      <c r="E6" s="12" t="s">
        <v>63</v>
      </c>
      <c r="F6" s="12" t="s">
        <v>64</v>
      </c>
    </row>
    <row r="7" customFormat="false" ht="12.8" hidden="false" customHeight="false" outlineLevel="0" collapsed="false">
      <c r="A7" s="12" t="n">
        <v>4</v>
      </c>
      <c r="B7" s="12" t="s">
        <v>65</v>
      </c>
      <c r="C7" s="12" t="s">
        <v>66</v>
      </c>
      <c r="D7" s="12" t="s">
        <v>67</v>
      </c>
      <c r="E7" s="12" t="s">
        <v>68</v>
      </c>
      <c r="F7" s="12" t="s">
        <v>68</v>
      </c>
    </row>
    <row r="8" customFormat="false" ht="12.8" hidden="false" customHeight="false" outlineLevel="0" collapsed="false">
      <c r="A8" s="12" t="n">
        <v>5</v>
      </c>
      <c r="B8" s="12" t="s">
        <v>69</v>
      </c>
      <c r="C8" s="12" t="s">
        <v>70</v>
      </c>
      <c r="D8" s="12" t="s">
        <v>71</v>
      </c>
      <c r="E8" s="12" t="s">
        <v>72</v>
      </c>
      <c r="F8" s="12" t="s">
        <v>72</v>
      </c>
    </row>
    <row r="9" customFormat="false" ht="12.8" hidden="false" customHeight="false" outlineLevel="0" collapsed="false">
      <c r="A9" s="12" t="n">
        <v>6</v>
      </c>
      <c r="B9" s="12" t="s">
        <v>73</v>
      </c>
      <c r="C9" s="12" t="s">
        <v>74</v>
      </c>
      <c r="D9" s="12" t="s">
        <v>75</v>
      </c>
      <c r="E9" s="12" t="s">
        <v>76</v>
      </c>
      <c r="F9" s="12" t="s">
        <v>76</v>
      </c>
    </row>
    <row r="10" customFormat="false" ht="12.8" hidden="false" customHeight="false" outlineLevel="0" collapsed="false">
      <c r="A10" s="12" t="n">
        <v>7</v>
      </c>
      <c r="B10" s="12" t="s">
        <v>77</v>
      </c>
      <c r="C10" s="12" t="s">
        <v>78</v>
      </c>
      <c r="D10" s="12" t="s">
        <v>79</v>
      </c>
      <c r="E10" s="12" t="s">
        <v>80</v>
      </c>
      <c r="F10" s="12" t="s">
        <v>81</v>
      </c>
    </row>
    <row r="11" customFormat="false" ht="12.8" hidden="false" customHeight="false" outlineLevel="0" collapsed="false">
      <c r="A11" s="12" t="n">
        <v>8</v>
      </c>
      <c r="B11" s="12" t="s">
        <v>82</v>
      </c>
      <c r="C11" s="12" t="s">
        <v>83</v>
      </c>
      <c r="D11" s="12" t="s">
        <v>84</v>
      </c>
      <c r="E11" s="12" t="s">
        <v>85</v>
      </c>
      <c r="F11" s="12" t="s">
        <v>86</v>
      </c>
    </row>
    <row r="12" customFormat="false" ht="12.8" hidden="false" customHeight="false" outlineLevel="0" collapsed="false">
      <c r="A12" s="12" t="n">
        <v>9</v>
      </c>
      <c r="B12" s="12" t="s">
        <v>87</v>
      </c>
      <c r="C12" s="12" t="s">
        <v>83</v>
      </c>
      <c r="D12" s="12" t="s">
        <v>88</v>
      </c>
      <c r="E12" s="12" t="s">
        <v>89</v>
      </c>
      <c r="F12" s="12" t="s">
        <v>89</v>
      </c>
    </row>
    <row r="13" customFormat="false" ht="12.8" hidden="false" customHeight="false" outlineLevel="0" collapsed="false">
      <c r="A13" s="12" t="n">
        <v>10</v>
      </c>
      <c r="B13" s="12" t="s">
        <v>90</v>
      </c>
      <c r="C13" s="12" t="s">
        <v>83</v>
      </c>
      <c r="D13" s="12" t="s">
        <v>88</v>
      </c>
      <c r="E13" s="12" t="s">
        <v>89</v>
      </c>
      <c r="F13" s="12" t="s">
        <v>89</v>
      </c>
    </row>
    <row r="14" customFormat="false" ht="12.8" hidden="false" customHeight="false" outlineLevel="0" collapsed="false">
      <c r="A14" s="12" t="n">
        <v>11</v>
      </c>
      <c r="B14" s="12" t="s">
        <v>91</v>
      </c>
      <c r="C14" s="12" t="s">
        <v>92</v>
      </c>
      <c r="D14" s="12" t="s">
        <v>93</v>
      </c>
      <c r="E14" s="12" t="s">
        <v>94</v>
      </c>
      <c r="F14" s="12" t="s">
        <v>95</v>
      </c>
    </row>
    <row r="15" customFormat="false" ht="12.8" hidden="false" customHeight="false" outlineLevel="0" collapsed="false">
      <c r="A15" s="12" t="n">
        <v>12</v>
      </c>
      <c r="B15" s="12" t="s">
        <v>96</v>
      </c>
      <c r="C15" s="12" t="s">
        <v>97</v>
      </c>
      <c r="D15" s="12" t="s">
        <v>98</v>
      </c>
      <c r="E15" s="12" t="s">
        <v>99</v>
      </c>
      <c r="F15" s="12" t="s">
        <v>100</v>
      </c>
    </row>
    <row r="16" customFormat="false" ht="12.8" hidden="false" customHeight="false" outlineLevel="0" collapsed="false">
      <c r="A16" s="12" t="n">
        <v>13</v>
      </c>
      <c r="B16" s="12" t="s">
        <v>101</v>
      </c>
      <c r="C16" s="12" t="s">
        <v>102</v>
      </c>
      <c r="D16" s="12" t="s">
        <v>103</v>
      </c>
      <c r="E16" s="12" t="s">
        <v>89</v>
      </c>
      <c r="F16" s="12" t="s">
        <v>89</v>
      </c>
    </row>
    <row r="17" customFormat="false" ht="12.8" hidden="false" customHeight="false" outlineLevel="0" collapsed="false">
      <c r="A17" s="12" t="n">
        <v>14</v>
      </c>
      <c r="B17" s="12" t="s">
        <v>104</v>
      </c>
      <c r="C17" s="12" t="s">
        <v>105</v>
      </c>
      <c r="D17" s="12" t="s">
        <v>106</v>
      </c>
      <c r="E17" s="12" t="s">
        <v>89</v>
      </c>
      <c r="F17" s="12" t="s">
        <v>89</v>
      </c>
    </row>
    <row r="18" customFormat="false" ht="12.8" hidden="false" customHeight="false" outlineLevel="0" collapsed="false">
      <c r="A18" s="12" t="n">
        <v>15</v>
      </c>
      <c r="B18" s="12" t="s">
        <v>107</v>
      </c>
      <c r="C18" s="12" t="s">
        <v>108</v>
      </c>
      <c r="D18" s="12" t="s">
        <v>109</v>
      </c>
      <c r="E18" s="12" t="s">
        <v>110</v>
      </c>
      <c r="F18" s="12" t="s">
        <v>110</v>
      </c>
    </row>
    <row r="19" customFormat="false" ht="12.8" hidden="false" customHeight="false" outlineLevel="0" collapsed="false">
      <c r="A19" s="12" t="n">
        <v>16</v>
      </c>
      <c r="B19" s="12" t="s">
        <v>111</v>
      </c>
      <c r="C19" s="12" t="s">
        <v>112</v>
      </c>
      <c r="D19" s="12" t="s">
        <v>113</v>
      </c>
      <c r="E19" s="12" t="s">
        <v>89</v>
      </c>
      <c r="F19" s="12" t="s">
        <v>89</v>
      </c>
    </row>
    <row r="20" customFormat="false" ht="12.8" hidden="false" customHeight="false" outlineLevel="0" collapsed="false">
      <c r="A20" s="12" t="n">
        <v>17</v>
      </c>
      <c r="B20" s="12" t="s">
        <v>114</v>
      </c>
      <c r="C20" s="12" t="s">
        <v>112</v>
      </c>
      <c r="D20" s="12" t="s">
        <v>115</v>
      </c>
      <c r="E20" s="12" t="s">
        <v>89</v>
      </c>
      <c r="F20" s="12" t="s">
        <v>89</v>
      </c>
    </row>
    <row r="21" customFormat="false" ht="12.8" hidden="false" customHeight="false" outlineLevel="0" collapsed="false">
      <c r="A21" s="12" t="n">
        <v>18</v>
      </c>
      <c r="B21" s="12" t="s">
        <v>116</v>
      </c>
      <c r="C21" s="12" t="s">
        <v>112</v>
      </c>
      <c r="D21" s="12" t="s">
        <v>115</v>
      </c>
      <c r="E21" s="12" t="s">
        <v>89</v>
      </c>
      <c r="F21" s="12" t="s">
        <v>89</v>
      </c>
    </row>
    <row r="22" customFormat="false" ht="12.8" hidden="false" customHeight="false" outlineLevel="0" collapsed="false">
      <c r="A22" s="12" t="n">
        <v>19</v>
      </c>
      <c r="B22" s="12" t="s">
        <v>117</v>
      </c>
      <c r="C22" s="12" t="s">
        <v>118</v>
      </c>
      <c r="D22" s="12" t="s">
        <v>119</v>
      </c>
      <c r="E22" s="12" t="s">
        <v>120</v>
      </c>
      <c r="F22" s="12" t="s">
        <v>121</v>
      </c>
    </row>
    <row r="23" customFormat="false" ht="12.8" hidden="false" customHeight="false" outlineLevel="0" collapsed="false">
      <c r="A23" s="12" t="n">
        <v>20</v>
      </c>
      <c r="B23" s="12" t="s">
        <v>122</v>
      </c>
      <c r="C23" s="12" t="s">
        <v>123</v>
      </c>
      <c r="D23" s="12" t="s">
        <v>124</v>
      </c>
      <c r="E23" s="12" t="s">
        <v>89</v>
      </c>
      <c r="F23" s="12" t="s">
        <v>89</v>
      </c>
    </row>
    <row r="24" customFormat="false" ht="12.8" hidden="false" customHeight="false" outlineLevel="0" collapsed="false">
      <c r="A24" s="12" t="n">
        <v>21</v>
      </c>
      <c r="B24" s="12" t="s">
        <v>125</v>
      </c>
      <c r="C24" s="12" t="s">
        <v>126</v>
      </c>
      <c r="D24" s="12" t="s">
        <v>124</v>
      </c>
      <c r="E24" s="12" t="s">
        <v>89</v>
      </c>
      <c r="F24" s="12" t="s">
        <v>89</v>
      </c>
    </row>
    <row r="25" customFormat="false" ht="12.8" hidden="false" customHeight="false" outlineLevel="0" collapsed="false">
      <c r="A25" s="12" t="n">
        <v>22</v>
      </c>
      <c r="B25" s="12" t="s">
        <v>127</v>
      </c>
      <c r="C25" s="12" t="s">
        <v>128</v>
      </c>
      <c r="D25" s="12" t="s">
        <v>124</v>
      </c>
      <c r="E25" s="12" t="s">
        <v>89</v>
      </c>
      <c r="F25" s="12" t="s">
        <v>89</v>
      </c>
    </row>
    <row r="26" customFormat="false" ht="12.8" hidden="false" customHeight="false" outlineLevel="0" collapsed="false">
      <c r="A26" s="12" t="n">
        <v>23</v>
      </c>
      <c r="B26" s="12" t="s">
        <v>129</v>
      </c>
      <c r="C26" s="12" t="s">
        <v>130</v>
      </c>
      <c r="D26" s="12" t="s">
        <v>131</v>
      </c>
      <c r="E26" s="12" t="s">
        <v>132</v>
      </c>
      <c r="F26" s="12" t="s">
        <v>132</v>
      </c>
    </row>
    <row r="27" customFormat="false" ht="12.8" hidden="false" customHeight="false" outlineLevel="0" collapsed="false">
      <c r="A27" s="12" t="n">
        <v>24</v>
      </c>
      <c r="B27" s="12" t="s">
        <v>133</v>
      </c>
      <c r="C27" s="12" t="s">
        <v>134</v>
      </c>
      <c r="D27" s="12" t="s">
        <v>135</v>
      </c>
      <c r="E27" s="12" t="s">
        <v>136</v>
      </c>
      <c r="F27" s="12" t="s">
        <v>136</v>
      </c>
    </row>
    <row r="28" customFormat="false" ht="12.8" hidden="false" customHeight="false" outlineLevel="0" collapsed="false">
      <c r="A28" s="12" t="n">
        <v>25</v>
      </c>
      <c r="B28" s="12" t="s">
        <v>137</v>
      </c>
      <c r="C28" s="12" t="s">
        <v>138</v>
      </c>
      <c r="D28" s="12" t="s">
        <v>139</v>
      </c>
      <c r="E28" s="12" t="s">
        <v>140</v>
      </c>
      <c r="F28" s="12" t="s">
        <v>140</v>
      </c>
    </row>
    <row r="29" customFormat="false" ht="12.8" hidden="false" customHeight="false" outlineLevel="0" collapsed="false">
      <c r="A29" s="12" t="n">
        <v>26</v>
      </c>
      <c r="B29" s="12" t="s">
        <v>141</v>
      </c>
      <c r="C29" s="12" t="s">
        <v>142</v>
      </c>
      <c r="D29" s="12" t="s">
        <v>143</v>
      </c>
      <c r="E29" s="12" t="s">
        <v>89</v>
      </c>
      <c r="F29" s="12" t="s">
        <v>89</v>
      </c>
    </row>
    <row r="30" customFormat="false" ht="12.8" hidden="false" customHeight="false" outlineLevel="0" collapsed="false">
      <c r="A30" s="12" t="n">
        <v>27</v>
      </c>
      <c r="B30" s="12" t="s">
        <v>144</v>
      </c>
      <c r="C30" s="12" t="s">
        <v>145</v>
      </c>
      <c r="D30" s="12" t="s">
        <v>146</v>
      </c>
      <c r="E30" s="12" t="s">
        <v>147</v>
      </c>
      <c r="F30" s="12" t="s">
        <v>147</v>
      </c>
    </row>
    <row r="31" customFormat="false" ht="12.8" hidden="false" customHeight="false" outlineLevel="0" collapsed="false">
      <c r="A31" s="12" t="n">
        <v>28</v>
      </c>
      <c r="B31" s="12" t="s">
        <v>148</v>
      </c>
      <c r="C31" s="12" t="s">
        <v>149</v>
      </c>
      <c r="D31" s="12" t="s">
        <v>124</v>
      </c>
      <c r="E31" s="12" t="s">
        <v>89</v>
      </c>
      <c r="F31" s="12" t="s">
        <v>89</v>
      </c>
    </row>
    <row r="32" customFormat="false" ht="12.8" hidden="false" customHeight="false" outlineLevel="0" collapsed="false">
      <c r="A32" s="12" t="n">
        <v>29</v>
      </c>
      <c r="B32" s="12" t="s">
        <v>150</v>
      </c>
      <c r="C32" s="12" t="s">
        <v>151</v>
      </c>
      <c r="D32" s="12" t="s">
        <v>152</v>
      </c>
      <c r="E32" s="12" t="s">
        <v>153</v>
      </c>
      <c r="F32" s="12" t="s">
        <v>154</v>
      </c>
    </row>
    <row r="33" customFormat="false" ht="12.8" hidden="false" customHeight="false" outlineLevel="0" collapsed="false">
      <c r="A33" s="12" t="n">
        <v>30</v>
      </c>
      <c r="B33" s="12" t="s">
        <v>155</v>
      </c>
      <c r="C33" s="12" t="s">
        <v>156</v>
      </c>
      <c r="D33" s="12" t="s">
        <v>124</v>
      </c>
      <c r="E33" s="12" t="s">
        <v>89</v>
      </c>
      <c r="F33" s="12" t="s">
        <v>89</v>
      </c>
    </row>
    <row r="34" customFormat="false" ht="12.8" hidden="false" customHeight="false" outlineLevel="0" collapsed="false">
      <c r="A34" s="12" t="n">
        <v>31</v>
      </c>
      <c r="B34" s="12" t="s">
        <v>157</v>
      </c>
      <c r="C34" s="12" t="s">
        <v>158</v>
      </c>
      <c r="D34" s="12" t="s">
        <v>159</v>
      </c>
      <c r="E34" s="12" t="s">
        <v>160</v>
      </c>
      <c r="F34" s="12" t="s">
        <v>161</v>
      </c>
    </row>
    <row r="35" customFormat="false" ht="12.8" hidden="false" customHeight="false" outlineLevel="0" collapsed="false">
      <c r="A35" s="12" t="n">
        <v>32</v>
      </c>
      <c r="B35" s="12" t="s">
        <v>162</v>
      </c>
      <c r="C35" s="12" t="s">
        <v>163</v>
      </c>
      <c r="D35" s="12" t="s">
        <v>164</v>
      </c>
      <c r="E35" s="12" t="s">
        <v>165</v>
      </c>
      <c r="F35" s="12" t="s">
        <v>166</v>
      </c>
    </row>
    <row r="36" customFormat="false" ht="12.8" hidden="false" customHeight="false" outlineLevel="0" collapsed="false">
      <c r="A36" s="12" t="n">
        <v>33</v>
      </c>
      <c r="B36" s="12" t="s">
        <v>167</v>
      </c>
      <c r="C36" s="12" t="s">
        <v>168</v>
      </c>
      <c r="D36" s="12" t="s">
        <v>169</v>
      </c>
      <c r="E36" s="12" t="s">
        <v>170</v>
      </c>
      <c r="F36" s="12" t="s">
        <v>171</v>
      </c>
    </row>
    <row r="37" customFormat="false" ht="12.8" hidden="false" customHeight="false" outlineLevel="0" collapsed="false">
      <c r="A37" s="12" t="n">
        <v>34</v>
      </c>
      <c r="B37" s="12" t="s">
        <v>172</v>
      </c>
      <c r="C37" s="12" t="s">
        <v>173</v>
      </c>
      <c r="D37" s="12" t="s">
        <v>174</v>
      </c>
      <c r="E37" s="12" t="s">
        <v>175</v>
      </c>
      <c r="F37" s="12" t="s">
        <v>176</v>
      </c>
    </row>
    <row r="38" customFormat="false" ht="12.8" hidden="false" customHeight="false" outlineLevel="0" collapsed="false">
      <c r="A38" s="12" t="n">
        <v>35</v>
      </c>
      <c r="B38" s="12" t="s">
        <v>177</v>
      </c>
      <c r="C38" s="12" t="s">
        <v>178</v>
      </c>
      <c r="D38" s="12" t="s">
        <v>179</v>
      </c>
      <c r="E38" s="12" t="s">
        <v>180</v>
      </c>
      <c r="F38" s="12" t="s">
        <v>181</v>
      </c>
    </row>
    <row r="39" customFormat="false" ht="12.8" hidden="false" customHeight="false" outlineLevel="0" collapsed="false">
      <c r="A39" s="12" t="n">
        <v>36</v>
      </c>
      <c r="B39" s="12" t="s">
        <v>182</v>
      </c>
      <c r="C39" s="12" t="s">
        <v>183</v>
      </c>
      <c r="D39" s="12" t="s">
        <v>184</v>
      </c>
      <c r="E39" s="12" t="s">
        <v>89</v>
      </c>
      <c r="F39" s="12" t="s">
        <v>185</v>
      </c>
    </row>
    <row r="40" customFormat="false" ht="12.8" hidden="false" customHeight="false" outlineLevel="0" collapsed="false">
      <c r="A40" s="12" t="n">
        <v>37</v>
      </c>
      <c r="B40" s="12" t="s">
        <v>186</v>
      </c>
      <c r="C40" s="12" t="s">
        <v>187</v>
      </c>
      <c r="D40" s="12" t="s">
        <v>188</v>
      </c>
      <c r="E40" s="12" t="s">
        <v>89</v>
      </c>
      <c r="F40" s="12" t="s">
        <v>171</v>
      </c>
    </row>
    <row r="41" customFormat="false" ht="12.8" hidden="false" customHeight="false" outlineLevel="0" collapsed="false">
      <c r="A41" s="12" t="n">
        <v>38</v>
      </c>
      <c r="B41" s="12" t="s">
        <v>189</v>
      </c>
      <c r="C41" s="12" t="s">
        <v>190</v>
      </c>
      <c r="D41" s="12" t="s">
        <v>191</v>
      </c>
      <c r="E41" s="12" t="s">
        <v>192</v>
      </c>
      <c r="F41" s="12"/>
    </row>
    <row r="42" customFormat="false" ht="12.8" hidden="false" customHeight="false" outlineLevel="0" collapsed="false">
      <c r="A42" s="12" t="n">
        <v>39</v>
      </c>
      <c r="B42" s="12" t="s">
        <v>193</v>
      </c>
      <c r="C42" s="12" t="s">
        <v>194</v>
      </c>
      <c r="D42" s="12" t="s">
        <v>195</v>
      </c>
      <c r="E42" s="12" t="s">
        <v>196</v>
      </c>
      <c r="F42" s="12"/>
    </row>
    <row r="43" customFormat="false" ht="12.8" hidden="false" customHeight="false" outlineLevel="0" collapsed="false">
      <c r="A43" s="12" t="n">
        <v>40</v>
      </c>
      <c r="B43" s="12" t="s">
        <v>197</v>
      </c>
      <c r="C43" s="12" t="s">
        <v>198</v>
      </c>
      <c r="D43" s="12" t="s">
        <v>199</v>
      </c>
      <c r="E43" s="12" t="s">
        <v>200</v>
      </c>
      <c r="F43" s="12"/>
    </row>
    <row r="44" customFormat="false" ht="12.8" hidden="false" customHeight="false" outlineLevel="0" collapsed="false">
      <c r="A44" s="12" t="n">
        <v>41</v>
      </c>
      <c r="B44" s="12" t="s">
        <v>201</v>
      </c>
      <c r="C44" s="12" t="s">
        <v>202</v>
      </c>
      <c r="D44" s="12" t="s">
        <v>203</v>
      </c>
      <c r="E44" s="12" t="s">
        <v>204</v>
      </c>
      <c r="F44" s="12"/>
    </row>
    <row r="45" customFormat="false" ht="12.8" hidden="false" customHeight="false" outlineLevel="0" collapsed="false">
      <c r="C45" s="1"/>
      <c r="D45" s="1"/>
      <c r="E45" s="1"/>
    </row>
    <row r="46" customFormat="false" ht="12.8" hidden="false" customHeight="false" outlineLevel="0" collapsed="false">
      <c r="A46" s="1" t="s">
        <v>205</v>
      </c>
      <c r="B46" s="2" t="s">
        <v>206</v>
      </c>
      <c r="C46" s="1"/>
      <c r="D46" s="1"/>
      <c r="E46" s="1"/>
    </row>
    <row r="47" customFormat="false" ht="12.8" hidden="false" customHeight="false" outlineLevel="0" collapsed="false">
      <c r="A47" s="11" t="s">
        <v>207</v>
      </c>
      <c r="B47" s="11" t="s">
        <v>208</v>
      </c>
      <c r="C47" s="11" t="s">
        <v>209</v>
      </c>
      <c r="D47" s="11" t="s">
        <v>210</v>
      </c>
      <c r="E47" s="11" t="s">
        <v>211</v>
      </c>
    </row>
    <row r="48" customFormat="false" ht="12.8" hidden="false" customHeight="false" outlineLevel="0" collapsed="false">
      <c r="A48" s="12" t="n">
        <v>1</v>
      </c>
      <c r="B48" s="12" t="s">
        <v>212</v>
      </c>
      <c r="C48" s="12" t="n">
        <v>5193088</v>
      </c>
      <c r="D48" s="12" t="s">
        <v>213</v>
      </c>
      <c r="E48" s="12" t="s">
        <v>214</v>
      </c>
    </row>
    <row r="49" customFormat="false" ht="12.8" hidden="false" customHeight="false" outlineLevel="0" collapsed="false">
      <c r="A49" s="12" t="n">
        <v>2</v>
      </c>
      <c r="B49" s="12" t="s">
        <v>215</v>
      </c>
      <c r="C49" s="12" t="n">
        <v>154000</v>
      </c>
      <c r="D49" s="12" t="s">
        <v>216</v>
      </c>
      <c r="E49" s="12" t="s">
        <v>217</v>
      </c>
    </row>
    <row r="50" customFormat="false" ht="12.8" hidden="false" customHeight="false" outlineLevel="0" collapsed="false">
      <c r="A50" s="12" t="n">
        <v>3</v>
      </c>
      <c r="B50" s="12" t="s">
        <v>218</v>
      </c>
      <c r="C50" s="12" t="n">
        <v>77000</v>
      </c>
      <c r="D50" s="12" t="s">
        <v>219</v>
      </c>
      <c r="E50" s="12" t="s">
        <v>220</v>
      </c>
    </row>
    <row r="51" customFormat="false" ht="12.8" hidden="false" customHeight="false" outlineLevel="0" collapsed="false">
      <c r="A51" s="12" t="n">
        <v>4</v>
      </c>
      <c r="B51" s="12" t="s">
        <v>221</v>
      </c>
      <c r="C51" s="12" t="n">
        <v>4962088</v>
      </c>
      <c r="D51" s="12" t="s">
        <v>222</v>
      </c>
      <c r="E51" s="12" t="s">
        <v>223</v>
      </c>
    </row>
    <row r="52" customFormat="false" ht="12.8" hidden="false" customHeight="false" outlineLevel="0" collapsed="false">
      <c r="A52" s="12" t="n">
        <v>5</v>
      </c>
      <c r="B52" s="12" t="s">
        <v>224</v>
      </c>
      <c r="C52" s="12" t="n">
        <v>0</v>
      </c>
      <c r="D52" s="12" t="s">
        <v>225</v>
      </c>
      <c r="E52" s="12" t="s">
        <v>226</v>
      </c>
    </row>
    <row r="53" customFormat="false" ht="12.8" hidden="false" customHeight="false" outlineLevel="0" collapsed="false">
      <c r="A53" s="12" t="n">
        <v>6</v>
      </c>
      <c r="B53" s="12" t="s">
        <v>227</v>
      </c>
      <c r="C53" s="12" t="n">
        <v>11925</v>
      </c>
      <c r="D53" s="12" t="s">
        <v>228</v>
      </c>
      <c r="E53" s="12" t="s">
        <v>229</v>
      </c>
    </row>
    <row r="54" customFormat="false" ht="12.8" hidden="false" customHeight="false" outlineLevel="0" collapsed="false">
      <c r="A54" s="12" t="n">
        <v>7</v>
      </c>
      <c r="B54" s="12" t="s">
        <v>230</v>
      </c>
      <c r="C54" s="12" t="n">
        <v>11926</v>
      </c>
      <c r="D54" s="12" t="s">
        <v>231</v>
      </c>
      <c r="E54" s="12" t="s">
        <v>229</v>
      </c>
    </row>
    <row r="55" customFormat="false" ht="12.8" hidden="false" customHeight="false" outlineLevel="0" collapsed="false">
      <c r="A55" s="12" t="n">
        <v>8</v>
      </c>
      <c r="B55" s="12" t="s">
        <v>232</v>
      </c>
      <c r="C55" s="12" t="n">
        <v>48475</v>
      </c>
      <c r="D55" s="12" t="s">
        <v>233</v>
      </c>
      <c r="E55" s="12" t="s">
        <v>229</v>
      </c>
    </row>
    <row r="56" customFormat="false" ht="12.8" hidden="false" customHeight="false" outlineLevel="0" collapsed="false">
      <c r="A56" s="12" t="n">
        <v>9</v>
      </c>
      <c r="B56" s="12" t="s">
        <v>234</v>
      </c>
      <c r="C56" s="12" t="n">
        <v>48476</v>
      </c>
      <c r="D56" s="12" t="s">
        <v>235</v>
      </c>
      <c r="E56" s="12" t="s">
        <v>229</v>
      </c>
    </row>
    <row r="57" customFormat="false" ht="12.8" hidden="false" customHeight="false" outlineLevel="0" collapsed="false">
      <c r="A57" s="12" t="n">
        <v>10</v>
      </c>
      <c r="B57" s="12" t="s">
        <v>236</v>
      </c>
      <c r="C57" s="12" t="n">
        <v>103350</v>
      </c>
      <c r="D57" s="12" t="s">
        <v>237</v>
      </c>
      <c r="E57" s="12" t="s">
        <v>229</v>
      </c>
    </row>
    <row r="58" customFormat="false" ht="12.8" hidden="false" customHeight="false" outlineLevel="0" collapsed="false">
      <c r="A58" s="12" t="n">
        <v>11</v>
      </c>
      <c r="B58" s="12" t="s">
        <v>238</v>
      </c>
      <c r="C58" s="12" t="n">
        <v>103351</v>
      </c>
      <c r="D58" s="12" t="s">
        <v>239</v>
      </c>
      <c r="E58" s="12" t="s">
        <v>229</v>
      </c>
    </row>
    <row r="59" customFormat="false" ht="12.8" hidden="false" customHeight="false" outlineLevel="0" collapsed="false">
      <c r="A59" s="12" t="n">
        <v>12</v>
      </c>
      <c r="B59" s="12" t="s">
        <v>240</v>
      </c>
      <c r="C59" s="12" t="n">
        <v>197300</v>
      </c>
      <c r="D59" s="12" t="s">
        <v>241</v>
      </c>
      <c r="E59" s="12" t="s">
        <v>229</v>
      </c>
    </row>
    <row r="60" customFormat="false" ht="12.8" hidden="false" customHeight="false" outlineLevel="0" collapsed="false">
      <c r="A60" s="12" t="n">
        <v>13</v>
      </c>
      <c r="B60" s="12" t="s">
        <v>242</v>
      </c>
      <c r="C60" s="12" t="n">
        <v>197301</v>
      </c>
      <c r="D60" s="12" t="s">
        <v>243</v>
      </c>
      <c r="E60" s="12" t="s">
        <v>229</v>
      </c>
    </row>
    <row r="61" customFormat="false" ht="12.8" hidden="false" customHeight="false" outlineLevel="0" collapsed="false">
      <c r="A61" s="12" t="n">
        <v>14</v>
      </c>
      <c r="B61" s="12" t="s">
        <v>244</v>
      </c>
      <c r="C61" s="12" t="n">
        <v>250525</v>
      </c>
      <c r="D61" s="12" t="s">
        <v>245</v>
      </c>
      <c r="E61" s="12" t="s">
        <v>229</v>
      </c>
    </row>
    <row r="62" customFormat="false" ht="12.8" hidden="false" customHeight="false" outlineLevel="0" collapsed="false">
      <c r="A62" s="12" t="n">
        <v>15</v>
      </c>
      <c r="B62" s="12" t="s">
        <v>246</v>
      </c>
      <c r="C62" s="12" t="n">
        <v>250526</v>
      </c>
      <c r="D62" s="12" t="s">
        <v>247</v>
      </c>
      <c r="E62" s="12" t="s">
        <v>229</v>
      </c>
    </row>
    <row r="63" customFormat="false" ht="12.8" hidden="false" customHeight="false" outlineLevel="0" collapsed="false">
      <c r="A63" s="12" t="n">
        <v>16</v>
      </c>
      <c r="B63" s="12" t="s">
        <v>248</v>
      </c>
      <c r="C63" s="12" t="n">
        <v>626350</v>
      </c>
      <c r="D63" s="12" t="s">
        <v>249</v>
      </c>
      <c r="E63" s="12" t="s">
        <v>229</v>
      </c>
    </row>
    <row r="64" customFormat="false" ht="12.8" hidden="false" customHeight="false" outlineLevel="0" collapsed="false">
      <c r="A64" s="12" t="n">
        <v>17</v>
      </c>
      <c r="B64" s="12" t="s">
        <v>250</v>
      </c>
      <c r="C64" s="12" t="n">
        <v>626351</v>
      </c>
      <c r="D64" s="12" t="s">
        <v>251</v>
      </c>
      <c r="E64" s="12" t="s">
        <v>229</v>
      </c>
    </row>
    <row r="65" customFormat="false" ht="12.8" hidden="false" customHeight="false" outlineLevel="0" collapsed="false">
      <c r="A65" s="12" t="n">
        <v>18</v>
      </c>
      <c r="B65" s="12" t="s">
        <v>252</v>
      </c>
      <c r="C65" s="12" t="n">
        <v>999999999999</v>
      </c>
      <c r="D65" s="12" t="s">
        <v>253</v>
      </c>
      <c r="E65" s="12" t="s">
        <v>229</v>
      </c>
    </row>
    <row r="66" customFormat="false" ht="12.8" hidden="false" customHeight="false" outlineLevel="0" collapsed="false">
      <c r="A66" s="12" t="n">
        <v>19</v>
      </c>
      <c r="B66" s="12" t="s">
        <v>254</v>
      </c>
      <c r="C66" s="12" t="n">
        <v>0</v>
      </c>
      <c r="D66" s="12" t="s">
        <v>255</v>
      </c>
      <c r="E66" s="12" t="s">
        <v>229</v>
      </c>
    </row>
    <row r="67" customFormat="false" ht="12.8" hidden="false" customHeight="false" outlineLevel="0" collapsed="false">
      <c r="A67" s="12" t="n">
        <v>20</v>
      </c>
      <c r="B67" s="12" t="s">
        <v>256</v>
      </c>
      <c r="C67" s="12" t="n">
        <v>23850</v>
      </c>
      <c r="D67" s="12" t="s">
        <v>257</v>
      </c>
      <c r="E67" s="12" t="s">
        <v>229</v>
      </c>
    </row>
    <row r="68" customFormat="false" ht="12.8" hidden="false" customHeight="false" outlineLevel="0" collapsed="false">
      <c r="A68" s="12" t="n">
        <v>21</v>
      </c>
      <c r="B68" s="12" t="s">
        <v>258</v>
      </c>
      <c r="C68" s="12" t="n">
        <v>23851</v>
      </c>
      <c r="D68" s="12" t="s">
        <v>259</v>
      </c>
      <c r="E68" s="12" t="s">
        <v>229</v>
      </c>
    </row>
    <row r="69" customFormat="false" ht="12.8" hidden="false" customHeight="false" outlineLevel="0" collapsed="false">
      <c r="A69" s="12" t="n">
        <v>22</v>
      </c>
      <c r="B69" s="12" t="s">
        <v>260</v>
      </c>
      <c r="C69" s="12" t="n">
        <v>96950</v>
      </c>
      <c r="D69" s="12" t="s">
        <v>261</v>
      </c>
      <c r="E69" s="12" t="s">
        <v>229</v>
      </c>
    </row>
    <row r="70" customFormat="false" ht="12.8" hidden="false" customHeight="false" outlineLevel="0" collapsed="false">
      <c r="A70" s="12" t="n">
        <v>23</v>
      </c>
      <c r="B70" s="12" t="s">
        <v>262</v>
      </c>
      <c r="C70" s="12" t="n">
        <v>96951</v>
      </c>
      <c r="D70" s="12" t="s">
        <v>263</v>
      </c>
      <c r="E70" s="12" t="s">
        <v>229</v>
      </c>
    </row>
    <row r="71" customFormat="false" ht="12.8" hidden="false" customHeight="false" outlineLevel="0" collapsed="false">
      <c r="A71" s="12" t="n">
        <v>24</v>
      </c>
      <c r="B71" s="12" t="s">
        <v>264</v>
      </c>
      <c r="C71" s="12" t="n">
        <v>206700</v>
      </c>
      <c r="D71" s="12" t="s">
        <v>265</v>
      </c>
      <c r="E71" s="12" t="s">
        <v>229</v>
      </c>
    </row>
    <row r="72" customFormat="false" ht="12.8" hidden="false" customHeight="false" outlineLevel="0" collapsed="false">
      <c r="A72" s="12" t="n">
        <v>25</v>
      </c>
      <c r="B72" s="12" t="s">
        <v>266</v>
      </c>
      <c r="C72" s="12" t="n">
        <v>206701</v>
      </c>
      <c r="D72" s="12" t="s">
        <v>267</v>
      </c>
      <c r="E72" s="12" t="s">
        <v>229</v>
      </c>
    </row>
    <row r="73" customFormat="false" ht="12.8" hidden="false" customHeight="false" outlineLevel="0" collapsed="false">
      <c r="A73" s="12" t="n">
        <v>26</v>
      </c>
      <c r="B73" s="12" t="s">
        <v>268</v>
      </c>
      <c r="C73" s="12" t="n">
        <v>394600</v>
      </c>
      <c r="D73" s="12" t="s">
        <v>269</v>
      </c>
      <c r="E73" s="12" t="s">
        <v>229</v>
      </c>
    </row>
    <row r="74" customFormat="false" ht="12.8" hidden="false" customHeight="false" outlineLevel="0" collapsed="false">
      <c r="A74" s="12" t="n">
        <v>27</v>
      </c>
      <c r="B74" s="12" t="s">
        <v>270</v>
      </c>
      <c r="C74" s="12" t="n">
        <v>394601</v>
      </c>
      <c r="D74" s="12" t="s">
        <v>271</v>
      </c>
      <c r="E74" s="12" t="s">
        <v>229</v>
      </c>
    </row>
    <row r="75" customFormat="false" ht="12.8" hidden="false" customHeight="false" outlineLevel="0" collapsed="false">
      <c r="A75" s="12" t="n">
        <v>28</v>
      </c>
      <c r="B75" s="12" t="s">
        <v>272</v>
      </c>
      <c r="C75" s="12" t="n">
        <v>501050</v>
      </c>
      <c r="D75" s="12" t="s">
        <v>273</v>
      </c>
      <c r="E75" s="12" t="s">
        <v>229</v>
      </c>
    </row>
    <row r="76" customFormat="false" ht="12.8" hidden="false" customHeight="false" outlineLevel="0" collapsed="false">
      <c r="A76" s="12" t="n">
        <v>29</v>
      </c>
      <c r="B76" s="12" t="s">
        <v>274</v>
      </c>
      <c r="C76" s="12" t="n">
        <v>501051</v>
      </c>
      <c r="D76" s="12" t="s">
        <v>275</v>
      </c>
      <c r="E76" s="12" t="s">
        <v>229</v>
      </c>
    </row>
    <row r="77" customFormat="false" ht="12.8" hidden="false" customHeight="false" outlineLevel="0" collapsed="false">
      <c r="A77" s="12" t="n">
        <v>30</v>
      </c>
      <c r="B77" s="12" t="s">
        <v>276</v>
      </c>
      <c r="C77" s="12" t="n">
        <v>751950</v>
      </c>
      <c r="D77" s="12" t="s">
        <v>277</v>
      </c>
      <c r="E77" s="12" t="s">
        <v>229</v>
      </c>
    </row>
    <row r="78" customFormat="false" ht="12.8" hidden="false" customHeight="false" outlineLevel="0" collapsed="false">
      <c r="A78" s="12" t="n">
        <v>31</v>
      </c>
      <c r="B78" s="12" t="s">
        <v>278</v>
      </c>
      <c r="C78" s="12" t="n">
        <v>751951</v>
      </c>
      <c r="D78" s="12" t="s">
        <v>279</v>
      </c>
      <c r="E78" s="12" t="s">
        <v>229</v>
      </c>
    </row>
    <row r="79" customFormat="false" ht="12.8" hidden="false" customHeight="false" outlineLevel="0" collapsed="false">
      <c r="A79" s="12" t="n">
        <v>32</v>
      </c>
      <c r="B79" s="12" t="s">
        <v>280</v>
      </c>
      <c r="C79" s="12" t="n">
        <v>999999999999</v>
      </c>
      <c r="D79" s="12" t="s">
        <v>281</v>
      </c>
      <c r="E79" s="12" t="s">
        <v>229</v>
      </c>
    </row>
    <row r="80" customFormat="false" ht="12.8" hidden="false" customHeight="false" outlineLevel="0" collapsed="false">
      <c r="A80" s="12" t="n">
        <v>33</v>
      </c>
      <c r="B80" s="12" t="s">
        <v>282</v>
      </c>
      <c r="C80" s="12" t="n">
        <v>0</v>
      </c>
      <c r="D80" s="12" t="s">
        <v>283</v>
      </c>
      <c r="E80" s="12" t="s">
        <v>229</v>
      </c>
    </row>
    <row r="81" customFormat="false" ht="12.8" hidden="false" customHeight="false" outlineLevel="0" collapsed="false">
      <c r="A81" s="12" t="n">
        <v>34</v>
      </c>
      <c r="B81" s="12" t="s">
        <v>284</v>
      </c>
      <c r="C81" s="12" t="n">
        <v>17050</v>
      </c>
      <c r="D81" s="12" t="s">
        <v>285</v>
      </c>
      <c r="E81" s="12" t="s">
        <v>229</v>
      </c>
    </row>
    <row r="82" customFormat="false" ht="12.8" hidden="false" customHeight="false" outlineLevel="0" collapsed="false">
      <c r="A82" s="12" t="n">
        <v>35</v>
      </c>
      <c r="B82" s="12" t="s">
        <v>286</v>
      </c>
      <c r="C82" s="12" t="n">
        <v>17051</v>
      </c>
      <c r="D82" s="12" t="s">
        <v>287</v>
      </c>
      <c r="E82" s="12" t="s">
        <v>229</v>
      </c>
    </row>
    <row r="83" customFormat="false" ht="12.8" hidden="false" customHeight="false" outlineLevel="0" collapsed="false">
      <c r="A83" s="12" t="n">
        <v>36</v>
      </c>
      <c r="B83" s="12" t="s">
        <v>288</v>
      </c>
      <c r="C83" s="12" t="n">
        <v>64650</v>
      </c>
      <c r="D83" s="12" t="s">
        <v>289</v>
      </c>
      <c r="E83" s="12" t="s">
        <v>229</v>
      </c>
    </row>
    <row r="84" customFormat="false" ht="12.8" hidden="false" customHeight="false" outlineLevel="0" collapsed="false">
      <c r="A84" s="12" t="n">
        <v>37</v>
      </c>
      <c r="B84" s="12" t="s">
        <v>290</v>
      </c>
      <c r="C84" s="12" t="n">
        <v>64651</v>
      </c>
      <c r="D84" s="12" t="s">
        <v>291</v>
      </c>
      <c r="E84" s="12" t="s">
        <v>229</v>
      </c>
    </row>
    <row r="85" customFormat="false" ht="12.8" hidden="false" customHeight="false" outlineLevel="0" collapsed="false">
      <c r="A85" s="12" t="n">
        <v>38</v>
      </c>
      <c r="B85" s="12" t="s">
        <v>292</v>
      </c>
      <c r="C85" s="12" t="n">
        <v>103350</v>
      </c>
      <c r="D85" s="12" t="s">
        <v>293</v>
      </c>
      <c r="E85" s="12" t="s">
        <v>229</v>
      </c>
    </row>
    <row r="86" customFormat="false" ht="12.8" hidden="false" customHeight="false" outlineLevel="0" collapsed="false">
      <c r="A86" s="12" t="n">
        <v>39</v>
      </c>
      <c r="B86" s="12" t="s">
        <v>294</v>
      </c>
      <c r="C86" s="12" t="n">
        <v>103351</v>
      </c>
      <c r="D86" s="12" t="s">
        <v>295</v>
      </c>
      <c r="E86" s="12" t="s">
        <v>229</v>
      </c>
    </row>
    <row r="87" customFormat="false" ht="12.8" hidden="false" customHeight="false" outlineLevel="0" collapsed="false">
      <c r="A87" s="12" t="n">
        <v>40</v>
      </c>
      <c r="B87" s="12" t="s">
        <v>296</v>
      </c>
      <c r="C87" s="12" t="n">
        <v>197300</v>
      </c>
      <c r="D87" s="12" t="s">
        <v>297</v>
      </c>
      <c r="E87" s="12" t="s">
        <v>229</v>
      </c>
    </row>
    <row r="88" customFormat="false" ht="12.8" hidden="false" customHeight="false" outlineLevel="0" collapsed="false">
      <c r="A88" s="12" t="n">
        <v>41</v>
      </c>
      <c r="B88" s="12" t="s">
        <v>298</v>
      </c>
      <c r="C88" s="12" t="n">
        <v>197301</v>
      </c>
      <c r="D88" s="12" t="s">
        <v>299</v>
      </c>
      <c r="E88" s="12" t="s">
        <v>229</v>
      </c>
    </row>
    <row r="89" customFormat="false" ht="12.8" hidden="false" customHeight="false" outlineLevel="0" collapsed="false">
      <c r="A89" s="12" t="n">
        <v>42</v>
      </c>
      <c r="B89" s="12" t="s">
        <v>300</v>
      </c>
      <c r="C89" s="12" t="n">
        <v>250525</v>
      </c>
      <c r="D89" s="12" t="s">
        <v>301</v>
      </c>
      <c r="E89" s="12" t="s">
        <v>229</v>
      </c>
    </row>
    <row r="90" customFormat="false" ht="12.8" hidden="false" customHeight="false" outlineLevel="0" collapsed="false">
      <c r="A90" s="12" t="n">
        <v>43</v>
      </c>
      <c r="B90" s="12" t="s">
        <v>302</v>
      </c>
      <c r="C90" s="12" t="n">
        <v>250526</v>
      </c>
      <c r="D90" s="12" t="s">
        <v>303</v>
      </c>
      <c r="E90" s="12" t="s">
        <v>229</v>
      </c>
    </row>
    <row r="91" customFormat="false" ht="12.8" hidden="false" customHeight="false" outlineLevel="0" collapsed="false">
      <c r="A91" s="12" t="n">
        <v>44</v>
      </c>
      <c r="B91" s="12" t="s">
        <v>304</v>
      </c>
      <c r="C91" s="12" t="n">
        <v>626350</v>
      </c>
      <c r="D91" s="12" t="s">
        <v>305</v>
      </c>
      <c r="E91" s="12" t="s">
        <v>229</v>
      </c>
    </row>
    <row r="92" customFormat="false" ht="12.8" hidden="false" customHeight="false" outlineLevel="0" collapsed="false">
      <c r="A92" s="12" t="n">
        <v>45</v>
      </c>
      <c r="B92" s="12" t="s">
        <v>306</v>
      </c>
      <c r="C92" s="12" t="n">
        <v>626351</v>
      </c>
      <c r="D92" s="12" t="s">
        <v>307</v>
      </c>
      <c r="E92" s="12" t="s">
        <v>229</v>
      </c>
    </row>
    <row r="93" customFormat="false" ht="12.8" hidden="false" customHeight="false" outlineLevel="0" collapsed="false">
      <c r="A93" s="12" t="n">
        <v>46</v>
      </c>
      <c r="B93" s="12" t="s">
        <v>308</v>
      </c>
      <c r="C93" s="12" t="n">
        <v>999999999999</v>
      </c>
      <c r="D93" s="12" t="s">
        <v>309</v>
      </c>
      <c r="E93" s="12" t="s">
        <v>229</v>
      </c>
    </row>
    <row r="94" customFormat="false" ht="12.8" hidden="false" customHeight="false" outlineLevel="0" collapsed="false">
      <c r="A94" s="12" t="n">
        <v>47</v>
      </c>
      <c r="B94" s="12" t="s">
        <v>310</v>
      </c>
      <c r="C94" s="12" t="n">
        <v>0.1</v>
      </c>
      <c r="D94" s="12" t="s">
        <v>311</v>
      </c>
      <c r="E94" s="12" t="s">
        <v>229</v>
      </c>
    </row>
    <row r="95" customFormat="false" ht="12.8" hidden="false" customHeight="false" outlineLevel="0" collapsed="false">
      <c r="A95" s="12" t="n">
        <v>48</v>
      </c>
      <c r="B95" s="12" t="s">
        <v>312</v>
      </c>
      <c r="C95" s="12" t="n">
        <v>0.12</v>
      </c>
      <c r="D95" s="12" t="s">
        <v>313</v>
      </c>
      <c r="E95" s="12" t="s">
        <v>229</v>
      </c>
    </row>
    <row r="96" customFormat="false" ht="12.8" hidden="false" customHeight="false" outlineLevel="0" collapsed="false">
      <c r="A96" s="12" t="n">
        <v>49</v>
      </c>
      <c r="B96" s="12" t="s">
        <v>314</v>
      </c>
      <c r="C96" s="12" t="n">
        <v>0.22</v>
      </c>
      <c r="D96" s="12" t="s">
        <v>315</v>
      </c>
      <c r="E96" s="12" t="s">
        <v>229</v>
      </c>
    </row>
    <row r="97" customFormat="false" ht="12.8" hidden="false" customHeight="false" outlineLevel="0" collapsed="false">
      <c r="A97" s="12" t="n">
        <v>50</v>
      </c>
      <c r="B97" s="12" t="s">
        <v>316</v>
      </c>
      <c r="C97" s="12" t="n">
        <v>0.24</v>
      </c>
      <c r="D97" s="12" t="s">
        <v>317</v>
      </c>
      <c r="E97" s="12" t="s">
        <v>229</v>
      </c>
    </row>
    <row r="98" customFormat="false" ht="12.8" hidden="false" customHeight="false" outlineLevel="0" collapsed="false">
      <c r="A98" s="12" t="n">
        <v>51</v>
      </c>
      <c r="B98" s="12" t="s">
        <v>318</v>
      </c>
      <c r="C98" s="12" t="n">
        <v>0.32</v>
      </c>
      <c r="D98" s="12" t="s">
        <v>319</v>
      </c>
      <c r="E98" s="12" t="s">
        <v>229</v>
      </c>
    </row>
    <row r="99" customFormat="false" ht="12.8" hidden="false" customHeight="false" outlineLevel="0" collapsed="false">
      <c r="A99" s="12" t="n">
        <v>52</v>
      </c>
      <c r="B99" s="12" t="s">
        <v>320</v>
      </c>
      <c r="C99" s="12" t="n">
        <v>0.35</v>
      </c>
      <c r="D99" s="12" t="s">
        <v>321</v>
      </c>
      <c r="E99" s="12" t="s">
        <v>229</v>
      </c>
    </row>
    <row r="100" customFormat="false" ht="12.8" hidden="false" customHeight="false" outlineLevel="0" collapsed="false">
      <c r="A100" s="12" t="n">
        <v>53</v>
      </c>
      <c r="B100" s="12" t="s">
        <v>322</v>
      </c>
      <c r="C100" s="12" t="n">
        <v>0.37</v>
      </c>
      <c r="D100" s="12" t="s">
        <v>323</v>
      </c>
      <c r="E100" s="12" t="s">
        <v>229</v>
      </c>
    </row>
    <row r="101" customFormat="false" ht="12.8" hidden="false" customHeight="false" outlineLevel="0" collapsed="false">
      <c r="A101" s="12" t="n">
        <v>54</v>
      </c>
      <c r="B101" s="12" t="s">
        <v>324</v>
      </c>
      <c r="C101" s="12" t="n">
        <v>15750</v>
      </c>
      <c r="D101" s="12" t="s">
        <v>325</v>
      </c>
      <c r="E101" s="12" t="s">
        <v>326</v>
      </c>
    </row>
    <row r="102" customFormat="false" ht="12.8" hidden="false" customHeight="false" outlineLevel="0" collapsed="false">
      <c r="A102" s="12" t="n">
        <v>55</v>
      </c>
      <c r="B102" s="12" t="s">
        <v>327</v>
      </c>
      <c r="C102" s="12" t="n">
        <v>31500</v>
      </c>
      <c r="D102" s="12" t="s">
        <v>328</v>
      </c>
      <c r="E102" s="12" t="s">
        <v>229</v>
      </c>
    </row>
    <row r="103" customFormat="false" ht="12.8" hidden="false" customHeight="false" outlineLevel="0" collapsed="false">
      <c r="A103" s="12" t="n">
        <v>56</v>
      </c>
      <c r="B103" s="12" t="s">
        <v>329</v>
      </c>
      <c r="C103" s="12" t="n">
        <v>23625</v>
      </c>
      <c r="D103" s="12" t="s">
        <v>330</v>
      </c>
      <c r="E103" s="12" t="s">
        <v>229</v>
      </c>
    </row>
    <row r="104" customFormat="false" ht="12.8" hidden="false" customHeight="false" outlineLevel="0" collapsed="false">
      <c r="A104" s="12" t="n">
        <v>57</v>
      </c>
      <c r="B104" s="12" t="s">
        <v>331</v>
      </c>
      <c r="C104" s="12" t="n">
        <v>0.062</v>
      </c>
      <c r="D104" s="12" t="s">
        <v>332</v>
      </c>
      <c r="E104" s="12" t="s">
        <v>333</v>
      </c>
    </row>
    <row r="105" customFormat="false" ht="12.8" hidden="false" customHeight="false" outlineLevel="0" collapsed="false">
      <c r="A105" s="12" t="n">
        <v>58</v>
      </c>
      <c r="B105" s="12" t="s">
        <v>334</v>
      </c>
      <c r="C105" s="12" t="n">
        <v>176100</v>
      </c>
      <c r="D105" s="12" t="s">
        <v>335</v>
      </c>
      <c r="E105" s="12" t="s">
        <v>333</v>
      </c>
    </row>
    <row r="106" customFormat="false" ht="12.8" hidden="false" customHeight="false" outlineLevel="0" collapsed="false">
      <c r="A106" s="12" t="n">
        <v>59</v>
      </c>
      <c r="B106" s="12" t="s">
        <v>336</v>
      </c>
      <c r="C106" s="12" t="n">
        <v>0.0145</v>
      </c>
      <c r="D106" s="12" t="s">
        <v>337</v>
      </c>
      <c r="E106" s="12" t="s">
        <v>229</v>
      </c>
    </row>
    <row r="107" customFormat="false" ht="12.8" hidden="false" customHeight="false" outlineLevel="0" collapsed="false">
      <c r="A107" s="12" t="n">
        <v>60</v>
      </c>
      <c r="B107" s="12" t="s">
        <v>338</v>
      </c>
      <c r="C107" s="12" t="n">
        <v>0.009</v>
      </c>
      <c r="D107" s="12" t="s">
        <v>339</v>
      </c>
      <c r="E107" s="12" t="s">
        <v>229</v>
      </c>
    </row>
    <row r="108" customFormat="false" ht="12.8" hidden="false" customHeight="false" outlineLevel="0" collapsed="false">
      <c r="A108" s="12" t="n">
        <v>61</v>
      </c>
      <c r="B108" s="12" t="s">
        <v>340</v>
      </c>
      <c r="C108" s="12" t="n">
        <v>200000</v>
      </c>
      <c r="D108" s="12" t="s">
        <v>341</v>
      </c>
      <c r="E108" s="12" t="s">
        <v>229</v>
      </c>
    </row>
    <row r="109" customFormat="false" ht="12.8" hidden="false" customHeight="false" outlineLevel="0" collapsed="false">
      <c r="A109" s="12" t="n">
        <v>62</v>
      </c>
      <c r="B109" s="12" t="s">
        <v>342</v>
      </c>
      <c r="C109" s="12" t="n">
        <v>649</v>
      </c>
      <c r="D109" s="12" t="s">
        <v>343</v>
      </c>
      <c r="E109" s="12" t="s">
        <v>229</v>
      </c>
    </row>
    <row r="110" customFormat="false" ht="12.8" hidden="false" customHeight="false" outlineLevel="0" collapsed="false">
      <c r="A110" s="12" t="n">
        <v>63</v>
      </c>
      <c r="B110" s="12" t="s">
        <v>344</v>
      </c>
      <c r="C110" s="12" t="n">
        <v>2200</v>
      </c>
      <c r="D110" s="12" t="s">
        <v>345</v>
      </c>
      <c r="E110" s="12" t="s">
        <v>229</v>
      </c>
    </row>
    <row r="111" customFormat="false" ht="12.8" hidden="false" customHeight="false" outlineLevel="0" collapsed="false">
      <c r="A111" s="12" t="n">
        <v>64</v>
      </c>
      <c r="B111" s="12" t="s">
        <v>346</v>
      </c>
      <c r="C111" s="12" t="n">
        <v>1700</v>
      </c>
      <c r="D111" s="12" t="s">
        <v>347</v>
      </c>
      <c r="E111" s="12" t="s">
        <v>229</v>
      </c>
    </row>
    <row r="112" customFormat="false" ht="12.8" hidden="false" customHeight="false" outlineLevel="0" collapsed="false">
      <c r="A112" s="12" t="n">
        <v>65</v>
      </c>
      <c r="B112" s="12" t="s">
        <v>348</v>
      </c>
      <c r="C112" s="12" t="n">
        <v>2500</v>
      </c>
      <c r="D112" s="12" t="s">
        <v>349</v>
      </c>
      <c r="E112" s="12" t="s">
        <v>229</v>
      </c>
    </row>
    <row r="113" customFormat="false" ht="12.8" hidden="false" customHeight="false" outlineLevel="0" collapsed="false">
      <c r="A113" s="12" t="n">
        <v>66</v>
      </c>
      <c r="B113" s="12" t="s">
        <v>350</v>
      </c>
      <c r="C113" s="12" t="n">
        <v>0.4</v>
      </c>
      <c r="D113" s="12" t="s">
        <v>351</v>
      </c>
      <c r="E113" s="12" t="s">
        <v>229</v>
      </c>
    </row>
    <row r="114" customFormat="false" ht="12.8" hidden="false" customHeight="false" outlineLevel="0" collapsed="false">
      <c r="A114" s="12" t="n">
        <v>67</v>
      </c>
      <c r="B114" s="12" t="s">
        <v>352</v>
      </c>
      <c r="C114" s="12" t="n">
        <v>2000</v>
      </c>
      <c r="D114" s="12" t="s">
        <v>353</v>
      </c>
      <c r="E114" s="12" t="s">
        <v>229</v>
      </c>
    </row>
    <row r="115" customFormat="false" ht="12.8" hidden="false" customHeight="false" outlineLevel="0" collapsed="false">
      <c r="A115" s="12" t="n">
        <v>68</v>
      </c>
      <c r="B115" s="12" t="s">
        <v>354</v>
      </c>
      <c r="C115" s="12" t="n">
        <v>0.25</v>
      </c>
      <c r="D115" s="12" t="s">
        <v>355</v>
      </c>
      <c r="E115" s="12" t="s">
        <v>356</v>
      </c>
    </row>
    <row r="116" customFormat="false" ht="12.8" hidden="false" customHeight="false" outlineLevel="0" collapsed="false">
      <c r="A116" s="12" t="n">
        <v>69</v>
      </c>
      <c r="B116" s="12" t="s">
        <v>357</v>
      </c>
      <c r="C116" s="12" t="n">
        <v>0.2</v>
      </c>
      <c r="D116" s="12" t="s">
        <v>358</v>
      </c>
      <c r="E116" s="12" t="s">
        <v>359</v>
      </c>
    </row>
    <row r="117" customFormat="false" ht="12.8" hidden="false" customHeight="false" outlineLevel="0" collapsed="false">
      <c r="A117" s="12" t="n">
        <v>70</v>
      </c>
      <c r="B117" s="12" t="s">
        <v>360</v>
      </c>
      <c r="C117" s="12" t="n">
        <v>0.15</v>
      </c>
      <c r="D117" s="12" t="s">
        <v>361</v>
      </c>
      <c r="E117" s="12" t="s">
        <v>359</v>
      </c>
    </row>
    <row r="118" customFormat="false" ht="12.8" hidden="false" customHeight="false" outlineLevel="0" collapsed="false">
      <c r="A118" s="12" t="n">
        <v>71</v>
      </c>
      <c r="B118" s="12" t="s">
        <v>362</v>
      </c>
      <c r="C118" s="12" t="n">
        <v>0.15</v>
      </c>
      <c r="D118" s="12" t="s">
        <v>363</v>
      </c>
      <c r="E118" s="12" t="s">
        <v>359</v>
      </c>
    </row>
    <row r="119" customFormat="false" ht="12.8" hidden="false" customHeight="false" outlineLevel="0" collapsed="false">
      <c r="A119" s="12" t="n">
        <v>72</v>
      </c>
      <c r="B119" s="12" t="s">
        <v>364</v>
      </c>
      <c r="C119" s="12" t="n">
        <v>0.1</v>
      </c>
      <c r="D119" s="12" t="s">
        <v>365</v>
      </c>
      <c r="E119" s="12" t="s">
        <v>359</v>
      </c>
    </row>
    <row r="120" customFormat="false" ht="12.8" hidden="false" customHeight="false" outlineLevel="0" collapsed="false">
      <c r="A120" s="12" t="n">
        <v>73</v>
      </c>
      <c r="B120" s="12" t="s">
        <v>366</v>
      </c>
      <c r="C120" s="12" t="n">
        <v>0.08</v>
      </c>
      <c r="D120" s="12" t="s">
        <v>367</v>
      </c>
      <c r="E120" s="12" t="s">
        <v>359</v>
      </c>
    </row>
    <row r="121" customFormat="false" ht="12.8" hidden="false" customHeight="false" outlineLevel="0" collapsed="false">
      <c r="A121" s="12" t="n">
        <v>74</v>
      </c>
      <c r="B121" s="12" t="s">
        <v>368</v>
      </c>
      <c r="C121" s="12" t="n">
        <v>0.07</v>
      </c>
      <c r="D121" s="12" t="s">
        <v>369</v>
      </c>
      <c r="E121" s="12" t="s">
        <v>370</v>
      </c>
    </row>
    <row r="122" customFormat="false" ht="12.8" hidden="false" customHeight="false" outlineLevel="0" collapsed="false">
      <c r="A122" s="12" t="n">
        <v>75</v>
      </c>
      <c r="B122" s="12" t="s">
        <v>371</v>
      </c>
      <c r="C122" s="12" t="n">
        <v>0.2</v>
      </c>
      <c r="D122" s="12" t="s">
        <v>372</v>
      </c>
      <c r="E122" s="12" t="s">
        <v>373</v>
      </c>
    </row>
    <row r="123" customFormat="false" ht="12.8" hidden="false" customHeight="false" outlineLevel="0" collapsed="false">
      <c r="A123" s="12" t="n">
        <v>76</v>
      </c>
      <c r="B123" s="12" t="s">
        <v>374</v>
      </c>
      <c r="C123" s="12" t="n">
        <v>0.25</v>
      </c>
      <c r="D123" s="12" t="s">
        <v>375</v>
      </c>
      <c r="E123" s="12" t="s">
        <v>359</v>
      </c>
    </row>
    <row r="124" customFormat="false" ht="12.8" hidden="false" customHeight="false" outlineLevel="0" collapsed="false">
      <c r="A124" s="12" t="n">
        <v>77</v>
      </c>
      <c r="B124" s="12" t="s">
        <v>376</v>
      </c>
      <c r="C124" s="12" t="n">
        <v>0.2</v>
      </c>
      <c r="D124" s="12" t="s">
        <v>377</v>
      </c>
      <c r="E124" s="12" t="s">
        <v>359</v>
      </c>
    </row>
    <row r="125" customFormat="false" ht="12.8" hidden="false" customHeight="false" outlineLevel="0" collapsed="false">
      <c r="A125" s="12" t="n">
        <v>78</v>
      </c>
      <c r="B125" s="12" t="s">
        <v>378</v>
      </c>
      <c r="C125" s="12" t="n">
        <v>0.15</v>
      </c>
      <c r="D125" s="12" t="s">
        <v>379</v>
      </c>
      <c r="E125" s="12" t="s">
        <v>359</v>
      </c>
    </row>
    <row r="126" customFormat="false" ht="12.8" hidden="false" customHeight="false" outlineLevel="0" collapsed="false">
      <c r="A126" s="12" t="n">
        <v>79</v>
      </c>
      <c r="B126" s="12" t="s">
        <v>380</v>
      </c>
      <c r="C126" s="12" t="n">
        <v>0.1</v>
      </c>
      <c r="D126" s="12" t="s">
        <v>381</v>
      </c>
      <c r="E126" s="12" t="s">
        <v>359</v>
      </c>
    </row>
    <row r="127" customFormat="false" ht="12.8" hidden="false" customHeight="false" outlineLevel="0" collapsed="false">
      <c r="A127" s="12" t="n">
        <v>80</v>
      </c>
      <c r="B127" s="12" t="s">
        <v>382</v>
      </c>
      <c r="C127" s="12" t="n">
        <v>0.05</v>
      </c>
      <c r="D127" s="12" t="s">
        <v>383</v>
      </c>
      <c r="E127" s="12" t="s">
        <v>359</v>
      </c>
    </row>
    <row r="128" customFormat="false" ht="12.8" hidden="false" customHeight="false" outlineLevel="0" collapsed="false">
      <c r="A128" s="12" t="n">
        <v>81</v>
      </c>
      <c r="B128" s="12" t="s">
        <v>384</v>
      </c>
      <c r="C128" s="12" t="n">
        <v>0.05</v>
      </c>
      <c r="D128" s="12" t="s">
        <v>385</v>
      </c>
      <c r="E128" s="12" t="s">
        <v>359</v>
      </c>
    </row>
    <row r="129" customFormat="false" ht="12.8" hidden="false" customHeight="false" outlineLevel="0" collapsed="false">
      <c r="A129" s="12" t="n">
        <v>82</v>
      </c>
      <c r="B129" s="12" t="s">
        <v>386</v>
      </c>
      <c r="C129" s="12" t="n">
        <v>0.4</v>
      </c>
      <c r="D129" s="12" t="s">
        <v>387</v>
      </c>
      <c r="E129" s="12" t="s">
        <v>388</v>
      </c>
    </row>
    <row r="130" customFormat="false" ht="12.8" hidden="false" customHeight="false" outlineLevel="0" collapsed="false">
      <c r="A130" s="12" t="n">
        <v>83</v>
      </c>
      <c r="B130" s="12" t="s">
        <v>389</v>
      </c>
      <c r="C130" s="12" t="n">
        <v>0.25</v>
      </c>
      <c r="D130" s="12" t="s">
        <v>375</v>
      </c>
      <c r="E130" s="12" t="s">
        <v>359</v>
      </c>
    </row>
    <row r="131" customFormat="false" ht="12.8" hidden="false" customHeight="false" outlineLevel="0" collapsed="false">
      <c r="A131" s="12" t="n">
        <v>84</v>
      </c>
      <c r="B131" s="12" t="s">
        <v>390</v>
      </c>
      <c r="C131" s="12" t="n">
        <v>0.15</v>
      </c>
      <c r="D131" s="12" t="s">
        <v>377</v>
      </c>
      <c r="E131" s="12" t="s">
        <v>359</v>
      </c>
    </row>
    <row r="132" customFormat="false" ht="12.8" hidden="false" customHeight="false" outlineLevel="0" collapsed="false">
      <c r="A132" s="12" t="n">
        <v>85</v>
      </c>
      <c r="B132" s="12" t="s">
        <v>391</v>
      </c>
      <c r="C132" s="12" t="n">
        <v>0.1</v>
      </c>
      <c r="D132" s="12" t="s">
        <v>379</v>
      </c>
      <c r="E132" s="12" t="s">
        <v>359</v>
      </c>
    </row>
    <row r="133" customFormat="false" ht="12.8" hidden="false" customHeight="false" outlineLevel="0" collapsed="false">
      <c r="A133" s="12" t="n">
        <v>86</v>
      </c>
      <c r="B133" s="12" t="s">
        <v>392</v>
      </c>
      <c r="C133" s="12" t="n">
        <v>0.05</v>
      </c>
      <c r="D133" s="12" t="s">
        <v>381</v>
      </c>
      <c r="E133" s="12" t="s">
        <v>359</v>
      </c>
    </row>
    <row r="134" customFormat="false" ht="12.8" hidden="false" customHeight="false" outlineLevel="0" collapsed="false">
      <c r="A134" s="12" t="n">
        <v>87</v>
      </c>
      <c r="B134" s="12" t="s">
        <v>393</v>
      </c>
      <c r="C134" s="12" t="n">
        <v>0.03</v>
      </c>
      <c r="D134" s="12" t="s">
        <v>383</v>
      </c>
      <c r="E134" s="12" t="s">
        <v>359</v>
      </c>
    </row>
    <row r="135" customFormat="false" ht="12.8" hidden="false" customHeight="false" outlineLevel="0" collapsed="false">
      <c r="A135" s="12" t="n">
        <v>88</v>
      </c>
      <c r="B135" s="12" t="s">
        <v>394</v>
      </c>
      <c r="C135" s="12" t="n">
        <v>0.02</v>
      </c>
      <c r="D135" s="12" t="s">
        <v>385</v>
      </c>
      <c r="E135" s="12" t="s">
        <v>359</v>
      </c>
    </row>
    <row r="136" customFormat="false" ht="12.8" hidden="false" customHeight="false" outlineLevel="0" collapsed="false">
      <c r="A136" s="12" t="n">
        <v>89</v>
      </c>
      <c r="B136" s="12" t="s">
        <v>395</v>
      </c>
      <c r="C136" s="12" t="n">
        <v>0.22</v>
      </c>
      <c r="D136" s="12" t="s">
        <v>396</v>
      </c>
      <c r="E136" s="12" t="s">
        <v>397</v>
      </c>
    </row>
    <row r="137" customFormat="false" ht="12.8" hidden="false" customHeight="false" outlineLevel="0" collapsed="false">
      <c r="A137" s="12" t="n">
        <v>90</v>
      </c>
      <c r="B137" s="12" t="s">
        <v>398</v>
      </c>
      <c r="C137" s="12" t="n">
        <v>0.18</v>
      </c>
      <c r="D137" s="12" t="s">
        <v>375</v>
      </c>
      <c r="E137" s="12" t="s">
        <v>359</v>
      </c>
    </row>
    <row r="138" customFormat="false" ht="12.8" hidden="false" customHeight="false" outlineLevel="0" collapsed="false">
      <c r="A138" s="12" t="n">
        <v>91</v>
      </c>
      <c r="B138" s="12" t="s">
        <v>399</v>
      </c>
      <c r="C138" s="12" t="n">
        <v>0.16</v>
      </c>
      <c r="D138" s="12" t="s">
        <v>377</v>
      </c>
      <c r="E138" s="12" t="s">
        <v>359</v>
      </c>
    </row>
    <row r="139" customFormat="false" ht="12.8" hidden="false" customHeight="false" outlineLevel="0" collapsed="false">
      <c r="A139" s="12" t="n">
        <v>92</v>
      </c>
      <c r="B139" s="12" t="s">
        <v>400</v>
      </c>
      <c r="C139" s="12" t="n">
        <v>0.16</v>
      </c>
      <c r="D139" s="12" t="s">
        <v>379</v>
      </c>
      <c r="E139" s="12" t="s">
        <v>359</v>
      </c>
    </row>
    <row r="140" customFormat="false" ht="12.8" hidden="false" customHeight="false" outlineLevel="0" collapsed="false">
      <c r="A140" s="12" t="n">
        <v>93</v>
      </c>
      <c r="B140" s="12" t="s">
        <v>401</v>
      </c>
      <c r="C140" s="12" t="n">
        <v>0.11</v>
      </c>
      <c r="D140" s="12" t="s">
        <v>381</v>
      </c>
      <c r="E140" s="12" t="s">
        <v>359</v>
      </c>
    </row>
    <row r="141" customFormat="false" ht="12.8" hidden="false" customHeight="false" outlineLevel="0" collapsed="false">
      <c r="A141" s="12" t="n">
        <v>94</v>
      </c>
      <c r="B141" s="12" t="s">
        <v>402</v>
      </c>
      <c r="C141" s="12" t="n">
        <v>0.09</v>
      </c>
      <c r="D141" s="12" t="s">
        <v>383</v>
      </c>
      <c r="E141" s="12" t="s">
        <v>359</v>
      </c>
    </row>
    <row r="142" customFormat="false" ht="12.8" hidden="false" customHeight="false" outlineLevel="0" collapsed="false">
      <c r="A142" s="12" t="n">
        <v>95</v>
      </c>
      <c r="B142" s="12" t="s">
        <v>403</v>
      </c>
      <c r="C142" s="12" t="n">
        <v>0.08</v>
      </c>
      <c r="D142" s="12" t="s">
        <v>385</v>
      </c>
      <c r="E142" s="12" t="s">
        <v>359</v>
      </c>
    </row>
    <row r="143" customFormat="false" ht="12.8" hidden="false" customHeight="false" outlineLevel="0" collapsed="false">
      <c r="A143" s="12" t="n">
        <v>96</v>
      </c>
      <c r="B143" s="12" t="s">
        <v>404</v>
      </c>
      <c r="C143" s="12" t="n">
        <v>8000</v>
      </c>
      <c r="D143" s="12" t="s">
        <v>405</v>
      </c>
      <c r="E143" s="12" t="s">
        <v>406</v>
      </c>
    </row>
    <row r="144" customFormat="false" ht="12.8" hidden="false" customHeight="false" outlineLevel="0" collapsed="false">
      <c r="A144" s="12" t="n">
        <v>97</v>
      </c>
      <c r="B144" s="12" t="s">
        <v>407</v>
      </c>
      <c r="C144" s="12" t="n">
        <v>30000</v>
      </c>
      <c r="D144" s="12" t="s">
        <v>408</v>
      </c>
      <c r="E144" s="12" t="s">
        <v>359</v>
      </c>
    </row>
    <row r="145" customFormat="false" ht="12.8" hidden="false" customHeight="false" outlineLevel="0" collapsed="false">
      <c r="A145" s="12" t="n">
        <v>98</v>
      </c>
      <c r="B145" s="12" t="s">
        <v>409</v>
      </c>
      <c r="C145" s="12" t="n">
        <v>70000</v>
      </c>
      <c r="D145" s="12" t="s">
        <v>410</v>
      </c>
      <c r="E145" s="12" t="s">
        <v>359</v>
      </c>
    </row>
    <row r="146" customFormat="false" ht="12.8" hidden="false" customHeight="false" outlineLevel="0" collapsed="false">
      <c r="A146" s="12" t="n">
        <v>99</v>
      </c>
      <c r="B146" s="12" t="s">
        <v>411</v>
      </c>
      <c r="C146" s="12" t="n">
        <v>140000</v>
      </c>
      <c r="D146" s="12" t="s">
        <v>412</v>
      </c>
      <c r="E146" s="12" t="s">
        <v>359</v>
      </c>
    </row>
    <row r="147" customFormat="false" ht="12.8" hidden="false" customHeight="false" outlineLevel="0" collapsed="false">
      <c r="A147" s="12" t="n">
        <v>100</v>
      </c>
      <c r="B147" s="12" t="s">
        <v>413</v>
      </c>
      <c r="C147" s="12" t="n">
        <v>220000</v>
      </c>
      <c r="D147" s="12" t="s">
        <v>414</v>
      </c>
      <c r="E147" s="12" t="s">
        <v>359</v>
      </c>
    </row>
    <row r="148" customFormat="false" ht="12.8" hidden="false" customHeight="false" outlineLevel="0" collapsed="false">
      <c r="A148" s="12" t="n">
        <v>101</v>
      </c>
      <c r="B148" s="12" t="s">
        <v>415</v>
      </c>
      <c r="C148" s="12" t="n">
        <v>400000</v>
      </c>
      <c r="D148" s="12" t="s">
        <v>416</v>
      </c>
      <c r="E148" s="12" t="s">
        <v>359</v>
      </c>
    </row>
    <row r="149" customFormat="false" ht="12.8" hidden="false" customHeight="false" outlineLevel="0" collapsed="false">
      <c r="A149" s="12" t="n">
        <v>102</v>
      </c>
      <c r="B149" s="12" t="s">
        <v>417</v>
      </c>
      <c r="C149" s="12" t="n">
        <v>800000</v>
      </c>
      <c r="D149" s="12" t="s">
        <v>418</v>
      </c>
      <c r="E149" s="12" t="s">
        <v>359</v>
      </c>
    </row>
    <row r="150" customFormat="false" ht="12.8" hidden="false" customHeight="false" outlineLevel="0" collapsed="false">
      <c r="A150" s="12" t="n">
        <v>103</v>
      </c>
      <c r="B150" s="12" t="s">
        <v>419</v>
      </c>
      <c r="C150" s="12" t="n">
        <v>10000</v>
      </c>
      <c r="D150" s="12" t="s">
        <v>420</v>
      </c>
      <c r="E150" s="12" t="s">
        <v>124</v>
      </c>
    </row>
    <row r="151" customFormat="false" ht="12.8" hidden="false" customHeight="false" outlineLevel="0" collapsed="false">
      <c r="A151" s="12" t="n">
        <v>104</v>
      </c>
      <c r="B151" s="12" t="s">
        <v>421</v>
      </c>
      <c r="C151" s="12" t="n">
        <v>35000</v>
      </c>
      <c r="D151" s="12" t="s">
        <v>422</v>
      </c>
      <c r="E151" s="12" t="s">
        <v>359</v>
      </c>
    </row>
    <row r="152" customFormat="false" ht="12.8" hidden="false" customHeight="false" outlineLevel="0" collapsed="false">
      <c r="A152" s="12" t="n">
        <v>105</v>
      </c>
      <c r="B152" s="12" t="s">
        <v>423</v>
      </c>
      <c r="C152" s="12" t="n">
        <v>75000</v>
      </c>
      <c r="D152" s="12" t="s">
        <v>424</v>
      </c>
      <c r="E152" s="12" t="s">
        <v>359</v>
      </c>
    </row>
    <row r="153" customFormat="false" ht="12.8" hidden="false" customHeight="false" outlineLevel="0" collapsed="false">
      <c r="A153" s="12" t="n">
        <v>106</v>
      </c>
      <c r="B153" s="12" t="s">
        <v>425</v>
      </c>
      <c r="C153" s="12" t="n">
        <v>145000</v>
      </c>
      <c r="D153" s="12" t="s">
        <v>426</v>
      </c>
      <c r="E153" s="12" t="s">
        <v>359</v>
      </c>
    </row>
    <row r="154" customFormat="false" ht="12.8" hidden="false" customHeight="false" outlineLevel="0" collapsed="false">
      <c r="A154" s="12" t="n">
        <v>107</v>
      </c>
      <c r="B154" s="12" t="s">
        <v>427</v>
      </c>
      <c r="C154" s="12" t="n">
        <v>225000</v>
      </c>
      <c r="D154" s="12" t="s">
        <v>428</v>
      </c>
      <c r="E154" s="12" t="s">
        <v>359</v>
      </c>
    </row>
    <row r="155" customFormat="false" ht="12.8" hidden="false" customHeight="false" outlineLevel="0" collapsed="false">
      <c r="A155" s="12" t="n">
        <v>108</v>
      </c>
      <c r="B155" s="12" t="s">
        <v>429</v>
      </c>
      <c r="C155" s="12" t="n">
        <v>410000</v>
      </c>
      <c r="D155" s="12" t="s">
        <v>430</v>
      </c>
      <c r="E155" s="12" t="s">
        <v>359</v>
      </c>
    </row>
    <row r="156" customFormat="false" ht="12.8" hidden="false" customHeight="false" outlineLevel="0" collapsed="false">
      <c r="A156" s="12" t="n">
        <v>109</v>
      </c>
      <c r="B156" s="12" t="s">
        <v>431</v>
      </c>
      <c r="C156" s="12" t="n">
        <v>810000</v>
      </c>
      <c r="D156" s="12" t="s">
        <v>432</v>
      </c>
      <c r="E156" s="12" t="s">
        <v>359</v>
      </c>
    </row>
    <row r="157" customFormat="false" ht="12.8" hidden="false" customHeight="false" outlineLevel="0" collapsed="false">
      <c r="A157" s="12" t="n">
        <v>110</v>
      </c>
      <c r="B157" s="12" t="s">
        <v>433</v>
      </c>
      <c r="C157" s="12" t="n">
        <v>6000</v>
      </c>
      <c r="D157" s="12" t="s">
        <v>434</v>
      </c>
      <c r="E157" s="12" t="s">
        <v>124</v>
      </c>
    </row>
    <row r="158" customFormat="false" ht="12.8" hidden="false" customHeight="false" outlineLevel="0" collapsed="false">
      <c r="A158" s="12" t="n">
        <v>111</v>
      </c>
      <c r="B158" s="12" t="s">
        <v>435</v>
      </c>
      <c r="C158" s="12" t="n">
        <v>25000</v>
      </c>
      <c r="D158" s="12" t="s">
        <v>436</v>
      </c>
      <c r="E158" s="12" t="s">
        <v>359</v>
      </c>
    </row>
    <row r="159" customFormat="false" ht="12.8" hidden="false" customHeight="false" outlineLevel="0" collapsed="false">
      <c r="A159" s="12" t="n">
        <v>112</v>
      </c>
      <c r="B159" s="12" t="s">
        <v>437</v>
      </c>
      <c r="C159" s="12" t="n">
        <v>50000</v>
      </c>
      <c r="D159" s="12" t="s">
        <v>438</v>
      </c>
      <c r="E159" s="12" t="s">
        <v>359</v>
      </c>
    </row>
    <row r="160" customFormat="false" ht="12.8" hidden="false" customHeight="false" outlineLevel="0" collapsed="false">
      <c r="A160" s="12" t="n">
        <v>113</v>
      </c>
      <c r="B160" s="12" t="s">
        <v>439</v>
      </c>
      <c r="C160" s="12" t="n">
        <v>100000</v>
      </c>
      <c r="D160" s="12" t="s">
        <v>440</v>
      </c>
      <c r="E160" s="12" t="s">
        <v>359</v>
      </c>
    </row>
    <row r="161" customFormat="false" ht="12.8" hidden="false" customHeight="false" outlineLevel="0" collapsed="false">
      <c r="A161" s="12" t="n">
        <v>114</v>
      </c>
      <c r="B161" s="12" t="s">
        <v>441</v>
      </c>
      <c r="C161" s="12" t="n">
        <v>150000</v>
      </c>
      <c r="D161" s="12" t="s">
        <v>442</v>
      </c>
      <c r="E161" s="12" t="s">
        <v>359</v>
      </c>
    </row>
    <row r="162" customFormat="false" ht="12.8" hidden="false" customHeight="false" outlineLevel="0" collapsed="false">
      <c r="A162" s="12" t="n">
        <v>115</v>
      </c>
      <c r="B162" s="12" t="s">
        <v>443</v>
      </c>
      <c r="C162" s="12" t="n">
        <v>300000</v>
      </c>
      <c r="D162" s="12" t="s">
        <v>444</v>
      </c>
      <c r="E162" s="12" t="s">
        <v>359</v>
      </c>
    </row>
    <row r="163" customFormat="false" ht="12.8" hidden="false" customHeight="false" outlineLevel="0" collapsed="false">
      <c r="A163" s="12" t="n">
        <v>116</v>
      </c>
      <c r="B163" s="12" t="s">
        <v>445</v>
      </c>
      <c r="C163" s="12" t="n">
        <v>500000</v>
      </c>
      <c r="D163" s="12" t="s">
        <v>446</v>
      </c>
      <c r="E163" s="12" t="s">
        <v>359</v>
      </c>
    </row>
    <row r="164" customFormat="false" ht="12.8" hidden="false" customHeight="false" outlineLevel="0" collapsed="false">
      <c r="A164" s="12" t="n">
        <v>117</v>
      </c>
      <c r="B164" s="12" t="s">
        <v>447</v>
      </c>
      <c r="C164" s="12" t="n">
        <v>9000</v>
      </c>
      <c r="D164" s="12" t="s">
        <v>448</v>
      </c>
      <c r="E164" s="12" t="s">
        <v>359</v>
      </c>
    </row>
    <row r="165" customFormat="false" ht="12.8" hidden="false" customHeight="false" outlineLevel="0" collapsed="false">
      <c r="A165" s="12" t="n">
        <v>118</v>
      </c>
      <c r="B165" s="12" t="s">
        <v>449</v>
      </c>
      <c r="C165" s="12" t="n">
        <v>32000</v>
      </c>
      <c r="D165" s="12" t="s">
        <v>450</v>
      </c>
      <c r="E165" s="12" t="s">
        <v>359</v>
      </c>
    </row>
    <row r="166" customFormat="false" ht="12.8" hidden="false" customHeight="false" outlineLevel="0" collapsed="false">
      <c r="A166" s="12" t="n">
        <v>119</v>
      </c>
      <c r="B166" s="12" t="s">
        <v>451</v>
      </c>
      <c r="C166" s="12" t="n">
        <v>72000</v>
      </c>
      <c r="D166" s="12" t="s">
        <v>452</v>
      </c>
      <c r="E166" s="12" t="s">
        <v>359</v>
      </c>
    </row>
    <row r="167" customFormat="false" ht="12.8" hidden="false" customHeight="false" outlineLevel="0" collapsed="false">
      <c r="A167" s="12" t="n">
        <v>120</v>
      </c>
      <c r="B167" s="12" t="s">
        <v>453</v>
      </c>
      <c r="C167" s="12" t="n">
        <v>142000</v>
      </c>
      <c r="D167" s="12" t="s">
        <v>454</v>
      </c>
      <c r="E167" s="12" t="s">
        <v>359</v>
      </c>
    </row>
    <row r="168" customFormat="false" ht="12.8" hidden="false" customHeight="false" outlineLevel="0" collapsed="false">
      <c r="A168" s="12" t="n">
        <v>121</v>
      </c>
      <c r="B168" s="12" t="s">
        <v>455</v>
      </c>
      <c r="C168" s="12" t="n">
        <v>222000</v>
      </c>
      <c r="D168" s="12" t="s">
        <v>456</v>
      </c>
      <c r="E168" s="12" t="s">
        <v>359</v>
      </c>
    </row>
    <row r="169" customFormat="false" ht="12.8" hidden="false" customHeight="false" outlineLevel="0" collapsed="false">
      <c r="A169" s="12" t="n">
        <v>122</v>
      </c>
      <c r="B169" s="12" t="s">
        <v>457</v>
      </c>
      <c r="C169" s="12" t="n">
        <v>405000</v>
      </c>
      <c r="D169" s="12" t="s">
        <v>458</v>
      </c>
      <c r="E169" s="12" t="s">
        <v>359</v>
      </c>
    </row>
    <row r="170" customFormat="false" ht="12.8" hidden="false" customHeight="false" outlineLevel="0" collapsed="false">
      <c r="A170" s="12" t="n">
        <v>123</v>
      </c>
      <c r="B170" s="12" t="s">
        <v>459</v>
      </c>
      <c r="C170" s="12" t="n">
        <v>805000</v>
      </c>
      <c r="D170" s="12" t="s">
        <v>460</v>
      </c>
      <c r="E170" s="12" t="s">
        <v>359</v>
      </c>
    </row>
    <row r="171" customFormat="false" ht="12.8" hidden="false" customHeight="false" outlineLevel="0" collapsed="false">
      <c r="A171" s="12" t="n">
        <v>124</v>
      </c>
      <c r="B171" s="12" t="s">
        <v>461</v>
      </c>
      <c r="C171" s="12" t="n">
        <v>15000</v>
      </c>
      <c r="D171" s="12" t="s">
        <v>462</v>
      </c>
      <c r="E171" s="12" t="s">
        <v>463</v>
      </c>
    </row>
    <row r="172" customFormat="false" ht="12.8" hidden="false" customHeight="false" outlineLevel="0" collapsed="false">
      <c r="A172" s="12" t="n">
        <v>125</v>
      </c>
      <c r="B172" s="12" t="s">
        <v>464</v>
      </c>
      <c r="C172" s="12" t="n">
        <v>40000</v>
      </c>
      <c r="D172" s="12" t="s">
        <v>465</v>
      </c>
      <c r="E172" s="12" t="s">
        <v>359</v>
      </c>
    </row>
    <row r="173" customFormat="false" ht="12.8" hidden="false" customHeight="false" outlineLevel="0" collapsed="false">
      <c r="A173" s="12" t="n">
        <v>126</v>
      </c>
      <c r="B173" s="12" t="s">
        <v>466</v>
      </c>
      <c r="C173" s="12" t="n">
        <v>80000</v>
      </c>
      <c r="D173" s="12" t="s">
        <v>467</v>
      </c>
      <c r="E173" s="12" t="s">
        <v>359</v>
      </c>
    </row>
    <row r="174" customFormat="false" ht="12.8" hidden="false" customHeight="false" outlineLevel="0" collapsed="false">
      <c r="A174" s="12" t="n">
        <v>127</v>
      </c>
      <c r="B174" s="12" t="s">
        <v>468</v>
      </c>
      <c r="C174" s="12" t="n">
        <v>150000</v>
      </c>
      <c r="D174" s="12" t="s">
        <v>469</v>
      </c>
      <c r="E174" s="12" t="s">
        <v>359</v>
      </c>
    </row>
    <row r="175" customFormat="false" ht="12.8" hidden="false" customHeight="false" outlineLevel="0" collapsed="false">
      <c r="A175" s="12" t="n">
        <v>128</v>
      </c>
      <c r="B175" s="12" t="s">
        <v>470</v>
      </c>
      <c r="C175" s="12" t="n">
        <v>230000</v>
      </c>
      <c r="D175" s="12" t="s">
        <v>471</v>
      </c>
      <c r="E175" s="12" t="s">
        <v>359</v>
      </c>
    </row>
    <row r="176" customFormat="false" ht="12.8" hidden="false" customHeight="false" outlineLevel="0" collapsed="false">
      <c r="A176" s="12" t="n">
        <v>129</v>
      </c>
      <c r="B176" s="12" t="s">
        <v>472</v>
      </c>
      <c r="C176" s="12" t="n">
        <v>420000</v>
      </c>
      <c r="D176" s="12" t="s">
        <v>473</v>
      </c>
      <c r="E176" s="12" t="s">
        <v>359</v>
      </c>
    </row>
    <row r="177" customFormat="false" ht="12.8" hidden="false" customHeight="false" outlineLevel="0" collapsed="false">
      <c r="A177" s="12" t="n">
        <v>130</v>
      </c>
      <c r="B177" s="12" t="s">
        <v>474</v>
      </c>
      <c r="C177" s="12" t="n">
        <v>850000</v>
      </c>
      <c r="D177" s="12" t="s">
        <v>475</v>
      </c>
      <c r="E177" s="12" t="s">
        <v>359</v>
      </c>
    </row>
    <row r="178" customFormat="false" ht="12.8" hidden="false" customHeight="false" outlineLevel="0" collapsed="false">
      <c r="A178" s="12" t="n">
        <v>131</v>
      </c>
      <c r="B178" s="12" t="s">
        <v>476</v>
      </c>
      <c r="C178" s="12" t="n">
        <v>18000</v>
      </c>
      <c r="D178" s="12" t="s">
        <v>477</v>
      </c>
      <c r="E178" s="12" t="s">
        <v>124</v>
      </c>
    </row>
    <row r="179" customFormat="false" ht="12.8" hidden="false" customHeight="false" outlineLevel="0" collapsed="false">
      <c r="A179" s="12" t="n">
        <v>132</v>
      </c>
      <c r="B179" s="12" t="s">
        <v>478</v>
      </c>
      <c r="C179" s="12" t="n">
        <v>45000</v>
      </c>
      <c r="D179" s="12" t="s">
        <v>422</v>
      </c>
      <c r="E179" s="12" t="s">
        <v>359</v>
      </c>
    </row>
    <row r="180" customFormat="false" ht="12.8" hidden="false" customHeight="false" outlineLevel="0" collapsed="false">
      <c r="A180" s="12" t="n">
        <v>133</v>
      </c>
      <c r="B180" s="12" t="s">
        <v>479</v>
      </c>
      <c r="C180" s="12" t="n">
        <v>85000</v>
      </c>
      <c r="D180" s="12" t="s">
        <v>424</v>
      </c>
      <c r="E180" s="12" t="s">
        <v>359</v>
      </c>
    </row>
    <row r="181" customFormat="false" ht="12.8" hidden="false" customHeight="false" outlineLevel="0" collapsed="false">
      <c r="A181" s="12" t="n">
        <v>134</v>
      </c>
      <c r="B181" s="12" t="s">
        <v>480</v>
      </c>
      <c r="C181" s="12" t="n">
        <v>155000</v>
      </c>
      <c r="D181" s="12" t="s">
        <v>426</v>
      </c>
      <c r="E181" s="12" t="s">
        <v>359</v>
      </c>
    </row>
    <row r="182" customFormat="false" ht="12.8" hidden="false" customHeight="false" outlineLevel="0" collapsed="false">
      <c r="A182" s="12" t="n">
        <v>135</v>
      </c>
      <c r="B182" s="12" t="s">
        <v>481</v>
      </c>
      <c r="C182" s="12" t="n">
        <v>235000</v>
      </c>
      <c r="D182" s="12" t="s">
        <v>428</v>
      </c>
      <c r="E182" s="12" t="s">
        <v>359</v>
      </c>
    </row>
    <row r="183" customFormat="false" ht="12.8" hidden="false" customHeight="false" outlineLevel="0" collapsed="false">
      <c r="A183" s="12" t="n">
        <v>136</v>
      </c>
      <c r="B183" s="12" t="s">
        <v>482</v>
      </c>
      <c r="C183" s="12" t="n">
        <v>430000</v>
      </c>
      <c r="D183" s="12" t="s">
        <v>430</v>
      </c>
      <c r="E183" s="12" t="s">
        <v>359</v>
      </c>
    </row>
    <row r="184" customFormat="false" ht="12.8" hidden="false" customHeight="false" outlineLevel="0" collapsed="false">
      <c r="A184" s="12" t="n">
        <v>137</v>
      </c>
      <c r="B184" s="12" t="s">
        <v>483</v>
      </c>
      <c r="C184" s="12" t="n">
        <v>860000</v>
      </c>
      <c r="D184" s="12" t="s">
        <v>432</v>
      </c>
      <c r="E184" s="12" t="s">
        <v>359</v>
      </c>
    </row>
    <row r="185" customFormat="false" ht="12.8" hidden="false" customHeight="false" outlineLevel="0" collapsed="false">
      <c r="A185" s="12" t="n">
        <v>138</v>
      </c>
      <c r="B185" s="12" t="s">
        <v>484</v>
      </c>
      <c r="C185" s="12" t="n">
        <v>12000</v>
      </c>
      <c r="D185" s="12" t="s">
        <v>485</v>
      </c>
      <c r="E185" s="12" t="s">
        <v>124</v>
      </c>
    </row>
    <row r="186" customFormat="false" ht="12.8" hidden="false" customHeight="false" outlineLevel="0" collapsed="false">
      <c r="A186" s="12" t="n">
        <v>139</v>
      </c>
      <c r="B186" s="12" t="s">
        <v>486</v>
      </c>
      <c r="C186" s="12" t="n">
        <v>30000</v>
      </c>
      <c r="D186" s="12" t="s">
        <v>436</v>
      </c>
      <c r="E186" s="12" t="s">
        <v>359</v>
      </c>
    </row>
    <row r="187" customFormat="false" ht="12.8" hidden="false" customHeight="false" outlineLevel="0" collapsed="false">
      <c r="A187" s="12" t="n">
        <v>140</v>
      </c>
      <c r="B187" s="12" t="s">
        <v>487</v>
      </c>
      <c r="C187" s="12" t="n">
        <v>55000</v>
      </c>
      <c r="D187" s="12" t="s">
        <v>438</v>
      </c>
      <c r="E187" s="12" t="s">
        <v>359</v>
      </c>
    </row>
    <row r="188" customFormat="false" ht="12.8" hidden="false" customHeight="false" outlineLevel="0" collapsed="false">
      <c r="A188" s="12" t="n">
        <v>141</v>
      </c>
      <c r="B188" s="12" t="s">
        <v>488</v>
      </c>
      <c r="C188" s="12" t="n">
        <v>110000</v>
      </c>
      <c r="D188" s="12" t="s">
        <v>440</v>
      </c>
      <c r="E188" s="12" t="s">
        <v>359</v>
      </c>
    </row>
    <row r="189" customFormat="false" ht="12.8" hidden="false" customHeight="false" outlineLevel="0" collapsed="false">
      <c r="A189" s="12" t="n">
        <v>142</v>
      </c>
      <c r="B189" s="12" t="s">
        <v>489</v>
      </c>
      <c r="C189" s="12" t="n">
        <v>160000</v>
      </c>
      <c r="D189" s="12" t="s">
        <v>442</v>
      </c>
      <c r="E189" s="12" t="s">
        <v>359</v>
      </c>
    </row>
    <row r="190" customFormat="false" ht="12.8" hidden="false" customHeight="false" outlineLevel="0" collapsed="false">
      <c r="A190" s="12" t="n">
        <v>143</v>
      </c>
      <c r="B190" s="12" t="s">
        <v>490</v>
      </c>
      <c r="C190" s="12" t="n">
        <v>320000</v>
      </c>
      <c r="D190" s="12" t="s">
        <v>444</v>
      </c>
      <c r="E190" s="12" t="s">
        <v>359</v>
      </c>
    </row>
    <row r="191" customFormat="false" ht="12.8" hidden="false" customHeight="false" outlineLevel="0" collapsed="false">
      <c r="A191" s="12" t="n">
        <v>144</v>
      </c>
      <c r="B191" s="12" t="s">
        <v>491</v>
      </c>
      <c r="C191" s="12" t="n">
        <v>550000</v>
      </c>
      <c r="D191" s="12" t="s">
        <v>446</v>
      </c>
      <c r="E191" s="12" t="s">
        <v>359</v>
      </c>
    </row>
    <row r="192" customFormat="false" ht="12.8" hidden="false" customHeight="false" outlineLevel="0" collapsed="false">
      <c r="A192" s="12" t="n">
        <v>145</v>
      </c>
      <c r="B192" s="12" t="s">
        <v>492</v>
      </c>
      <c r="C192" s="12" t="n">
        <v>16000</v>
      </c>
      <c r="D192" s="12" t="s">
        <v>493</v>
      </c>
      <c r="E192" s="12" t="s">
        <v>359</v>
      </c>
    </row>
    <row r="193" customFormat="false" ht="12.8" hidden="false" customHeight="false" outlineLevel="0" collapsed="false">
      <c r="A193" s="12" t="n">
        <v>146</v>
      </c>
      <c r="B193" s="12" t="s">
        <v>494</v>
      </c>
      <c r="C193" s="12" t="n">
        <v>42000</v>
      </c>
      <c r="D193" s="12" t="s">
        <v>450</v>
      </c>
      <c r="E193" s="12" t="s">
        <v>359</v>
      </c>
    </row>
    <row r="194" customFormat="false" ht="12.8" hidden="false" customHeight="false" outlineLevel="0" collapsed="false">
      <c r="A194" s="12" t="n">
        <v>147</v>
      </c>
      <c r="B194" s="12" t="s">
        <v>495</v>
      </c>
      <c r="C194" s="12" t="n">
        <v>82000</v>
      </c>
      <c r="D194" s="12" t="s">
        <v>452</v>
      </c>
      <c r="E194" s="12" t="s">
        <v>359</v>
      </c>
    </row>
    <row r="195" customFormat="false" ht="12.8" hidden="false" customHeight="false" outlineLevel="0" collapsed="false">
      <c r="A195" s="12" t="n">
        <v>148</v>
      </c>
      <c r="B195" s="12" t="s">
        <v>496</v>
      </c>
      <c r="C195" s="12" t="n">
        <v>152000</v>
      </c>
      <c r="D195" s="12" t="s">
        <v>454</v>
      </c>
      <c r="E195" s="12" t="s">
        <v>359</v>
      </c>
    </row>
    <row r="196" customFormat="false" ht="12.8" hidden="false" customHeight="false" outlineLevel="0" collapsed="false">
      <c r="A196" s="12" t="n">
        <v>149</v>
      </c>
      <c r="B196" s="12" t="s">
        <v>497</v>
      </c>
      <c r="C196" s="12" t="n">
        <v>232000</v>
      </c>
      <c r="D196" s="12" t="s">
        <v>456</v>
      </c>
      <c r="E196" s="12" t="s">
        <v>359</v>
      </c>
    </row>
    <row r="197" customFormat="false" ht="12.8" hidden="false" customHeight="false" outlineLevel="0" collapsed="false">
      <c r="A197" s="12" t="n">
        <v>150</v>
      </c>
      <c r="B197" s="12" t="s">
        <v>498</v>
      </c>
      <c r="C197" s="12" t="n">
        <v>425000</v>
      </c>
      <c r="D197" s="12" t="s">
        <v>458</v>
      </c>
      <c r="E197" s="12" t="s">
        <v>359</v>
      </c>
    </row>
    <row r="198" customFormat="false" ht="12.8" hidden="false" customHeight="false" outlineLevel="0" collapsed="false">
      <c r="A198" s="12" t="n">
        <v>151</v>
      </c>
      <c r="B198" s="12" t="s">
        <v>499</v>
      </c>
      <c r="C198" s="12" t="n">
        <v>855000</v>
      </c>
      <c r="D198" s="12" t="s">
        <v>460</v>
      </c>
      <c r="E198" s="12" t="s">
        <v>359</v>
      </c>
    </row>
    <row r="199" customFormat="false" ht="12.8" hidden="false" customHeight="false" outlineLevel="0" collapsed="false">
      <c r="A199" s="12" t="n">
        <v>152</v>
      </c>
      <c r="B199" s="12" t="s">
        <v>500</v>
      </c>
      <c r="C199" s="12" t="n">
        <v>0.35</v>
      </c>
      <c r="D199" s="12" t="s">
        <v>501</v>
      </c>
      <c r="E199" s="12" t="s">
        <v>502</v>
      </c>
    </row>
    <row r="200" customFormat="false" ht="12.8" hidden="false" customHeight="false" outlineLevel="0" collapsed="false">
      <c r="A200" s="12" t="n">
        <v>153</v>
      </c>
      <c r="B200" s="12" t="s">
        <v>503</v>
      </c>
      <c r="C200" s="12" t="n">
        <v>50000000</v>
      </c>
      <c r="D200" s="12" t="s">
        <v>504</v>
      </c>
      <c r="E200" s="12" t="s">
        <v>505</v>
      </c>
    </row>
    <row r="201" customFormat="false" ht="12.8" hidden="false" customHeight="false" outlineLevel="0" collapsed="false">
      <c r="A201" s="12" t="n">
        <v>154</v>
      </c>
      <c r="B201" s="12" t="s">
        <v>506</v>
      </c>
      <c r="C201" s="12" t="n">
        <v>0.4</v>
      </c>
      <c r="D201" s="12" t="s">
        <v>507</v>
      </c>
      <c r="E201" s="12" t="s">
        <v>508</v>
      </c>
    </row>
    <row r="202" customFormat="false" ht="12.8" hidden="false" customHeight="false" outlineLevel="0" collapsed="false">
      <c r="A202" s="12" t="n">
        <v>155</v>
      </c>
      <c r="B202" s="12" t="s">
        <v>509</v>
      </c>
      <c r="C202" s="12" t="n">
        <v>0.45</v>
      </c>
      <c r="D202" s="12" t="s">
        <v>510</v>
      </c>
      <c r="E202" s="12" t="s">
        <v>511</v>
      </c>
    </row>
    <row r="203" customFormat="false" ht="12.8" hidden="false" customHeight="false" outlineLevel="0" collapsed="false">
      <c r="A203" s="12" t="n">
        <v>156</v>
      </c>
      <c r="B203" s="12" t="s">
        <v>512</v>
      </c>
      <c r="C203" s="12" t="n">
        <v>0.3</v>
      </c>
      <c r="D203" s="12" t="s">
        <v>513</v>
      </c>
      <c r="E203" s="12" t="s">
        <v>514</v>
      </c>
    </row>
    <row r="204" customFormat="false" ht="12.8" hidden="false" customHeight="false" outlineLevel="0" collapsed="false">
      <c r="A204" s="12" t="n">
        <v>157</v>
      </c>
      <c r="B204" s="12" t="s">
        <v>515</v>
      </c>
      <c r="C204" s="12" t="n">
        <v>0.4</v>
      </c>
      <c r="D204" s="12" t="s">
        <v>516</v>
      </c>
      <c r="E204" s="12" t="s">
        <v>517</v>
      </c>
    </row>
    <row r="205" customFormat="false" ht="12.8" hidden="false" customHeight="false" outlineLevel="0" collapsed="false">
      <c r="A205" s="12" t="n">
        <v>158</v>
      </c>
      <c r="B205" s="12" t="s">
        <v>518</v>
      </c>
      <c r="C205" s="12" t="n">
        <v>0.15</v>
      </c>
      <c r="D205" s="12" t="s">
        <v>519</v>
      </c>
      <c r="E205" s="12" t="s">
        <v>520</v>
      </c>
    </row>
    <row r="206" customFormat="false" ht="12.8" hidden="false" customHeight="false" outlineLevel="0" collapsed="false">
      <c r="A206" s="12" t="n">
        <v>159</v>
      </c>
      <c r="B206" s="12" t="s">
        <v>521</v>
      </c>
      <c r="C206" s="12" t="n">
        <v>0.2</v>
      </c>
      <c r="D206" s="12" t="s">
        <v>375</v>
      </c>
      <c r="E206" s="12" t="s">
        <v>359</v>
      </c>
    </row>
    <row r="207" customFormat="false" ht="12.8" hidden="false" customHeight="false" outlineLevel="0" collapsed="false">
      <c r="A207" s="12" t="n">
        <v>160</v>
      </c>
      <c r="B207" s="12" t="s">
        <v>522</v>
      </c>
      <c r="C207" s="12" t="n">
        <v>0.25</v>
      </c>
      <c r="D207" s="12" t="s">
        <v>377</v>
      </c>
      <c r="E207" s="12" t="s">
        <v>359</v>
      </c>
    </row>
    <row r="208" customFormat="false" ht="12.8" hidden="false" customHeight="false" outlineLevel="0" collapsed="false">
      <c r="A208" s="12" t="n">
        <v>161</v>
      </c>
      <c r="B208" s="12" t="s">
        <v>523</v>
      </c>
      <c r="C208" s="12" t="n">
        <v>0.2</v>
      </c>
      <c r="D208" s="12" t="s">
        <v>379</v>
      </c>
      <c r="E208" s="12" t="s">
        <v>359</v>
      </c>
    </row>
    <row r="209" customFormat="false" ht="12.8" hidden="false" customHeight="false" outlineLevel="0" collapsed="false">
      <c r="A209" s="12" t="n">
        <v>162</v>
      </c>
      <c r="B209" s="12" t="s">
        <v>524</v>
      </c>
      <c r="C209" s="12" t="n">
        <v>0.1</v>
      </c>
      <c r="D209" s="12" t="s">
        <v>381</v>
      </c>
      <c r="E209" s="12" t="s">
        <v>359</v>
      </c>
    </row>
    <row r="210" customFormat="false" ht="12.8" hidden="false" customHeight="false" outlineLevel="0" collapsed="false">
      <c r="A210" s="12" t="n">
        <v>163</v>
      </c>
      <c r="B210" s="12" t="s">
        <v>525</v>
      </c>
      <c r="C210" s="12" t="n">
        <v>0.05</v>
      </c>
      <c r="D210" s="12" t="s">
        <v>383</v>
      </c>
      <c r="E210" s="12" t="s">
        <v>359</v>
      </c>
    </row>
    <row r="211" customFormat="false" ht="12.8" hidden="false" customHeight="false" outlineLevel="0" collapsed="false">
      <c r="A211" s="12" t="n">
        <v>164</v>
      </c>
      <c r="B211" s="12" t="s">
        <v>526</v>
      </c>
      <c r="C211" s="12" t="n">
        <v>0.05</v>
      </c>
      <c r="D211" s="12" t="s">
        <v>385</v>
      </c>
      <c r="E211" s="12" t="s">
        <v>370</v>
      </c>
    </row>
    <row r="212" customFormat="false" ht="12.8" hidden="false" customHeight="false" outlineLevel="0" collapsed="false">
      <c r="A212" s="12" t="n">
        <v>165</v>
      </c>
      <c r="B212" s="12" t="s">
        <v>527</v>
      </c>
      <c r="C212" s="12" t="n">
        <v>0.15</v>
      </c>
      <c r="D212" s="12" t="s">
        <v>528</v>
      </c>
      <c r="E212" s="12" t="s">
        <v>529</v>
      </c>
    </row>
    <row r="213" customFormat="false" ht="12.8" hidden="false" customHeight="false" outlineLevel="0" collapsed="false">
      <c r="A213" s="12" t="n">
        <v>166</v>
      </c>
      <c r="B213" s="12" t="s">
        <v>530</v>
      </c>
      <c r="C213" s="12" t="n">
        <v>0.25</v>
      </c>
      <c r="D213" s="12" t="s">
        <v>375</v>
      </c>
      <c r="E213" s="12" t="s">
        <v>359</v>
      </c>
    </row>
    <row r="214" customFormat="false" ht="12.8" hidden="false" customHeight="false" outlineLevel="0" collapsed="false">
      <c r="A214" s="12" t="n">
        <v>167</v>
      </c>
      <c r="B214" s="12" t="s">
        <v>531</v>
      </c>
      <c r="C214" s="12" t="n">
        <v>0.25</v>
      </c>
      <c r="D214" s="12" t="s">
        <v>377</v>
      </c>
      <c r="E214" s="12" t="s">
        <v>359</v>
      </c>
    </row>
    <row r="215" customFormat="false" ht="12.8" hidden="false" customHeight="false" outlineLevel="0" collapsed="false">
      <c r="A215" s="12" t="n">
        <v>168</v>
      </c>
      <c r="B215" s="12" t="s">
        <v>532</v>
      </c>
      <c r="C215" s="12" t="n">
        <v>0.15</v>
      </c>
      <c r="D215" s="12" t="s">
        <v>379</v>
      </c>
      <c r="E215" s="12" t="s">
        <v>359</v>
      </c>
    </row>
    <row r="216" customFormat="false" ht="12.8" hidden="false" customHeight="false" outlineLevel="0" collapsed="false">
      <c r="A216" s="12" t="n">
        <v>169</v>
      </c>
      <c r="B216" s="12" t="s">
        <v>533</v>
      </c>
      <c r="C216" s="12" t="n">
        <v>0.1</v>
      </c>
      <c r="D216" s="12" t="s">
        <v>381</v>
      </c>
      <c r="E216" s="12" t="s">
        <v>359</v>
      </c>
    </row>
    <row r="217" customFormat="false" ht="12.8" hidden="false" customHeight="false" outlineLevel="0" collapsed="false">
      <c r="A217" s="12" t="n">
        <v>170</v>
      </c>
      <c r="B217" s="12" t="s">
        <v>534</v>
      </c>
      <c r="C217" s="12" t="n">
        <v>0.05</v>
      </c>
      <c r="D217" s="12" t="s">
        <v>383</v>
      </c>
      <c r="E217" s="12" t="s">
        <v>359</v>
      </c>
    </row>
    <row r="218" customFormat="false" ht="12.8" hidden="false" customHeight="false" outlineLevel="0" collapsed="false">
      <c r="A218" s="12" t="n">
        <v>171</v>
      </c>
      <c r="B218" s="12" t="s">
        <v>535</v>
      </c>
      <c r="C218" s="12" t="n">
        <v>0.05</v>
      </c>
      <c r="D218" s="12" t="s">
        <v>385</v>
      </c>
      <c r="E218" s="12" t="s">
        <v>359</v>
      </c>
    </row>
    <row r="219" customFormat="false" ht="12.8" hidden="false" customHeight="false" outlineLevel="0" collapsed="false">
      <c r="A219" s="12" t="n">
        <v>172</v>
      </c>
      <c r="B219" s="12" t="s">
        <v>536</v>
      </c>
      <c r="C219" s="12" t="n">
        <v>0.3</v>
      </c>
      <c r="D219" s="12" t="s">
        <v>537</v>
      </c>
      <c r="E219" s="12" t="s">
        <v>538</v>
      </c>
    </row>
    <row r="220" customFormat="false" ht="12.8" hidden="false" customHeight="false" outlineLevel="0" collapsed="false">
      <c r="A220" s="12" t="n">
        <v>173</v>
      </c>
      <c r="B220" s="12" t="s">
        <v>539</v>
      </c>
      <c r="C220" s="12" t="n">
        <v>0.25</v>
      </c>
      <c r="D220" s="12" t="s">
        <v>375</v>
      </c>
      <c r="E220" s="12" t="s">
        <v>359</v>
      </c>
    </row>
    <row r="221" customFormat="false" ht="12.8" hidden="false" customHeight="false" outlineLevel="0" collapsed="false">
      <c r="A221" s="12" t="n">
        <v>174</v>
      </c>
      <c r="B221" s="12" t="s">
        <v>540</v>
      </c>
      <c r="C221" s="12" t="n">
        <v>0.15</v>
      </c>
      <c r="D221" s="12" t="s">
        <v>377</v>
      </c>
      <c r="E221" s="12" t="s">
        <v>359</v>
      </c>
    </row>
    <row r="222" customFormat="false" ht="12.8" hidden="false" customHeight="false" outlineLevel="0" collapsed="false">
      <c r="A222" s="12" t="n">
        <v>175</v>
      </c>
      <c r="B222" s="12" t="s">
        <v>541</v>
      </c>
      <c r="C222" s="12" t="n">
        <v>0.1</v>
      </c>
      <c r="D222" s="12" t="s">
        <v>379</v>
      </c>
      <c r="E222" s="12" t="s">
        <v>359</v>
      </c>
    </row>
    <row r="223" customFormat="false" ht="12.8" hidden="false" customHeight="false" outlineLevel="0" collapsed="false">
      <c r="A223" s="12" t="n">
        <v>176</v>
      </c>
      <c r="B223" s="12" t="s">
        <v>542</v>
      </c>
      <c r="C223" s="12" t="n">
        <v>0.05</v>
      </c>
      <c r="D223" s="12" t="s">
        <v>381</v>
      </c>
      <c r="E223" s="12" t="s">
        <v>359</v>
      </c>
    </row>
    <row r="224" customFormat="false" ht="12.8" hidden="false" customHeight="false" outlineLevel="0" collapsed="false">
      <c r="A224" s="12" t="n">
        <v>177</v>
      </c>
      <c r="B224" s="12" t="s">
        <v>543</v>
      </c>
      <c r="C224" s="12" t="n">
        <v>0.03</v>
      </c>
      <c r="D224" s="12" t="s">
        <v>383</v>
      </c>
      <c r="E224" s="12" t="s">
        <v>359</v>
      </c>
    </row>
    <row r="225" customFormat="false" ht="12.8" hidden="false" customHeight="false" outlineLevel="0" collapsed="false">
      <c r="A225" s="12" t="n">
        <v>178</v>
      </c>
      <c r="B225" s="12" t="s">
        <v>544</v>
      </c>
      <c r="C225" s="12" t="n">
        <v>0.02</v>
      </c>
      <c r="D225" s="12" t="s">
        <v>385</v>
      </c>
      <c r="E225" s="12" t="s">
        <v>359</v>
      </c>
    </row>
    <row r="226" customFormat="false" ht="12.8" hidden="false" customHeight="false" outlineLevel="0" collapsed="false">
      <c r="A226" s="12" t="n">
        <v>179</v>
      </c>
      <c r="B226" s="12" t="s">
        <v>545</v>
      </c>
      <c r="C226" s="12" t="n">
        <v>0.15</v>
      </c>
      <c r="D226" s="12" t="s">
        <v>546</v>
      </c>
      <c r="E226" s="12" t="s">
        <v>397</v>
      </c>
    </row>
    <row r="227" customFormat="false" ht="12.8" hidden="false" customHeight="false" outlineLevel="0" collapsed="false">
      <c r="A227" s="12" t="n">
        <v>180</v>
      </c>
      <c r="B227" s="12" t="s">
        <v>547</v>
      </c>
      <c r="C227" s="12" t="n">
        <v>0.18</v>
      </c>
      <c r="D227" s="12" t="s">
        <v>375</v>
      </c>
      <c r="E227" s="12" t="s">
        <v>359</v>
      </c>
    </row>
    <row r="228" customFormat="false" ht="12.8" hidden="false" customHeight="false" outlineLevel="0" collapsed="false">
      <c r="A228" s="12" t="n">
        <v>181</v>
      </c>
      <c r="B228" s="12" t="s">
        <v>548</v>
      </c>
      <c r="C228" s="12" t="n">
        <v>0.25</v>
      </c>
      <c r="D228" s="12" t="s">
        <v>377</v>
      </c>
      <c r="E228" s="12" t="s">
        <v>359</v>
      </c>
    </row>
    <row r="229" customFormat="false" ht="12.8" hidden="false" customHeight="false" outlineLevel="0" collapsed="false">
      <c r="A229" s="12" t="n">
        <v>182</v>
      </c>
      <c r="B229" s="12" t="s">
        <v>549</v>
      </c>
      <c r="C229" s="12" t="n">
        <v>0.2</v>
      </c>
      <c r="D229" s="12" t="s">
        <v>379</v>
      </c>
      <c r="E229" s="12" t="s">
        <v>359</v>
      </c>
    </row>
    <row r="230" customFormat="false" ht="12.8" hidden="false" customHeight="false" outlineLevel="0" collapsed="false">
      <c r="A230" s="12" t="n">
        <v>183</v>
      </c>
      <c r="B230" s="12" t="s">
        <v>550</v>
      </c>
      <c r="C230" s="12" t="n">
        <v>0.11</v>
      </c>
      <c r="D230" s="12" t="s">
        <v>381</v>
      </c>
      <c r="E230" s="12" t="s">
        <v>359</v>
      </c>
    </row>
    <row r="231" customFormat="false" ht="12.8" hidden="false" customHeight="false" outlineLevel="0" collapsed="false">
      <c r="A231" s="12" t="n">
        <v>184</v>
      </c>
      <c r="B231" s="12" t="s">
        <v>551</v>
      </c>
      <c r="C231" s="12" t="n">
        <v>0.06</v>
      </c>
      <c r="D231" s="12" t="s">
        <v>383</v>
      </c>
      <c r="E231" s="12" t="s">
        <v>359</v>
      </c>
    </row>
    <row r="232" customFormat="false" ht="12.8" hidden="false" customHeight="false" outlineLevel="0" collapsed="false">
      <c r="A232" s="12" t="n">
        <v>185</v>
      </c>
      <c r="B232" s="12" t="s">
        <v>552</v>
      </c>
      <c r="C232" s="12" t="n">
        <v>0.05</v>
      </c>
      <c r="D232" s="12" t="s">
        <v>385</v>
      </c>
      <c r="E232" s="12" t="s">
        <v>359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2926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2025-12-27T14:55:03Z</dcterms:created>
  <dc:creator/>
  <dc:description/>
  <dc:language>en-US</dc:language>
  <cp:lastModifiedBy/>
  <dcterms:modified xsi:type="dcterms:W3CDTF">2026-02-01T19:20:46Z</dcterms:modified>
  <cp:revision>355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