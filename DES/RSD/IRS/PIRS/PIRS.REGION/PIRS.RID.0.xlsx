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REGION" sheetId="1" state="visible" r:id="rId3"/>
    <sheet name="PIRS.RID.0.AL"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<sst xmlns="http://schemas.openxmlformats.org/spreadsheetml/2006/main" count="188" uniqueCount="105">
  <si>
    <t xml:space="preserve">Labor Security Division (LSD) – Southeast State Labor Statistics</t>
  </si>
  <si>
    <t xml:space="preserve">TAB</t>
  </si>
  <si>
    <t xml:space="preserve">LSD – State Labor Statistics</t>
  </si>
  <si>
    <t xml:space="preserve">RID</t>
  </si>
  <si>
    <t xml:space="preserve">State</t>
  </si>
  <si>
    <t xml:space="preserve">Name</t>
  </si>
  <si>
    <t xml:space="preserve">AL</t>
  </si>
  <si>
    <t xml:space="preserve">GLO</t>
  </si>
  <si>
    <t xml:space="preserve">Glossary</t>
  </si>
  <si>
    <t xml:space="preserve">GID</t>
  </si>
  <si>
    <t xml:space="preserve">Region ID</t>
  </si>
  <si>
    <t xml:space="preserve">FPTBID</t>
  </si>
  <si>
    <t xml:space="preserve">Federal Personal Tax Bracket ID</t>
  </si>
  <si>
    <t xml:space="preserve">FPTBVID</t>
  </si>
  <si>
    <t xml:space="preserve">Federal Personal Tax Bracket Visualization ID</t>
  </si>
  <si>
    <t xml:space="preserve">INVID</t>
  </si>
  <si>
    <t xml:space="preserve">Invocation ID</t>
  </si>
  <si>
    <t xml:space="preserve">INV</t>
  </si>
  <si>
    <t xml:space="preserve">Invocations</t>
  </si>
  <si>
    <t xml:space="preserve">Script</t>
  </si>
  <si>
    <t xml:space="preserve">References</t>
  </si>
  <si>
    <t xml:space="preserve">Reference Account</t>
  </si>
  <si>
    <t xml:space="preserve">0</t>
  </si>
  <si>
    <t xml:space="preserve">Alabama Federal Personal Tax Calculations</t>
  </si>
  <si>
    <t xml:space="preserve">This session's purpose is to calculate Federal Personal Tax statistics for each state in a region. Each state's Federal Personal Tax statistic calculations will be performed independently and using predefined formulae. Output should be in copy-pasteable `TSV` format. `PIRS.REFERENCE` spreadsheet details `FORMULAE.REGION` and `FORMULAE.STATE` calculations for regionalized states, as well as other parameterized tabs referenced by formulae. Formulae tabs are pseudocode and require calculations performed as machine instructions. `RID.0` is comprised of individual state tabs with primary tables of performed calculations, then altertables in each state's tab remain references to primary table. 
All tableS in the spreadsheet should be calculated with latest formulae and parameters from spreadsheet. When requested during this session calculate a specified state's labor statistics. Afterward validate the calculated table against alter public sources.  Prompt me to continue. </t>
  </si>
  <si>
    <t xml:space="preserve">https://grok.com/share/c2hhcmQtMi1jb3B5_f6996fc5-464c-4a11-b654-bf2382db5cae</t>
  </si>
  <si>
    <t xml:space="preserve">thomas.welborn@protonmail.com</t>
  </si>
  <si>
    <t xml:space="preserve">Federal Personal Tax Statistics (Alabama)</t>
  </si>
  <si>
    <t xml:space="preserve">Bracket</t>
  </si>
  <si>
    <t xml:space="preserve">Status</t>
  </si>
  <si>
    <t xml:space="preserve">Earnings Minimum</t>
  </si>
  <si>
    <t xml:space="preserve">Earnings Maximum</t>
  </si>
  <si>
    <t xml:space="preserve">Total Population</t>
  </si>
  <si>
    <t xml:space="preserve">Authorized Population</t>
  </si>
  <si>
    <t xml:space="preserve">Unauthorized Population</t>
  </si>
  <si>
    <t xml:space="preserve">American Population</t>
  </si>
  <si>
    <t xml:space="preserve">Total Taxpayers</t>
  </si>
  <si>
    <t xml:space="preserve">Authorized Taxpayers</t>
  </si>
  <si>
    <t xml:space="preserve">Unauthorized Taxpayers</t>
  </si>
  <si>
    <t xml:space="preserve">American Taxpayers</t>
  </si>
  <si>
    <t xml:space="preserve">Marginal Federal Personal Income Tax Rate</t>
  </si>
  <si>
    <t xml:space="preserve">Unauthorized Marginal Federal Personal Income Tax Rate</t>
  </si>
  <si>
    <t xml:space="preserve">Authorized Marginal Federal Personal Income Tax Rate</t>
  </si>
  <si>
    <t xml:space="preserve">American Marginal Federal Personal Income Tax Rate</t>
  </si>
  <si>
    <t xml:space="preserve">Effective Income Tax Rate</t>
  </si>
  <si>
    <t xml:space="preserve">Unauthorized Effective Income Tax Rate</t>
  </si>
  <si>
    <t xml:space="preserve">Authorized Effective Income Tax Rate</t>
  </si>
  <si>
    <t xml:space="preserve">American Effective Income Tax Rate</t>
  </si>
  <si>
    <t xml:space="preserve">Effective Payroll Tax Rate</t>
  </si>
  <si>
    <t xml:space="preserve">Unauthorized Effective Payroll Tax Rate</t>
  </si>
  <si>
    <t xml:space="preserve">Authorized Effective Payroll Tax Rate</t>
  </si>
  <si>
    <t xml:space="preserve">American Effective Payroll Tax Rate</t>
  </si>
  <si>
    <t xml:space="preserve">Net Effective Tax Rate</t>
  </si>
  <si>
    <t xml:space="preserve">Unauthorized Net Effective Tax Rate</t>
  </si>
  <si>
    <t xml:space="preserve">Authorized Net Effective Tax Rate</t>
  </si>
  <si>
    <t xml:space="preserve">American Net Effective Tax Rate</t>
  </si>
  <si>
    <t xml:space="preserve">Federal Personal Income Tax Revenue ($)</t>
  </si>
  <si>
    <t xml:space="preserve">Authorized Immigrant Federal Personal Income Tax Revenue ($)</t>
  </si>
  <si>
    <t xml:space="preserve">Unauthorized Immigrant Federal Personal Income Tax Revenue ($)</t>
  </si>
  <si>
    <t xml:space="preserve">American Federal Personal Income Tax Revenue ($)</t>
  </si>
  <si>
    <t xml:space="preserve">Payroll Tax Revenue ($)</t>
  </si>
  <si>
    <t xml:space="preserve">Authorized Immigrant Payroll Tax Revenue ($)</t>
  </si>
  <si>
    <t xml:space="preserve">Unauthorized Immigrant Payroll Tax Revenue ($)</t>
  </si>
  <si>
    <t xml:space="preserve">American Payroll Tax Revenue ($)</t>
  </si>
  <si>
    <t xml:space="preserve">EITC Credit Refund ($)</t>
  </si>
  <si>
    <t xml:space="preserve">Authorized Immigrant EITC Credit Refund ($)</t>
  </si>
  <si>
    <t xml:space="preserve">Unauthorized Immigrant EITC Credit Refund ($)</t>
  </si>
  <si>
    <t xml:space="preserve">American EITC Credit Refund ($)</t>
  </si>
  <si>
    <t xml:space="preserve">ACTC Credit Refund ($)</t>
  </si>
  <si>
    <t xml:space="preserve">Authorized Immigrant ACTC Credit Refund ($)</t>
  </si>
  <si>
    <t xml:space="preserve">Unauthorized Immigrant ACTC Credit Refund ($)</t>
  </si>
  <si>
    <t xml:space="preserve">American ACTC Credit Refund ($)</t>
  </si>
  <si>
    <t xml:space="preserve">AOTC Refundable Credit Refund ($)</t>
  </si>
  <si>
    <t xml:space="preserve">Authorized Immigrant AOTC Refundable Credit Refund ($)</t>
  </si>
  <si>
    <t xml:space="preserve">Unauthorized Immigrant AOTC Refundable Credit Refund ($)</t>
  </si>
  <si>
    <t xml:space="preserve">American AOTC Refundable Credit Refund ($)</t>
  </si>
  <si>
    <t xml:space="preserve">PTC Credit Refund ($)</t>
  </si>
  <si>
    <t xml:space="preserve">Authorized Immigrant PTC Credit Refund ($)</t>
  </si>
  <si>
    <t xml:space="preserve">Unauthorized Immigrant PTC Credit Refund ($)</t>
  </si>
  <si>
    <t xml:space="preserve">American PTC Credit Refund ($)</t>
  </si>
  <si>
    <t xml:space="preserve">CTC Nonrefundable Credit Offset ($)</t>
  </si>
  <si>
    <t xml:space="preserve">Authorized Immigrant CTC Nonrefundable Credit Offset ($)</t>
  </si>
  <si>
    <t xml:space="preserve">Unauthorized Immigrant CTC Nonrefundable Credit Offset ($)</t>
  </si>
  <si>
    <t xml:space="preserve">American CTC Nonrefundable Credit Offset ($)</t>
  </si>
  <si>
    <t xml:space="preserve">AOTC Nonrefundable Credit Offset ($)</t>
  </si>
  <si>
    <t xml:space="preserve">Authorized Immigrant AOTC Nonrefundable Credit Offset ($)</t>
  </si>
  <si>
    <t xml:space="preserve">Unauthorized Immigrant AOTC Nonrefundable Credit Offset ($)</t>
  </si>
  <si>
    <t xml:space="preserve">American AOTC Nonrefundable Credit Offset ($)</t>
  </si>
  <si>
    <t xml:space="preserve">LLC Nonrefundable Credit Offset ($)</t>
  </si>
  <si>
    <t xml:space="preserve">Authorized Immigrant LLC Nonrefundable Credit Offset ($)</t>
  </si>
  <si>
    <t xml:space="preserve">Unauthorized Immigrant LLC Nonrefundable Credit Offset ($)</t>
  </si>
  <si>
    <t xml:space="preserve">American LLC Nonrefundable Credit Offset ($)</t>
  </si>
  <si>
    <t xml:space="preserve">All Brackets</t>
  </si>
  <si>
    <t xml:space="preserve">All Status</t>
  </si>
  <si>
    <t xml:space="preserve">~</t>
  </si>
  <si>
    <t xml:space="preserve">Single</t>
  </si>
  <si>
    <t xml:space="preserve">MFJ</t>
  </si>
  <si>
    <t xml:space="preserve">HoH</t>
  </si>
  <si>
    <t xml:space="preserve">Bracket #1</t>
  </si>
  <si>
    <t xml:space="preserve">Bracket #2</t>
  </si>
  <si>
    <t xml:space="preserve">Bracket #3</t>
  </si>
  <si>
    <t xml:space="preserve">Bracket #4</t>
  </si>
  <si>
    <t xml:space="preserve">Bracket #5</t>
  </si>
  <si>
    <t xml:space="preserve">Bracket #6</t>
  </si>
  <si>
    <t xml:space="preserve">Bracket #7</t>
  </si>
</sst>
</file>

<file path=xl/styles.xml><?xml version="1.0" encoding="utf-8"?>
<styleSheet xmlns="http://schemas.openxmlformats.org/spreadsheetml/2006/main">
  <numFmts count="7">
    <numFmt numFmtId="164" formatCode="General"/>
    <numFmt numFmtId="165" formatCode="\$#,##0.00_);&quot;($&quot;#,##0.00\)"/>
    <numFmt numFmtId="166" formatCode="\$#,##0_);[RED]&quot;($&quot;#,##0\)"/>
    <numFmt numFmtId="167" formatCode="[$$-409]#,##0;\-[$$-409]#,##0"/>
    <numFmt numFmtId="168" formatCode="#,##0"/>
    <numFmt numFmtId="169" formatCode="0.00%"/>
    <numFmt numFmtId="170" formatCode="[$$-409]#,##0;[RED]\-[$$-409]#,##0"/>
  </numFmts>
  <fonts count="10">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i val="true"/>
      <u val="single"/>
      <sz val="10"/>
      <color rgb="FF000000"/>
      <name val="Arial"/>
      <family val="2"/>
      <charset val="1"/>
    </font>
    <font>
      <b val="true"/>
      <sz val="10"/>
      <name val="arial"/>
      <family val="2"/>
      <charset val="1"/>
    </font>
    <font>
      <b val="true"/>
      <sz val="10"/>
      <name val="Arial"/>
      <family val="2"/>
      <charset val="1"/>
    </font>
    <font>
      <sz val="10"/>
      <color rgb="FF0000FF"/>
      <name val="Arial"/>
      <family val="2"/>
      <charset val="1"/>
    </font>
    <font>
      <sz val="10"/>
      <name val="Times New Roman"/>
      <family val="1"/>
      <charset val="1"/>
    </font>
  </fonts>
  <fills count="4">
    <fill>
      <patternFill patternType="none"/>
    </fill>
    <fill>
      <patternFill patternType="gray125"/>
    </fill>
    <fill>
      <patternFill patternType="solid">
        <fgColor rgb="FF333300"/>
        <bgColor rgb="FF333333"/>
      </patternFill>
    </fill>
    <fill>
      <patternFill patternType="solid">
        <fgColor rgb="FFFFCC00"/>
        <bgColor rgb="FFFFFF00"/>
      </patternFill>
    </fill>
  </fills>
  <borders count="10">
    <border diagonalUp="false" diagonalDown="false">
      <left/>
      <right/>
      <top/>
      <bottom/>
      <diagonal/>
    </border>
    <border diagonalUp="false" diagonalDown="false">
      <left/>
      <right/>
      <top/>
      <bottom style="hair">
        <color rgb="FF000080"/>
      </bottom>
      <diagonal/>
    </border>
    <border diagonalUp="false" diagonalDown="false">
      <left style="hair">
        <color rgb="FF000080"/>
      </left>
      <right/>
      <top/>
      <bottom style="hair">
        <color rgb="FF000080"/>
      </bottom>
      <diagonal/>
    </border>
    <border diagonalUp="false" diagonalDown="false">
      <left/>
      <right style="hair">
        <color rgb="FF000080"/>
      </right>
      <top/>
      <bottom style="hair">
        <color rgb="FF000080"/>
      </bottom>
      <diagonal/>
    </border>
    <border diagonalUp="false" diagonalDown="false">
      <left style="hair">
        <color rgb="FF000080"/>
      </left>
      <right/>
      <top/>
      <bottom/>
      <diagonal/>
    </border>
    <border diagonalUp="false" diagonalDown="false">
      <left/>
      <right style="hair">
        <color rgb="FF000080"/>
      </right>
      <top/>
      <bottom/>
      <diagonal/>
    </border>
    <border diagonalUp="false" diagonalDown="false">
      <left/>
      <right/>
      <top style="hair">
        <color rgb="FF000080"/>
      </top>
      <bottom/>
      <diagonal/>
    </border>
    <border diagonalUp="false" diagonalDown="false">
      <left style="hair">
        <color rgb="FF000080"/>
      </left>
      <right/>
      <top style="hair">
        <color rgb="FF000080"/>
      </top>
      <bottom/>
      <diagonal/>
    </border>
    <border diagonalUp="false" diagonalDown="false">
      <left/>
      <right style="hair">
        <color rgb="FF000080"/>
      </right>
      <top style="hair">
        <color rgb="FF000080"/>
      </top>
      <bottom/>
      <diagonal/>
    </border>
    <border diagonalUp="false" diagonalDown="false">
      <left style="hair"/>
      <right style="hair"/>
      <top style="hair"/>
      <bottom style="hair"/>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right" vertical="bottom" textRotation="0" wrapText="true" indent="0" shrinkToFit="false"/>
    </xf>
    <xf numFmtId="164" fontId="0" fillId="3" borderId="1" applyFont="true" applyBorder="true" applyAlignment="true" applyProtection="false">
      <alignment horizontal="right" vertical="bottom" textRotation="0" wrapText="true" indent="0" shrinkToFit="false"/>
    </xf>
    <xf numFmtId="164" fontId="0" fillId="3" borderId="2" applyFont="true" applyBorder="true" applyAlignment="true" applyProtection="false">
      <alignment horizontal="right" vertical="bottom" textRotation="0" wrapText="true" indent="0" shrinkToFit="false"/>
    </xf>
    <xf numFmtId="164" fontId="0" fillId="3" borderId="3" applyFont="true" applyBorder="true" applyAlignment="true" applyProtection="false">
      <alignment horizontal="right" vertical="bottom" textRotation="0" wrapText="true" indent="0" shrinkToFit="false"/>
    </xf>
    <xf numFmtId="164" fontId="0" fillId="3" borderId="4" applyFont="true" applyBorder="true" applyAlignment="true" applyProtection="false">
      <alignment horizontal="right" vertical="bottom" textRotation="0" wrapText="true" indent="0" shrinkToFit="false"/>
    </xf>
    <xf numFmtId="164" fontId="0" fillId="3" borderId="5" applyFont="true" applyBorder="true" applyAlignment="true" applyProtection="false">
      <alignment horizontal="right" vertical="bottom" textRotation="0" wrapText="true" indent="0" shrinkToFit="false"/>
    </xf>
    <xf numFmtId="164" fontId="0" fillId="3" borderId="6" applyFont="true" applyBorder="true" applyAlignment="true" applyProtection="false">
      <alignment horizontal="right" vertical="bottom" textRotation="0" wrapText="true" indent="0" shrinkToFit="false"/>
    </xf>
    <xf numFmtId="164" fontId="0" fillId="3" borderId="7" applyFont="true" applyBorder="true" applyAlignment="true" applyProtection="false">
      <alignment horizontal="right" vertical="bottom" textRotation="0" wrapText="true" indent="0" shrinkToFit="false"/>
    </xf>
    <xf numFmtId="164" fontId="0" fillId="3" borderId="8" applyFont="true" applyBorder="true" applyAlignment="true" applyProtection="false">
      <alignment horizontal="right" vertical="bottom" textRotation="0" wrapText="true" indent="0" shrinkToFit="false"/>
    </xf>
    <xf numFmtId="164" fontId="0" fillId="3" borderId="0" applyFont="true" applyBorder="false" applyAlignment="true" applyProtection="false">
      <alignment horizontal="right" vertical="bottom" textRotation="0" wrapText="true" indent="0" shrinkToFit="false"/>
    </xf>
    <xf numFmtId="165" fontId="0" fillId="0" borderId="9" applyFont="true" applyBorder="true" applyAlignment="true" applyProtection="true">
      <alignment horizontal="general" vertical="bottom" textRotation="0" wrapText="false" indent="0" shrinkToFit="false"/>
      <protection locked="false" hidden="false"/>
    </xf>
    <xf numFmtId="166" fontId="5" fillId="0" borderId="0" applyFont="true" applyBorder="false" applyAlignment="true" applyProtection="false">
      <alignment horizontal="general" vertical="bottom" textRotation="0" wrapText="false" indent="0" shrinkToFit="false"/>
    </xf>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7" fontId="0" fillId="0" borderId="0" xfId="0" applyFont="true" applyBorder="false" applyAlignment="true" applyProtection="true">
      <alignment horizontal="left" vertical="bottom" textRotation="0" wrapText="true" indent="0" shrinkToFit="false"/>
      <protection locked="true" hidden="false"/>
    </xf>
    <xf numFmtId="168" fontId="0" fillId="0" borderId="0" xfId="0" applyFont="true" applyBorder="false" applyAlignment="true" applyProtection="true">
      <alignment horizontal="left" vertical="bottom" textRotation="0" wrapText="true" indent="0" shrinkToFit="false"/>
      <protection locked="true" hidden="false"/>
    </xf>
    <xf numFmtId="169" fontId="0" fillId="0" borderId="0" xfId="0" applyFont="true" applyBorder="false" applyAlignment="true" applyProtection="true">
      <alignment horizontal="left" vertical="bottom" textRotation="0" wrapText="true" indent="0" shrinkToFit="false"/>
      <protection locked="true" hidden="false"/>
    </xf>
    <xf numFmtId="170" fontId="0" fillId="0" borderId="0" xfId="0" applyFont="true" applyBorder="false" applyAlignment="true" applyProtection="true">
      <alignment horizontal="left" vertical="bottom" textRotation="0" wrapText="true" indent="0" shrinkToFit="false"/>
      <protection locked="true" hidden="false"/>
    </xf>
    <xf numFmtId="168" fontId="0" fillId="0" borderId="0" xfId="0" applyFont="false" applyBorder="false" applyAlignment="true" applyProtection="true">
      <alignment horizontal="left" vertical="bottom" textRotation="0" wrapText="true" indent="0" shrinkToFit="false"/>
      <protection locked="true" hidden="false"/>
    </xf>
    <xf numFmtId="167" fontId="0" fillId="0" borderId="0" xfId="0" applyFont="false" applyBorder="false" applyAlignment="true" applyProtection="true">
      <alignment horizontal="left"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2" xfId="3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BF0041"/>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E1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B10" activeCellId="0" sqref="B10"/>
    </sheetView>
  </sheetViews>
  <sheetFormatPr defaultColWidth="11.53515625" defaultRowHeight="12.8" customHeight="false" zeroHeight="false" outlineLevelRow="0" outlineLevelCol="0"/>
  <cols>
    <col collapsed="false" customWidth="false" hidden="false" outlineLevel="0" max="1" min="1" style="1" width="11.53"/>
    <col collapsed="false" customWidth="true" hidden="false" outlineLevel="0" max="2" min="2" style="2" width="25.37"/>
    <col collapsed="false" customWidth="true" hidden="false" outlineLevel="0" max="3" min="3" style="2" width="43.81"/>
    <col collapsed="false" customWidth="true" hidden="false" outlineLevel="0" max="4" min="4" style="2" width="23.07"/>
    <col collapsed="false" customWidth="false" hidden="false" outlineLevel="0" max="16384" min="5" style="1" width="11.53"/>
  </cols>
  <sheetData>
    <row r="1" customFormat="false" ht="12.8" hidden="false" customHeight="false" outlineLevel="0" collapsed="false">
      <c r="A1" s="3" t="s">
        <v>0</v>
      </c>
      <c r="B1" s="3"/>
      <c r="C1" s="3"/>
    </row>
    <row r="2" customFormat="false" ht="12.8" hidden="false" customHeight="false" outlineLevel="0" collapsed="false">
      <c r="A2" s="4" t="s">
        <v>1</v>
      </c>
      <c r="B2" s="5" t="s">
        <v>2</v>
      </c>
      <c r="C2" s="5"/>
    </row>
    <row r="3" customFormat="false" ht="12.8" hidden="false" customHeight="false" outlineLevel="0" collapsed="false">
      <c r="A3" s="6" t="s">
        <v>3</v>
      </c>
      <c r="B3" s="6" t="s">
        <v>4</v>
      </c>
      <c r="C3" s="6" t="s">
        <v>5</v>
      </c>
    </row>
    <row r="4" customFormat="false" ht="12.8" hidden="false" customHeight="false" outlineLevel="0" collapsed="false">
      <c r="A4" s="2" t="n">
        <v>0</v>
      </c>
      <c r="B4" s="7" t="s">
        <v>6</v>
      </c>
      <c r="C4" s="2" t="str">
        <f aca="false">'PIRS.RID.0.AL'!$B$1</f>
        <v>Federal Personal Tax Statistics (Alabama)</v>
      </c>
    </row>
    <row r="6" customFormat="false" ht="12.8" hidden="false" customHeight="false" outlineLevel="0" collapsed="false">
      <c r="A6" s="6" t="s">
        <v>7</v>
      </c>
      <c r="B6" s="6" t="s">
        <v>8</v>
      </c>
    </row>
    <row r="7" customFormat="false" ht="12.8" hidden="false" customHeight="false" outlineLevel="0" collapsed="false">
      <c r="A7" s="6" t="s">
        <v>9</v>
      </c>
      <c r="B7" s="6" t="s">
        <v>3</v>
      </c>
      <c r="C7" s="6" t="s">
        <v>10</v>
      </c>
    </row>
    <row r="8" customFormat="false" ht="12.8" hidden="false" customHeight="false" outlineLevel="0" collapsed="false">
      <c r="A8" s="8" t="n">
        <v>0</v>
      </c>
      <c r="B8" s="8" t="s">
        <v>11</v>
      </c>
      <c r="C8" s="8" t="s">
        <v>12</v>
      </c>
    </row>
    <row r="9" customFormat="false" ht="12.8" hidden="false" customHeight="false" outlineLevel="0" collapsed="false">
      <c r="A9" s="8" t="n">
        <v>1</v>
      </c>
      <c r="B9" s="8" t="s">
        <v>13</v>
      </c>
      <c r="C9" s="8" t="s">
        <v>14</v>
      </c>
    </row>
    <row r="10" customFormat="false" ht="12.8" hidden="false" customHeight="false" outlineLevel="0" collapsed="false">
      <c r="A10" s="2" t="n">
        <v>2</v>
      </c>
      <c r="B10" s="2" t="s">
        <v>15</v>
      </c>
      <c r="C10" s="2" t="s">
        <v>16</v>
      </c>
    </row>
    <row r="11" customFormat="false" ht="12.8" hidden="false" customHeight="false" outlineLevel="0" collapsed="false">
      <c r="A11" s="2" t="n">
        <v>3</v>
      </c>
      <c r="B11" s="2" t="s">
        <v>3</v>
      </c>
      <c r="C11" s="2" t="s">
        <v>10</v>
      </c>
    </row>
    <row r="13" customFormat="false" ht="12.8" hidden="false" customHeight="false" outlineLevel="0" collapsed="false">
      <c r="A13" s="6" t="s">
        <v>17</v>
      </c>
      <c r="B13" s="6" t="s">
        <v>18</v>
      </c>
    </row>
    <row r="14" customFormat="false" ht="12.8" hidden="false" customHeight="false" outlineLevel="0" collapsed="false">
      <c r="A14" s="6" t="s">
        <v>15</v>
      </c>
      <c r="B14" s="6" t="s">
        <v>5</v>
      </c>
      <c r="C14" s="6" t="s">
        <v>19</v>
      </c>
      <c r="D14" s="6" t="s">
        <v>20</v>
      </c>
      <c r="E14" s="2" t="s">
        <v>21</v>
      </c>
    </row>
    <row r="15" customFormat="false" ht="24.85" hidden="false" customHeight="false" outlineLevel="0" collapsed="false">
      <c r="A15" s="2" t="s">
        <v>22</v>
      </c>
      <c r="B15" s="2" t="s">
        <v>23</v>
      </c>
      <c r="C15" s="9" t="s">
        <v>24</v>
      </c>
      <c r="D15" s="8" t="s">
        <v>25</v>
      </c>
      <c r="E15" s="2" t="s">
        <v>26</v>
      </c>
    </row>
  </sheetData>
  <mergeCells count="2">
    <mergeCell ref="A1:C1"/>
    <mergeCell ref="B2:C2"/>
  </mergeCells>
  <hyperlinks>
    <hyperlink ref="B4" location="AL!A1" display="AL"/>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0041"/>
    <pageSetUpPr fitToPage="false"/>
  </sheetPr>
  <dimension ref="A1:CC3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3" activeCellId="0" sqref="A3"/>
    </sheetView>
  </sheetViews>
  <sheetFormatPr defaultColWidth="16.6953125" defaultRowHeight="12.8" customHeight="false" zeroHeight="false" outlineLevelRow="0" outlineLevelCol="0"/>
  <cols>
    <col collapsed="false" customWidth="false" hidden="false" outlineLevel="0" max="2" min="1" style="10" width="16.69"/>
    <col collapsed="false" customWidth="true" hidden="false" outlineLevel="0" max="3" min="3" style="10" width="14.39"/>
    <col collapsed="false" customWidth="true" hidden="false" outlineLevel="0" max="5" min="4" style="10" width="12.08"/>
    <col collapsed="false" customWidth="false" hidden="false" outlineLevel="0" max="16384" min="6" style="10" width="16.69"/>
  </cols>
  <sheetData>
    <row r="1" customFormat="false" ht="36.45" hidden="false" customHeight="false" outlineLevel="0" collapsed="false">
      <c r="A1" s="11" t="s">
        <v>6</v>
      </c>
      <c r="B1" s="12" t="s">
        <v>27</v>
      </c>
    </row>
    <row r="2" s="12" customFormat="true" ht="48.05" hidden="false" customHeight="false" outlineLevel="0" collapsed="false">
      <c r="A2" s="12" t="s">
        <v>11</v>
      </c>
      <c r="B2" s="12" t="s">
        <v>28</v>
      </c>
      <c r="C2" s="12" t="s">
        <v>29</v>
      </c>
      <c r="D2" s="13" t="s">
        <v>30</v>
      </c>
      <c r="E2" s="13" t="s">
        <v>31</v>
      </c>
      <c r="F2" s="14" t="s">
        <v>32</v>
      </c>
      <c r="G2" s="14" t="s">
        <v>33</v>
      </c>
      <c r="H2" s="14" t="s">
        <v>34</v>
      </c>
      <c r="I2" s="14" t="s">
        <v>35</v>
      </c>
      <c r="J2" s="14" t="s">
        <v>36</v>
      </c>
      <c r="K2" s="14" t="s">
        <v>37</v>
      </c>
      <c r="L2" s="14" t="s">
        <v>38</v>
      </c>
      <c r="M2" s="14" t="s">
        <v>39</v>
      </c>
      <c r="N2" s="15" t="s">
        <v>40</v>
      </c>
      <c r="O2" s="15" t="s">
        <v>41</v>
      </c>
      <c r="P2" s="15" t="s">
        <v>42</v>
      </c>
      <c r="Q2" s="15" t="s">
        <v>43</v>
      </c>
      <c r="R2" s="15" t="s">
        <v>44</v>
      </c>
      <c r="S2" s="15" t="s">
        <v>45</v>
      </c>
      <c r="T2" s="15" t="s">
        <v>46</v>
      </c>
      <c r="U2" s="15" t="s">
        <v>47</v>
      </c>
      <c r="V2" s="15" t="s">
        <v>48</v>
      </c>
      <c r="W2" s="15" t="s">
        <v>49</v>
      </c>
      <c r="X2" s="15" t="s">
        <v>50</v>
      </c>
      <c r="Y2" s="15" t="s">
        <v>51</v>
      </c>
      <c r="Z2" s="15" t="s">
        <v>52</v>
      </c>
      <c r="AA2" s="15" t="s">
        <v>53</v>
      </c>
      <c r="AB2" s="15" t="s">
        <v>54</v>
      </c>
      <c r="AC2" s="15" t="s">
        <v>55</v>
      </c>
      <c r="AD2" s="16" t="s">
        <v>56</v>
      </c>
      <c r="AE2" s="16" t="s">
        <v>57</v>
      </c>
      <c r="AF2" s="16" t="s">
        <v>58</v>
      </c>
      <c r="AG2" s="16" t="s">
        <v>59</v>
      </c>
      <c r="AH2" s="16" t="s">
        <v>60</v>
      </c>
      <c r="AI2" s="16" t="s">
        <v>61</v>
      </c>
      <c r="AJ2" s="16" t="s">
        <v>62</v>
      </c>
      <c r="AK2" s="16" t="s">
        <v>63</v>
      </c>
      <c r="AL2" s="16" t="s">
        <v>64</v>
      </c>
      <c r="AM2" s="16" t="s">
        <v>65</v>
      </c>
      <c r="AN2" s="16" t="s">
        <v>66</v>
      </c>
      <c r="AO2" s="16" t="s">
        <v>67</v>
      </c>
      <c r="AP2" s="16" t="s">
        <v>68</v>
      </c>
      <c r="AQ2" s="16" t="s">
        <v>69</v>
      </c>
      <c r="AR2" s="16" t="s">
        <v>70</v>
      </c>
      <c r="AS2" s="16" t="s">
        <v>71</v>
      </c>
      <c r="AT2" s="16" t="s">
        <v>72</v>
      </c>
      <c r="AU2" s="16" t="s">
        <v>73</v>
      </c>
      <c r="AV2" s="16" t="s">
        <v>74</v>
      </c>
      <c r="AW2" s="16" t="s">
        <v>75</v>
      </c>
      <c r="AX2" s="16" t="s">
        <v>76</v>
      </c>
      <c r="AY2" s="16" t="s">
        <v>77</v>
      </c>
      <c r="AZ2" s="16" t="s">
        <v>78</v>
      </c>
      <c r="BA2" s="16" t="s">
        <v>79</v>
      </c>
      <c r="BB2" s="16" t="s">
        <v>80</v>
      </c>
      <c r="BC2" s="16" t="s">
        <v>81</v>
      </c>
      <c r="BD2" s="16" t="s">
        <v>82</v>
      </c>
      <c r="BE2" s="16" t="s">
        <v>83</v>
      </c>
      <c r="BF2" s="16" t="s">
        <v>84</v>
      </c>
      <c r="BG2" s="16" t="s">
        <v>85</v>
      </c>
      <c r="BH2" s="16" t="s">
        <v>86</v>
      </c>
      <c r="BI2" s="16" t="s">
        <v>87</v>
      </c>
      <c r="BJ2" s="16" t="s">
        <v>88</v>
      </c>
      <c r="BK2" s="16" t="s">
        <v>89</v>
      </c>
      <c r="BL2" s="16" t="s">
        <v>90</v>
      </c>
      <c r="BM2" s="16" t="s">
        <v>91</v>
      </c>
      <c r="BN2" s="10"/>
      <c r="BO2" s="10"/>
      <c r="BP2" s="10"/>
      <c r="BQ2" s="10"/>
      <c r="BR2" s="10"/>
      <c r="BS2" s="10"/>
      <c r="BT2" s="10"/>
      <c r="BU2" s="10"/>
      <c r="BV2" s="10"/>
      <c r="BW2" s="10"/>
      <c r="BX2" s="10"/>
      <c r="BY2" s="10"/>
      <c r="BZ2" s="10"/>
      <c r="CA2" s="10"/>
      <c r="CB2" s="10"/>
      <c r="CC2" s="10"/>
    </row>
    <row r="3" s="12" customFormat="true" ht="13.25" hidden="false" customHeight="false" outlineLevel="0" collapsed="false">
      <c r="A3" s="12" t="n">
        <v>0</v>
      </c>
      <c r="B3" s="12" t="s">
        <v>92</v>
      </c>
      <c r="C3" s="12" t="s">
        <v>93</v>
      </c>
      <c r="D3" s="13" t="s">
        <v>94</v>
      </c>
      <c r="E3" s="13" t="s">
        <v>94</v>
      </c>
      <c r="F3" s="14" t="n">
        <v>5193088</v>
      </c>
      <c r="G3" s="14" t="n">
        <v>154000</v>
      </c>
      <c r="H3" s="14" t="n">
        <v>77000</v>
      </c>
      <c r="I3" s="14" t="n">
        <v>4962088</v>
      </c>
      <c r="J3" s="14" t="n">
        <v>2077235</v>
      </c>
      <c r="K3" s="14" t="n">
        <v>69300</v>
      </c>
      <c r="L3" s="14" t="n">
        <v>23100</v>
      </c>
      <c r="M3" s="14" t="n">
        <v>1987835</v>
      </c>
      <c r="N3" s="15" t="n">
        <v>0.246</v>
      </c>
      <c r="O3" s="15" t="n">
        <v>0.246</v>
      </c>
      <c r="P3" s="15" t="n">
        <v>0.246</v>
      </c>
      <c r="Q3" s="15" t="n">
        <v>0.246</v>
      </c>
      <c r="R3" s="15" t="n">
        <v>0.197</v>
      </c>
      <c r="S3" s="15" t="n">
        <v>0.118</v>
      </c>
      <c r="T3" s="15" t="n">
        <v>0.216</v>
      </c>
      <c r="U3" s="15" t="n">
        <v>0.197</v>
      </c>
      <c r="V3" s="15" t="n">
        <v>0.0765</v>
      </c>
      <c r="W3" s="15" t="n">
        <v>0.0765</v>
      </c>
      <c r="X3" s="15" t="n">
        <v>0.0765</v>
      </c>
      <c r="Y3" s="15" t="n">
        <v>0.0765</v>
      </c>
      <c r="Z3" s="15" t="n">
        <v>0.2735</v>
      </c>
      <c r="AA3" s="15" t="n">
        <v>0.1945</v>
      </c>
      <c r="AB3" s="15" t="n">
        <v>0.2925</v>
      </c>
      <c r="AC3" s="15" t="n">
        <v>0.2735</v>
      </c>
      <c r="AD3" s="16" t="n">
        <v>36850000000</v>
      </c>
      <c r="AE3" s="16" t="n">
        <v>1240000000</v>
      </c>
      <c r="AF3" s="16" t="n">
        <v>50000000</v>
      </c>
      <c r="AG3" s="16" t="n">
        <v>35600000000</v>
      </c>
      <c r="AH3" s="16" t="n">
        <v>15200000000</v>
      </c>
      <c r="AI3" s="16" t="n">
        <v>450000000</v>
      </c>
      <c r="AJ3" s="16" t="n">
        <v>60000000</v>
      </c>
      <c r="AK3" s="16" t="n">
        <v>14650000000</v>
      </c>
      <c r="AL3" s="16" t="n">
        <v>4200000000</v>
      </c>
      <c r="AM3" s="16" t="n">
        <v>180000000</v>
      </c>
      <c r="AN3" s="16" t="n">
        <v>30000000</v>
      </c>
      <c r="AO3" s="16" t="n">
        <v>3990000000</v>
      </c>
      <c r="AP3" s="16" t="n">
        <v>1800000000</v>
      </c>
      <c r="AQ3" s="16" t="n">
        <v>80000000</v>
      </c>
      <c r="AR3" s="16" t="n">
        <v>40000000</v>
      </c>
      <c r="AS3" s="16" t="n">
        <v>1680000000</v>
      </c>
      <c r="AT3" s="16" t="n">
        <v>350000000</v>
      </c>
      <c r="AU3" s="16" t="n">
        <v>15000000</v>
      </c>
      <c r="AV3" s="16" t="n">
        <v>0</v>
      </c>
      <c r="AW3" s="16" t="n">
        <v>335000000</v>
      </c>
      <c r="AX3" s="16" t="n">
        <v>550000000</v>
      </c>
      <c r="AY3" s="16" t="n">
        <v>20000000</v>
      </c>
      <c r="AZ3" s="16" t="n">
        <v>0</v>
      </c>
      <c r="BA3" s="16" t="n">
        <v>530000000</v>
      </c>
      <c r="BB3" s="16" t="n">
        <v>1050000000</v>
      </c>
      <c r="BC3" s="16" t="n">
        <v>30000000</v>
      </c>
      <c r="BD3" s="16" t="n">
        <v>10000000</v>
      </c>
      <c r="BE3" s="16" t="n">
        <v>1010000000</v>
      </c>
      <c r="BF3" s="16" t="n">
        <v>550000000</v>
      </c>
      <c r="BG3" s="16" t="n">
        <v>20000000</v>
      </c>
      <c r="BH3" s="16" t="n">
        <v>10000000</v>
      </c>
      <c r="BI3" s="16" t="n">
        <v>520000000</v>
      </c>
      <c r="BJ3" s="16" t="n">
        <v>200000000</v>
      </c>
      <c r="BK3" s="16" t="n">
        <v>5000000</v>
      </c>
      <c r="BL3" s="16" t="n">
        <v>1500000</v>
      </c>
      <c r="BM3" s="16" t="n">
        <v>193500000</v>
      </c>
      <c r="BN3" s="10"/>
      <c r="BO3" s="10"/>
      <c r="BP3" s="10"/>
      <c r="BQ3" s="10"/>
      <c r="BR3" s="10"/>
      <c r="BS3" s="10"/>
      <c r="BT3" s="10"/>
      <c r="BU3" s="10"/>
      <c r="BV3" s="10"/>
      <c r="BW3" s="10"/>
      <c r="BX3" s="10"/>
      <c r="BY3" s="10"/>
      <c r="BZ3" s="10"/>
      <c r="CA3" s="10"/>
      <c r="CB3" s="10"/>
      <c r="CC3" s="10"/>
    </row>
    <row r="4" s="12" customFormat="true" ht="13.25" hidden="false" customHeight="false" outlineLevel="0" collapsed="false">
      <c r="A4" s="12" t="n">
        <v>0.1</v>
      </c>
      <c r="B4" s="12" t="s">
        <v>92</v>
      </c>
      <c r="C4" s="10" t="s">
        <v>95</v>
      </c>
      <c r="D4" s="13" t="s">
        <v>94</v>
      </c>
      <c r="E4" s="13" t="s">
        <v>94</v>
      </c>
      <c r="F4" s="14" t="n">
        <v>1731029</v>
      </c>
      <c r="G4" s="14" t="n">
        <v>51333</v>
      </c>
      <c r="H4" s="14" t="n">
        <v>25667</v>
      </c>
      <c r="I4" s="14" t="n">
        <v>1656029</v>
      </c>
      <c r="J4" s="14" t="n">
        <v>692412</v>
      </c>
      <c r="K4" s="14" t="n">
        <v>23100</v>
      </c>
      <c r="L4" s="14" t="n">
        <v>7701</v>
      </c>
      <c r="M4" s="14" t="n">
        <v>661611</v>
      </c>
      <c r="N4" s="15" t="n">
        <v>0.246</v>
      </c>
      <c r="O4" s="15" t="n">
        <v>0.246</v>
      </c>
      <c r="P4" s="15" t="n">
        <v>0.246</v>
      </c>
      <c r="Q4" s="15" t="n">
        <v>0.246</v>
      </c>
      <c r="R4" s="15" t="n">
        <v>0.197</v>
      </c>
      <c r="S4" s="15" t="n">
        <v>0.118</v>
      </c>
      <c r="T4" s="15" t="n">
        <v>0.216</v>
      </c>
      <c r="U4" s="15" t="n">
        <v>0.197</v>
      </c>
      <c r="V4" s="15" t="n">
        <v>0.0765</v>
      </c>
      <c r="W4" s="15" t="n">
        <v>0.0765</v>
      </c>
      <c r="X4" s="15" t="n">
        <v>0.0765</v>
      </c>
      <c r="Y4" s="15" t="n">
        <v>0.0765</v>
      </c>
      <c r="Z4" s="15" t="n">
        <v>0.2735</v>
      </c>
      <c r="AA4" s="15" t="n">
        <v>0.1945</v>
      </c>
      <c r="AB4" s="15" t="n">
        <v>0.2925</v>
      </c>
      <c r="AC4" s="15" t="n">
        <v>0.2735</v>
      </c>
      <c r="AD4" s="16" t="n">
        <v>12283333333</v>
      </c>
      <c r="AE4" s="16" t="n">
        <v>413333333</v>
      </c>
      <c r="AF4" s="16" t="n">
        <v>16666667</v>
      </c>
      <c r="AG4" s="16" t="n">
        <v>11853333333</v>
      </c>
      <c r="AH4" s="16" t="n">
        <v>5066666667</v>
      </c>
      <c r="AI4" s="16" t="n">
        <v>150000000</v>
      </c>
      <c r="AJ4" s="16" t="n">
        <v>20000000</v>
      </c>
      <c r="AK4" s="16" t="n">
        <v>4896666667</v>
      </c>
      <c r="AL4" s="16" t="n">
        <v>1400000000</v>
      </c>
      <c r="AM4" s="16" t="n">
        <v>46666667</v>
      </c>
      <c r="AN4" s="16" t="n">
        <v>10000000</v>
      </c>
      <c r="AO4" s="16" t="n">
        <v>1343333333</v>
      </c>
      <c r="AP4" s="16" t="n">
        <v>600000000</v>
      </c>
      <c r="AQ4" s="16" t="n">
        <v>20000000</v>
      </c>
      <c r="AR4" s="16" t="n">
        <v>10000000</v>
      </c>
      <c r="AS4" s="16" t="n">
        <v>570000000</v>
      </c>
      <c r="AT4" s="16" t="n">
        <v>116666667</v>
      </c>
      <c r="AU4" s="16" t="n">
        <v>3888889</v>
      </c>
      <c r="AV4" s="16" t="n">
        <v>0</v>
      </c>
      <c r="AW4" s="16" t="n">
        <v>112777778</v>
      </c>
      <c r="AX4" s="16" t="n">
        <v>183333333</v>
      </c>
      <c r="AY4" s="16" t="n">
        <v>6111111</v>
      </c>
      <c r="AZ4" s="16" t="n">
        <v>0</v>
      </c>
      <c r="BA4" s="16" t="n">
        <v>177222222</v>
      </c>
      <c r="BB4" s="16" t="n">
        <v>350000000</v>
      </c>
      <c r="BC4" s="16" t="n">
        <v>10000000</v>
      </c>
      <c r="BD4" s="16" t="n">
        <v>3333333</v>
      </c>
      <c r="BE4" s="16" t="n">
        <v>336666667</v>
      </c>
      <c r="BF4" s="16" t="n">
        <v>183333333</v>
      </c>
      <c r="BG4" s="16" t="n">
        <v>5000000</v>
      </c>
      <c r="BH4" s="16" t="n">
        <v>3333333</v>
      </c>
      <c r="BI4" s="16" t="n">
        <v>175000000</v>
      </c>
      <c r="BJ4" s="16" t="n">
        <v>66666667</v>
      </c>
      <c r="BK4" s="16" t="n">
        <v>1666667</v>
      </c>
      <c r="BL4" s="16" t="n">
        <v>555556</v>
      </c>
      <c r="BM4" s="16" t="n">
        <v>64222222</v>
      </c>
      <c r="BN4" s="10"/>
      <c r="BO4" s="10"/>
      <c r="BP4" s="10"/>
      <c r="BQ4" s="10"/>
      <c r="BR4" s="10"/>
      <c r="BS4" s="10"/>
      <c r="BT4" s="10"/>
      <c r="BU4" s="10"/>
      <c r="BV4" s="10"/>
      <c r="BW4" s="10"/>
      <c r="BX4" s="10"/>
      <c r="BY4" s="10"/>
      <c r="BZ4" s="10"/>
      <c r="CA4" s="10"/>
      <c r="CB4" s="10"/>
      <c r="CC4" s="10"/>
    </row>
    <row r="5" s="12" customFormat="true" ht="13.25" hidden="false" customHeight="false" outlineLevel="0" collapsed="false">
      <c r="A5" s="12" t="n">
        <v>0.2</v>
      </c>
      <c r="B5" s="12" t="s">
        <v>92</v>
      </c>
      <c r="C5" s="10" t="s">
        <v>96</v>
      </c>
      <c r="D5" s="13" t="s">
        <v>94</v>
      </c>
      <c r="E5" s="13" t="s">
        <v>94</v>
      </c>
      <c r="F5" s="14" t="n">
        <v>1731029</v>
      </c>
      <c r="G5" s="14" t="n">
        <v>51333</v>
      </c>
      <c r="H5" s="14" t="n">
        <v>25667</v>
      </c>
      <c r="I5" s="14" t="n">
        <v>1656029</v>
      </c>
      <c r="J5" s="14" t="n">
        <v>692412</v>
      </c>
      <c r="K5" s="14" t="n">
        <v>23100</v>
      </c>
      <c r="L5" s="14" t="n">
        <v>7701</v>
      </c>
      <c r="M5" s="14" t="n">
        <v>661611</v>
      </c>
      <c r="N5" s="15" t="n">
        <v>0.246</v>
      </c>
      <c r="O5" s="15" t="n">
        <v>0.246</v>
      </c>
      <c r="P5" s="15" t="n">
        <v>0.246</v>
      </c>
      <c r="Q5" s="15" t="n">
        <v>0.246</v>
      </c>
      <c r="R5" s="15" t="n">
        <v>0.197</v>
      </c>
      <c r="S5" s="15" t="n">
        <v>0.118</v>
      </c>
      <c r="T5" s="15" t="n">
        <v>0.216</v>
      </c>
      <c r="U5" s="15" t="n">
        <v>0.197</v>
      </c>
      <c r="V5" s="15" t="n">
        <v>0.0765</v>
      </c>
      <c r="W5" s="15" t="n">
        <v>0.0765</v>
      </c>
      <c r="X5" s="15" t="n">
        <v>0.0765</v>
      </c>
      <c r="Y5" s="15" t="n">
        <v>0.0765</v>
      </c>
      <c r="Z5" s="15" t="n">
        <v>0.2735</v>
      </c>
      <c r="AA5" s="15" t="n">
        <v>0.1945</v>
      </c>
      <c r="AB5" s="15" t="n">
        <v>0.2925</v>
      </c>
      <c r="AC5" s="15" t="n">
        <v>0.2735</v>
      </c>
      <c r="AD5" s="16" t="n">
        <v>12283333333</v>
      </c>
      <c r="AE5" s="16" t="n">
        <v>413333333</v>
      </c>
      <c r="AF5" s="16" t="n">
        <v>16666667</v>
      </c>
      <c r="AG5" s="16" t="n">
        <v>11853333333</v>
      </c>
      <c r="AH5" s="16" t="n">
        <v>5066666667</v>
      </c>
      <c r="AI5" s="16" t="n">
        <v>150000000</v>
      </c>
      <c r="AJ5" s="16" t="n">
        <v>20000000</v>
      </c>
      <c r="AK5" s="16" t="n">
        <v>4896666667</v>
      </c>
      <c r="AL5" s="16" t="n">
        <v>1400000000</v>
      </c>
      <c r="AM5" s="16" t="n">
        <v>46666667</v>
      </c>
      <c r="AN5" s="16" t="n">
        <v>10000000</v>
      </c>
      <c r="AO5" s="16" t="n">
        <v>1343333333</v>
      </c>
      <c r="AP5" s="16" t="n">
        <v>600000000</v>
      </c>
      <c r="AQ5" s="16" t="n">
        <v>20000000</v>
      </c>
      <c r="AR5" s="16" t="n">
        <v>10000000</v>
      </c>
      <c r="AS5" s="16" t="n">
        <v>570000000</v>
      </c>
      <c r="AT5" s="16" t="n">
        <v>116666667</v>
      </c>
      <c r="AU5" s="16" t="n">
        <v>3888889</v>
      </c>
      <c r="AV5" s="16" t="n">
        <v>0</v>
      </c>
      <c r="AW5" s="16" t="n">
        <v>112777778</v>
      </c>
      <c r="AX5" s="16" t="n">
        <v>183333333</v>
      </c>
      <c r="AY5" s="16" t="n">
        <v>6111111</v>
      </c>
      <c r="AZ5" s="16" t="n">
        <v>0</v>
      </c>
      <c r="BA5" s="16" t="n">
        <v>177222222</v>
      </c>
      <c r="BB5" s="16" t="n">
        <v>350000000</v>
      </c>
      <c r="BC5" s="16" t="n">
        <v>10000000</v>
      </c>
      <c r="BD5" s="16" t="n">
        <v>3333333</v>
      </c>
      <c r="BE5" s="16" t="n">
        <v>336666667</v>
      </c>
      <c r="BF5" s="16" t="n">
        <v>183333333</v>
      </c>
      <c r="BG5" s="16" t="n">
        <v>5000000</v>
      </c>
      <c r="BH5" s="16" t="n">
        <v>3333333</v>
      </c>
      <c r="BI5" s="16" t="n">
        <v>175000000</v>
      </c>
      <c r="BJ5" s="16" t="n">
        <v>66666667</v>
      </c>
      <c r="BK5" s="16" t="n">
        <v>1666667</v>
      </c>
      <c r="BL5" s="16" t="n">
        <v>555556</v>
      </c>
      <c r="BM5" s="16" t="n">
        <v>64222222</v>
      </c>
      <c r="BN5" s="10"/>
      <c r="BO5" s="10"/>
      <c r="BP5" s="10"/>
      <c r="BQ5" s="10"/>
      <c r="BR5" s="10"/>
      <c r="BS5" s="10"/>
      <c r="BT5" s="10"/>
      <c r="BU5" s="10"/>
      <c r="BV5" s="10"/>
      <c r="BW5" s="10"/>
      <c r="BX5" s="10"/>
      <c r="BY5" s="10"/>
      <c r="BZ5" s="10"/>
      <c r="CA5" s="10"/>
      <c r="CB5" s="10"/>
      <c r="CC5" s="10"/>
    </row>
    <row r="6" s="12" customFormat="true" ht="13.25" hidden="false" customHeight="false" outlineLevel="0" collapsed="false">
      <c r="A6" s="12" t="n">
        <v>0.3</v>
      </c>
      <c r="B6" s="12" t="s">
        <v>92</v>
      </c>
      <c r="C6" s="10" t="s">
        <v>97</v>
      </c>
      <c r="D6" s="13" t="s">
        <v>94</v>
      </c>
      <c r="E6" s="13" t="s">
        <v>94</v>
      </c>
      <c r="F6" s="14" t="n">
        <v>1731029</v>
      </c>
      <c r="G6" s="14" t="n">
        <v>51333</v>
      </c>
      <c r="H6" s="14" t="n">
        <v>25667</v>
      </c>
      <c r="I6" s="14" t="n">
        <v>1656029</v>
      </c>
      <c r="J6" s="14" t="n">
        <v>692412</v>
      </c>
      <c r="K6" s="14" t="n">
        <v>23100</v>
      </c>
      <c r="L6" s="14" t="n">
        <v>7701</v>
      </c>
      <c r="M6" s="14" t="n">
        <v>661611</v>
      </c>
      <c r="N6" s="15" t="n">
        <v>0.246</v>
      </c>
      <c r="O6" s="15" t="n">
        <v>0.246</v>
      </c>
      <c r="P6" s="15" t="n">
        <v>0.246</v>
      </c>
      <c r="Q6" s="15" t="n">
        <v>0.246</v>
      </c>
      <c r="R6" s="15" t="n">
        <v>0.197</v>
      </c>
      <c r="S6" s="15" t="n">
        <v>0.118</v>
      </c>
      <c r="T6" s="15" t="n">
        <v>0.216</v>
      </c>
      <c r="U6" s="15" t="n">
        <v>0.197</v>
      </c>
      <c r="V6" s="15" t="n">
        <v>0.0765</v>
      </c>
      <c r="W6" s="15" t="n">
        <v>0.0765</v>
      </c>
      <c r="X6" s="15" t="n">
        <v>0.0765</v>
      </c>
      <c r="Y6" s="15" t="n">
        <v>0.0765</v>
      </c>
      <c r="Z6" s="15" t="n">
        <v>0.2735</v>
      </c>
      <c r="AA6" s="15" t="n">
        <v>0.1945</v>
      </c>
      <c r="AB6" s="15" t="n">
        <v>0.2925</v>
      </c>
      <c r="AC6" s="15" t="n">
        <v>0.2735</v>
      </c>
      <c r="AD6" s="16" t="n">
        <v>12283333333</v>
      </c>
      <c r="AE6" s="16" t="n">
        <v>413333333</v>
      </c>
      <c r="AF6" s="16" t="n">
        <v>16666667</v>
      </c>
      <c r="AG6" s="16" t="n">
        <v>11853333333</v>
      </c>
      <c r="AH6" s="16" t="n">
        <v>5066666667</v>
      </c>
      <c r="AI6" s="16" t="n">
        <v>150000000</v>
      </c>
      <c r="AJ6" s="16" t="n">
        <v>20000000</v>
      </c>
      <c r="AK6" s="16" t="n">
        <v>4896666667</v>
      </c>
      <c r="AL6" s="16" t="n">
        <v>1400000000</v>
      </c>
      <c r="AM6" s="16" t="n">
        <v>46666667</v>
      </c>
      <c r="AN6" s="16" t="n">
        <v>10000000</v>
      </c>
      <c r="AO6" s="16" t="n">
        <v>1343333333</v>
      </c>
      <c r="AP6" s="16" t="n">
        <v>600000000</v>
      </c>
      <c r="AQ6" s="16" t="n">
        <v>20000000</v>
      </c>
      <c r="AR6" s="16" t="n">
        <v>10000000</v>
      </c>
      <c r="AS6" s="16" t="n">
        <v>570000000</v>
      </c>
      <c r="AT6" s="16" t="n">
        <v>116666667</v>
      </c>
      <c r="AU6" s="16" t="n">
        <v>3888889</v>
      </c>
      <c r="AV6" s="16" t="n">
        <v>0</v>
      </c>
      <c r="AW6" s="16" t="n">
        <v>112777778</v>
      </c>
      <c r="AX6" s="16" t="n">
        <v>183333333</v>
      </c>
      <c r="AY6" s="16" t="n">
        <v>6111111</v>
      </c>
      <c r="AZ6" s="16" t="n">
        <v>0</v>
      </c>
      <c r="BA6" s="16" t="n">
        <v>177222222</v>
      </c>
      <c r="BB6" s="16" t="n">
        <v>350000000</v>
      </c>
      <c r="BC6" s="16" t="n">
        <v>10000000</v>
      </c>
      <c r="BD6" s="16" t="n">
        <v>3333333</v>
      </c>
      <c r="BE6" s="16" t="n">
        <v>336666667</v>
      </c>
      <c r="BF6" s="16" t="n">
        <v>183333333</v>
      </c>
      <c r="BG6" s="16" t="n">
        <v>5000000</v>
      </c>
      <c r="BH6" s="16" t="n">
        <v>3333333</v>
      </c>
      <c r="BI6" s="16" t="n">
        <v>175000000</v>
      </c>
      <c r="BJ6" s="16" t="n">
        <v>66666667</v>
      </c>
      <c r="BK6" s="16" t="n">
        <v>1666667</v>
      </c>
      <c r="BL6" s="16" t="n">
        <v>555556</v>
      </c>
      <c r="BM6" s="16" t="n">
        <v>64222222</v>
      </c>
      <c r="BN6" s="10"/>
      <c r="BO6" s="10"/>
      <c r="BP6" s="10"/>
      <c r="BQ6" s="10"/>
      <c r="BR6" s="10"/>
      <c r="BS6" s="10"/>
      <c r="BT6" s="10"/>
      <c r="BU6" s="10"/>
      <c r="BV6" s="10"/>
      <c r="BW6" s="10"/>
      <c r="BX6" s="10"/>
      <c r="BY6" s="10"/>
      <c r="BZ6" s="10"/>
      <c r="CA6" s="10"/>
      <c r="CB6" s="10"/>
      <c r="CC6" s="10"/>
    </row>
    <row r="7" customFormat="false" ht="12.8" hidden="false" customHeight="false" outlineLevel="0" collapsed="false">
      <c r="A7" s="10" t="n">
        <v>1</v>
      </c>
      <c r="B7" s="10" t="s">
        <v>98</v>
      </c>
      <c r="C7" s="10" t="s">
        <v>93</v>
      </c>
      <c r="D7" s="13" t="s">
        <v>94</v>
      </c>
      <c r="E7" s="13" t="s">
        <v>94</v>
      </c>
      <c r="F7" s="17" t="n">
        <v>1298272</v>
      </c>
      <c r="G7" s="17" t="n">
        <v>46200</v>
      </c>
      <c r="H7" s="17" t="n">
        <v>30800</v>
      </c>
      <c r="I7" s="17" t="n">
        <v>1142272</v>
      </c>
      <c r="J7" s="17" t="n">
        <v>311585</v>
      </c>
      <c r="K7" s="17" t="n">
        <v>20790</v>
      </c>
      <c r="L7" s="17" t="n">
        <v>9240</v>
      </c>
      <c r="M7" s="17" t="n">
        <v>281555</v>
      </c>
      <c r="N7" s="15" t="n">
        <v>0.1</v>
      </c>
      <c r="O7" s="15" t="n">
        <v>0.1</v>
      </c>
      <c r="P7" s="15" t="n">
        <v>0.1</v>
      </c>
      <c r="Q7" s="15" t="n">
        <v>0.1</v>
      </c>
      <c r="R7" s="15" t="n">
        <v>0</v>
      </c>
      <c r="S7" s="15" t="n">
        <v>0</v>
      </c>
      <c r="T7" s="15" t="n">
        <v>0</v>
      </c>
      <c r="U7" s="15" t="n">
        <v>0</v>
      </c>
      <c r="V7" s="15" t="n">
        <v>0.0765</v>
      </c>
      <c r="W7" s="15" t="n">
        <v>0.0765</v>
      </c>
      <c r="X7" s="15" t="n">
        <v>0.0765</v>
      </c>
      <c r="Y7" s="15" t="n">
        <v>0.0765</v>
      </c>
      <c r="Z7" s="15" t="n">
        <v>0.0765</v>
      </c>
      <c r="AA7" s="15" t="n">
        <v>0.0765</v>
      </c>
      <c r="AB7" s="15" t="n">
        <v>0.0765</v>
      </c>
      <c r="AC7" s="15" t="n">
        <v>0.0765</v>
      </c>
      <c r="AD7" s="16" t="n">
        <v>0</v>
      </c>
      <c r="AE7" s="16" t="n">
        <v>0</v>
      </c>
      <c r="AF7" s="16" t="n">
        <v>0</v>
      </c>
      <c r="AG7" s="16" t="n">
        <v>0</v>
      </c>
      <c r="AH7" s="16" t="n">
        <v>2500000000</v>
      </c>
      <c r="AI7" s="16" t="n">
        <v>90000000</v>
      </c>
      <c r="AJ7" s="16" t="n">
        <v>15000000</v>
      </c>
      <c r="AK7" s="16" t="n">
        <v>2290000000</v>
      </c>
      <c r="AL7" s="16" t="n">
        <v>750000000</v>
      </c>
      <c r="AM7" s="16" t="n">
        <v>27000000</v>
      </c>
      <c r="AN7" s="16" t="n">
        <v>18000000</v>
      </c>
      <c r="AO7" s="16" t="n">
        <v>705000000</v>
      </c>
      <c r="AP7" s="16" t="n">
        <v>800000000</v>
      </c>
      <c r="AQ7" s="16" t="n">
        <v>28000000</v>
      </c>
      <c r="AR7" s="16" t="n">
        <v>20000000</v>
      </c>
      <c r="AS7" s="16" t="n">
        <v>752000000</v>
      </c>
      <c r="AT7" s="16" t="n">
        <v>130000000</v>
      </c>
      <c r="AU7" s="16" t="n">
        <v>4600000</v>
      </c>
      <c r="AV7" s="16" t="n">
        <v>3000000</v>
      </c>
      <c r="AW7" s="16" t="n">
        <v>122100000</v>
      </c>
      <c r="AX7" s="16" t="n">
        <v>300000000</v>
      </c>
      <c r="AY7" s="16" t="n">
        <v>10000000</v>
      </c>
      <c r="AZ7" s="16" t="n">
        <v>0</v>
      </c>
      <c r="BA7" s="16" t="n">
        <v>290000000</v>
      </c>
      <c r="BB7" s="16" t="n">
        <v>0</v>
      </c>
      <c r="BC7" s="16" t="n">
        <v>0</v>
      </c>
      <c r="BD7" s="16" t="n">
        <v>0</v>
      </c>
      <c r="BE7" s="16" t="n">
        <v>0</v>
      </c>
      <c r="BF7" s="16" t="n">
        <v>200000000</v>
      </c>
      <c r="BG7" s="16" t="n">
        <v>7000000</v>
      </c>
      <c r="BH7" s="16" t="n">
        <v>5000000</v>
      </c>
      <c r="BI7" s="16" t="n">
        <v>188000000</v>
      </c>
      <c r="BJ7" s="16" t="n">
        <v>0</v>
      </c>
      <c r="BK7" s="16" t="n">
        <v>0</v>
      </c>
      <c r="BL7" s="16" t="n">
        <v>0</v>
      </c>
      <c r="BM7" s="16" t="n">
        <v>0</v>
      </c>
    </row>
    <row r="8" s="19" customFormat="true" ht="12.8" hidden="false" customHeight="false" outlineLevel="0" collapsed="false">
      <c r="A8" s="10" t="n">
        <v>1.1</v>
      </c>
      <c r="B8" s="10" t="s">
        <v>98</v>
      </c>
      <c r="C8" s="10" t="s">
        <v>95</v>
      </c>
      <c r="D8" s="18" t="n">
        <v>0</v>
      </c>
      <c r="E8" s="18" t="n">
        <v>11925</v>
      </c>
      <c r="F8" s="17" t="n">
        <v>432757</v>
      </c>
      <c r="G8" s="17" t="n">
        <v>15400</v>
      </c>
      <c r="H8" s="17" t="n">
        <v>10267</v>
      </c>
      <c r="I8" s="17" t="n">
        <v>380090</v>
      </c>
      <c r="J8" s="17" t="n">
        <v>103862</v>
      </c>
      <c r="K8" s="17" t="n">
        <v>6930</v>
      </c>
      <c r="L8" s="17" t="n">
        <v>3080</v>
      </c>
      <c r="M8" s="17" t="n">
        <v>93852</v>
      </c>
      <c r="N8" s="15" t="n">
        <v>0.1</v>
      </c>
      <c r="O8" s="15" t="n">
        <v>0.1</v>
      </c>
      <c r="P8" s="15" t="n">
        <v>0.1</v>
      </c>
      <c r="Q8" s="15" t="n">
        <v>0.1</v>
      </c>
      <c r="R8" s="15" t="n">
        <v>0</v>
      </c>
      <c r="S8" s="15" t="n">
        <v>0</v>
      </c>
      <c r="T8" s="15" t="n">
        <v>0</v>
      </c>
      <c r="U8" s="15" t="n">
        <v>0</v>
      </c>
      <c r="V8" s="15" t="n">
        <v>0.0765</v>
      </c>
      <c r="W8" s="15" t="n">
        <v>0.0765</v>
      </c>
      <c r="X8" s="15" t="n">
        <v>0.0765</v>
      </c>
      <c r="Y8" s="15" t="n">
        <v>0.0765</v>
      </c>
      <c r="Z8" s="15" t="n">
        <v>0.0765</v>
      </c>
      <c r="AA8" s="15" t="n">
        <v>0.0765</v>
      </c>
      <c r="AB8" s="15" t="n">
        <v>0.0765</v>
      </c>
      <c r="AC8" s="15" t="n">
        <v>0.0765</v>
      </c>
      <c r="AD8" s="16" t="n">
        <v>0</v>
      </c>
      <c r="AE8" s="16" t="n">
        <v>0</v>
      </c>
      <c r="AF8" s="16" t="n">
        <v>0</v>
      </c>
      <c r="AG8" s="16" t="n">
        <v>0</v>
      </c>
      <c r="AH8" s="16" t="n">
        <v>833333333</v>
      </c>
      <c r="AI8" s="16" t="n">
        <v>30000000</v>
      </c>
      <c r="AJ8" s="16" t="n">
        <v>5000000</v>
      </c>
      <c r="AK8" s="16" t="n">
        <v>763333333</v>
      </c>
      <c r="AL8" s="16" t="n">
        <v>250000000</v>
      </c>
      <c r="AM8" s="16" t="n">
        <v>9000000</v>
      </c>
      <c r="AN8" s="16" t="n">
        <v>6000000</v>
      </c>
      <c r="AO8" s="16" t="n">
        <v>235000000</v>
      </c>
      <c r="AP8" s="16" t="n">
        <v>266666667</v>
      </c>
      <c r="AQ8" s="16" t="n">
        <v>9333333</v>
      </c>
      <c r="AR8" s="16" t="n">
        <v>6666667</v>
      </c>
      <c r="AS8" s="16" t="n">
        <v>250666667</v>
      </c>
      <c r="AT8" s="16" t="n">
        <v>43333333</v>
      </c>
      <c r="AU8" s="16" t="n">
        <v>1533333</v>
      </c>
      <c r="AV8" s="16" t="n">
        <v>1000000</v>
      </c>
      <c r="AW8" s="16" t="n">
        <v>40800000</v>
      </c>
      <c r="AX8" s="16" t="n">
        <v>100000000</v>
      </c>
      <c r="AY8" s="16" t="n">
        <v>3333333</v>
      </c>
      <c r="AZ8" s="16" t="n">
        <v>0</v>
      </c>
      <c r="BA8" s="16" t="n">
        <v>96666667</v>
      </c>
      <c r="BB8" s="16" t="n">
        <v>0</v>
      </c>
      <c r="BC8" s="16" t="n">
        <v>0</v>
      </c>
      <c r="BD8" s="16" t="n">
        <v>0</v>
      </c>
      <c r="BE8" s="16" t="n">
        <v>0</v>
      </c>
      <c r="BF8" s="16" t="n">
        <v>66666667</v>
      </c>
      <c r="BG8" s="16" t="n">
        <v>2333333</v>
      </c>
      <c r="BH8" s="16" t="n">
        <v>1666667</v>
      </c>
      <c r="BI8" s="16" t="n">
        <v>62666667</v>
      </c>
      <c r="BJ8" s="16" t="n">
        <v>0</v>
      </c>
      <c r="BK8" s="16" t="n">
        <v>0</v>
      </c>
      <c r="BL8" s="16" t="n">
        <v>0</v>
      </c>
      <c r="BM8" s="16" t="n">
        <v>0</v>
      </c>
      <c r="BN8" s="10"/>
      <c r="BO8" s="10"/>
      <c r="BP8" s="10"/>
      <c r="BQ8" s="10"/>
      <c r="BR8" s="10"/>
      <c r="BS8" s="10"/>
      <c r="BT8" s="10"/>
      <c r="BU8" s="10"/>
      <c r="BV8" s="10"/>
      <c r="BW8" s="10"/>
      <c r="BX8" s="10"/>
      <c r="BY8" s="10"/>
      <c r="BZ8" s="10"/>
      <c r="CA8" s="10"/>
      <c r="CB8" s="10"/>
      <c r="CC8" s="10"/>
    </row>
    <row r="9" customFormat="false" ht="12.8" hidden="false" customHeight="false" outlineLevel="0" collapsed="false">
      <c r="A9" s="10" t="n">
        <v>1.2</v>
      </c>
      <c r="B9" s="10" t="s">
        <v>98</v>
      </c>
      <c r="C9" s="10" t="s">
        <v>96</v>
      </c>
      <c r="D9" s="18" t="n">
        <v>0</v>
      </c>
      <c r="E9" s="18" t="n">
        <v>23850</v>
      </c>
      <c r="F9" s="17" t="n">
        <v>432757</v>
      </c>
      <c r="G9" s="17" t="n">
        <v>15400</v>
      </c>
      <c r="H9" s="17" t="n">
        <v>10267</v>
      </c>
      <c r="I9" s="17" t="n">
        <v>380090</v>
      </c>
      <c r="J9" s="17" t="n">
        <v>103862</v>
      </c>
      <c r="K9" s="17" t="n">
        <v>6930</v>
      </c>
      <c r="L9" s="17" t="n">
        <v>3080</v>
      </c>
      <c r="M9" s="17" t="n">
        <v>93852</v>
      </c>
      <c r="N9" s="15" t="n">
        <v>0.1</v>
      </c>
      <c r="O9" s="15" t="n">
        <v>0.1</v>
      </c>
      <c r="P9" s="15" t="n">
        <v>0.1</v>
      </c>
      <c r="Q9" s="15" t="n">
        <v>0.1</v>
      </c>
      <c r="R9" s="15" t="n">
        <v>0</v>
      </c>
      <c r="S9" s="15" t="n">
        <v>0</v>
      </c>
      <c r="T9" s="15" t="n">
        <v>0</v>
      </c>
      <c r="U9" s="15" t="n">
        <v>0</v>
      </c>
      <c r="V9" s="15" t="n">
        <v>0.0765</v>
      </c>
      <c r="W9" s="15" t="n">
        <v>0.0765</v>
      </c>
      <c r="X9" s="15" t="n">
        <v>0.0765</v>
      </c>
      <c r="Y9" s="15" t="n">
        <v>0.0765</v>
      </c>
      <c r="Z9" s="15" t="n">
        <v>0.0765</v>
      </c>
      <c r="AA9" s="15" t="n">
        <v>0.0765</v>
      </c>
      <c r="AB9" s="15" t="n">
        <v>0.0765</v>
      </c>
      <c r="AC9" s="15" t="n">
        <v>0.0765</v>
      </c>
      <c r="AD9" s="16" t="n">
        <v>0</v>
      </c>
      <c r="AE9" s="16" t="n">
        <v>0</v>
      </c>
      <c r="AF9" s="16" t="n">
        <v>0</v>
      </c>
      <c r="AG9" s="16" t="n">
        <v>0</v>
      </c>
      <c r="AH9" s="16" t="n">
        <v>833333333</v>
      </c>
      <c r="AI9" s="16" t="n">
        <v>30000000</v>
      </c>
      <c r="AJ9" s="16" t="n">
        <v>5000000</v>
      </c>
      <c r="AK9" s="16" t="n">
        <v>763333333</v>
      </c>
      <c r="AL9" s="16" t="n">
        <v>250000000</v>
      </c>
      <c r="AM9" s="16" t="n">
        <v>9000000</v>
      </c>
      <c r="AN9" s="16" t="n">
        <v>6000000</v>
      </c>
      <c r="AO9" s="16" t="n">
        <v>235000000</v>
      </c>
      <c r="AP9" s="16" t="n">
        <v>266666667</v>
      </c>
      <c r="AQ9" s="16" t="n">
        <v>9333333</v>
      </c>
      <c r="AR9" s="16" t="n">
        <v>6666667</v>
      </c>
      <c r="AS9" s="16" t="n">
        <v>250666667</v>
      </c>
      <c r="AT9" s="16" t="n">
        <v>43333333</v>
      </c>
      <c r="AU9" s="16" t="n">
        <v>1533333</v>
      </c>
      <c r="AV9" s="16" t="n">
        <v>1000000</v>
      </c>
      <c r="AW9" s="16" t="n">
        <v>40800000</v>
      </c>
      <c r="AX9" s="16" t="n">
        <v>100000000</v>
      </c>
      <c r="AY9" s="16" t="n">
        <v>3333333</v>
      </c>
      <c r="AZ9" s="16" t="n">
        <v>0</v>
      </c>
      <c r="BA9" s="16" t="n">
        <v>96666667</v>
      </c>
      <c r="BB9" s="16" t="n">
        <v>0</v>
      </c>
      <c r="BC9" s="16" t="n">
        <v>0</v>
      </c>
      <c r="BD9" s="16" t="n">
        <v>0</v>
      </c>
      <c r="BE9" s="16" t="n">
        <v>0</v>
      </c>
      <c r="BF9" s="16" t="n">
        <v>66666667</v>
      </c>
      <c r="BG9" s="16" t="n">
        <v>2333333</v>
      </c>
      <c r="BH9" s="16" t="n">
        <v>1666667</v>
      </c>
      <c r="BI9" s="16" t="n">
        <v>62666667</v>
      </c>
      <c r="BJ9" s="16" t="n">
        <v>0</v>
      </c>
      <c r="BK9" s="16" t="n">
        <v>0</v>
      </c>
      <c r="BL9" s="16" t="n">
        <v>0</v>
      </c>
      <c r="BM9" s="16" t="n">
        <v>0</v>
      </c>
    </row>
    <row r="10" customFormat="false" ht="12.8" hidden="false" customHeight="false" outlineLevel="0" collapsed="false">
      <c r="A10" s="10" t="n">
        <v>1.3</v>
      </c>
      <c r="B10" s="10" t="s">
        <v>98</v>
      </c>
      <c r="C10" s="10" t="s">
        <v>97</v>
      </c>
      <c r="D10" s="18" t="n">
        <v>0</v>
      </c>
      <c r="E10" s="18" t="n">
        <v>17050</v>
      </c>
      <c r="F10" s="17" t="n">
        <v>432757</v>
      </c>
      <c r="G10" s="17" t="n">
        <v>15400</v>
      </c>
      <c r="H10" s="17" t="n">
        <v>10267</v>
      </c>
      <c r="I10" s="17" t="n">
        <v>380090</v>
      </c>
      <c r="J10" s="17" t="n">
        <v>103862</v>
      </c>
      <c r="K10" s="17" t="n">
        <v>6930</v>
      </c>
      <c r="L10" s="17" t="n">
        <v>3080</v>
      </c>
      <c r="M10" s="17" t="n">
        <v>93852</v>
      </c>
      <c r="N10" s="15" t="n">
        <v>0.1</v>
      </c>
      <c r="O10" s="15" t="n">
        <v>0.1</v>
      </c>
      <c r="P10" s="15" t="n">
        <v>0.1</v>
      </c>
      <c r="Q10" s="15" t="n">
        <v>0.1</v>
      </c>
      <c r="R10" s="15" t="n">
        <v>0</v>
      </c>
      <c r="S10" s="15" t="n">
        <v>0</v>
      </c>
      <c r="T10" s="15" t="n">
        <v>0</v>
      </c>
      <c r="U10" s="15" t="n">
        <v>0</v>
      </c>
      <c r="V10" s="15" t="n">
        <v>0.0765</v>
      </c>
      <c r="W10" s="15" t="n">
        <v>0.0765</v>
      </c>
      <c r="X10" s="15" t="n">
        <v>0.0765</v>
      </c>
      <c r="Y10" s="15" t="n">
        <v>0.0765</v>
      </c>
      <c r="Z10" s="15" t="n">
        <v>0.0765</v>
      </c>
      <c r="AA10" s="15" t="n">
        <v>0.0765</v>
      </c>
      <c r="AB10" s="15" t="n">
        <v>0.0765</v>
      </c>
      <c r="AC10" s="15" t="n">
        <v>0.0765</v>
      </c>
      <c r="AD10" s="16" t="n">
        <v>0</v>
      </c>
      <c r="AE10" s="16" t="n">
        <v>0</v>
      </c>
      <c r="AF10" s="16" t="n">
        <v>0</v>
      </c>
      <c r="AG10" s="16" t="n">
        <v>0</v>
      </c>
      <c r="AH10" s="16" t="n">
        <v>833333333</v>
      </c>
      <c r="AI10" s="16" t="n">
        <v>30000000</v>
      </c>
      <c r="AJ10" s="16" t="n">
        <v>5000000</v>
      </c>
      <c r="AK10" s="16" t="n">
        <v>763333333</v>
      </c>
      <c r="AL10" s="16" t="n">
        <v>250000000</v>
      </c>
      <c r="AM10" s="16" t="n">
        <v>9000000</v>
      </c>
      <c r="AN10" s="16" t="n">
        <v>6000000</v>
      </c>
      <c r="AO10" s="16" t="n">
        <v>235000000</v>
      </c>
      <c r="AP10" s="16" t="n">
        <v>266666667</v>
      </c>
      <c r="AQ10" s="16" t="n">
        <v>9333333</v>
      </c>
      <c r="AR10" s="16" t="n">
        <v>6666667</v>
      </c>
      <c r="AS10" s="16" t="n">
        <v>250666667</v>
      </c>
      <c r="AT10" s="16" t="n">
        <v>43333333</v>
      </c>
      <c r="AU10" s="16" t="n">
        <v>1533333</v>
      </c>
      <c r="AV10" s="16" t="n">
        <v>1000000</v>
      </c>
      <c r="AW10" s="16" t="n">
        <v>40800000</v>
      </c>
      <c r="AX10" s="16" t="n">
        <v>100000000</v>
      </c>
      <c r="AY10" s="16" t="n">
        <v>3333333</v>
      </c>
      <c r="AZ10" s="16" t="n">
        <v>0</v>
      </c>
      <c r="BA10" s="16" t="n">
        <v>96666667</v>
      </c>
      <c r="BB10" s="16" t="n">
        <v>0</v>
      </c>
      <c r="BC10" s="16" t="n">
        <v>0</v>
      </c>
      <c r="BD10" s="16" t="n">
        <v>0</v>
      </c>
      <c r="BE10" s="16" t="n">
        <v>0</v>
      </c>
      <c r="BF10" s="16" t="n">
        <v>66666667</v>
      </c>
      <c r="BG10" s="16" t="n">
        <v>2333333</v>
      </c>
      <c r="BH10" s="16" t="n">
        <v>1666667</v>
      </c>
      <c r="BI10" s="16" t="n">
        <v>62666667</v>
      </c>
      <c r="BJ10" s="16" t="n">
        <v>0</v>
      </c>
      <c r="BK10" s="16" t="n">
        <v>0</v>
      </c>
      <c r="BL10" s="16" t="n">
        <v>0</v>
      </c>
      <c r="BM10" s="16" t="n">
        <v>0</v>
      </c>
    </row>
    <row r="11" customFormat="false" ht="12.8" hidden="false" customHeight="false" outlineLevel="0" collapsed="false">
      <c r="A11" s="10" t="n">
        <v>2</v>
      </c>
      <c r="B11" s="10" t="s">
        <v>99</v>
      </c>
      <c r="C11" s="12" t="s">
        <v>93</v>
      </c>
      <c r="D11" s="13" t="s">
        <v>94</v>
      </c>
      <c r="E11" s="13" t="s">
        <v>94</v>
      </c>
      <c r="F11" s="17" t="n">
        <v>1038618</v>
      </c>
      <c r="G11" s="17" t="n">
        <v>38480</v>
      </c>
      <c r="H11" s="17" t="n">
        <v>19240</v>
      </c>
      <c r="I11" s="17" t="n">
        <v>954898</v>
      </c>
      <c r="J11" s="17" t="n">
        <v>415447</v>
      </c>
      <c r="K11" s="17" t="n">
        <v>17316</v>
      </c>
      <c r="L11" s="17" t="n">
        <v>5772</v>
      </c>
      <c r="M11" s="17" t="n">
        <v>392359</v>
      </c>
      <c r="N11" s="15" t="n">
        <v>0.12</v>
      </c>
      <c r="O11" s="15" t="n">
        <v>0.12</v>
      </c>
      <c r="P11" s="15" t="n">
        <v>0.12</v>
      </c>
      <c r="Q11" s="15" t="n">
        <v>0.12</v>
      </c>
      <c r="R11" s="15" t="n">
        <v>0.03</v>
      </c>
      <c r="S11" s="15" t="n">
        <v>0.018</v>
      </c>
      <c r="T11" s="15" t="n">
        <v>0.033</v>
      </c>
      <c r="U11" s="15" t="n">
        <v>0.03</v>
      </c>
      <c r="V11" s="15" t="n">
        <v>0.0765</v>
      </c>
      <c r="W11" s="15" t="n">
        <v>0.0765</v>
      </c>
      <c r="X11" s="15" t="n">
        <v>0.0765</v>
      </c>
      <c r="Y11" s="15" t="n">
        <v>0.0765</v>
      </c>
      <c r="Z11" s="15" t="n">
        <v>0.1065</v>
      </c>
      <c r="AA11" s="15" t="n">
        <v>0.0945</v>
      </c>
      <c r="AB11" s="15" t="n">
        <v>0.1095</v>
      </c>
      <c r="AC11" s="15" t="n">
        <v>0.1065</v>
      </c>
      <c r="AD11" s="16" t="n">
        <v>900000000</v>
      </c>
      <c r="AE11" s="16" t="n">
        <v>35000000</v>
      </c>
      <c r="AF11" s="16" t="n">
        <v>10000000</v>
      </c>
      <c r="AG11" s="16" t="n">
        <v>855000000</v>
      </c>
      <c r="AH11" s="16" t="n">
        <v>800000000</v>
      </c>
      <c r="AI11" s="16" t="n">
        <v>30000000</v>
      </c>
      <c r="AJ11" s="16" t="n">
        <v>15000000</v>
      </c>
      <c r="AK11" s="16" t="n">
        <v>755000000</v>
      </c>
      <c r="AL11" s="16" t="n">
        <v>2000000000</v>
      </c>
      <c r="AM11" s="16" t="n">
        <v>74000000</v>
      </c>
      <c r="AN11" s="16" t="n">
        <v>9250000</v>
      </c>
      <c r="AO11" s="16" t="n">
        <v>1857500000</v>
      </c>
      <c r="AP11" s="16" t="n">
        <v>600000000</v>
      </c>
      <c r="AQ11" s="16" t="n">
        <v>22000000</v>
      </c>
      <c r="AR11" s="16" t="n">
        <v>11000000</v>
      </c>
      <c r="AS11" s="16" t="n">
        <v>567000000</v>
      </c>
      <c r="AT11" s="16" t="n">
        <v>100000000</v>
      </c>
      <c r="AU11" s="16" t="n">
        <v>3700000</v>
      </c>
      <c r="AV11" s="16" t="n">
        <v>1850000</v>
      </c>
      <c r="AW11" s="16" t="n">
        <v>92500000</v>
      </c>
      <c r="AX11" s="16" t="n">
        <v>250000000</v>
      </c>
      <c r="AY11" s="16" t="n">
        <v>9250000</v>
      </c>
      <c r="AZ11" s="16" t="n">
        <v>0</v>
      </c>
      <c r="BA11" s="16" t="n">
        <v>237500000</v>
      </c>
      <c r="BB11" s="16" t="n">
        <v>0</v>
      </c>
      <c r="BC11" s="16" t="n">
        <v>0</v>
      </c>
      <c r="BD11" s="16" t="n">
        <v>0</v>
      </c>
      <c r="BE11" s="16" t="n">
        <v>0</v>
      </c>
      <c r="BF11" s="16" t="n">
        <v>150000000</v>
      </c>
      <c r="BG11" s="16" t="n">
        <v>5500000</v>
      </c>
      <c r="BH11" s="16" t="n">
        <v>2750000</v>
      </c>
      <c r="BI11" s="16" t="n">
        <v>139250000</v>
      </c>
      <c r="BJ11" s="16" t="n">
        <v>0</v>
      </c>
      <c r="BK11" s="16" t="n">
        <v>0</v>
      </c>
      <c r="BL11" s="16" t="n">
        <v>0</v>
      </c>
      <c r="BM11" s="16" t="n">
        <v>0</v>
      </c>
    </row>
    <row r="12" customFormat="false" ht="12.8" hidden="false" customHeight="false" outlineLevel="0" collapsed="false">
      <c r="A12" s="10" t="n">
        <v>2.1</v>
      </c>
      <c r="B12" s="10" t="s">
        <v>99</v>
      </c>
      <c r="C12" s="10" t="s">
        <v>95</v>
      </c>
      <c r="D12" s="18" t="n">
        <v>11926</v>
      </c>
      <c r="E12" s="18" t="n">
        <v>48475</v>
      </c>
      <c r="F12" s="17" t="n">
        <v>346206</v>
      </c>
      <c r="G12" s="17" t="n">
        <v>12827</v>
      </c>
      <c r="H12" s="17" t="n">
        <v>6413</v>
      </c>
      <c r="I12" s="17" t="n">
        <v>318366</v>
      </c>
      <c r="J12" s="17" t="n">
        <v>138482</v>
      </c>
      <c r="K12" s="17" t="n">
        <v>5772</v>
      </c>
      <c r="L12" s="17" t="n">
        <v>1924</v>
      </c>
      <c r="M12" s="17" t="n">
        <v>130786</v>
      </c>
      <c r="N12" s="15" t="n">
        <v>0.12</v>
      </c>
      <c r="O12" s="15" t="n">
        <v>0.12</v>
      </c>
      <c r="P12" s="15" t="n">
        <v>0.12</v>
      </c>
      <c r="Q12" s="15" t="n">
        <v>0.12</v>
      </c>
      <c r="R12" s="15" t="n">
        <v>0.03</v>
      </c>
      <c r="S12" s="15" t="n">
        <v>0.018</v>
      </c>
      <c r="T12" s="15" t="n">
        <v>0.033</v>
      </c>
      <c r="U12" s="15" t="n">
        <v>0.03</v>
      </c>
      <c r="V12" s="15" t="n">
        <v>0.0765</v>
      </c>
      <c r="W12" s="15" t="n">
        <v>0.0765</v>
      </c>
      <c r="X12" s="15" t="n">
        <v>0.0765</v>
      </c>
      <c r="Y12" s="15" t="n">
        <v>0.0765</v>
      </c>
      <c r="Z12" s="15" t="n">
        <v>0.1065</v>
      </c>
      <c r="AA12" s="15" t="n">
        <v>0.0945</v>
      </c>
      <c r="AB12" s="15" t="n">
        <v>0.1095</v>
      </c>
      <c r="AC12" s="15" t="n">
        <v>0.1065</v>
      </c>
      <c r="AD12" s="16" t="n">
        <v>300000000</v>
      </c>
      <c r="AE12" s="16" t="n">
        <v>11666667</v>
      </c>
      <c r="AF12" s="16" t="n">
        <v>3333333</v>
      </c>
      <c r="AG12" s="16" t="n">
        <v>285000000</v>
      </c>
      <c r="AH12" s="16" t="n">
        <v>266666667</v>
      </c>
      <c r="AI12" s="16" t="n">
        <v>10000000</v>
      </c>
      <c r="AJ12" s="16" t="n">
        <v>5000000</v>
      </c>
      <c r="AK12" s="16" t="n">
        <v>251666667</v>
      </c>
      <c r="AL12" s="16" t="n">
        <v>666666667</v>
      </c>
      <c r="AM12" s="16" t="n">
        <v>24666667</v>
      </c>
      <c r="AN12" s="16" t="n">
        <v>3083333</v>
      </c>
      <c r="AO12" s="16" t="n">
        <v>629333333</v>
      </c>
      <c r="AP12" s="16" t="n">
        <v>200000000</v>
      </c>
      <c r="AQ12" s="16" t="n">
        <v>7400000</v>
      </c>
      <c r="AR12" s="16" t="n">
        <v>3700000</v>
      </c>
      <c r="AS12" s="16" t="n">
        <v>189000000</v>
      </c>
      <c r="AT12" s="16" t="n">
        <v>33333333</v>
      </c>
      <c r="AU12" s="16" t="n">
        <v>1233333</v>
      </c>
      <c r="AV12" s="16" t="n">
        <v>616667</v>
      </c>
      <c r="AW12" s="16" t="n">
        <v>30833333</v>
      </c>
      <c r="AX12" s="16" t="n">
        <v>83333333</v>
      </c>
      <c r="AY12" s="16" t="n">
        <v>3083333</v>
      </c>
      <c r="AZ12" s="16" t="n">
        <v>0</v>
      </c>
      <c r="BA12" s="16" t="n">
        <v>79166667</v>
      </c>
      <c r="BB12" s="16" t="n">
        <v>0</v>
      </c>
      <c r="BC12" s="16" t="n">
        <v>0</v>
      </c>
      <c r="BD12" s="16" t="n">
        <v>0</v>
      </c>
      <c r="BE12" s="16" t="n">
        <v>0</v>
      </c>
      <c r="BF12" s="16" t="n">
        <v>50000000</v>
      </c>
      <c r="BG12" s="16" t="n">
        <v>1833333</v>
      </c>
      <c r="BH12" s="16" t="n">
        <v>916667</v>
      </c>
      <c r="BI12" s="16" t="n">
        <v>46250000</v>
      </c>
      <c r="BJ12" s="16" t="n">
        <v>0</v>
      </c>
      <c r="BK12" s="16" t="n">
        <v>0</v>
      </c>
      <c r="BL12" s="16" t="n">
        <v>0</v>
      </c>
      <c r="BM12" s="16" t="n">
        <v>0</v>
      </c>
    </row>
    <row r="13" customFormat="false" ht="12.8" hidden="false" customHeight="false" outlineLevel="0" collapsed="false">
      <c r="A13" s="10" t="n">
        <v>2.2</v>
      </c>
      <c r="B13" s="10" t="s">
        <v>99</v>
      </c>
      <c r="C13" s="10" t="s">
        <v>96</v>
      </c>
      <c r="D13" s="18" t="n">
        <v>23851</v>
      </c>
      <c r="E13" s="18" t="n">
        <v>96950</v>
      </c>
      <c r="F13" s="17" t="n">
        <v>346206</v>
      </c>
      <c r="G13" s="17" t="n">
        <v>12827</v>
      </c>
      <c r="H13" s="17" t="n">
        <v>6413</v>
      </c>
      <c r="I13" s="17" t="n">
        <v>318366</v>
      </c>
      <c r="J13" s="17" t="n">
        <v>138482</v>
      </c>
      <c r="K13" s="17" t="n">
        <v>5772</v>
      </c>
      <c r="L13" s="17" t="n">
        <v>1924</v>
      </c>
      <c r="M13" s="17" t="n">
        <v>130786</v>
      </c>
      <c r="N13" s="15" t="n">
        <v>0.12</v>
      </c>
      <c r="O13" s="15" t="n">
        <v>0.12</v>
      </c>
      <c r="P13" s="15" t="n">
        <v>0.12</v>
      </c>
      <c r="Q13" s="15" t="n">
        <v>0.12</v>
      </c>
      <c r="R13" s="15" t="n">
        <v>0.03</v>
      </c>
      <c r="S13" s="15" t="n">
        <v>0.018</v>
      </c>
      <c r="T13" s="15" t="n">
        <v>0.033</v>
      </c>
      <c r="U13" s="15" t="n">
        <v>0.03</v>
      </c>
      <c r="V13" s="15" t="n">
        <v>0.0765</v>
      </c>
      <c r="W13" s="15" t="n">
        <v>0.0765</v>
      </c>
      <c r="X13" s="15" t="n">
        <v>0.0765</v>
      </c>
      <c r="Y13" s="15" t="n">
        <v>0.0765</v>
      </c>
      <c r="Z13" s="15" t="n">
        <v>0.1065</v>
      </c>
      <c r="AA13" s="15" t="n">
        <v>0.0945</v>
      </c>
      <c r="AB13" s="15" t="n">
        <v>0.1095</v>
      </c>
      <c r="AC13" s="15" t="n">
        <v>0.1065</v>
      </c>
      <c r="AD13" s="16" t="n">
        <v>300000000</v>
      </c>
      <c r="AE13" s="16" t="n">
        <v>11666667</v>
      </c>
      <c r="AF13" s="16" t="n">
        <v>3333333</v>
      </c>
      <c r="AG13" s="16" t="n">
        <v>285000000</v>
      </c>
      <c r="AH13" s="16" t="n">
        <v>266666667</v>
      </c>
      <c r="AI13" s="16" t="n">
        <v>10000000</v>
      </c>
      <c r="AJ13" s="16" t="n">
        <v>5000000</v>
      </c>
      <c r="AK13" s="16" t="n">
        <v>251666667</v>
      </c>
      <c r="AL13" s="16" t="n">
        <v>666666667</v>
      </c>
      <c r="AM13" s="16" t="n">
        <v>24666667</v>
      </c>
      <c r="AN13" s="16" t="n">
        <v>3083333</v>
      </c>
      <c r="AO13" s="16" t="n">
        <v>629333333</v>
      </c>
      <c r="AP13" s="16" t="n">
        <v>200000000</v>
      </c>
      <c r="AQ13" s="16" t="n">
        <v>7400000</v>
      </c>
      <c r="AR13" s="16" t="n">
        <v>3700000</v>
      </c>
      <c r="AS13" s="16" t="n">
        <v>189000000</v>
      </c>
      <c r="AT13" s="16" t="n">
        <v>33333333</v>
      </c>
      <c r="AU13" s="16" t="n">
        <v>1233333</v>
      </c>
      <c r="AV13" s="16" t="n">
        <v>616667</v>
      </c>
      <c r="AW13" s="16" t="n">
        <v>30833333</v>
      </c>
      <c r="AX13" s="16" t="n">
        <v>83333333</v>
      </c>
      <c r="AY13" s="16" t="n">
        <v>3083333</v>
      </c>
      <c r="AZ13" s="16" t="n">
        <v>0</v>
      </c>
      <c r="BA13" s="16" t="n">
        <v>79166667</v>
      </c>
      <c r="BB13" s="16" t="n">
        <v>0</v>
      </c>
      <c r="BC13" s="16" t="n">
        <v>0</v>
      </c>
      <c r="BD13" s="16" t="n">
        <v>0</v>
      </c>
      <c r="BE13" s="16" t="n">
        <v>0</v>
      </c>
      <c r="BF13" s="16" t="n">
        <v>50000000</v>
      </c>
      <c r="BG13" s="16" t="n">
        <v>1833333</v>
      </c>
      <c r="BH13" s="16" t="n">
        <v>916667</v>
      </c>
      <c r="BI13" s="16" t="n">
        <v>46250000</v>
      </c>
      <c r="BJ13" s="16" t="n">
        <v>0</v>
      </c>
      <c r="BK13" s="16" t="n">
        <v>0</v>
      </c>
      <c r="BL13" s="16" t="n">
        <v>0</v>
      </c>
      <c r="BM13" s="16" t="n">
        <v>0</v>
      </c>
    </row>
    <row r="14" customFormat="false" ht="12.8" hidden="false" customHeight="false" outlineLevel="0" collapsed="false">
      <c r="A14" s="10" t="n">
        <v>2.3</v>
      </c>
      <c r="B14" s="10" t="s">
        <v>99</v>
      </c>
      <c r="C14" s="10" t="s">
        <v>97</v>
      </c>
      <c r="D14" s="18" t="n">
        <v>17051</v>
      </c>
      <c r="E14" s="18" t="n">
        <v>64650</v>
      </c>
      <c r="F14" s="17" t="n">
        <v>346206</v>
      </c>
      <c r="G14" s="17" t="n">
        <v>12827</v>
      </c>
      <c r="H14" s="17" t="n">
        <v>6413</v>
      </c>
      <c r="I14" s="17" t="n">
        <v>318366</v>
      </c>
      <c r="J14" s="17" t="n">
        <v>138482</v>
      </c>
      <c r="K14" s="17" t="n">
        <v>5772</v>
      </c>
      <c r="L14" s="17" t="n">
        <v>1924</v>
      </c>
      <c r="M14" s="17" t="n">
        <v>130786</v>
      </c>
      <c r="N14" s="15" t="n">
        <v>0.12</v>
      </c>
      <c r="O14" s="15" t="n">
        <v>0.12</v>
      </c>
      <c r="P14" s="15" t="n">
        <v>0.12</v>
      </c>
      <c r="Q14" s="15" t="n">
        <v>0.12</v>
      </c>
      <c r="R14" s="15" t="n">
        <v>0.03</v>
      </c>
      <c r="S14" s="15" t="n">
        <v>0.018</v>
      </c>
      <c r="T14" s="15" t="n">
        <v>0.033</v>
      </c>
      <c r="U14" s="15" t="n">
        <v>0.03</v>
      </c>
      <c r="V14" s="15" t="n">
        <v>0.0765</v>
      </c>
      <c r="W14" s="15" t="n">
        <v>0.0765</v>
      </c>
      <c r="X14" s="15" t="n">
        <v>0.0765</v>
      </c>
      <c r="Y14" s="15" t="n">
        <v>0.0765</v>
      </c>
      <c r="Z14" s="15" t="n">
        <v>0.1065</v>
      </c>
      <c r="AA14" s="15" t="n">
        <v>0.0945</v>
      </c>
      <c r="AB14" s="15" t="n">
        <v>0.1095</v>
      </c>
      <c r="AC14" s="15" t="n">
        <v>0.1065</v>
      </c>
      <c r="AD14" s="16" t="n">
        <v>300000000</v>
      </c>
      <c r="AE14" s="16" t="n">
        <v>11666667</v>
      </c>
      <c r="AF14" s="16" t="n">
        <v>3333333</v>
      </c>
      <c r="AG14" s="16" t="n">
        <v>285000000</v>
      </c>
      <c r="AH14" s="16" t="n">
        <v>266666667</v>
      </c>
      <c r="AI14" s="16" t="n">
        <v>10000000</v>
      </c>
      <c r="AJ14" s="16" t="n">
        <v>5000000</v>
      </c>
      <c r="AK14" s="16" t="n">
        <v>251666667</v>
      </c>
      <c r="AL14" s="16" t="n">
        <v>666666667</v>
      </c>
      <c r="AM14" s="16" t="n">
        <v>24666667</v>
      </c>
      <c r="AN14" s="16" t="n">
        <v>3083333</v>
      </c>
      <c r="AO14" s="16" t="n">
        <v>629333333</v>
      </c>
      <c r="AP14" s="16" t="n">
        <v>200000000</v>
      </c>
      <c r="AQ14" s="16" t="n">
        <v>7400000</v>
      </c>
      <c r="AR14" s="16" t="n">
        <v>3700000</v>
      </c>
      <c r="AS14" s="16" t="n">
        <v>189000000</v>
      </c>
      <c r="AT14" s="16" t="n">
        <v>33333333</v>
      </c>
      <c r="AU14" s="16" t="n">
        <v>1233333</v>
      </c>
      <c r="AV14" s="16" t="n">
        <v>616667</v>
      </c>
      <c r="AW14" s="16" t="n">
        <v>30833333</v>
      </c>
      <c r="AX14" s="16" t="n">
        <v>83333333</v>
      </c>
      <c r="AY14" s="16" t="n">
        <v>3083333</v>
      </c>
      <c r="AZ14" s="16" t="n">
        <v>0</v>
      </c>
      <c r="BA14" s="16" t="n">
        <v>79166667</v>
      </c>
      <c r="BB14" s="16" t="n">
        <v>0</v>
      </c>
      <c r="BC14" s="16" t="n">
        <v>0</v>
      </c>
      <c r="BD14" s="16" t="n">
        <v>0</v>
      </c>
      <c r="BE14" s="16" t="n">
        <v>0</v>
      </c>
      <c r="BF14" s="16" t="n">
        <v>50000000</v>
      </c>
      <c r="BG14" s="16" t="n">
        <v>1833333</v>
      </c>
      <c r="BH14" s="16" t="n">
        <v>916667</v>
      </c>
      <c r="BI14" s="16" t="n">
        <v>46250000</v>
      </c>
      <c r="BJ14" s="16" t="n">
        <v>0</v>
      </c>
      <c r="BK14" s="16" t="n">
        <v>0</v>
      </c>
      <c r="BL14" s="16" t="n">
        <v>0</v>
      </c>
      <c r="BM14" s="16" t="n">
        <v>0</v>
      </c>
    </row>
    <row r="15" customFormat="false" ht="12.8" hidden="false" customHeight="false" outlineLevel="0" collapsed="false">
      <c r="A15" s="10" t="n">
        <v>3</v>
      </c>
      <c r="B15" s="10" t="s">
        <v>100</v>
      </c>
      <c r="C15" s="12" t="s">
        <v>93</v>
      </c>
      <c r="D15" s="13" t="s">
        <v>94</v>
      </c>
      <c r="E15" s="13" t="s">
        <v>94</v>
      </c>
      <c r="F15" s="17" t="n">
        <v>778962</v>
      </c>
      <c r="G15" s="17" t="n">
        <v>23040</v>
      </c>
      <c r="H15" s="17" t="n">
        <v>11520</v>
      </c>
      <c r="I15" s="17" t="n">
        <v>744402</v>
      </c>
      <c r="J15" s="17" t="n">
        <v>519308</v>
      </c>
      <c r="K15" s="17" t="n">
        <v>20790</v>
      </c>
      <c r="L15" s="17" t="n">
        <v>3456</v>
      </c>
      <c r="M15" s="17" t="n">
        <v>494762</v>
      </c>
      <c r="N15" s="15" t="n">
        <v>0.22</v>
      </c>
      <c r="O15" s="15" t="n">
        <v>0.22</v>
      </c>
      <c r="P15" s="15" t="n">
        <v>0.22</v>
      </c>
      <c r="Q15" s="15" t="n">
        <v>0.22</v>
      </c>
      <c r="R15" s="15" t="n">
        <v>0.12</v>
      </c>
      <c r="S15" s="15" t="n">
        <v>0.072</v>
      </c>
      <c r="T15" s="15" t="n">
        <v>0.132</v>
      </c>
      <c r="U15" s="15" t="n">
        <v>0.12</v>
      </c>
      <c r="V15" s="15" t="n">
        <v>0.0765</v>
      </c>
      <c r="W15" s="15" t="n">
        <v>0.0765</v>
      </c>
      <c r="X15" s="15" t="n">
        <v>0.0765</v>
      </c>
      <c r="Y15" s="15" t="n">
        <v>0.0765</v>
      </c>
      <c r="Z15" s="15" t="n">
        <v>0.1965</v>
      </c>
      <c r="AA15" s="15" t="n">
        <v>0.1485</v>
      </c>
      <c r="AB15" s="15" t="n">
        <v>0.2085</v>
      </c>
      <c r="AC15" s="15" t="n">
        <v>0.1965</v>
      </c>
      <c r="AD15" s="16" t="n">
        <v>2500000000</v>
      </c>
      <c r="AE15" s="16" t="n">
        <v>80000000</v>
      </c>
      <c r="AF15" s="16" t="n">
        <v>20000000</v>
      </c>
      <c r="AG15" s="16" t="n">
        <v>2400000000</v>
      </c>
      <c r="AH15" s="16" t="n">
        <v>1200000000</v>
      </c>
      <c r="AI15" s="16" t="n">
        <v>35000000</v>
      </c>
      <c r="AJ15" s="16" t="n">
        <v>17500000</v>
      </c>
      <c r="AK15" s="16" t="n">
        <v>1155000000</v>
      </c>
      <c r="AL15" s="16" t="n">
        <v>0</v>
      </c>
      <c r="AM15" s="16" t="n">
        <v>0</v>
      </c>
      <c r="AN15" s="16" t="n">
        <v>0</v>
      </c>
      <c r="AO15" s="16" t="n">
        <v>0</v>
      </c>
      <c r="AP15" s="16" t="n">
        <v>450000000</v>
      </c>
      <c r="AQ15" s="16" t="n">
        <v>13000000</v>
      </c>
      <c r="AR15" s="16" t="n">
        <v>6500000</v>
      </c>
      <c r="AS15" s="16" t="n">
        <v>431500000</v>
      </c>
      <c r="AT15" s="16" t="n">
        <v>75000000</v>
      </c>
      <c r="AU15" s="16" t="n">
        <v>2200000</v>
      </c>
      <c r="AV15" s="16" t="n">
        <v>1100000</v>
      </c>
      <c r="AW15" s="16" t="n">
        <v>71600000</v>
      </c>
      <c r="AX15" s="16" t="n">
        <v>0</v>
      </c>
      <c r="AY15" s="16" t="n">
        <v>0</v>
      </c>
      <c r="AZ15" s="16" t="n">
        <v>0</v>
      </c>
      <c r="BA15" s="16" t="n">
        <v>0</v>
      </c>
      <c r="BB15" s="16" t="n">
        <v>290000000</v>
      </c>
      <c r="BC15" s="16" t="n">
        <v>8500000</v>
      </c>
      <c r="BD15" s="16" t="n">
        <v>4250000</v>
      </c>
      <c r="BE15" s="16" t="n">
        <v>277500000</v>
      </c>
      <c r="BF15" s="16" t="n">
        <v>110000000</v>
      </c>
      <c r="BG15" s="16" t="n">
        <v>3300000</v>
      </c>
      <c r="BH15" s="16" t="n">
        <v>1650000</v>
      </c>
      <c r="BI15" s="16" t="n">
        <v>105050000</v>
      </c>
      <c r="BJ15" s="16" t="n">
        <v>0</v>
      </c>
      <c r="BK15" s="16" t="n">
        <v>0</v>
      </c>
      <c r="BL15" s="16" t="n">
        <v>0</v>
      </c>
      <c r="BM15" s="16" t="n">
        <v>0</v>
      </c>
    </row>
    <row r="16" customFormat="false" ht="12.8" hidden="false" customHeight="false" outlineLevel="0" collapsed="false">
      <c r="A16" s="10" t="n">
        <v>3.1</v>
      </c>
      <c r="B16" s="10" t="s">
        <v>100</v>
      </c>
      <c r="C16" s="10" t="s">
        <v>95</v>
      </c>
      <c r="D16" s="18" t="n">
        <v>48476</v>
      </c>
      <c r="E16" s="18" t="n">
        <v>103350</v>
      </c>
      <c r="F16" s="17" t="n">
        <v>259654</v>
      </c>
      <c r="G16" s="17" t="n">
        <v>7680</v>
      </c>
      <c r="H16" s="17" t="n">
        <v>3840</v>
      </c>
      <c r="I16" s="17" t="n">
        <v>248134</v>
      </c>
      <c r="J16" s="17" t="n">
        <v>173103</v>
      </c>
      <c r="K16" s="17" t="n">
        <v>10368</v>
      </c>
      <c r="L16" s="17" t="n">
        <v>1152</v>
      </c>
      <c r="M16" s="17" t="n">
        <v>161583</v>
      </c>
      <c r="N16" s="15" t="n">
        <v>0.22</v>
      </c>
      <c r="O16" s="15" t="n">
        <v>0.22</v>
      </c>
      <c r="P16" s="15" t="n">
        <v>0.22</v>
      </c>
      <c r="Q16" s="15" t="n">
        <v>0.22</v>
      </c>
      <c r="R16" s="15" t="n">
        <v>0.12</v>
      </c>
      <c r="S16" s="15" t="n">
        <v>0.072</v>
      </c>
      <c r="T16" s="15" t="n">
        <v>0.132</v>
      </c>
      <c r="U16" s="15" t="n">
        <v>0.12</v>
      </c>
      <c r="V16" s="15" t="n">
        <v>0.0765</v>
      </c>
      <c r="W16" s="15" t="n">
        <v>0.0765</v>
      </c>
      <c r="X16" s="15" t="n">
        <v>0.0765</v>
      </c>
      <c r="Y16" s="15" t="n">
        <v>0.0765</v>
      </c>
      <c r="Z16" s="15" t="n">
        <v>0.1965</v>
      </c>
      <c r="AA16" s="15" t="n">
        <v>0.1485</v>
      </c>
      <c r="AB16" s="15" t="n">
        <v>0.2085</v>
      </c>
      <c r="AC16" s="15" t="n">
        <v>0.1965</v>
      </c>
      <c r="AD16" s="16" t="n">
        <v>833333333</v>
      </c>
      <c r="AE16" s="16" t="n">
        <v>26666667</v>
      </c>
      <c r="AF16" s="16" t="n">
        <v>6666667</v>
      </c>
      <c r="AG16" s="16" t="n">
        <v>800000000</v>
      </c>
      <c r="AH16" s="16" t="n">
        <v>400000000</v>
      </c>
      <c r="AI16" s="16" t="n">
        <v>11666667</v>
      </c>
      <c r="AJ16" s="16" t="n">
        <v>5833333</v>
      </c>
      <c r="AK16" s="16" t="n">
        <v>385000000</v>
      </c>
      <c r="AL16" s="16" t="n">
        <v>0</v>
      </c>
      <c r="AM16" s="16" t="n">
        <v>0</v>
      </c>
      <c r="AN16" s="16" t="n">
        <v>0</v>
      </c>
      <c r="AO16" s="16" t="n">
        <v>0</v>
      </c>
      <c r="AP16" s="16" t="n">
        <v>150000000</v>
      </c>
      <c r="AQ16" s="16" t="n">
        <v>4333333</v>
      </c>
      <c r="AR16" s="16" t="n">
        <v>2166667</v>
      </c>
      <c r="AS16" s="16" t="n">
        <v>143833333</v>
      </c>
      <c r="AT16" s="16" t="n">
        <v>25000000</v>
      </c>
      <c r="AU16" s="16" t="n">
        <v>733333</v>
      </c>
      <c r="AV16" s="16" t="n">
        <v>366667</v>
      </c>
      <c r="AW16" s="16" t="n">
        <v>23866667</v>
      </c>
      <c r="AX16" s="16" t="n">
        <v>0</v>
      </c>
      <c r="AY16" s="16" t="n">
        <v>0</v>
      </c>
      <c r="AZ16" s="16" t="n">
        <v>0</v>
      </c>
      <c r="BA16" s="16" t="n">
        <v>0</v>
      </c>
      <c r="BB16" s="16" t="n">
        <v>96666667</v>
      </c>
      <c r="BC16" s="16" t="n">
        <v>2833333</v>
      </c>
      <c r="BD16" s="16" t="n">
        <v>1416667</v>
      </c>
      <c r="BE16" s="16" t="n">
        <v>92466667</v>
      </c>
      <c r="BF16" s="16" t="n">
        <v>36666667</v>
      </c>
      <c r="BG16" s="16" t="n">
        <v>1100000</v>
      </c>
      <c r="BH16" s="16" t="n">
        <v>550000</v>
      </c>
      <c r="BI16" s="16" t="n">
        <v>35016667</v>
      </c>
      <c r="BJ16" s="16" t="n">
        <v>0</v>
      </c>
      <c r="BK16" s="16" t="n">
        <v>0</v>
      </c>
      <c r="BL16" s="16" t="n">
        <v>0</v>
      </c>
      <c r="BM16" s="16" t="n">
        <v>0</v>
      </c>
    </row>
    <row r="17" customFormat="false" ht="12.8" hidden="false" customHeight="false" outlineLevel="0" collapsed="false">
      <c r="A17" s="10" t="n">
        <v>3.2</v>
      </c>
      <c r="B17" s="10" t="s">
        <v>100</v>
      </c>
      <c r="C17" s="10" t="s">
        <v>96</v>
      </c>
      <c r="D17" s="18" t="n">
        <v>96951</v>
      </c>
      <c r="E17" s="18" t="n">
        <v>206700</v>
      </c>
      <c r="F17" s="17" t="n">
        <v>259654</v>
      </c>
      <c r="G17" s="17" t="n">
        <v>7680</v>
      </c>
      <c r="H17" s="17" t="n">
        <v>3840</v>
      </c>
      <c r="I17" s="17" t="n">
        <v>248134</v>
      </c>
      <c r="J17" s="17" t="n">
        <v>173103</v>
      </c>
      <c r="K17" s="17" t="n">
        <v>10368</v>
      </c>
      <c r="L17" s="17" t="n">
        <v>1152</v>
      </c>
      <c r="M17" s="17" t="n">
        <v>161583</v>
      </c>
      <c r="N17" s="15" t="n">
        <v>0.22</v>
      </c>
      <c r="O17" s="15" t="n">
        <v>0.22</v>
      </c>
      <c r="P17" s="15" t="n">
        <v>0.22</v>
      </c>
      <c r="Q17" s="15" t="n">
        <v>0.22</v>
      </c>
      <c r="R17" s="15" t="n">
        <v>0.12</v>
      </c>
      <c r="S17" s="15" t="n">
        <v>0.072</v>
      </c>
      <c r="T17" s="15" t="n">
        <v>0.132</v>
      </c>
      <c r="U17" s="15" t="n">
        <v>0.12</v>
      </c>
      <c r="V17" s="15" t="n">
        <v>0.0765</v>
      </c>
      <c r="W17" s="15" t="n">
        <v>0.0765</v>
      </c>
      <c r="X17" s="15" t="n">
        <v>0.0765</v>
      </c>
      <c r="Y17" s="15" t="n">
        <v>0.0765</v>
      </c>
      <c r="Z17" s="15" t="n">
        <v>0.1965</v>
      </c>
      <c r="AA17" s="15" t="n">
        <v>0.1485</v>
      </c>
      <c r="AB17" s="15" t="n">
        <v>0.2085</v>
      </c>
      <c r="AC17" s="15" t="n">
        <v>0.1965</v>
      </c>
      <c r="AD17" s="16" t="n">
        <v>833333333</v>
      </c>
      <c r="AE17" s="16" t="n">
        <v>26666667</v>
      </c>
      <c r="AF17" s="16" t="n">
        <v>6666667</v>
      </c>
      <c r="AG17" s="16" t="n">
        <v>800000000</v>
      </c>
      <c r="AH17" s="16" t="n">
        <v>400000000</v>
      </c>
      <c r="AI17" s="16" t="n">
        <v>11666667</v>
      </c>
      <c r="AJ17" s="16" t="n">
        <v>5833333</v>
      </c>
      <c r="AK17" s="16" t="n">
        <v>385000000</v>
      </c>
      <c r="AL17" s="16" t="n">
        <v>0</v>
      </c>
      <c r="AM17" s="16" t="n">
        <v>0</v>
      </c>
      <c r="AN17" s="16" t="n">
        <v>0</v>
      </c>
      <c r="AO17" s="16" t="n">
        <v>0</v>
      </c>
      <c r="AP17" s="16" t="n">
        <v>150000000</v>
      </c>
      <c r="AQ17" s="16" t="n">
        <v>4333333</v>
      </c>
      <c r="AR17" s="16" t="n">
        <v>2166667</v>
      </c>
      <c r="AS17" s="16" t="n">
        <v>143833333</v>
      </c>
      <c r="AT17" s="16" t="n">
        <v>25000000</v>
      </c>
      <c r="AU17" s="16" t="n">
        <v>733333</v>
      </c>
      <c r="AV17" s="16" t="n">
        <v>366667</v>
      </c>
      <c r="AW17" s="16" t="n">
        <v>23866667</v>
      </c>
      <c r="AX17" s="16" t="n">
        <v>0</v>
      </c>
      <c r="AY17" s="16" t="n">
        <v>0</v>
      </c>
      <c r="AZ17" s="16" t="n">
        <v>0</v>
      </c>
      <c r="BA17" s="16" t="n">
        <v>0</v>
      </c>
      <c r="BB17" s="16" t="n">
        <v>96666667</v>
      </c>
      <c r="BC17" s="16" t="n">
        <v>2833333</v>
      </c>
      <c r="BD17" s="16" t="n">
        <v>1416667</v>
      </c>
      <c r="BE17" s="16" t="n">
        <v>92466667</v>
      </c>
      <c r="BF17" s="16" t="n">
        <v>36666667</v>
      </c>
      <c r="BG17" s="16" t="n">
        <v>1100000</v>
      </c>
      <c r="BH17" s="16" t="n">
        <v>550000</v>
      </c>
      <c r="BI17" s="16" t="n">
        <v>35016667</v>
      </c>
      <c r="BJ17" s="16" t="n">
        <v>0</v>
      </c>
      <c r="BK17" s="16" t="n">
        <v>0</v>
      </c>
      <c r="BL17" s="16" t="n">
        <v>0</v>
      </c>
      <c r="BM17" s="16" t="n">
        <v>0</v>
      </c>
    </row>
    <row r="18" customFormat="false" ht="12.8" hidden="false" customHeight="false" outlineLevel="0" collapsed="false">
      <c r="A18" s="10" t="n">
        <v>3.3</v>
      </c>
      <c r="B18" s="10" t="s">
        <v>100</v>
      </c>
      <c r="C18" s="10" t="s">
        <v>97</v>
      </c>
      <c r="D18" s="18" t="n">
        <v>64651</v>
      </c>
      <c r="E18" s="18" t="n">
        <v>103350</v>
      </c>
      <c r="F18" s="17" t="n">
        <v>259654</v>
      </c>
      <c r="G18" s="17" t="n">
        <v>7680</v>
      </c>
      <c r="H18" s="17" t="n">
        <v>3840</v>
      </c>
      <c r="I18" s="17" t="n">
        <v>248134</v>
      </c>
      <c r="J18" s="17" t="n">
        <v>173103</v>
      </c>
      <c r="K18" s="17" t="n">
        <v>10368</v>
      </c>
      <c r="L18" s="17" t="n">
        <v>1152</v>
      </c>
      <c r="M18" s="17" t="n">
        <v>161583</v>
      </c>
      <c r="N18" s="15" t="n">
        <v>0.22</v>
      </c>
      <c r="O18" s="15" t="n">
        <v>0.22</v>
      </c>
      <c r="P18" s="15" t="n">
        <v>0.22</v>
      </c>
      <c r="Q18" s="15" t="n">
        <v>0.22</v>
      </c>
      <c r="R18" s="15" t="n">
        <v>0.12</v>
      </c>
      <c r="S18" s="15" t="n">
        <v>0.072</v>
      </c>
      <c r="T18" s="15" t="n">
        <v>0.132</v>
      </c>
      <c r="U18" s="15" t="n">
        <v>0.12</v>
      </c>
      <c r="V18" s="15" t="n">
        <v>0.0765</v>
      </c>
      <c r="W18" s="15" t="n">
        <v>0.0765</v>
      </c>
      <c r="X18" s="15" t="n">
        <v>0.0765</v>
      </c>
      <c r="Y18" s="15" t="n">
        <v>0.0765</v>
      </c>
      <c r="Z18" s="15" t="n">
        <v>0.1965</v>
      </c>
      <c r="AA18" s="15" t="n">
        <v>0.1485</v>
      </c>
      <c r="AB18" s="15" t="n">
        <v>0.2085</v>
      </c>
      <c r="AC18" s="15" t="n">
        <v>0.1965</v>
      </c>
      <c r="AD18" s="16" t="n">
        <v>833333333</v>
      </c>
      <c r="AE18" s="16" t="n">
        <v>26666667</v>
      </c>
      <c r="AF18" s="16" t="n">
        <v>6666667</v>
      </c>
      <c r="AG18" s="16" t="n">
        <v>800000000</v>
      </c>
      <c r="AH18" s="16" t="n">
        <v>400000000</v>
      </c>
      <c r="AI18" s="16" t="n">
        <v>11666667</v>
      </c>
      <c r="AJ18" s="16" t="n">
        <v>5833333</v>
      </c>
      <c r="AK18" s="16" t="n">
        <v>385000000</v>
      </c>
      <c r="AL18" s="16" t="n">
        <v>0</v>
      </c>
      <c r="AM18" s="16" t="n">
        <v>0</v>
      </c>
      <c r="AN18" s="16" t="n">
        <v>0</v>
      </c>
      <c r="AO18" s="16" t="n">
        <v>0</v>
      </c>
      <c r="AP18" s="16" t="n">
        <v>150000000</v>
      </c>
      <c r="AQ18" s="16" t="n">
        <v>4333333</v>
      </c>
      <c r="AR18" s="16" t="n">
        <v>2166667</v>
      </c>
      <c r="AS18" s="16" t="n">
        <v>143833333</v>
      </c>
      <c r="AT18" s="16" t="n">
        <v>25000000</v>
      </c>
      <c r="AU18" s="16" t="n">
        <v>733333</v>
      </c>
      <c r="AV18" s="16" t="n">
        <v>366667</v>
      </c>
      <c r="AW18" s="16" t="n">
        <v>23866667</v>
      </c>
      <c r="AX18" s="16" t="n">
        <v>0</v>
      </c>
      <c r="AY18" s="16" t="n">
        <v>0</v>
      </c>
      <c r="AZ18" s="16" t="n">
        <v>0</v>
      </c>
      <c r="BA18" s="16" t="n">
        <v>0</v>
      </c>
      <c r="BB18" s="16" t="n">
        <v>96666667</v>
      </c>
      <c r="BC18" s="16" t="n">
        <v>2833333</v>
      </c>
      <c r="BD18" s="16" t="n">
        <v>1416667</v>
      </c>
      <c r="BE18" s="16" t="n">
        <v>92466667</v>
      </c>
      <c r="BF18" s="16" t="n">
        <v>36666667</v>
      </c>
      <c r="BG18" s="16" t="n">
        <v>1100000</v>
      </c>
      <c r="BH18" s="16" t="n">
        <v>550000</v>
      </c>
      <c r="BI18" s="16" t="n">
        <v>35016667</v>
      </c>
      <c r="BJ18" s="16" t="n">
        <v>0</v>
      </c>
      <c r="BK18" s="16" t="n">
        <v>0</v>
      </c>
      <c r="BL18" s="16" t="n">
        <v>0</v>
      </c>
      <c r="BM18" s="16" t="n">
        <v>0</v>
      </c>
    </row>
    <row r="19" customFormat="false" ht="12.8" hidden="false" customHeight="false" outlineLevel="0" collapsed="false">
      <c r="A19" s="10" t="n">
        <v>4</v>
      </c>
      <c r="B19" s="10" t="s">
        <v>101</v>
      </c>
      <c r="C19" s="12" t="s">
        <v>93</v>
      </c>
      <c r="D19" s="13" t="s">
        <v>94</v>
      </c>
      <c r="E19" s="13" t="s">
        <v>94</v>
      </c>
      <c r="F19" s="17" t="n">
        <v>778962</v>
      </c>
      <c r="G19" s="17" t="n">
        <v>18432</v>
      </c>
      <c r="H19" s="17" t="n">
        <v>7680</v>
      </c>
      <c r="I19" s="17" t="n">
        <v>752850</v>
      </c>
      <c r="J19" s="17" t="n">
        <v>415447</v>
      </c>
      <c r="K19" s="17" t="n">
        <v>8309</v>
      </c>
      <c r="L19" s="17" t="n">
        <v>2304</v>
      </c>
      <c r="M19" s="17" t="n">
        <v>404834</v>
      </c>
      <c r="N19" s="15" t="n">
        <v>0.24</v>
      </c>
      <c r="O19" s="15" t="n">
        <v>0.24</v>
      </c>
      <c r="P19" s="15" t="n">
        <v>0.24</v>
      </c>
      <c r="Q19" s="15" t="n">
        <v>0.24</v>
      </c>
      <c r="R19" s="15" t="n">
        <v>0.16</v>
      </c>
      <c r="S19" s="15" t="n">
        <v>0.096</v>
      </c>
      <c r="T19" s="15" t="n">
        <v>0.176</v>
      </c>
      <c r="U19" s="15" t="n">
        <v>0.16</v>
      </c>
      <c r="V19" s="15" t="n">
        <v>0.0765</v>
      </c>
      <c r="W19" s="15" t="n">
        <v>0.0765</v>
      </c>
      <c r="X19" s="15" t="n">
        <v>0.0765</v>
      </c>
      <c r="Y19" s="15" t="n">
        <v>0.0765</v>
      </c>
      <c r="Z19" s="15" t="n">
        <v>0.2365</v>
      </c>
      <c r="AA19" s="15" t="n">
        <v>0.1725</v>
      </c>
      <c r="AB19" s="15" t="n">
        <v>0.2525</v>
      </c>
      <c r="AC19" s="15" t="n">
        <v>0.2365</v>
      </c>
      <c r="AD19" s="16" t="n">
        <v>5500000000</v>
      </c>
      <c r="AE19" s="16" t="n">
        <v>140000000</v>
      </c>
      <c r="AF19" s="16" t="n">
        <v>30000000</v>
      </c>
      <c r="AG19" s="16" t="n">
        <v>5330000000</v>
      </c>
      <c r="AH19" s="16" t="n">
        <v>2400000000</v>
      </c>
      <c r="AI19" s="16" t="n">
        <v>55000000</v>
      </c>
      <c r="AJ19" s="16" t="n">
        <v>23000000</v>
      </c>
      <c r="AK19" s="16" t="n">
        <v>2325000000</v>
      </c>
      <c r="AL19" s="16" t="n">
        <v>0</v>
      </c>
      <c r="AM19" s="16" t="n">
        <v>0</v>
      </c>
      <c r="AN19" s="16" t="n">
        <v>0</v>
      </c>
      <c r="AO19" s="16" t="n">
        <v>0</v>
      </c>
      <c r="AP19" s="16" t="n">
        <v>0</v>
      </c>
      <c r="AQ19" s="16" t="n">
        <v>0</v>
      </c>
      <c r="AR19" s="16" t="n">
        <v>0</v>
      </c>
      <c r="AS19" s="16" t="n">
        <v>0</v>
      </c>
      <c r="AT19" s="16" t="n">
        <v>75000000</v>
      </c>
      <c r="AU19" s="16" t="n">
        <v>1800000</v>
      </c>
      <c r="AV19" s="16" t="n">
        <v>750000</v>
      </c>
      <c r="AW19" s="16" t="n">
        <v>73500000</v>
      </c>
      <c r="AX19" s="16" t="n">
        <v>0</v>
      </c>
      <c r="AY19" s="16" t="n">
        <v>0</v>
      </c>
      <c r="AZ19" s="16" t="n">
        <v>0</v>
      </c>
      <c r="BA19" s="16" t="n">
        <v>0</v>
      </c>
      <c r="BB19" s="16" t="n">
        <v>290000000</v>
      </c>
      <c r="BC19" s="16" t="n">
        <v>7000000</v>
      </c>
      <c r="BD19" s="16" t="n">
        <v>3000000</v>
      </c>
      <c r="BE19" s="16" t="n">
        <v>280000000</v>
      </c>
      <c r="BF19" s="16" t="n">
        <v>110000000</v>
      </c>
      <c r="BG19" s="16" t="n">
        <v>2600000</v>
      </c>
      <c r="BH19" s="16" t="n">
        <v>1100000</v>
      </c>
      <c r="BI19" s="16" t="n">
        <v>106300000</v>
      </c>
      <c r="BJ19" s="16" t="n">
        <v>75000000</v>
      </c>
      <c r="BK19" s="16" t="n">
        <v>1800000</v>
      </c>
      <c r="BL19" s="16" t="n">
        <v>750000</v>
      </c>
      <c r="BM19" s="16" t="n">
        <v>73500000</v>
      </c>
    </row>
    <row r="20" customFormat="false" ht="12.8" hidden="false" customHeight="false" outlineLevel="0" collapsed="false">
      <c r="A20" s="10" t="n">
        <v>4.1</v>
      </c>
      <c r="B20" s="10" t="s">
        <v>101</v>
      </c>
      <c r="C20" s="10" t="s">
        <v>95</v>
      </c>
      <c r="D20" s="18" t="n">
        <v>103351</v>
      </c>
      <c r="E20" s="18" t="n">
        <v>197300</v>
      </c>
      <c r="F20" s="17" t="n">
        <v>259654</v>
      </c>
      <c r="G20" s="17" t="n">
        <v>6144</v>
      </c>
      <c r="H20" s="17" t="n">
        <v>2560</v>
      </c>
      <c r="I20" s="17" t="n">
        <v>250950</v>
      </c>
      <c r="J20" s="17" t="n">
        <v>138482</v>
      </c>
      <c r="K20" s="17" t="n">
        <v>2769</v>
      </c>
      <c r="L20" s="17" t="n">
        <v>768</v>
      </c>
      <c r="M20" s="17" t="n">
        <v>134945</v>
      </c>
      <c r="N20" s="15" t="n">
        <v>0.24</v>
      </c>
      <c r="O20" s="15" t="n">
        <v>0.24</v>
      </c>
      <c r="P20" s="15" t="n">
        <v>0.24</v>
      </c>
      <c r="Q20" s="15" t="n">
        <v>0.24</v>
      </c>
      <c r="R20" s="15" t="n">
        <v>0.16</v>
      </c>
      <c r="S20" s="15" t="n">
        <v>0.096</v>
      </c>
      <c r="T20" s="15" t="n">
        <v>0.176</v>
      </c>
      <c r="U20" s="15" t="n">
        <v>0.16</v>
      </c>
      <c r="V20" s="15" t="n">
        <v>0.0765</v>
      </c>
      <c r="W20" s="15" t="n">
        <v>0.0765</v>
      </c>
      <c r="X20" s="15" t="n">
        <v>0.0765</v>
      </c>
      <c r="Y20" s="15" t="n">
        <v>0.0765</v>
      </c>
      <c r="Z20" s="15" t="n">
        <v>0.2365</v>
      </c>
      <c r="AA20" s="15" t="n">
        <v>0.1725</v>
      </c>
      <c r="AB20" s="15" t="n">
        <v>0.2525</v>
      </c>
      <c r="AC20" s="15" t="n">
        <v>0.2365</v>
      </c>
      <c r="AD20" s="16" t="n">
        <v>1833333333</v>
      </c>
      <c r="AE20" s="16" t="n">
        <v>46666667</v>
      </c>
      <c r="AF20" s="16" t="n">
        <v>10000000</v>
      </c>
      <c r="AG20" s="16" t="n">
        <v>1776666667</v>
      </c>
      <c r="AH20" s="16" t="n">
        <v>800000000</v>
      </c>
      <c r="AI20" s="16" t="n">
        <v>18333333</v>
      </c>
      <c r="AJ20" s="16" t="n">
        <v>7666667</v>
      </c>
      <c r="AK20" s="16" t="n">
        <v>775000000</v>
      </c>
      <c r="AL20" s="16" t="n">
        <v>0</v>
      </c>
      <c r="AM20" s="16" t="n">
        <v>0</v>
      </c>
      <c r="AN20" s="16" t="n">
        <v>0</v>
      </c>
      <c r="AO20" s="16" t="n">
        <v>0</v>
      </c>
      <c r="AP20" s="16" t="n">
        <v>0</v>
      </c>
      <c r="AQ20" s="16" t="n">
        <v>0</v>
      </c>
      <c r="AR20" s="16" t="n">
        <v>0</v>
      </c>
      <c r="AS20" s="16" t="n">
        <v>0</v>
      </c>
      <c r="AT20" s="16" t="n">
        <v>25000000</v>
      </c>
      <c r="AU20" s="16" t="n">
        <v>600000</v>
      </c>
      <c r="AV20" s="16" t="n">
        <v>250000</v>
      </c>
      <c r="AW20" s="16" t="n">
        <v>24500000</v>
      </c>
      <c r="AX20" s="16" t="n">
        <v>0</v>
      </c>
      <c r="AY20" s="16" t="n">
        <v>0</v>
      </c>
      <c r="AZ20" s="16" t="n">
        <v>0</v>
      </c>
      <c r="BA20" s="16" t="n">
        <v>0</v>
      </c>
      <c r="BB20" s="16" t="n">
        <v>96666667</v>
      </c>
      <c r="BC20" s="16" t="n">
        <v>2333333</v>
      </c>
      <c r="BD20" s="16" t="n">
        <v>1000000</v>
      </c>
      <c r="BE20" s="16" t="n">
        <v>93333333</v>
      </c>
      <c r="BF20" s="16" t="n">
        <v>36666667</v>
      </c>
      <c r="BG20" s="16" t="n">
        <v>866667</v>
      </c>
      <c r="BH20" s="16" t="n">
        <v>366667</v>
      </c>
      <c r="BI20" s="16" t="n">
        <v>35500000</v>
      </c>
      <c r="BJ20" s="16" t="n">
        <v>25000000</v>
      </c>
      <c r="BK20" s="16" t="n">
        <v>600000</v>
      </c>
      <c r="BL20" s="16" t="n">
        <v>250000</v>
      </c>
      <c r="BM20" s="16" t="n">
        <v>24500000</v>
      </c>
    </row>
    <row r="21" customFormat="false" ht="12.8" hidden="false" customHeight="false" outlineLevel="0" collapsed="false">
      <c r="A21" s="10" t="n">
        <v>4.2</v>
      </c>
      <c r="B21" s="10" t="s">
        <v>101</v>
      </c>
      <c r="C21" s="10" t="s">
        <v>96</v>
      </c>
      <c r="D21" s="18" t="n">
        <v>206701</v>
      </c>
      <c r="E21" s="18" t="n">
        <v>394600</v>
      </c>
      <c r="F21" s="17" t="n">
        <v>259654</v>
      </c>
      <c r="G21" s="17" t="n">
        <v>6144</v>
      </c>
      <c r="H21" s="17" t="n">
        <v>2560</v>
      </c>
      <c r="I21" s="17" t="n">
        <v>250950</v>
      </c>
      <c r="J21" s="17" t="n">
        <v>138482</v>
      </c>
      <c r="K21" s="17" t="n">
        <v>2769</v>
      </c>
      <c r="L21" s="17" t="n">
        <v>768</v>
      </c>
      <c r="M21" s="17" t="n">
        <v>134945</v>
      </c>
      <c r="N21" s="15" t="n">
        <v>0.24</v>
      </c>
      <c r="O21" s="15" t="n">
        <v>0.24</v>
      </c>
      <c r="P21" s="15" t="n">
        <v>0.24</v>
      </c>
      <c r="Q21" s="15" t="n">
        <v>0.24</v>
      </c>
      <c r="R21" s="15" t="n">
        <v>0.16</v>
      </c>
      <c r="S21" s="15" t="n">
        <v>0.096</v>
      </c>
      <c r="T21" s="15" t="n">
        <v>0.176</v>
      </c>
      <c r="U21" s="15" t="n">
        <v>0.16</v>
      </c>
      <c r="V21" s="15" t="n">
        <v>0.0765</v>
      </c>
      <c r="W21" s="15" t="n">
        <v>0.0765</v>
      </c>
      <c r="X21" s="15" t="n">
        <v>0.0765</v>
      </c>
      <c r="Y21" s="15" t="n">
        <v>0.0765</v>
      </c>
      <c r="Z21" s="15" t="n">
        <v>0.2365</v>
      </c>
      <c r="AA21" s="15" t="n">
        <v>0.1725</v>
      </c>
      <c r="AB21" s="15" t="n">
        <v>0.2525</v>
      </c>
      <c r="AC21" s="15" t="n">
        <v>0.2365</v>
      </c>
      <c r="AD21" s="16" t="n">
        <v>1833333333</v>
      </c>
      <c r="AE21" s="16" t="n">
        <v>46666667</v>
      </c>
      <c r="AF21" s="16" t="n">
        <v>10000000</v>
      </c>
      <c r="AG21" s="16" t="n">
        <v>1776666667</v>
      </c>
      <c r="AH21" s="16" t="n">
        <v>800000000</v>
      </c>
      <c r="AI21" s="16" t="n">
        <v>18333333</v>
      </c>
      <c r="AJ21" s="16" t="n">
        <v>7666667</v>
      </c>
      <c r="AK21" s="16" t="n">
        <v>775000000</v>
      </c>
      <c r="AL21" s="16" t="n">
        <v>0</v>
      </c>
      <c r="AM21" s="16" t="n">
        <v>0</v>
      </c>
      <c r="AN21" s="16" t="n">
        <v>0</v>
      </c>
      <c r="AO21" s="16" t="n">
        <v>0</v>
      </c>
      <c r="AP21" s="16" t="n">
        <v>0</v>
      </c>
      <c r="AQ21" s="16" t="n">
        <v>0</v>
      </c>
      <c r="AR21" s="16" t="n">
        <v>0</v>
      </c>
      <c r="AS21" s="16" t="n">
        <v>0</v>
      </c>
      <c r="AT21" s="16" t="n">
        <v>25000000</v>
      </c>
      <c r="AU21" s="16" t="n">
        <v>600000</v>
      </c>
      <c r="AV21" s="16" t="n">
        <v>250000</v>
      </c>
      <c r="AW21" s="16" t="n">
        <v>24500000</v>
      </c>
      <c r="AX21" s="16" t="n">
        <v>0</v>
      </c>
      <c r="AY21" s="16" t="n">
        <v>0</v>
      </c>
      <c r="AZ21" s="16" t="n">
        <v>0</v>
      </c>
      <c r="BA21" s="16" t="n">
        <v>0</v>
      </c>
      <c r="BB21" s="16" t="n">
        <v>96666667</v>
      </c>
      <c r="BC21" s="16" t="n">
        <v>2333333</v>
      </c>
      <c r="BD21" s="16" t="n">
        <v>1000000</v>
      </c>
      <c r="BE21" s="16" t="n">
        <v>93333333</v>
      </c>
      <c r="BF21" s="16" t="n">
        <v>36666667</v>
      </c>
      <c r="BG21" s="16" t="n">
        <v>866667</v>
      </c>
      <c r="BH21" s="16" t="n">
        <v>366667</v>
      </c>
      <c r="BI21" s="16" t="n">
        <v>35500000</v>
      </c>
      <c r="BJ21" s="16" t="n">
        <v>25000000</v>
      </c>
      <c r="BK21" s="16" t="n">
        <v>600000</v>
      </c>
      <c r="BL21" s="16" t="n">
        <v>250000</v>
      </c>
      <c r="BM21" s="16" t="n">
        <v>24500000</v>
      </c>
    </row>
    <row r="22" customFormat="false" ht="12.8" hidden="false" customHeight="false" outlineLevel="0" collapsed="false">
      <c r="A22" s="10" t="n">
        <v>4.3</v>
      </c>
      <c r="B22" s="10" t="s">
        <v>101</v>
      </c>
      <c r="C22" s="10" t="s">
        <v>97</v>
      </c>
      <c r="D22" s="18" t="n">
        <v>103351</v>
      </c>
      <c r="E22" s="18" t="n">
        <v>197300</v>
      </c>
      <c r="F22" s="17" t="n">
        <v>259654</v>
      </c>
      <c r="G22" s="17" t="n">
        <v>6144</v>
      </c>
      <c r="H22" s="17" t="n">
        <v>2560</v>
      </c>
      <c r="I22" s="17" t="n">
        <v>250950</v>
      </c>
      <c r="J22" s="17" t="n">
        <v>138482</v>
      </c>
      <c r="K22" s="17" t="n">
        <v>2769</v>
      </c>
      <c r="L22" s="17" t="n">
        <v>768</v>
      </c>
      <c r="M22" s="17" t="n">
        <v>134945</v>
      </c>
      <c r="N22" s="15" t="n">
        <v>0.24</v>
      </c>
      <c r="O22" s="15" t="n">
        <v>0.24</v>
      </c>
      <c r="P22" s="15" t="n">
        <v>0.24</v>
      </c>
      <c r="Q22" s="15" t="n">
        <v>0.24</v>
      </c>
      <c r="R22" s="15" t="n">
        <v>0.16</v>
      </c>
      <c r="S22" s="15" t="n">
        <v>0.096</v>
      </c>
      <c r="T22" s="15" t="n">
        <v>0.176</v>
      </c>
      <c r="U22" s="15" t="n">
        <v>0.16</v>
      </c>
      <c r="V22" s="15" t="n">
        <v>0.0765</v>
      </c>
      <c r="W22" s="15" t="n">
        <v>0.0765</v>
      </c>
      <c r="X22" s="15" t="n">
        <v>0.0765</v>
      </c>
      <c r="Y22" s="15" t="n">
        <v>0.0765</v>
      </c>
      <c r="Z22" s="15" t="n">
        <v>0.2365</v>
      </c>
      <c r="AA22" s="15" t="n">
        <v>0.1725</v>
      </c>
      <c r="AB22" s="15" t="n">
        <v>0.2525</v>
      </c>
      <c r="AC22" s="15" t="n">
        <v>0.2365</v>
      </c>
      <c r="AD22" s="16" t="n">
        <v>1833333333</v>
      </c>
      <c r="AE22" s="16" t="n">
        <v>46666667</v>
      </c>
      <c r="AF22" s="16" t="n">
        <v>10000000</v>
      </c>
      <c r="AG22" s="16" t="n">
        <v>1776666667</v>
      </c>
      <c r="AH22" s="16" t="n">
        <v>800000000</v>
      </c>
      <c r="AI22" s="16" t="n">
        <v>18333333</v>
      </c>
      <c r="AJ22" s="16" t="n">
        <v>7666667</v>
      </c>
      <c r="AK22" s="16" t="n">
        <v>775000000</v>
      </c>
      <c r="AL22" s="16" t="n">
        <v>0</v>
      </c>
      <c r="AM22" s="16" t="n">
        <v>0</v>
      </c>
      <c r="AN22" s="16" t="n">
        <v>0</v>
      </c>
      <c r="AO22" s="16" t="n">
        <v>0</v>
      </c>
      <c r="AP22" s="16" t="n">
        <v>0</v>
      </c>
      <c r="AQ22" s="16" t="n">
        <v>0</v>
      </c>
      <c r="AR22" s="16" t="n">
        <v>0</v>
      </c>
      <c r="AS22" s="16" t="n">
        <v>0</v>
      </c>
      <c r="AT22" s="16" t="n">
        <v>25000000</v>
      </c>
      <c r="AU22" s="16" t="n">
        <v>600000</v>
      </c>
      <c r="AV22" s="16" t="n">
        <v>250000</v>
      </c>
      <c r="AW22" s="16" t="n">
        <v>24500000</v>
      </c>
      <c r="AX22" s="16" t="n">
        <v>0</v>
      </c>
      <c r="AY22" s="16" t="n">
        <v>0</v>
      </c>
      <c r="AZ22" s="16" t="n">
        <v>0</v>
      </c>
      <c r="BA22" s="16" t="n">
        <v>0</v>
      </c>
      <c r="BB22" s="16" t="n">
        <v>96666667</v>
      </c>
      <c r="BC22" s="16" t="n">
        <v>2333333</v>
      </c>
      <c r="BD22" s="16" t="n">
        <v>1000000</v>
      </c>
      <c r="BE22" s="16" t="n">
        <v>93333333</v>
      </c>
      <c r="BF22" s="16" t="n">
        <v>36666667</v>
      </c>
      <c r="BG22" s="16" t="n">
        <v>866667</v>
      </c>
      <c r="BH22" s="16" t="n">
        <v>366667</v>
      </c>
      <c r="BI22" s="16" t="n">
        <v>35500000</v>
      </c>
      <c r="BJ22" s="16" t="n">
        <v>25000000</v>
      </c>
      <c r="BK22" s="16" t="n">
        <v>600000</v>
      </c>
      <c r="BL22" s="16" t="n">
        <v>250000</v>
      </c>
      <c r="BM22" s="16" t="n">
        <v>24500000</v>
      </c>
    </row>
    <row r="23" customFormat="false" ht="12.8" hidden="false" customHeight="false" outlineLevel="0" collapsed="false">
      <c r="A23" s="10" t="n">
        <v>5</v>
      </c>
      <c r="B23" s="10" t="s">
        <v>102</v>
      </c>
      <c r="C23" s="12" t="s">
        <v>93</v>
      </c>
      <c r="D23" s="13" t="s">
        <v>94</v>
      </c>
      <c r="E23" s="13" t="s">
        <v>94</v>
      </c>
      <c r="F23" s="17" t="n">
        <v>519308</v>
      </c>
      <c r="G23" s="17" t="n">
        <v>12320</v>
      </c>
      <c r="H23" s="17" t="n">
        <v>3850</v>
      </c>
      <c r="I23" s="17" t="n">
        <v>503138</v>
      </c>
      <c r="J23" s="17" t="n">
        <v>207723</v>
      </c>
      <c r="K23" s="17" t="n">
        <v>5544</v>
      </c>
      <c r="L23" s="17" t="n">
        <v>1155</v>
      </c>
      <c r="M23" s="17" t="n">
        <v>201024</v>
      </c>
      <c r="N23" s="15" t="n">
        <v>0.32</v>
      </c>
      <c r="O23" s="15" t="n">
        <v>0.32</v>
      </c>
      <c r="P23" s="15" t="n">
        <v>0.32</v>
      </c>
      <c r="Q23" s="15" t="n">
        <v>0.32</v>
      </c>
      <c r="R23" s="15" t="n">
        <v>0.22</v>
      </c>
      <c r="S23" s="15" t="n">
        <v>0.132</v>
      </c>
      <c r="T23" s="15" t="n">
        <v>0.242</v>
      </c>
      <c r="U23" s="15" t="n">
        <v>0.22</v>
      </c>
      <c r="V23" s="15" t="n">
        <v>0.032</v>
      </c>
      <c r="W23" s="15" t="n">
        <v>0.032</v>
      </c>
      <c r="X23" s="15" t="n">
        <v>0.032</v>
      </c>
      <c r="Y23" s="15" t="n">
        <v>0.032</v>
      </c>
      <c r="Z23" s="15" t="n">
        <v>0.252</v>
      </c>
      <c r="AA23" s="15" t="n">
        <v>0.164</v>
      </c>
      <c r="AB23" s="15" t="n">
        <v>0.274</v>
      </c>
      <c r="AC23" s="15" t="n">
        <v>0.252</v>
      </c>
      <c r="AD23" s="16" t="n">
        <v>7500000000</v>
      </c>
      <c r="AE23" s="16" t="n">
        <v>200000000</v>
      </c>
      <c r="AF23" s="16" t="n">
        <v>30000000</v>
      </c>
      <c r="AG23" s="16" t="n">
        <v>7270000000</v>
      </c>
      <c r="AH23" s="16" t="n">
        <v>800000000</v>
      </c>
      <c r="AI23" s="16" t="n">
        <v>20000000</v>
      </c>
      <c r="AJ23" s="16" t="n">
        <v>6000000</v>
      </c>
      <c r="AK23" s="16" t="n">
        <v>774000000</v>
      </c>
      <c r="AL23" s="16" t="n">
        <v>0</v>
      </c>
      <c r="AM23" s="16" t="n">
        <v>0</v>
      </c>
      <c r="AN23" s="16" t="n">
        <v>0</v>
      </c>
      <c r="AO23" s="16" t="n">
        <v>0</v>
      </c>
      <c r="AP23" s="16" t="n">
        <v>0</v>
      </c>
      <c r="AQ23" s="16" t="n">
        <v>0</v>
      </c>
      <c r="AR23" s="16" t="n">
        <v>0</v>
      </c>
      <c r="AS23" s="16" t="n">
        <v>0</v>
      </c>
      <c r="AT23" s="16" t="n">
        <v>0</v>
      </c>
      <c r="AU23" s="16" t="n">
        <v>0</v>
      </c>
      <c r="AV23" s="16" t="n">
        <v>0</v>
      </c>
      <c r="AW23" s="16" t="n">
        <v>0</v>
      </c>
      <c r="AX23" s="16" t="n">
        <v>0</v>
      </c>
      <c r="AY23" s="16" t="n">
        <v>0</v>
      </c>
      <c r="AZ23" s="16" t="n">
        <v>0</v>
      </c>
      <c r="BA23" s="16" t="n">
        <v>0</v>
      </c>
      <c r="BB23" s="16" t="n">
        <v>200000000</v>
      </c>
      <c r="BC23" s="16" t="n">
        <v>5000000</v>
      </c>
      <c r="BD23" s="16" t="n">
        <v>1500000</v>
      </c>
      <c r="BE23" s="16" t="n">
        <v>193500000</v>
      </c>
      <c r="BF23" s="16" t="n">
        <v>0</v>
      </c>
      <c r="BG23" s="16" t="n">
        <v>0</v>
      </c>
      <c r="BH23" s="16" t="n">
        <v>0</v>
      </c>
      <c r="BI23" s="16" t="n">
        <v>0</v>
      </c>
      <c r="BJ23" s="16" t="n">
        <v>50000000</v>
      </c>
      <c r="BK23" s="16" t="n">
        <v>1200000</v>
      </c>
      <c r="BL23" s="16" t="n">
        <v>400000</v>
      </c>
      <c r="BM23" s="16" t="n">
        <v>48400000</v>
      </c>
    </row>
    <row r="24" customFormat="false" ht="12.8" hidden="false" customHeight="false" outlineLevel="0" collapsed="false">
      <c r="A24" s="10" t="n">
        <v>5.1</v>
      </c>
      <c r="B24" s="10" t="s">
        <v>102</v>
      </c>
      <c r="C24" s="10" t="s">
        <v>95</v>
      </c>
      <c r="D24" s="18" t="n">
        <v>197301</v>
      </c>
      <c r="E24" s="18" t="n">
        <v>250525</v>
      </c>
      <c r="F24" s="17" t="n">
        <v>173103</v>
      </c>
      <c r="G24" s="17" t="n">
        <v>4107</v>
      </c>
      <c r="H24" s="17" t="n">
        <v>1283</v>
      </c>
      <c r="I24" s="17" t="n">
        <v>167713</v>
      </c>
      <c r="J24" s="17" t="n">
        <v>69241</v>
      </c>
      <c r="K24" s="17" t="n">
        <v>1848</v>
      </c>
      <c r="L24" s="17" t="n">
        <v>385</v>
      </c>
      <c r="M24" s="17" t="n">
        <v>67008</v>
      </c>
      <c r="N24" s="15" t="n">
        <v>0.32</v>
      </c>
      <c r="O24" s="15" t="n">
        <v>0.32</v>
      </c>
      <c r="P24" s="15" t="n">
        <v>0.32</v>
      </c>
      <c r="Q24" s="15" t="n">
        <v>0.32</v>
      </c>
      <c r="R24" s="15" t="n">
        <v>0.22</v>
      </c>
      <c r="S24" s="15" t="n">
        <v>0.132</v>
      </c>
      <c r="T24" s="15" t="n">
        <v>0.242</v>
      </c>
      <c r="U24" s="15" t="n">
        <v>0.22</v>
      </c>
      <c r="V24" s="15" t="n">
        <v>0.032</v>
      </c>
      <c r="W24" s="15" t="n">
        <v>0.032</v>
      </c>
      <c r="X24" s="15" t="n">
        <v>0.032</v>
      </c>
      <c r="Y24" s="15" t="n">
        <v>0.032</v>
      </c>
      <c r="Z24" s="15" t="n">
        <v>0.252</v>
      </c>
      <c r="AA24" s="15" t="n">
        <v>0.164</v>
      </c>
      <c r="AB24" s="15" t="n">
        <v>0.274</v>
      </c>
      <c r="AC24" s="15" t="n">
        <v>0.252</v>
      </c>
      <c r="AD24" s="16" t="n">
        <v>2500000000</v>
      </c>
      <c r="AE24" s="16" t="n">
        <v>66666667</v>
      </c>
      <c r="AF24" s="16" t="n">
        <v>10000000</v>
      </c>
      <c r="AG24" s="16" t="n">
        <v>2423333333</v>
      </c>
      <c r="AH24" s="16" t="n">
        <v>266666667</v>
      </c>
      <c r="AI24" s="16" t="n">
        <v>6666667</v>
      </c>
      <c r="AJ24" s="16" t="n">
        <v>2000000</v>
      </c>
      <c r="AK24" s="16" t="n">
        <v>258000000</v>
      </c>
      <c r="AL24" s="16" t="n">
        <v>0</v>
      </c>
      <c r="AM24" s="16" t="n">
        <v>0</v>
      </c>
      <c r="AN24" s="16" t="n">
        <v>0</v>
      </c>
      <c r="AO24" s="16" t="n">
        <v>0</v>
      </c>
      <c r="AP24" s="16" t="n">
        <v>0</v>
      </c>
      <c r="AQ24" s="16" t="n">
        <v>0</v>
      </c>
      <c r="AR24" s="16" t="n">
        <v>0</v>
      </c>
      <c r="AS24" s="16" t="n">
        <v>0</v>
      </c>
      <c r="AT24" s="16" t="n">
        <v>0</v>
      </c>
      <c r="AU24" s="16" t="n">
        <v>0</v>
      </c>
      <c r="AV24" s="16" t="n">
        <v>0</v>
      </c>
      <c r="AW24" s="16" t="n">
        <v>0</v>
      </c>
      <c r="AX24" s="16" t="n">
        <v>0</v>
      </c>
      <c r="AY24" s="16" t="n">
        <v>0</v>
      </c>
      <c r="AZ24" s="16" t="n">
        <v>0</v>
      </c>
      <c r="BA24" s="16" t="n">
        <v>0</v>
      </c>
      <c r="BB24" s="16" t="n">
        <v>66666667</v>
      </c>
      <c r="BC24" s="16" t="n">
        <v>1666667</v>
      </c>
      <c r="BD24" s="16" t="n">
        <v>500000</v>
      </c>
      <c r="BE24" s="16" t="n">
        <v>64500000</v>
      </c>
      <c r="BF24" s="16" t="n">
        <v>0</v>
      </c>
      <c r="BG24" s="16" t="n">
        <v>0</v>
      </c>
      <c r="BH24" s="16" t="n">
        <v>0</v>
      </c>
      <c r="BI24" s="16" t="n">
        <v>0</v>
      </c>
      <c r="BJ24" s="16" t="n">
        <v>16666667</v>
      </c>
      <c r="BK24" s="16" t="n">
        <v>400000</v>
      </c>
      <c r="BL24" s="16" t="n">
        <v>133333</v>
      </c>
      <c r="BM24" s="16" t="n">
        <v>16133333</v>
      </c>
    </row>
    <row r="25" customFormat="false" ht="12.8" hidden="false" customHeight="false" outlineLevel="0" collapsed="false">
      <c r="A25" s="10" t="n">
        <v>5.2</v>
      </c>
      <c r="B25" s="10" t="s">
        <v>102</v>
      </c>
      <c r="C25" s="10" t="s">
        <v>96</v>
      </c>
      <c r="D25" s="18" t="n">
        <v>394601</v>
      </c>
      <c r="E25" s="18" t="n">
        <v>501050</v>
      </c>
      <c r="F25" s="17" t="n">
        <v>173103</v>
      </c>
      <c r="G25" s="17" t="n">
        <v>4107</v>
      </c>
      <c r="H25" s="17" t="n">
        <v>1283</v>
      </c>
      <c r="I25" s="17" t="n">
        <v>167713</v>
      </c>
      <c r="J25" s="17" t="n">
        <v>69241</v>
      </c>
      <c r="K25" s="17" t="n">
        <v>1848</v>
      </c>
      <c r="L25" s="17" t="n">
        <v>385</v>
      </c>
      <c r="M25" s="17" t="n">
        <v>67008</v>
      </c>
      <c r="N25" s="15" t="n">
        <v>0.32</v>
      </c>
      <c r="O25" s="15" t="n">
        <v>0.32</v>
      </c>
      <c r="P25" s="15" t="n">
        <v>0.32</v>
      </c>
      <c r="Q25" s="15" t="n">
        <v>0.32</v>
      </c>
      <c r="R25" s="15" t="n">
        <v>0.22</v>
      </c>
      <c r="S25" s="15" t="n">
        <v>0.132</v>
      </c>
      <c r="T25" s="15" t="n">
        <v>0.242</v>
      </c>
      <c r="U25" s="15" t="n">
        <v>0.22</v>
      </c>
      <c r="V25" s="15" t="n">
        <v>0.032</v>
      </c>
      <c r="W25" s="15" t="n">
        <v>0.032</v>
      </c>
      <c r="X25" s="15" t="n">
        <v>0.032</v>
      </c>
      <c r="Y25" s="15" t="n">
        <v>0.032</v>
      </c>
      <c r="Z25" s="15" t="n">
        <v>0.252</v>
      </c>
      <c r="AA25" s="15" t="n">
        <v>0.164</v>
      </c>
      <c r="AB25" s="15" t="n">
        <v>0.274</v>
      </c>
      <c r="AC25" s="15" t="n">
        <v>0.252</v>
      </c>
      <c r="AD25" s="16" t="n">
        <v>2500000000</v>
      </c>
      <c r="AE25" s="16" t="n">
        <v>66666667</v>
      </c>
      <c r="AF25" s="16" t="n">
        <v>10000000</v>
      </c>
      <c r="AG25" s="16" t="n">
        <v>2423333333</v>
      </c>
      <c r="AH25" s="16" t="n">
        <v>266666667</v>
      </c>
      <c r="AI25" s="16" t="n">
        <v>6666667</v>
      </c>
      <c r="AJ25" s="16" t="n">
        <v>2000000</v>
      </c>
      <c r="AK25" s="16" t="n">
        <v>258000000</v>
      </c>
      <c r="AL25" s="16" t="n">
        <v>0</v>
      </c>
      <c r="AM25" s="16" t="n">
        <v>0</v>
      </c>
      <c r="AN25" s="16" t="n">
        <v>0</v>
      </c>
      <c r="AO25" s="16" t="n">
        <v>0</v>
      </c>
      <c r="AP25" s="16" t="n">
        <v>0</v>
      </c>
      <c r="AQ25" s="16" t="n">
        <v>0</v>
      </c>
      <c r="AR25" s="16" t="n">
        <v>0</v>
      </c>
      <c r="AS25" s="16" t="n">
        <v>0</v>
      </c>
      <c r="AT25" s="16" t="n">
        <v>0</v>
      </c>
      <c r="AU25" s="16" t="n">
        <v>0</v>
      </c>
      <c r="AV25" s="16" t="n">
        <v>0</v>
      </c>
      <c r="AW25" s="16" t="n">
        <v>0</v>
      </c>
      <c r="AX25" s="16" t="n">
        <v>0</v>
      </c>
      <c r="AY25" s="16" t="n">
        <v>0</v>
      </c>
      <c r="AZ25" s="16" t="n">
        <v>0</v>
      </c>
      <c r="BA25" s="16" t="n">
        <v>0</v>
      </c>
      <c r="BB25" s="16" t="n">
        <v>66666667</v>
      </c>
      <c r="BC25" s="16" t="n">
        <v>1666667</v>
      </c>
      <c r="BD25" s="16" t="n">
        <v>500000</v>
      </c>
      <c r="BE25" s="16" t="n">
        <v>64500000</v>
      </c>
      <c r="BF25" s="16" t="n">
        <v>0</v>
      </c>
      <c r="BG25" s="16" t="n">
        <v>0</v>
      </c>
      <c r="BH25" s="16" t="n">
        <v>0</v>
      </c>
      <c r="BI25" s="16" t="n">
        <v>0</v>
      </c>
      <c r="BJ25" s="16" t="n">
        <v>16666667</v>
      </c>
      <c r="BK25" s="16" t="n">
        <v>400000</v>
      </c>
      <c r="BL25" s="16" t="n">
        <v>133333</v>
      </c>
      <c r="BM25" s="16" t="n">
        <v>16133333</v>
      </c>
    </row>
    <row r="26" customFormat="false" ht="12.8" hidden="false" customHeight="false" outlineLevel="0" collapsed="false">
      <c r="A26" s="10" t="n">
        <v>5.3</v>
      </c>
      <c r="B26" s="10" t="s">
        <v>102</v>
      </c>
      <c r="C26" s="10" t="s">
        <v>97</v>
      </c>
      <c r="D26" s="18" t="n">
        <v>197301</v>
      </c>
      <c r="E26" s="18" t="n">
        <v>250525</v>
      </c>
      <c r="F26" s="17" t="n">
        <v>173103</v>
      </c>
      <c r="G26" s="17" t="n">
        <v>4107</v>
      </c>
      <c r="H26" s="17" t="n">
        <v>1283</v>
      </c>
      <c r="I26" s="17" t="n">
        <v>167713</v>
      </c>
      <c r="J26" s="17" t="n">
        <v>69241</v>
      </c>
      <c r="K26" s="17" t="n">
        <v>1848</v>
      </c>
      <c r="L26" s="17" t="n">
        <v>385</v>
      </c>
      <c r="M26" s="17" t="n">
        <v>67008</v>
      </c>
      <c r="N26" s="15" t="n">
        <v>0.32</v>
      </c>
      <c r="O26" s="15" t="n">
        <v>0.32</v>
      </c>
      <c r="P26" s="15" t="n">
        <v>0.32</v>
      </c>
      <c r="Q26" s="15" t="n">
        <v>0.32</v>
      </c>
      <c r="R26" s="15" t="n">
        <v>0.22</v>
      </c>
      <c r="S26" s="15" t="n">
        <v>0.132</v>
      </c>
      <c r="T26" s="15" t="n">
        <v>0.242</v>
      </c>
      <c r="U26" s="15" t="n">
        <v>0.22</v>
      </c>
      <c r="V26" s="15" t="n">
        <v>0.032</v>
      </c>
      <c r="W26" s="15" t="n">
        <v>0.032</v>
      </c>
      <c r="X26" s="15" t="n">
        <v>0.032</v>
      </c>
      <c r="Y26" s="15" t="n">
        <v>0.032</v>
      </c>
      <c r="Z26" s="15" t="n">
        <v>0.252</v>
      </c>
      <c r="AA26" s="15" t="n">
        <v>0.164</v>
      </c>
      <c r="AB26" s="15" t="n">
        <v>0.274</v>
      </c>
      <c r="AC26" s="15" t="n">
        <v>0.252</v>
      </c>
      <c r="AD26" s="16" t="n">
        <v>2500000000</v>
      </c>
      <c r="AE26" s="16" t="n">
        <v>66666667</v>
      </c>
      <c r="AF26" s="16" t="n">
        <v>10000000</v>
      </c>
      <c r="AG26" s="16" t="n">
        <v>2423333333</v>
      </c>
      <c r="AH26" s="16" t="n">
        <v>266666667</v>
      </c>
      <c r="AI26" s="16" t="n">
        <v>6666667</v>
      </c>
      <c r="AJ26" s="16" t="n">
        <v>2000000</v>
      </c>
      <c r="AK26" s="16" t="n">
        <v>258000000</v>
      </c>
      <c r="AL26" s="16" t="n">
        <v>0</v>
      </c>
      <c r="AM26" s="16" t="n">
        <v>0</v>
      </c>
      <c r="AN26" s="16" t="n">
        <v>0</v>
      </c>
      <c r="AO26" s="16" t="n">
        <v>0</v>
      </c>
      <c r="AP26" s="16" t="n">
        <v>0</v>
      </c>
      <c r="AQ26" s="16" t="n">
        <v>0</v>
      </c>
      <c r="AR26" s="16" t="n">
        <v>0</v>
      </c>
      <c r="AS26" s="16" t="n">
        <v>0</v>
      </c>
      <c r="AT26" s="16" t="n">
        <v>0</v>
      </c>
      <c r="AU26" s="16" t="n">
        <v>0</v>
      </c>
      <c r="AV26" s="16" t="n">
        <v>0</v>
      </c>
      <c r="AW26" s="16" t="n">
        <v>0</v>
      </c>
      <c r="AX26" s="16" t="n">
        <v>0</v>
      </c>
      <c r="AY26" s="16" t="n">
        <v>0</v>
      </c>
      <c r="AZ26" s="16" t="n">
        <v>0</v>
      </c>
      <c r="BA26" s="16" t="n">
        <v>0</v>
      </c>
      <c r="BB26" s="16" t="n">
        <v>66666667</v>
      </c>
      <c r="BC26" s="16" t="n">
        <v>1666667</v>
      </c>
      <c r="BD26" s="16" t="n">
        <v>500000</v>
      </c>
      <c r="BE26" s="16" t="n">
        <v>64500000</v>
      </c>
      <c r="BF26" s="16" t="n">
        <v>0</v>
      </c>
      <c r="BG26" s="16" t="n">
        <v>0</v>
      </c>
      <c r="BH26" s="16" t="n">
        <v>0</v>
      </c>
      <c r="BI26" s="16" t="n">
        <v>0</v>
      </c>
      <c r="BJ26" s="16" t="n">
        <v>16666667</v>
      </c>
      <c r="BK26" s="16" t="n">
        <v>400000</v>
      </c>
      <c r="BL26" s="16" t="n">
        <v>133333</v>
      </c>
      <c r="BM26" s="16" t="n">
        <v>16133333</v>
      </c>
    </row>
    <row r="27" customFormat="false" ht="12.8" hidden="false" customHeight="false" outlineLevel="0" collapsed="false">
      <c r="A27" s="10" t="n">
        <v>6</v>
      </c>
      <c r="B27" s="10" t="s">
        <v>103</v>
      </c>
      <c r="C27" s="12" t="s">
        <v>93</v>
      </c>
      <c r="D27" s="13" t="s">
        <v>94</v>
      </c>
      <c r="E27" s="13" t="s">
        <v>94</v>
      </c>
      <c r="F27" s="17" t="n">
        <v>519308</v>
      </c>
      <c r="G27" s="17" t="n">
        <v>9240</v>
      </c>
      <c r="H27" s="17" t="n">
        <v>2310</v>
      </c>
      <c r="I27" s="17" t="n">
        <v>507758</v>
      </c>
      <c r="J27" s="17" t="n">
        <v>207723</v>
      </c>
      <c r="K27" s="17" t="n">
        <v>4154</v>
      </c>
      <c r="L27" s="17" t="n">
        <v>693</v>
      </c>
      <c r="M27" s="17" t="n">
        <v>202876</v>
      </c>
      <c r="N27" s="15" t="n">
        <v>0.35</v>
      </c>
      <c r="O27" s="15" t="n">
        <v>0.35</v>
      </c>
      <c r="P27" s="15" t="n">
        <v>0.35</v>
      </c>
      <c r="Q27" s="15" t="n">
        <v>0.35</v>
      </c>
      <c r="R27" s="15" t="n">
        <v>0.26</v>
      </c>
      <c r="S27" s="15" t="n">
        <v>0.156</v>
      </c>
      <c r="T27" s="15" t="n">
        <v>0.286</v>
      </c>
      <c r="U27" s="15" t="n">
        <v>0.26</v>
      </c>
      <c r="V27" s="15" t="n">
        <v>0.032</v>
      </c>
      <c r="W27" s="15" t="n">
        <v>0.032</v>
      </c>
      <c r="X27" s="15" t="n">
        <v>0.032</v>
      </c>
      <c r="Y27" s="15" t="n">
        <v>0.032</v>
      </c>
      <c r="Z27" s="15" t="n">
        <v>0.292</v>
      </c>
      <c r="AA27" s="15" t="n">
        <v>0.188</v>
      </c>
      <c r="AB27" s="15" t="n">
        <v>0.318</v>
      </c>
      <c r="AC27" s="15" t="n">
        <v>0.292</v>
      </c>
      <c r="AD27" s="16" t="n">
        <v>11500000000</v>
      </c>
      <c r="AE27" s="16" t="n">
        <v>280000000</v>
      </c>
      <c r="AF27" s="16" t="n">
        <v>40000000</v>
      </c>
      <c r="AG27" s="16" t="n">
        <v>11220000000</v>
      </c>
      <c r="AH27" s="16" t="n">
        <v>700000000</v>
      </c>
      <c r="AI27" s="16" t="n">
        <v>15000000</v>
      </c>
      <c r="AJ27" s="16" t="n">
        <v>4000000</v>
      </c>
      <c r="AK27" s="16" t="n">
        <v>671000000</v>
      </c>
      <c r="AL27" s="16" t="n">
        <v>0</v>
      </c>
      <c r="AM27" s="16" t="n">
        <v>0</v>
      </c>
      <c r="AN27" s="16" t="n">
        <v>0</v>
      </c>
      <c r="AO27" s="16" t="n">
        <v>0</v>
      </c>
      <c r="AP27" s="16" t="n">
        <v>0</v>
      </c>
      <c r="AQ27" s="16" t="n">
        <v>0</v>
      </c>
      <c r="AR27" s="16" t="n">
        <v>0</v>
      </c>
      <c r="AS27" s="16" t="n">
        <v>0</v>
      </c>
      <c r="AT27" s="16" t="n">
        <v>0</v>
      </c>
      <c r="AU27" s="16" t="n">
        <v>0</v>
      </c>
      <c r="AV27" s="16" t="n">
        <v>0</v>
      </c>
      <c r="AW27" s="16" t="n">
        <v>0</v>
      </c>
      <c r="AX27" s="16" t="n">
        <v>0</v>
      </c>
      <c r="AY27" s="16" t="n">
        <v>0</v>
      </c>
      <c r="AZ27" s="16" t="n">
        <v>0</v>
      </c>
      <c r="BA27" s="16" t="n">
        <v>0</v>
      </c>
      <c r="BB27" s="16" t="n">
        <v>160000000</v>
      </c>
      <c r="BC27" s="16" t="n">
        <v>3500000</v>
      </c>
      <c r="BD27" s="16" t="n">
        <v>1000000</v>
      </c>
      <c r="BE27" s="16" t="n">
        <v>155500000</v>
      </c>
      <c r="BF27" s="16" t="n">
        <v>0</v>
      </c>
      <c r="BG27" s="16" t="n">
        <v>0</v>
      </c>
      <c r="BH27" s="16" t="n">
        <v>0</v>
      </c>
      <c r="BI27" s="16" t="n">
        <v>0</v>
      </c>
      <c r="BJ27" s="16" t="n">
        <v>40000000</v>
      </c>
      <c r="BK27" s="16" t="n">
        <v>900000</v>
      </c>
      <c r="BL27" s="16" t="n">
        <v>300000</v>
      </c>
      <c r="BM27" s="16" t="n">
        <v>38800000</v>
      </c>
    </row>
    <row r="28" customFormat="false" ht="12.8" hidden="false" customHeight="false" outlineLevel="0" collapsed="false">
      <c r="A28" s="10" t="n">
        <v>6.1</v>
      </c>
      <c r="B28" s="10" t="s">
        <v>103</v>
      </c>
      <c r="C28" s="10" t="s">
        <v>95</v>
      </c>
      <c r="D28" s="18" t="n">
        <v>250526</v>
      </c>
      <c r="E28" s="18" t="n">
        <v>626350</v>
      </c>
      <c r="F28" s="17" t="n">
        <v>173103</v>
      </c>
      <c r="G28" s="17" t="n">
        <v>3080</v>
      </c>
      <c r="H28" s="17" t="n">
        <v>770</v>
      </c>
      <c r="I28" s="17" t="n">
        <v>169253</v>
      </c>
      <c r="J28" s="17" t="n">
        <v>69241</v>
      </c>
      <c r="K28" s="17" t="n">
        <v>1385</v>
      </c>
      <c r="L28" s="17" t="n">
        <v>231</v>
      </c>
      <c r="M28" s="17" t="n">
        <v>67625</v>
      </c>
      <c r="N28" s="15" t="n">
        <v>0.35</v>
      </c>
      <c r="O28" s="15" t="n">
        <v>0.35</v>
      </c>
      <c r="P28" s="15" t="n">
        <v>0.35</v>
      </c>
      <c r="Q28" s="15" t="n">
        <v>0.35</v>
      </c>
      <c r="R28" s="15" t="n">
        <v>0.26</v>
      </c>
      <c r="S28" s="15" t="n">
        <v>0.156</v>
      </c>
      <c r="T28" s="15" t="n">
        <v>0.286</v>
      </c>
      <c r="U28" s="15" t="n">
        <v>0.26</v>
      </c>
      <c r="V28" s="15" t="n">
        <v>0.032</v>
      </c>
      <c r="W28" s="15" t="n">
        <v>0.032</v>
      </c>
      <c r="X28" s="15" t="n">
        <v>0.032</v>
      </c>
      <c r="Y28" s="15" t="n">
        <v>0.032</v>
      </c>
      <c r="Z28" s="15" t="n">
        <v>0.292</v>
      </c>
      <c r="AA28" s="15" t="n">
        <v>0.188</v>
      </c>
      <c r="AB28" s="15" t="n">
        <v>0.318</v>
      </c>
      <c r="AC28" s="15" t="n">
        <v>0.292</v>
      </c>
      <c r="AD28" s="16" t="n">
        <v>3833333333</v>
      </c>
      <c r="AE28" s="16" t="n">
        <v>93333333</v>
      </c>
      <c r="AF28" s="16" t="n">
        <v>13333333</v>
      </c>
      <c r="AG28" s="16" t="n">
        <v>3740000000</v>
      </c>
      <c r="AH28" s="16" t="n">
        <v>233333333</v>
      </c>
      <c r="AI28" s="16" t="n">
        <v>5000000</v>
      </c>
      <c r="AJ28" s="16" t="n">
        <v>1333333</v>
      </c>
      <c r="AK28" s="16" t="n">
        <v>223666667</v>
      </c>
      <c r="AL28" s="16" t="n">
        <v>0</v>
      </c>
      <c r="AM28" s="16" t="n">
        <v>0</v>
      </c>
      <c r="AN28" s="16" t="n">
        <v>0</v>
      </c>
      <c r="AO28" s="16" t="n">
        <v>0</v>
      </c>
      <c r="AP28" s="16" t="n">
        <v>0</v>
      </c>
      <c r="AQ28" s="16" t="n">
        <v>0</v>
      </c>
      <c r="AR28" s="16" t="n">
        <v>0</v>
      </c>
      <c r="AS28" s="16" t="n">
        <v>0</v>
      </c>
      <c r="AT28" s="16" t="n">
        <v>0</v>
      </c>
      <c r="AU28" s="16" t="n">
        <v>0</v>
      </c>
      <c r="AV28" s="16" t="n">
        <v>0</v>
      </c>
      <c r="AW28" s="16" t="n">
        <v>0</v>
      </c>
      <c r="AX28" s="16" t="n">
        <v>0</v>
      </c>
      <c r="AY28" s="16" t="n">
        <v>0</v>
      </c>
      <c r="AZ28" s="16" t="n">
        <v>0</v>
      </c>
      <c r="BA28" s="16" t="n">
        <v>0</v>
      </c>
      <c r="BB28" s="16" t="n">
        <v>53333333</v>
      </c>
      <c r="BC28" s="16" t="n">
        <v>1166667</v>
      </c>
      <c r="BD28" s="16" t="n">
        <v>333333</v>
      </c>
      <c r="BE28" s="16" t="n">
        <v>51866667</v>
      </c>
      <c r="BF28" s="16" t="n">
        <v>0</v>
      </c>
      <c r="BG28" s="16" t="n">
        <v>0</v>
      </c>
      <c r="BH28" s="16" t="n">
        <v>0</v>
      </c>
      <c r="BI28" s="16" t="n">
        <v>0</v>
      </c>
      <c r="BJ28" s="16" t="n">
        <v>13333333</v>
      </c>
      <c r="BK28" s="16" t="n">
        <v>300000</v>
      </c>
      <c r="BL28" s="16" t="n">
        <v>100000</v>
      </c>
      <c r="BM28" s="16" t="n">
        <v>12933333</v>
      </c>
    </row>
    <row r="29" customFormat="false" ht="12.8" hidden="false" customHeight="false" outlineLevel="0" collapsed="false">
      <c r="A29" s="10" t="n">
        <v>6.2</v>
      </c>
      <c r="B29" s="10" t="s">
        <v>103</v>
      </c>
      <c r="C29" s="10" t="s">
        <v>96</v>
      </c>
      <c r="D29" s="18" t="n">
        <v>501051</v>
      </c>
      <c r="E29" s="18" t="n">
        <v>751950</v>
      </c>
      <c r="F29" s="17" t="n">
        <v>173103</v>
      </c>
      <c r="G29" s="17" t="n">
        <v>3080</v>
      </c>
      <c r="H29" s="17" t="n">
        <v>770</v>
      </c>
      <c r="I29" s="17" t="n">
        <v>169253</v>
      </c>
      <c r="J29" s="17" t="n">
        <v>69241</v>
      </c>
      <c r="K29" s="17" t="n">
        <v>1385</v>
      </c>
      <c r="L29" s="17" t="n">
        <v>231</v>
      </c>
      <c r="M29" s="17" t="n">
        <v>67625</v>
      </c>
      <c r="N29" s="15" t="n">
        <v>0.35</v>
      </c>
      <c r="O29" s="15" t="n">
        <v>0.35</v>
      </c>
      <c r="P29" s="15" t="n">
        <v>0.35</v>
      </c>
      <c r="Q29" s="15" t="n">
        <v>0.35</v>
      </c>
      <c r="R29" s="15" t="n">
        <v>0.26</v>
      </c>
      <c r="S29" s="15" t="n">
        <v>0.156</v>
      </c>
      <c r="T29" s="15" t="n">
        <v>0.286</v>
      </c>
      <c r="U29" s="15" t="n">
        <v>0.26</v>
      </c>
      <c r="V29" s="15" t="n">
        <v>0.032</v>
      </c>
      <c r="W29" s="15" t="n">
        <v>0.032</v>
      </c>
      <c r="X29" s="15" t="n">
        <v>0.032</v>
      </c>
      <c r="Y29" s="15" t="n">
        <v>0.032</v>
      </c>
      <c r="Z29" s="15" t="n">
        <v>0.292</v>
      </c>
      <c r="AA29" s="15" t="n">
        <v>0.188</v>
      </c>
      <c r="AB29" s="15" t="n">
        <v>0.318</v>
      </c>
      <c r="AC29" s="15" t="n">
        <v>0.292</v>
      </c>
      <c r="AD29" s="16" t="n">
        <v>3833333333</v>
      </c>
      <c r="AE29" s="16" t="n">
        <v>93333333</v>
      </c>
      <c r="AF29" s="16" t="n">
        <v>13333333</v>
      </c>
      <c r="AG29" s="16" t="n">
        <v>3740000000</v>
      </c>
      <c r="AH29" s="16" t="n">
        <v>233333333</v>
      </c>
      <c r="AI29" s="16" t="n">
        <v>5000000</v>
      </c>
      <c r="AJ29" s="16" t="n">
        <v>1333333</v>
      </c>
      <c r="AK29" s="16" t="n">
        <v>223666667</v>
      </c>
      <c r="AL29" s="16" t="n">
        <v>0</v>
      </c>
      <c r="AM29" s="16" t="n">
        <v>0</v>
      </c>
      <c r="AN29" s="16" t="n">
        <v>0</v>
      </c>
      <c r="AO29" s="16" t="n">
        <v>0</v>
      </c>
      <c r="AP29" s="16" t="n">
        <v>0</v>
      </c>
      <c r="AQ29" s="16" t="n">
        <v>0</v>
      </c>
      <c r="AR29" s="16" t="n">
        <v>0</v>
      </c>
      <c r="AS29" s="16" t="n">
        <v>0</v>
      </c>
      <c r="AT29" s="16" t="n">
        <v>0</v>
      </c>
      <c r="AU29" s="16" t="n">
        <v>0</v>
      </c>
      <c r="AV29" s="16" t="n">
        <v>0</v>
      </c>
      <c r="AW29" s="16" t="n">
        <v>0</v>
      </c>
      <c r="AX29" s="16" t="n">
        <v>0</v>
      </c>
      <c r="AY29" s="16" t="n">
        <v>0</v>
      </c>
      <c r="AZ29" s="16" t="n">
        <v>0</v>
      </c>
      <c r="BA29" s="16" t="n">
        <v>0</v>
      </c>
      <c r="BB29" s="16" t="n">
        <v>53333333</v>
      </c>
      <c r="BC29" s="16" t="n">
        <v>1166667</v>
      </c>
      <c r="BD29" s="16" t="n">
        <v>333333</v>
      </c>
      <c r="BE29" s="16" t="n">
        <v>51866667</v>
      </c>
      <c r="BF29" s="16" t="n">
        <v>0</v>
      </c>
      <c r="BG29" s="16" t="n">
        <v>0</v>
      </c>
      <c r="BH29" s="16" t="n">
        <v>0</v>
      </c>
      <c r="BI29" s="16" t="n">
        <v>0</v>
      </c>
      <c r="BJ29" s="16" t="n">
        <v>13333333</v>
      </c>
      <c r="BK29" s="16" t="n">
        <v>300000</v>
      </c>
      <c r="BL29" s="16" t="n">
        <v>100000</v>
      </c>
      <c r="BM29" s="16" t="n">
        <v>12933333</v>
      </c>
    </row>
    <row r="30" customFormat="false" ht="12.8" hidden="false" customHeight="false" outlineLevel="0" collapsed="false">
      <c r="A30" s="10" t="n">
        <v>6.3</v>
      </c>
      <c r="B30" s="10" t="s">
        <v>103</v>
      </c>
      <c r="C30" s="10" t="s">
        <v>97</v>
      </c>
      <c r="D30" s="18" t="n">
        <v>250526</v>
      </c>
      <c r="E30" s="18" t="n">
        <v>626350</v>
      </c>
      <c r="F30" s="17" t="n">
        <v>173103</v>
      </c>
      <c r="G30" s="17" t="n">
        <v>3080</v>
      </c>
      <c r="H30" s="17" t="n">
        <v>770</v>
      </c>
      <c r="I30" s="17" t="n">
        <v>169253</v>
      </c>
      <c r="J30" s="17" t="n">
        <v>69241</v>
      </c>
      <c r="K30" s="17" t="n">
        <v>1385</v>
      </c>
      <c r="L30" s="17" t="n">
        <v>231</v>
      </c>
      <c r="M30" s="17" t="n">
        <v>67625</v>
      </c>
      <c r="N30" s="15" t="n">
        <v>0.35</v>
      </c>
      <c r="O30" s="15" t="n">
        <v>0.35</v>
      </c>
      <c r="P30" s="15" t="n">
        <v>0.35</v>
      </c>
      <c r="Q30" s="15" t="n">
        <v>0.35</v>
      </c>
      <c r="R30" s="15" t="n">
        <v>0.26</v>
      </c>
      <c r="S30" s="15" t="n">
        <v>0.156</v>
      </c>
      <c r="T30" s="15" t="n">
        <v>0.286</v>
      </c>
      <c r="U30" s="15" t="n">
        <v>0.26</v>
      </c>
      <c r="V30" s="15" t="n">
        <v>0.032</v>
      </c>
      <c r="W30" s="15" t="n">
        <v>0.032</v>
      </c>
      <c r="X30" s="15" t="n">
        <v>0.032</v>
      </c>
      <c r="Y30" s="15" t="n">
        <v>0.032</v>
      </c>
      <c r="Z30" s="15" t="n">
        <v>0.292</v>
      </c>
      <c r="AA30" s="15" t="n">
        <v>0.188</v>
      </c>
      <c r="AB30" s="15" t="n">
        <v>0.318</v>
      </c>
      <c r="AC30" s="15" t="n">
        <v>0.292</v>
      </c>
      <c r="AD30" s="16" t="n">
        <v>3833333333</v>
      </c>
      <c r="AE30" s="16" t="n">
        <v>93333333</v>
      </c>
      <c r="AF30" s="16" t="n">
        <v>13333333</v>
      </c>
      <c r="AG30" s="16" t="n">
        <v>3740000000</v>
      </c>
      <c r="AH30" s="16" t="n">
        <v>233333333</v>
      </c>
      <c r="AI30" s="16" t="n">
        <v>5000000</v>
      </c>
      <c r="AJ30" s="16" t="n">
        <v>1333333</v>
      </c>
      <c r="AK30" s="16" t="n">
        <v>223666667</v>
      </c>
      <c r="AL30" s="16" t="n">
        <v>0</v>
      </c>
      <c r="AM30" s="16" t="n">
        <v>0</v>
      </c>
      <c r="AN30" s="16" t="n">
        <v>0</v>
      </c>
      <c r="AO30" s="16" t="n">
        <v>0</v>
      </c>
      <c r="AP30" s="16" t="n">
        <v>0</v>
      </c>
      <c r="AQ30" s="16" t="n">
        <v>0</v>
      </c>
      <c r="AR30" s="16" t="n">
        <v>0</v>
      </c>
      <c r="AS30" s="16" t="n">
        <v>0</v>
      </c>
      <c r="AT30" s="16" t="n">
        <v>0</v>
      </c>
      <c r="AU30" s="16" t="n">
        <v>0</v>
      </c>
      <c r="AV30" s="16" t="n">
        <v>0</v>
      </c>
      <c r="AW30" s="16" t="n">
        <v>0</v>
      </c>
      <c r="AX30" s="16" t="n">
        <v>0</v>
      </c>
      <c r="AY30" s="16" t="n">
        <v>0</v>
      </c>
      <c r="AZ30" s="16" t="n">
        <v>0</v>
      </c>
      <c r="BA30" s="16" t="n">
        <v>0</v>
      </c>
      <c r="BB30" s="16" t="n">
        <v>53333333</v>
      </c>
      <c r="BC30" s="16" t="n">
        <v>1166667</v>
      </c>
      <c r="BD30" s="16" t="n">
        <v>333333</v>
      </c>
      <c r="BE30" s="16" t="n">
        <v>51866667</v>
      </c>
      <c r="BF30" s="16" t="n">
        <v>0</v>
      </c>
      <c r="BG30" s="16" t="n">
        <v>0</v>
      </c>
      <c r="BH30" s="16" t="n">
        <v>0</v>
      </c>
      <c r="BI30" s="16" t="n">
        <v>0</v>
      </c>
      <c r="BJ30" s="16" t="n">
        <v>13333333</v>
      </c>
      <c r="BK30" s="16" t="n">
        <v>300000</v>
      </c>
      <c r="BL30" s="16" t="n">
        <v>100000</v>
      </c>
      <c r="BM30" s="16" t="n">
        <v>12933333</v>
      </c>
    </row>
    <row r="31" customFormat="false" ht="12.8" hidden="false" customHeight="false" outlineLevel="0" collapsed="false">
      <c r="A31" s="10" t="n">
        <v>7</v>
      </c>
      <c r="B31" s="10" t="s">
        <v>104</v>
      </c>
      <c r="C31" s="12" t="s">
        <v>93</v>
      </c>
      <c r="D31" s="13" t="s">
        <v>94</v>
      </c>
      <c r="E31" s="13" t="s">
        <v>94</v>
      </c>
      <c r="F31" s="17" t="n">
        <v>363516</v>
      </c>
      <c r="G31" s="17" t="n">
        <v>6160</v>
      </c>
      <c r="H31" s="17" t="n">
        <v>1540</v>
      </c>
      <c r="I31" s="17" t="n">
        <v>355816</v>
      </c>
      <c r="J31" s="17" t="n">
        <v>145406</v>
      </c>
      <c r="K31" s="17" t="n">
        <v>2772</v>
      </c>
      <c r="L31" s="17" t="n">
        <v>462</v>
      </c>
      <c r="M31" s="17" t="n">
        <v>142172</v>
      </c>
      <c r="N31" s="15" t="n">
        <v>0.37</v>
      </c>
      <c r="O31" s="15" t="n">
        <v>0.37</v>
      </c>
      <c r="P31" s="15" t="n">
        <v>0.37</v>
      </c>
      <c r="Q31" s="15" t="n">
        <v>0.37</v>
      </c>
      <c r="R31" s="15" t="n">
        <v>0.3</v>
      </c>
      <c r="S31" s="15" t="n">
        <v>0.18</v>
      </c>
      <c r="T31" s="15" t="n">
        <v>0.33</v>
      </c>
      <c r="U31" s="15" t="n">
        <v>0.3</v>
      </c>
      <c r="V31" s="15" t="n">
        <v>0.032</v>
      </c>
      <c r="W31" s="15" t="n">
        <v>0.032</v>
      </c>
      <c r="X31" s="15" t="n">
        <v>0.032</v>
      </c>
      <c r="Y31" s="15" t="n">
        <v>0.032</v>
      </c>
      <c r="Z31" s="15" t="n">
        <v>0.332</v>
      </c>
      <c r="AA31" s="15" t="n">
        <v>0.212</v>
      </c>
      <c r="AB31" s="15" t="n">
        <v>0.362</v>
      </c>
      <c r="AC31" s="15" t="n">
        <v>0.332</v>
      </c>
      <c r="AD31" s="16" t="n">
        <v>21000000000</v>
      </c>
      <c r="AE31" s="16" t="n">
        <v>400000000</v>
      </c>
      <c r="AF31" s="16" t="n">
        <v>50000000</v>
      </c>
      <c r="AG31" s="16" t="n">
        <v>20600000000</v>
      </c>
      <c r="AH31" s="16" t="n">
        <v>550000000</v>
      </c>
      <c r="AI31" s="16" t="n">
        <v>10000000</v>
      </c>
      <c r="AJ31" s="16" t="n">
        <v>2500000</v>
      </c>
      <c r="AK31" s="16" t="n">
        <v>537500000</v>
      </c>
      <c r="AL31" s="16" t="n">
        <v>0</v>
      </c>
      <c r="AM31" s="16" t="n">
        <v>0</v>
      </c>
      <c r="AN31" s="16" t="n">
        <v>0</v>
      </c>
      <c r="AO31" s="16" t="n">
        <v>0</v>
      </c>
      <c r="AP31" s="16" t="n">
        <v>0</v>
      </c>
      <c r="AQ31" s="16" t="n">
        <v>0</v>
      </c>
      <c r="AR31" s="16" t="n">
        <v>0</v>
      </c>
      <c r="AS31" s="16" t="n">
        <v>0</v>
      </c>
      <c r="AT31" s="16" t="n">
        <v>0</v>
      </c>
      <c r="AU31" s="16" t="n">
        <v>0</v>
      </c>
      <c r="AV31" s="16" t="n">
        <v>0</v>
      </c>
      <c r="AW31" s="16" t="n">
        <v>0</v>
      </c>
      <c r="AX31" s="16" t="n">
        <v>0</v>
      </c>
      <c r="AY31" s="16" t="n">
        <v>0</v>
      </c>
      <c r="AZ31" s="16" t="n">
        <v>0</v>
      </c>
      <c r="BA31" s="16" t="n">
        <v>0</v>
      </c>
      <c r="BB31" s="16" t="n">
        <v>140000000</v>
      </c>
      <c r="BC31" s="16" t="n">
        <v>3000000</v>
      </c>
      <c r="BD31" s="16" t="n">
        <v>1000000</v>
      </c>
      <c r="BE31" s="16" t="n">
        <v>136000000</v>
      </c>
      <c r="BF31" s="16" t="n">
        <v>0</v>
      </c>
      <c r="BG31" s="16" t="n">
        <v>0</v>
      </c>
      <c r="BH31" s="16" t="n">
        <v>0</v>
      </c>
      <c r="BI31" s="16" t="n">
        <v>0</v>
      </c>
      <c r="BJ31" s="16" t="n">
        <v>35000000</v>
      </c>
      <c r="BK31" s="16" t="n">
        <v>800000</v>
      </c>
      <c r="BL31" s="16" t="n">
        <v>200000</v>
      </c>
      <c r="BM31" s="16" t="n">
        <v>34000000</v>
      </c>
    </row>
    <row r="32" customFormat="false" ht="12.8" hidden="false" customHeight="false" outlineLevel="0" collapsed="false">
      <c r="A32" s="10" t="n">
        <v>7.1</v>
      </c>
      <c r="B32" s="10" t="s">
        <v>104</v>
      </c>
      <c r="C32" s="10" t="s">
        <v>95</v>
      </c>
      <c r="D32" s="18" t="n">
        <v>626351</v>
      </c>
      <c r="E32" s="13" t="s">
        <v>94</v>
      </c>
      <c r="F32" s="17" t="n">
        <v>121172</v>
      </c>
      <c r="G32" s="17" t="n">
        <v>2053</v>
      </c>
      <c r="H32" s="17" t="n">
        <v>513</v>
      </c>
      <c r="I32" s="17" t="n">
        <v>118606</v>
      </c>
      <c r="J32" s="17" t="n">
        <v>48469</v>
      </c>
      <c r="K32" s="17" t="n">
        <v>924</v>
      </c>
      <c r="L32" s="17" t="n">
        <v>154</v>
      </c>
      <c r="M32" s="17" t="n">
        <v>47391</v>
      </c>
      <c r="N32" s="15" t="n">
        <v>0.37</v>
      </c>
      <c r="O32" s="15" t="n">
        <v>0.37</v>
      </c>
      <c r="P32" s="15" t="n">
        <v>0.37</v>
      </c>
      <c r="Q32" s="15" t="n">
        <v>0.37</v>
      </c>
      <c r="R32" s="15" t="n">
        <v>0.3</v>
      </c>
      <c r="S32" s="15" t="n">
        <v>0.18</v>
      </c>
      <c r="T32" s="15" t="n">
        <v>0.33</v>
      </c>
      <c r="U32" s="15" t="n">
        <v>0.3</v>
      </c>
      <c r="V32" s="15" t="n">
        <v>0.032</v>
      </c>
      <c r="W32" s="15" t="n">
        <v>0.032</v>
      </c>
      <c r="X32" s="15" t="n">
        <v>0.032</v>
      </c>
      <c r="Y32" s="15" t="n">
        <v>0.032</v>
      </c>
      <c r="Z32" s="15" t="n">
        <v>0.332</v>
      </c>
      <c r="AA32" s="15" t="n">
        <v>0.212</v>
      </c>
      <c r="AB32" s="15" t="n">
        <v>0.362</v>
      </c>
      <c r="AC32" s="15" t="n">
        <v>0.332</v>
      </c>
      <c r="AD32" s="16" t="n">
        <v>7000000000</v>
      </c>
      <c r="AE32" s="16" t="n">
        <v>133333333</v>
      </c>
      <c r="AF32" s="16" t="n">
        <v>16666667</v>
      </c>
      <c r="AG32" s="16" t="n">
        <v>6866666667</v>
      </c>
      <c r="AH32" s="16" t="n">
        <v>183333333</v>
      </c>
      <c r="AI32" s="16" t="n">
        <v>3333333</v>
      </c>
      <c r="AJ32" s="16" t="n">
        <v>833333</v>
      </c>
      <c r="AK32" s="16" t="n">
        <v>179166667</v>
      </c>
      <c r="AL32" s="16" t="n">
        <v>0</v>
      </c>
      <c r="AM32" s="16" t="n">
        <v>0</v>
      </c>
      <c r="AN32" s="16" t="n">
        <v>0</v>
      </c>
      <c r="AO32" s="16" t="n">
        <v>0</v>
      </c>
      <c r="AP32" s="16" t="n">
        <v>0</v>
      </c>
      <c r="AQ32" s="16" t="n">
        <v>0</v>
      </c>
      <c r="AR32" s="16" t="n">
        <v>0</v>
      </c>
      <c r="AS32" s="16" t="n">
        <v>0</v>
      </c>
      <c r="AT32" s="16" t="n">
        <v>0</v>
      </c>
      <c r="AU32" s="16" t="n">
        <v>0</v>
      </c>
      <c r="AV32" s="16" t="n">
        <v>0</v>
      </c>
      <c r="AW32" s="16" t="n">
        <v>0</v>
      </c>
      <c r="AX32" s="16" t="n">
        <v>0</v>
      </c>
      <c r="AY32" s="16" t="n">
        <v>0</v>
      </c>
      <c r="AZ32" s="16" t="n">
        <v>0</v>
      </c>
      <c r="BA32" s="16" t="n">
        <v>0</v>
      </c>
      <c r="BB32" s="16" t="n">
        <v>46666667</v>
      </c>
      <c r="BC32" s="16" t="n">
        <v>1000000</v>
      </c>
      <c r="BD32" s="16" t="n">
        <v>333333</v>
      </c>
      <c r="BE32" s="16" t="n">
        <v>45333333</v>
      </c>
      <c r="BF32" s="16" t="n">
        <v>0</v>
      </c>
      <c r="BG32" s="16" t="n">
        <v>0</v>
      </c>
      <c r="BH32" s="16" t="n">
        <v>0</v>
      </c>
      <c r="BI32" s="16" t="n">
        <v>0</v>
      </c>
      <c r="BJ32" s="16" t="n">
        <v>11666667</v>
      </c>
      <c r="BK32" s="16" t="n">
        <v>266667</v>
      </c>
      <c r="BL32" s="16" t="n">
        <v>66667</v>
      </c>
      <c r="BM32" s="16" t="n">
        <v>11333333</v>
      </c>
    </row>
    <row r="33" customFormat="false" ht="12.8" hidden="false" customHeight="false" outlineLevel="0" collapsed="false">
      <c r="A33" s="10" t="n">
        <v>7.2</v>
      </c>
      <c r="B33" s="10" t="s">
        <v>104</v>
      </c>
      <c r="C33" s="10" t="s">
        <v>96</v>
      </c>
      <c r="D33" s="18" t="n">
        <v>751951</v>
      </c>
      <c r="E33" s="13" t="s">
        <v>94</v>
      </c>
      <c r="F33" s="17" t="n">
        <v>121172</v>
      </c>
      <c r="G33" s="17" t="n">
        <v>2053</v>
      </c>
      <c r="H33" s="17" t="n">
        <v>513</v>
      </c>
      <c r="I33" s="17" t="n">
        <v>118606</v>
      </c>
      <c r="J33" s="17" t="n">
        <v>48469</v>
      </c>
      <c r="K33" s="17" t="n">
        <v>924</v>
      </c>
      <c r="L33" s="17" t="n">
        <v>154</v>
      </c>
      <c r="M33" s="17" t="n">
        <v>47391</v>
      </c>
      <c r="N33" s="15" t="n">
        <v>0.37</v>
      </c>
      <c r="O33" s="15" t="n">
        <v>0.37</v>
      </c>
      <c r="P33" s="15" t="n">
        <v>0.37</v>
      </c>
      <c r="Q33" s="15" t="n">
        <v>0.37</v>
      </c>
      <c r="R33" s="15" t="n">
        <v>0.3</v>
      </c>
      <c r="S33" s="15" t="n">
        <v>0.18</v>
      </c>
      <c r="T33" s="15" t="n">
        <v>0.33</v>
      </c>
      <c r="U33" s="15" t="n">
        <v>0.3</v>
      </c>
      <c r="V33" s="15" t="n">
        <v>0.032</v>
      </c>
      <c r="W33" s="15" t="n">
        <v>0.032</v>
      </c>
      <c r="X33" s="15" t="n">
        <v>0.032</v>
      </c>
      <c r="Y33" s="15" t="n">
        <v>0.032</v>
      </c>
      <c r="Z33" s="15" t="n">
        <v>0.332</v>
      </c>
      <c r="AA33" s="15" t="n">
        <v>0.212</v>
      </c>
      <c r="AB33" s="15" t="n">
        <v>0.362</v>
      </c>
      <c r="AC33" s="15" t="n">
        <v>0.332</v>
      </c>
      <c r="AD33" s="16" t="n">
        <v>7000000000</v>
      </c>
      <c r="AE33" s="16" t="n">
        <v>133333333</v>
      </c>
      <c r="AF33" s="16" t="n">
        <v>16666667</v>
      </c>
      <c r="AG33" s="16" t="n">
        <v>6866666667</v>
      </c>
      <c r="AH33" s="16" t="n">
        <v>183333333</v>
      </c>
      <c r="AI33" s="16" t="n">
        <v>3333333</v>
      </c>
      <c r="AJ33" s="16" t="n">
        <v>833333</v>
      </c>
      <c r="AK33" s="16" t="n">
        <v>179166667</v>
      </c>
      <c r="AL33" s="16" t="n">
        <v>0</v>
      </c>
      <c r="AM33" s="16" t="n">
        <v>0</v>
      </c>
      <c r="AN33" s="16" t="n">
        <v>0</v>
      </c>
      <c r="AO33" s="16" t="n">
        <v>0</v>
      </c>
      <c r="AP33" s="16" t="n">
        <v>0</v>
      </c>
      <c r="AQ33" s="16" t="n">
        <v>0</v>
      </c>
      <c r="AR33" s="16" t="n">
        <v>0</v>
      </c>
      <c r="AS33" s="16" t="n">
        <v>0</v>
      </c>
      <c r="AT33" s="16" t="n">
        <v>0</v>
      </c>
      <c r="AU33" s="16" t="n">
        <v>0</v>
      </c>
      <c r="AV33" s="16" t="n">
        <v>0</v>
      </c>
      <c r="AW33" s="16" t="n">
        <v>0</v>
      </c>
      <c r="AX33" s="16" t="n">
        <v>0</v>
      </c>
      <c r="AY33" s="16" t="n">
        <v>0</v>
      </c>
      <c r="AZ33" s="16" t="n">
        <v>0</v>
      </c>
      <c r="BA33" s="16" t="n">
        <v>0</v>
      </c>
      <c r="BB33" s="16" t="n">
        <v>46666667</v>
      </c>
      <c r="BC33" s="16" t="n">
        <v>1000000</v>
      </c>
      <c r="BD33" s="16" t="n">
        <v>333333</v>
      </c>
      <c r="BE33" s="16" t="n">
        <v>45333333</v>
      </c>
      <c r="BF33" s="16" t="n">
        <v>0</v>
      </c>
      <c r="BG33" s="16" t="n">
        <v>0</v>
      </c>
      <c r="BH33" s="16" t="n">
        <v>0</v>
      </c>
      <c r="BI33" s="16" t="n">
        <v>0</v>
      </c>
      <c r="BJ33" s="16" t="n">
        <v>11666667</v>
      </c>
      <c r="BK33" s="16" t="n">
        <v>266667</v>
      </c>
      <c r="BL33" s="16" t="n">
        <v>66667</v>
      </c>
      <c r="BM33" s="16" t="n">
        <v>11333333</v>
      </c>
    </row>
    <row r="34" customFormat="false" ht="12.8" hidden="false" customHeight="false" outlineLevel="0" collapsed="false">
      <c r="A34" s="10" t="n">
        <v>7.3</v>
      </c>
      <c r="B34" s="10" t="s">
        <v>104</v>
      </c>
      <c r="C34" s="10" t="s">
        <v>97</v>
      </c>
      <c r="D34" s="18" t="n">
        <v>626351</v>
      </c>
      <c r="E34" s="13" t="s">
        <v>94</v>
      </c>
      <c r="F34" s="17" t="n">
        <v>121172</v>
      </c>
      <c r="G34" s="17" t="n">
        <v>2053</v>
      </c>
      <c r="H34" s="17" t="n">
        <v>513</v>
      </c>
      <c r="I34" s="17" t="n">
        <v>118606</v>
      </c>
      <c r="J34" s="17" t="n">
        <v>48469</v>
      </c>
      <c r="K34" s="17" t="n">
        <v>924</v>
      </c>
      <c r="L34" s="17" t="n">
        <v>154</v>
      </c>
      <c r="M34" s="17" t="n">
        <v>47391</v>
      </c>
      <c r="N34" s="15" t="n">
        <v>0.37</v>
      </c>
      <c r="O34" s="15" t="n">
        <v>0.37</v>
      </c>
      <c r="P34" s="15" t="n">
        <v>0.37</v>
      </c>
      <c r="Q34" s="15" t="n">
        <v>0.37</v>
      </c>
      <c r="R34" s="15" t="n">
        <v>0.3</v>
      </c>
      <c r="S34" s="15" t="n">
        <v>0.18</v>
      </c>
      <c r="T34" s="15" t="n">
        <v>0.33</v>
      </c>
      <c r="U34" s="15" t="n">
        <v>0.3</v>
      </c>
      <c r="V34" s="15" t="n">
        <v>0.032</v>
      </c>
      <c r="W34" s="15" t="n">
        <v>0.032</v>
      </c>
      <c r="X34" s="15" t="n">
        <v>0.032</v>
      </c>
      <c r="Y34" s="15" t="n">
        <v>0.032</v>
      </c>
      <c r="Z34" s="15" t="n">
        <v>0.332</v>
      </c>
      <c r="AA34" s="15" t="n">
        <v>0.212</v>
      </c>
      <c r="AB34" s="15" t="n">
        <v>0.362</v>
      </c>
      <c r="AC34" s="15" t="n">
        <v>0.332</v>
      </c>
      <c r="AD34" s="16" t="n">
        <v>7000000000</v>
      </c>
      <c r="AE34" s="16" t="n">
        <v>133333333</v>
      </c>
      <c r="AF34" s="16" t="n">
        <v>16666667</v>
      </c>
      <c r="AG34" s="16" t="n">
        <v>6866666667</v>
      </c>
      <c r="AH34" s="16" t="n">
        <v>183333333</v>
      </c>
      <c r="AI34" s="16" t="n">
        <v>3333333</v>
      </c>
      <c r="AJ34" s="16" t="n">
        <v>833333</v>
      </c>
      <c r="AK34" s="16" t="n">
        <v>179166667</v>
      </c>
      <c r="AL34" s="16" t="n">
        <v>0</v>
      </c>
      <c r="AM34" s="16" t="n">
        <v>0</v>
      </c>
      <c r="AN34" s="16" t="n">
        <v>0</v>
      </c>
      <c r="AO34" s="16" t="n">
        <v>0</v>
      </c>
      <c r="AP34" s="16" t="n">
        <v>0</v>
      </c>
      <c r="AQ34" s="16" t="n">
        <v>0</v>
      </c>
      <c r="AR34" s="16" t="n">
        <v>0</v>
      </c>
      <c r="AS34" s="16" t="n">
        <v>0</v>
      </c>
      <c r="AT34" s="16" t="n">
        <v>0</v>
      </c>
      <c r="AU34" s="16" t="n">
        <v>0</v>
      </c>
      <c r="AV34" s="16" t="n">
        <v>0</v>
      </c>
      <c r="AW34" s="16" t="n">
        <v>0</v>
      </c>
      <c r="AX34" s="16" t="n">
        <v>0</v>
      </c>
      <c r="AY34" s="16" t="n">
        <v>0</v>
      </c>
      <c r="AZ34" s="16" t="n">
        <v>0</v>
      </c>
      <c r="BA34" s="16" t="n">
        <v>0</v>
      </c>
      <c r="BB34" s="16" t="n">
        <v>46666667</v>
      </c>
      <c r="BC34" s="16" t="n">
        <v>1000000</v>
      </c>
      <c r="BD34" s="16" t="n">
        <v>333333</v>
      </c>
      <c r="BE34" s="16" t="n">
        <v>45333333</v>
      </c>
      <c r="BF34" s="16" t="n">
        <v>0</v>
      </c>
      <c r="BG34" s="16" t="n">
        <v>0</v>
      </c>
      <c r="BH34" s="16" t="n">
        <v>0</v>
      </c>
      <c r="BI34" s="16" t="n">
        <v>0</v>
      </c>
      <c r="BJ34" s="16" t="n">
        <v>11666667</v>
      </c>
      <c r="BK34" s="16" t="n">
        <v>266667</v>
      </c>
      <c r="BL34" s="16" t="n">
        <v>66667</v>
      </c>
      <c r="BM34" s="16" t="n">
        <v>11333333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2847</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2025-12-27T14:55:03Z</dcterms:created>
  <dc:creator/>
  <dc:description/>
  <dc:language>en-US</dc:language>
  <cp:lastModifiedBy/>
  <dcterms:modified xsi:type="dcterms:W3CDTF">2026-02-01T19:20:24Z</dcterms:modified>
  <cp:revision>373</cp:revision>
  <dc:subject/>
  <dc:title/>
</cp:coreProperties>
</file>

<file path=docProps/custom.xml><?xml version="1.0" encoding="utf-8"?>
<Properties xmlns="http://schemas.openxmlformats.org/officeDocument/2006/custom-properties" xmlns:vt="http://schemas.openxmlformats.org/officeDocument/2006/docPropsVTypes"/>
</file>